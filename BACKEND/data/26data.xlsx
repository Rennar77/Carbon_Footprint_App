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codeName="ThisWorkbook"/>
  <mc:AlternateContent xmlns:mc="http://schemas.openxmlformats.org/markup-compatibility/2006">
    <mc:Choice Requires="x15">
      <x15ac:absPath xmlns:x15ac="http://schemas.microsoft.com/office/spreadsheetml/2010/11/ac" url="Z:\MPGTEST\F-Drive\dataProcessing\findacar\epaDataFiles\"/>
    </mc:Choice>
  </mc:AlternateContent>
  <xr:revisionPtr revIDLastSave="0" documentId="8_{598E4C33-8B2E-4193-88B5-CA4864E8EFD5}" xr6:coauthVersionLast="47" xr6:coauthVersionMax="47" xr10:uidLastSave="{00000000-0000-0000-0000-000000000000}"/>
  <bookViews>
    <workbookView xWindow="190" yWindow="760" windowWidth="19010" windowHeight="9300" xr2:uid="{00000000-000D-0000-FFFF-FFFF00000000}"/>
  </bookViews>
  <sheets>
    <sheet name="FEguide" sheetId="4" r:id="rId1"/>
    <sheet name="EV" sheetId="2" r:id="rId2"/>
    <sheet name="PHEV" sheetId="3" r:id="rId3"/>
  </sheets>
  <definedNames>
    <definedName name="_xlnm._FilterDatabase" localSheetId="1" hidden="1">EV!$A$1:$FI$391</definedName>
    <definedName name="_xlnm._FilterDatabase" localSheetId="0" hidden="1">FEguide!$A$1:$FF$623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2" l="1"/>
  <c r="EX2" i="2" s="1"/>
  <c r="K578" i="2"/>
  <c r="K575" i="2"/>
  <c r="K572" i="2"/>
  <c r="K569" i="2"/>
  <c r="CM569" i="2" s="1"/>
  <c r="K566" i="2"/>
  <c r="AR566" i="2" s="1"/>
  <c r="K563" i="2"/>
  <c r="CM563" i="2" s="1"/>
  <c r="K560" i="2"/>
  <c r="BG560" i="2" s="1"/>
  <c r="K557" i="2"/>
  <c r="K554" i="2"/>
  <c r="AR554" i="2" s="1"/>
  <c r="K551" i="2"/>
  <c r="K548" i="2"/>
  <c r="K545" i="2"/>
  <c r="BG545" i="2" s="1"/>
  <c r="K542" i="2"/>
  <c r="K539" i="2"/>
  <c r="CM539" i="2" s="1"/>
  <c r="K536" i="2"/>
  <c r="BG536" i="2" s="1"/>
  <c r="K533" i="2"/>
  <c r="AB533" i="2" s="1"/>
  <c r="K530" i="2"/>
  <c r="AB530" i="2" s="1"/>
  <c r="K527" i="2"/>
  <c r="AR527" i="2" s="1"/>
  <c r="K524" i="2"/>
  <c r="BG524" i="2" s="1"/>
  <c r="K521" i="2"/>
  <c r="K518" i="2"/>
  <c r="BG518" i="2" s="1"/>
  <c r="K515" i="2"/>
  <c r="K512" i="2"/>
  <c r="CM512" i="2" s="1"/>
  <c r="K509" i="2"/>
  <c r="CM509" i="2" s="1"/>
  <c r="K506" i="2"/>
  <c r="K503" i="2"/>
  <c r="AR503" i="2" s="1"/>
  <c r="K500" i="2"/>
  <c r="K497" i="2"/>
  <c r="K494" i="2"/>
  <c r="K491" i="2"/>
  <c r="K488" i="2"/>
  <c r="CM488" i="2" s="1"/>
  <c r="K485" i="2"/>
  <c r="K482" i="2"/>
  <c r="CM482" i="2" s="1"/>
  <c r="K479" i="2"/>
  <c r="K476" i="2"/>
  <c r="CM476" i="2" s="1"/>
  <c r="K473" i="2"/>
  <c r="BG473" i="2" s="1"/>
  <c r="K470" i="2"/>
  <c r="AB470" i="2" s="1"/>
  <c r="K467" i="2"/>
  <c r="AR467" i="2" s="1"/>
  <c r="K464" i="2"/>
  <c r="K461" i="2"/>
  <c r="K458" i="2"/>
  <c r="BG458" i="2" s="1"/>
  <c r="K455" i="2"/>
  <c r="K452" i="2"/>
  <c r="K449" i="2"/>
  <c r="AB449" i="2" s="1"/>
  <c r="K446" i="2"/>
  <c r="BG446" i="2" s="1"/>
  <c r="K443" i="2"/>
  <c r="K440" i="2"/>
  <c r="BG440" i="2" s="1"/>
  <c r="K437" i="2"/>
  <c r="BG437" i="2" s="1"/>
  <c r="K434" i="2"/>
  <c r="AR434" i="2" s="1"/>
  <c r="K431" i="2"/>
  <c r="AR431" i="2" s="1"/>
  <c r="K428" i="2"/>
  <c r="K425" i="2"/>
  <c r="K422" i="2"/>
  <c r="AR422" i="2" s="1"/>
  <c r="K419" i="2"/>
  <c r="AB419" i="2" s="1"/>
  <c r="K416" i="2"/>
  <c r="CM416" i="2" s="1"/>
  <c r="K413" i="2"/>
  <c r="CM413" i="2" s="1"/>
  <c r="K410" i="2"/>
  <c r="K407" i="2"/>
  <c r="AR407" i="2" s="1"/>
  <c r="K404" i="2"/>
  <c r="K401" i="2"/>
  <c r="K398" i="2"/>
  <c r="K395" i="2"/>
  <c r="K392" i="2"/>
  <c r="CM392" i="2" s="1"/>
  <c r="K389" i="2"/>
  <c r="K386" i="2"/>
  <c r="CM386" i="2" s="1"/>
  <c r="K383" i="2"/>
  <c r="AR383" i="2" s="1"/>
  <c r="K380" i="2"/>
  <c r="CM380" i="2" s="1"/>
  <c r="K377" i="2"/>
  <c r="K374" i="2"/>
  <c r="K371" i="2"/>
  <c r="AB371" i="2" s="1"/>
  <c r="K368" i="2"/>
  <c r="BG368" i="2" s="1"/>
  <c r="K365" i="2"/>
  <c r="AR365" i="2" s="1"/>
  <c r="K362" i="2"/>
  <c r="K359" i="2"/>
  <c r="K356" i="2"/>
  <c r="BG356" i="2" s="1"/>
  <c r="K353" i="2"/>
  <c r="K350" i="2"/>
  <c r="BG350" i="2" s="1"/>
  <c r="K347" i="2"/>
  <c r="AR347" i="2" s="1"/>
  <c r="K344" i="2"/>
  <c r="BG344" i="2" s="1"/>
  <c r="K341" i="2"/>
  <c r="CM341" i="2" s="1"/>
  <c r="K338" i="2"/>
  <c r="AR338" i="2" s="1"/>
  <c r="K335" i="2"/>
  <c r="AR335" i="2" s="1"/>
  <c r="K332" i="2"/>
  <c r="AR332" i="2" s="1"/>
  <c r="K329" i="2"/>
  <c r="AR329" i="2" s="1"/>
  <c r="K326" i="2"/>
  <c r="K323" i="2"/>
  <c r="K320" i="2"/>
  <c r="AB320" i="2" s="1"/>
  <c r="K317" i="2"/>
  <c r="AR317" i="2" s="1"/>
  <c r="K314" i="2"/>
  <c r="K311" i="2"/>
  <c r="K308" i="2"/>
  <c r="DD308" i="2" s="1"/>
  <c r="K305" i="2"/>
  <c r="AR305" i="2" s="1"/>
  <c r="K302" i="2"/>
  <c r="K299" i="2"/>
  <c r="DU299" i="2" s="1"/>
  <c r="K296" i="2"/>
  <c r="K293" i="2"/>
  <c r="AR293" i="2" s="1"/>
  <c r="K290" i="2"/>
  <c r="K287" i="2"/>
  <c r="DU287" i="2" s="1"/>
  <c r="K284" i="2"/>
  <c r="K281" i="2"/>
  <c r="K278" i="2"/>
  <c r="K275" i="2"/>
  <c r="DU275" i="2" s="1"/>
  <c r="K272" i="2"/>
  <c r="DD272" i="2" s="1"/>
  <c r="K269" i="2"/>
  <c r="K266" i="2"/>
  <c r="K263" i="2"/>
  <c r="DU263" i="2" s="1"/>
  <c r="K260" i="2"/>
  <c r="DD260" i="2" s="1"/>
  <c r="K257" i="2"/>
  <c r="AR257" i="2" s="1"/>
  <c r="K254" i="2"/>
  <c r="K251" i="2"/>
  <c r="DD251" i="2" s="1"/>
  <c r="K248" i="2"/>
  <c r="DD248" i="2" s="1"/>
  <c r="K245" i="2"/>
  <c r="AR245" i="2" s="1"/>
  <c r="K242" i="2"/>
  <c r="K239" i="2"/>
  <c r="DD239" i="2" s="1"/>
  <c r="K236" i="2"/>
  <c r="K233" i="2"/>
  <c r="K230" i="2"/>
  <c r="K227" i="2"/>
  <c r="AR227" i="2" s="1"/>
  <c r="K224" i="2"/>
  <c r="K221" i="2"/>
  <c r="AR221" i="2" s="1"/>
  <c r="K218" i="2"/>
  <c r="K215" i="2"/>
  <c r="DD215" i="2" s="1"/>
  <c r="K212" i="2"/>
  <c r="DD212" i="2" s="1"/>
  <c r="K209" i="2"/>
  <c r="AR209" i="2" s="1"/>
  <c r="K206" i="2"/>
  <c r="K203" i="2"/>
  <c r="K200" i="2"/>
  <c r="DD200" i="2" s="1"/>
  <c r="K197" i="2"/>
  <c r="AR197" i="2" s="1"/>
  <c r="K194" i="2"/>
  <c r="K191" i="2"/>
  <c r="K188" i="2"/>
  <c r="AR188" i="2" s="1"/>
  <c r="K185" i="2"/>
  <c r="K182" i="2"/>
  <c r="K179" i="2"/>
  <c r="K176" i="2"/>
  <c r="AB176" i="2" s="1"/>
  <c r="K173" i="2"/>
  <c r="K170" i="2"/>
  <c r="K167" i="2"/>
  <c r="K164" i="2"/>
  <c r="DD164" i="2" s="1"/>
  <c r="K161" i="2"/>
  <c r="AR161" i="2" s="1"/>
  <c r="K158" i="2"/>
  <c r="DU158" i="2" s="1"/>
  <c r="K155" i="2"/>
  <c r="DU155" i="2" s="1"/>
  <c r="K152" i="2"/>
  <c r="K149" i="2"/>
  <c r="AR149" i="2" s="1"/>
  <c r="K146" i="2"/>
  <c r="K143" i="2"/>
  <c r="DD143" i="2" s="1"/>
  <c r="K140" i="2"/>
  <c r="K137" i="2"/>
  <c r="K134" i="2"/>
  <c r="K131" i="2"/>
  <c r="DU131" i="2" s="1"/>
  <c r="K128" i="2"/>
  <c r="DD128" i="2" s="1"/>
  <c r="K125" i="2"/>
  <c r="AR125" i="2" s="1"/>
  <c r="K122" i="2"/>
  <c r="K119" i="2"/>
  <c r="DD119" i="2" s="1"/>
  <c r="K116" i="2"/>
  <c r="K113" i="2"/>
  <c r="AR113" i="2" s="1"/>
  <c r="K110" i="2"/>
  <c r="K107" i="2"/>
  <c r="DU107" i="2" s="1"/>
  <c r="K104" i="2"/>
  <c r="DD104" i="2" s="1"/>
  <c r="K101" i="2"/>
  <c r="AR101" i="2" s="1"/>
  <c r="K98" i="2"/>
  <c r="K95" i="2"/>
  <c r="DU95" i="2" s="1"/>
  <c r="K92" i="2"/>
  <c r="K89" i="2"/>
  <c r="K86" i="2"/>
  <c r="K83" i="2"/>
  <c r="DD83" i="2" s="1"/>
  <c r="K80" i="2"/>
  <c r="DD80" i="2" s="1"/>
  <c r="K77" i="2"/>
  <c r="K74" i="2"/>
  <c r="DU74" i="2" s="1"/>
  <c r="K71" i="2"/>
  <c r="DU71" i="2" s="1"/>
  <c r="K68" i="2"/>
  <c r="DD68" i="2" s="1"/>
  <c r="K65" i="2"/>
  <c r="AR65" i="2" s="1"/>
  <c r="K62" i="2"/>
  <c r="K59" i="2"/>
  <c r="DD59" i="2" s="1"/>
  <c r="K56" i="2"/>
  <c r="BG56" i="2" s="1"/>
  <c r="K53" i="2"/>
  <c r="BG53" i="2" s="1"/>
  <c r="K50" i="2"/>
  <c r="K47" i="2"/>
  <c r="K44" i="2"/>
  <c r="AR44" i="2" s="1"/>
  <c r="K41" i="2"/>
  <c r="DU41" i="2" s="1"/>
  <c r="K38" i="2"/>
  <c r="DU38" i="2" s="1"/>
  <c r="K35" i="2"/>
  <c r="CM35" i="2" s="1"/>
  <c r="K32" i="2"/>
  <c r="K29" i="2"/>
  <c r="DU29" i="2" s="1"/>
  <c r="K26" i="2"/>
  <c r="DD26" i="2" s="1"/>
  <c r="K23" i="2"/>
  <c r="K20" i="2"/>
  <c r="K17" i="2"/>
  <c r="DU17" i="2" s="1"/>
  <c r="K14" i="2"/>
  <c r="AR14" i="2" s="1"/>
  <c r="K11" i="2"/>
  <c r="DU11" i="2" s="1"/>
  <c r="K8" i="2"/>
  <c r="DU8" i="2" s="1"/>
  <c r="K5" i="2"/>
  <c r="CM533" i="2" l="1"/>
  <c r="AR533" i="2"/>
  <c r="BG533" i="2"/>
  <c r="DU26" i="2"/>
  <c r="CM473" i="2"/>
  <c r="DD227" i="2"/>
  <c r="AR341" i="2"/>
  <c r="DU227" i="2"/>
  <c r="DD53" i="2"/>
  <c r="DU143" i="2"/>
  <c r="BG539" i="2"/>
  <c r="BG341" i="2"/>
  <c r="DU53" i="2"/>
  <c r="AR371" i="2"/>
  <c r="AB308" i="2"/>
  <c r="AB503" i="2"/>
  <c r="AB2" i="2"/>
  <c r="AB164" i="2"/>
  <c r="AR164" i="2"/>
  <c r="CM437" i="2"/>
  <c r="BG2" i="2"/>
  <c r="DD35" i="2"/>
  <c r="DU119" i="2"/>
  <c r="AR155" i="2"/>
  <c r="BG422" i="2"/>
  <c r="CM2" i="2"/>
  <c r="AR449" i="2"/>
  <c r="AR308" i="2"/>
  <c r="BG449" i="2"/>
  <c r="CM560" i="2"/>
  <c r="AR119" i="2"/>
  <c r="DU251" i="2"/>
  <c r="AB272" i="2"/>
  <c r="CM449" i="2"/>
  <c r="AB467" i="2"/>
  <c r="CM26" i="2"/>
  <c r="DU35" i="2"/>
  <c r="AR53" i="2"/>
  <c r="DU83" i="2"/>
  <c r="AR143" i="2"/>
  <c r="DD155" i="2"/>
  <c r="DU239" i="2"/>
  <c r="CM350" i="2"/>
  <c r="CM422" i="2"/>
  <c r="DD2" i="2"/>
  <c r="BG416" i="2"/>
  <c r="CM518" i="2"/>
  <c r="DD176" i="2"/>
  <c r="DU215" i="2"/>
  <c r="DU56" i="2"/>
  <c r="AR2" i="2"/>
  <c r="CM524" i="2"/>
  <c r="CM53" i="2"/>
  <c r="AB341" i="2"/>
  <c r="CM458" i="2"/>
  <c r="DU2" i="2"/>
  <c r="DD323" i="2"/>
  <c r="AR323" i="2"/>
  <c r="DU323" i="2"/>
  <c r="CM461" i="2"/>
  <c r="BG461" i="2"/>
  <c r="AR461" i="2"/>
  <c r="BG548" i="2"/>
  <c r="AB548" i="2"/>
  <c r="CM548" i="2"/>
  <c r="AR548" i="2"/>
  <c r="AB20" i="2"/>
  <c r="CM20" i="2"/>
  <c r="BG32" i="2"/>
  <c r="DU32" i="2"/>
  <c r="DD32" i="2"/>
  <c r="DU179" i="2"/>
  <c r="DD179" i="2"/>
  <c r="AR179" i="2"/>
  <c r="AB212" i="2"/>
  <c r="CM353" i="2"/>
  <c r="AR353" i="2"/>
  <c r="AB353" i="2"/>
  <c r="BG353" i="2"/>
  <c r="BG401" i="2"/>
  <c r="AB401" i="2"/>
  <c r="CM401" i="2"/>
  <c r="AR401" i="2"/>
  <c r="AB461" i="2"/>
  <c r="CM521" i="2"/>
  <c r="BG521" i="2"/>
  <c r="AR521" i="2"/>
  <c r="AR32" i="2"/>
  <c r="AR116" i="2"/>
  <c r="AB116" i="2"/>
  <c r="DD116" i="2"/>
  <c r="DU167" i="2"/>
  <c r="DD167" i="2"/>
  <c r="AR212" i="2"/>
  <c r="AR299" i="2"/>
  <c r="AB521" i="2"/>
  <c r="CM32" i="2"/>
  <c r="AB80" i="2"/>
  <c r="AR131" i="2"/>
  <c r="AR167" i="2"/>
  <c r="DD203" i="2"/>
  <c r="DU203" i="2"/>
  <c r="AR287" i="2"/>
  <c r="DD299" i="2"/>
  <c r="DU311" i="2"/>
  <c r="DD311" i="2"/>
  <c r="AR311" i="2"/>
  <c r="CM389" i="2"/>
  <c r="BG389" i="2"/>
  <c r="CM497" i="2"/>
  <c r="BG497" i="2"/>
  <c r="AR497" i="2"/>
  <c r="AB554" i="2"/>
  <c r="CM50" i="2"/>
  <c r="DD50" i="2"/>
  <c r="AB68" i="2"/>
  <c r="DD131" i="2"/>
  <c r="AR203" i="2"/>
  <c r="AR263" i="2"/>
  <c r="DD287" i="2"/>
  <c r="AB389" i="2"/>
  <c r="AB497" i="2"/>
  <c r="BG512" i="2"/>
  <c r="CM572" i="2"/>
  <c r="BG572" i="2"/>
  <c r="AB50" i="2"/>
  <c r="AR68" i="2"/>
  <c r="DD191" i="2"/>
  <c r="DU191" i="2"/>
  <c r="DD263" i="2"/>
  <c r="AR275" i="2"/>
  <c r="CM362" i="2"/>
  <c r="AR362" i="2"/>
  <c r="AB362" i="2"/>
  <c r="BG362" i="2"/>
  <c r="AR389" i="2"/>
  <c r="CM485" i="2"/>
  <c r="BG485" i="2"/>
  <c r="AB572" i="2"/>
  <c r="AR50" i="2"/>
  <c r="BG59" i="2"/>
  <c r="DU59" i="2"/>
  <c r="AR191" i="2"/>
  <c r="DD275" i="2"/>
  <c r="CM365" i="2"/>
  <c r="BG365" i="2"/>
  <c r="CM377" i="2"/>
  <c r="AR377" i="2"/>
  <c r="AB377" i="2"/>
  <c r="BG377" i="2"/>
  <c r="BG425" i="2"/>
  <c r="CM425" i="2"/>
  <c r="AR425" i="2"/>
  <c r="AB425" i="2"/>
  <c r="AB485" i="2"/>
  <c r="AR572" i="2"/>
  <c r="BG29" i="2"/>
  <c r="DD29" i="2"/>
  <c r="CM29" i="2"/>
  <c r="AR29" i="2"/>
  <c r="AB29" i="2"/>
  <c r="CM59" i="2"/>
  <c r="DD224" i="2"/>
  <c r="AB224" i="2"/>
  <c r="AB365" i="2"/>
  <c r="AR485" i="2"/>
  <c r="AR71" i="2"/>
  <c r="AR95" i="2"/>
  <c r="AB260" i="2"/>
  <c r="AR386" i="2"/>
  <c r="AB437" i="2"/>
  <c r="CM446" i="2"/>
  <c r="AR509" i="2"/>
  <c r="AB518" i="2"/>
  <c r="AR530" i="2"/>
  <c r="AB560" i="2"/>
  <c r="AR569" i="2"/>
  <c r="AB44" i="2"/>
  <c r="CM56" i="2"/>
  <c r="DD71" i="2"/>
  <c r="AR83" i="2"/>
  <c r="DD95" i="2"/>
  <c r="DD107" i="2"/>
  <c r="AB128" i="2"/>
  <c r="AR215" i="2"/>
  <c r="AR239" i="2"/>
  <c r="AR251" i="2"/>
  <c r="AR260" i="2"/>
  <c r="AB338" i="2"/>
  <c r="BG386" i="2"/>
  <c r="BG392" i="2"/>
  <c r="BG413" i="2"/>
  <c r="AB422" i="2"/>
  <c r="AR437" i="2"/>
  <c r="AR458" i="2"/>
  <c r="AR473" i="2"/>
  <c r="BG482" i="2"/>
  <c r="BG509" i="2"/>
  <c r="AR518" i="2"/>
  <c r="AR560" i="2"/>
  <c r="BG569" i="2"/>
  <c r="AB413" i="2"/>
  <c r="AB509" i="2"/>
  <c r="AR56" i="2"/>
  <c r="AR107" i="2"/>
  <c r="AR413" i="2"/>
  <c r="AB473" i="2"/>
  <c r="AR482" i="2"/>
  <c r="AB53" i="2"/>
  <c r="DD56" i="2"/>
  <c r="CM89" i="2"/>
  <c r="BG89" i="2"/>
  <c r="DU89" i="2"/>
  <c r="DD89" i="2"/>
  <c r="CM122" i="2"/>
  <c r="BG122" i="2"/>
  <c r="DD122" i="2"/>
  <c r="AB122" i="2"/>
  <c r="AR122" i="2"/>
  <c r="CM137" i="2"/>
  <c r="BG137" i="2"/>
  <c r="DD137" i="2"/>
  <c r="DU137" i="2"/>
  <c r="CM170" i="2"/>
  <c r="BG170" i="2"/>
  <c r="DD170" i="2"/>
  <c r="AR170" i="2"/>
  <c r="AB170" i="2"/>
  <c r="CM185" i="2"/>
  <c r="BG185" i="2"/>
  <c r="DD185" i="2"/>
  <c r="DU185" i="2"/>
  <c r="CM218" i="2"/>
  <c r="BG218" i="2"/>
  <c r="DD218" i="2"/>
  <c r="AB218" i="2"/>
  <c r="AR218" i="2"/>
  <c r="CM233" i="2"/>
  <c r="BG233" i="2"/>
  <c r="DD233" i="2"/>
  <c r="DU233" i="2"/>
  <c r="CM266" i="2"/>
  <c r="BG266" i="2"/>
  <c r="DD266" i="2"/>
  <c r="AB266" i="2"/>
  <c r="AR266" i="2"/>
  <c r="CM281" i="2"/>
  <c r="BG281" i="2"/>
  <c r="DU281" i="2"/>
  <c r="DD281" i="2"/>
  <c r="CM314" i="2"/>
  <c r="BG314" i="2"/>
  <c r="DD314" i="2"/>
  <c r="AR314" i="2"/>
  <c r="AB314" i="2"/>
  <c r="DU506" i="2"/>
  <c r="DD506" i="2"/>
  <c r="BG506" i="2"/>
  <c r="AR506" i="2"/>
  <c r="AB506" i="2"/>
  <c r="BG23" i="2"/>
  <c r="DU23" i="2"/>
  <c r="BG47" i="2"/>
  <c r="DD47" i="2"/>
  <c r="DU47" i="2"/>
  <c r="AB89" i="2"/>
  <c r="CM152" i="2"/>
  <c r="BG152" i="2"/>
  <c r="DU152" i="2"/>
  <c r="DU170" i="2"/>
  <c r="AB185" i="2"/>
  <c r="DU218" i="2"/>
  <c r="AB233" i="2"/>
  <c r="CM296" i="2"/>
  <c r="BG296" i="2"/>
  <c r="DU296" i="2"/>
  <c r="DU314" i="2"/>
  <c r="DU428" i="2"/>
  <c r="DD428" i="2"/>
  <c r="AR428" i="2"/>
  <c r="AB428" i="2"/>
  <c r="CM428" i="2"/>
  <c r="DU479" i="2"/>
  <c r="DD479" i="2"/>
  <c r="CM479" i="2"/>
  <c r="BG479" i="2"/>
  <c r="CM506" i="2"/>
  <c r="DU542" i="2"/>
  <c r="DD542" i="2"/>
  <c r="AR542" i="2"/>
  <c r="AB542" i="2"/>
  <c r="BG542" i="2"/>
  <c r="AR17" i="2"/>
  <c r="AB23" i="2"/>
  <c r="AB47" i="2"/>
  <c r="CM77" i="2"/>
  <c r="BG77" i="2"/>
  <c r="DU77" i="2"/>
  <c r="DD77" i="2"/>
  <c r="AR89" i="2"/>
  <c r="CM110" i="2"/>
  <c r="BG110" i="2"/>
  <c r="DD110" i="2"/>
  <c r="AB110" i="2"/>
  <c r="AR110" i="2"/>
  <c r="AB152" i="2"/>
  <c r="CM173" i="2"/>
  <c r="BG173" i="2"/>
  <c r="DU173" i="2"/>
  <c r="DD173" i="2"/>
  <c r="AR185" i="2"/>
  <c r="CM206" i="2"/>
  <c r="BG206" i="2"/>
  <c r="DD206" i="2"/>
  <c r="AB206" i="2"/>
  <c r="AR206" i="2"/>
  <c r="AR233" i="2"/>
  <c r="AB248" i="2"/>
  <c r="CM269" i="2"/>
  <c r="BG269" i="2"/>
  <c r="DD269" i="2"/>
  <c r="DU269" i="2"/>
  <c r="CM302" i="2"/>
  <c r="BG302" i="2"/>
  <c r="DD302" i="2"/>
  <c r="AR302" i="2"/>
  <c r="AB302" i="2"/>
  <c r="AB332" i="2"/>
  <c r="DU410" i="2"/>
  <c r="DD410" i="2"/>
  <c r="BG410" i="2"/>
  <c r="AB410" i="2"/>
  <c r="AR410" i="2"/>
  <c r="CM542" i="2"/>
  <c r="CM92" i="2"/>
  <c r="BG92" i="2"/>
  <c r="DU92" i="2"/>
  <c r="AR104" i="2"/>
  <c r="CM140" i="2"/>
  <c r="BG140" i="2"/>
  <c r="DU140" i="2"/>
  <c r="AR152" i="2"/>
  <c r="AB173" i="2"/>
  <c r="AR200" i="2"/>
  <c r="CM236" i="2"/>
  <c r="BG236" i="2"/>
  <c r="DU236" i="2"/>
  <c r="AR248" i="2"/>
  <c r="CM284" i="2"/>
  <c r="BG284" i="2"/>
  <c r="DU284" i="2"/>
  <c r="AR296" i="2"/>
  <c r="AB317" i="2"/>
  <c r="DU452" i="2"/>
  <c r="DD452" i="2"/>
  <c r="AR452" i="2"/>
  <c r="AB452" i="2"/>
  <c r="DU494" i="2"/>
  <c r="DD494" i="2"/>
  <c r="CM494" i="2"/>
  <c r="BG494" i="2"/>
  <c r="AR494" i="2"/>
  <c r="AB14" i="2"/>
  <c r="CM23" i="2"/>
  <c r="BG38" i="2"/>
  <c r="CM38" i="2"/>
  <c r="AR38" i="2"/>
  <c r="DD38" i="2"/>
  <c r="CM47" i="2"/>
  <c r="CM65" i="2"/>
  <c r="BG65" i="2"/>
  <c r="DU65" i="2"/>
  <c r="DD65" i="2"/>
  <c r="AR77" i="2"/>
  <c r="AB92" i="2"/>
  <c r="CM98" i="2"/>
  <c r="BG98" i="2"/>
  <c r="DD98" i="2"/>
  <c r="AR98" i="2"/>
  <c r="AB98" i="2"/>
  <c r="CM113" i="2"/>
  <c r="BG113" i="2"/>
  <c r="DD113" i="2"/>
  <c r="DU113" i="2"/>
  <c r="AB140" i="2"/>
  <c r="CM146" i="2"/>
  <c r="BG146" i="2"/>
  <c r="DD146" i="2"/>
  <c r="AR146" i="2"/>
  <c r="AB146" i="2"/>
  <c r="DD152" i="2"/>
  <c r="CM161" i="2"/>
  <c r="BG161" i="2"/>
  <c r="DU161" i="2"/>
  <c r="DD161" i="2"/>
  <c r="AR173" i="2"/>
  <c r="AB188" i="2"/>
  <c r="CM194" i="2"/>
  <c r="BG194" i="2"/>
  <c r="DD194" i="2"/>
  <c r="AR194" i="2"/>
  <c r="AB194" i="2"/>
  <c r="CM209" i="2"/>
  <c r="BG209" i="2"/>
  <c r="DD209" i="2"/>
  <c r="DU209" i="2"/>
  <c r="AB236" i="2"/>
  <c r="CM242" i="2"/>
  <c r="BG242" i="2"/>
  <c r="DD242" i="2"/>
  <c r="AB242" i="2"/>
  <c r="AR242" i="2"/>
  <c r="CM257" i="2"/>
  <c r="BG257" i="2"/>
  <c r="DD257" i="2"/>
  <c r="DU257" i="2"/>
  <c r="AR269" i="2"/>
  <c r="AB284" i="2"/>
  <c r="CM290" i="2"/>
  <c r="BG290" i="2"/>
  <c r="DD290" i="2"/>
  <c r="AR290" i="2"/>
  <c r="AB290" i="2"/>
  <c r="DD296" i="2"/>
  <c r="CM305" i="2"/>
  <c r="BG305" i="2"/>
  <c r="DU305" i="2"/>
  <c r="DD305" i="2"/>
  <c r="DU383" i="2"/>
  <c r="DD383" i="2"/>
  <c r="CM383" i="2"/>
  <c r="BG383" i="2"/>
  <c r="BG452" i="2"/>
  <c r="AB494" i="2"/>
  <c r="DU551" i="2"/>
  <c r="DD551" i="2"/>
  <c r="AR551" i="2"/>
  <c r="AB551" i="2"/>
  <c r="CM551" i="2"/>
  <c r="BG551" i="2"/>
  <c r="BG20" i="2"/>
  <c r="DU20" i="2"/>
  <c r="DD20" i="2"/>
  <c r="DD23" i="2"/>
  <c r="AB38" i="2"/>
  <c r="AB65" i="2"/>
  <c r="CM80" i="2"/>
  <c r="BG80" i="2"/>
  <c r="DU80" i="2"/>
  <c r="AR92" i="2"/>
  <c r="DU98" i="2"/>
  <c r="AB113" i="2"/>
  <c r="CM128" i="2"/>
  <c r="BG128" i="2"/>
  <c r="DU128" i="2"/>
  <c r="AR140" i="2"/>
  <c r="DU146" i="2"/>
  <c r="AB161" i="2"/>
  <c r="CM176" i="2"/>
  <c r="BG176" i="2"/>
  <c r="DU176" i="2"/>
  <c r="DU194" i="2"/>
  <c r="AB209" i="2"/>
  <c r="CM224" i="2"/>
  <c r="BG224" i="2"/>
  <c r="DU224" i="2"/>
  <c r="AR236" i="2"/>
  <c r="DU242" i="2"/>
  <c r="AB257" i="2"/>
  <c r="CM272" i="2"/>
  <c r="BG272" i="2"/>
  <c r="DU272" i="2"/>
  <c r="AR284" i="2"/>
  <c r="DU290" i="2"/>
  <c r="AB305" i="2"/>
  <c r="CM320" i="2"/>
  <c r="BG320" i="2"/>
  <c r="DU320" i="2"/>
  <c r="DD320" i="2"/>
  <c r="CM326" i="2"/>
  <c r="BG326" i="2"/>
  <c r="DD326" i="2"/>
  <c r="AR326" i="2"/>
  <c r="AB326" i="2"/>
  <c r="DU326" i="2"/>
  <c r="DU356" i="2"/>
  <c r="DD356" i="2"/>
  <c r="AR356" i="2"/>
  <c r="AB356" i="2"/>
  <c r="DU368" i="2"/>
  <c r="DD368" i="2"/>
  <c r="AR368" i="2"/>
  <c r="AB368" i="2"/>
  <c r="CM368" i="2"/>
  <c r="AB383" i="2"/>
  <c r="CM452" i="2"/>
  <c r="DU545" i="2"/>
  <c r="DD545" i="2"/>
  <c r="CM545" i="2"/>
  <c r="AR545" i="2"/>
  <c r="AB545" i="2"/>
  <c r="DU575" i="2"/>
  <c r="DD575" i="2"/>
  <c r="AR575" i="2"/>
  <c r="AB575" i="2"/>
  <c r="CM575" i="2"/>
  <c r="BG575" i="2"/>
  <c r="BG41" i="2"/>
  <c r="DD41" i="2"/>
  <c r="CM41" i="2"/>
  <c r="CM74" i="2"/>
  <c r="BG74" i="2"/>
  <c r="DD74" i="2"/>
  <c r="AB74" i="2"/>
  <c r="AR74" i="2"/>
  <c r="BG17" i="2"/>
  <c r="DD17" i="2"/>
  <c r="CM17" i="2"/>
  <c r="AB17" i="2"/>
  <c r="AB41" i="2"/>
  <c r="CM104" i="2"/>
  <c r="BG104" i="2"/>
  <c r="DU104" i="2"/>
  <c r="DU122" i="2"/>
  <c r="AB137" i="2"/>
  <c r="CM200" i="2"/>
  <c r="BG200" i="2"/>
  <c r="DU200" i="2"/>
  <c r="CM248" i="2"/>
  <c r="BG248" i="2"/>
  <c r="DU248" i="2"/>
  <c r="DU266" i="2"/>
  <c r="AB281" i="2"/>
  <c r="CM332" i="2"/>
  <c r="BG332" i="2"/>
  <c r="DU332" i="2"/>
  <c r="DD332" i="2"/>
  <c r="DU443" i="2"/>
  <c r="DD443" i="2"/>
  <c r="CM443" i="2"/>
  <c r="BG443" i="2"/>
  <c r="AR443" i="2"/>
  <c r="AB443" i="2"/>
  <c r="DU566" i="2"/>
  <c r="DD566" i="2"/>
  <c r="CM566" i="2"/>
  <c r="BG566" i="2"/>
  <c r="AB566" i="2"/>
  <c r="AR41" i="2"/>
  <c r="CM62" i="2"/>
  <c r="BG62" i="2"/>
  <c r="DD62" i="2"/>
  <c r="AB62" i="2"/>
  <c r="AR62" i="2"/>
  <c r="AB104" i="2"/>
  <c r="CM125" i="2"/>
  <c r="BG125" i="2"/>
  <c r="DU125" i="2"/>
  <c r="DD125" i="2"/>
  <c r="AR137" i="2"/>
  <c r="CM158" i="2"/>
  <c r="BG158" i="2"/>
  <c r="DD158" i="2"/>
  <c r="AR158" i="2"/>
  <c r="AB158" i="2"/>
  <c r="AB200" i="2"/>
  <c r="CM221" i="2"/>
  <c r="BG221" i="2"/>
  <c r="DD221" i="2"/>
  <c r="DU221" i="2"/>
  <c r="CM254" i="2"/>
  <c r="BG254" i="2"/>
  <c r="DD254" i="2"/>
  <c r="AB254" i="2"/>
  <c r="AR254" i="2"/>
  <c r="AR281" i="2"/>
  <c r="AB296" i="2"/>
  <c r="CM317" i="2"/>
  <c r="BG317" i="2"/>
  <c r="DD317" i="2"/>
  <c r="DU317" i="2"/>
  <c r="DU374" i="2"/>
  <c r="DD374" i="2"/>
  <c r="CM374" i="2"/>
  <c r="AR374" i="2"/>
  <c r="BG374" i="2"/>
  <c r="BG428" i="2"/>
  <c r="DU464" i="2"/>
  <c r="DD464" i="2"/>
  <c r="AR464" i="2"/>
  <c r="AB464" i="2"/>
  <c r="CM464" i="2"/>
  <c r="AB479" i="2"/>
  <c r="CM14" i="2"/>
  <c r="BG14" i="2"/>
  <c r="AR23" i="2"/>
  <c r="AR47" i="2"/>
  <c r="DU62" i="2"/>
  <c r="AB77" i="2"/>
  <c r="DU110" i="2"/>
  <c r="AB125" i="2"/>
  <c r="CM188" i="2"/>
  <c r="BG188" i="2"/>
  <c r="DU188" i="2"/>
  <c r="DU206" i="2"/>
  <c r="AB221" i="2"/>
  <c r="DU254" i="2"/>
  <c r="AB269" i="2"/>
  <c r="DU302" i="2"/>
  <c r="AB374" i="2"/>
  <c r="CM410" i="2"/>
  <c r="BG464" i="2"/>
  <c r="AR479" i="2"/>
  <c r="DD14" i="2"/>
  <c r="BG26" i="2"/>
  <c r="AR26" i="2"/>
  <c r="CM86" i="2"/>
  <c r="BG86" i="2"/>
  <c r="DD86" i="2"/>
  <c r="AB86" i="2"/>
  <c r="AR86" i="2"/>
  <c r="DD92" i="2"/>
  <c r="CM101" i="2"/>
  <c r="BG101" i="2"/>
  <c r="DU101" i="2"/>
  <c r="DD101" i="2"/>
  <c r="CM134" i="2"/>
  <c r="BG134" i="2"/>
  <c r="DD134" i="2"/>
  <c r="AB134" i="2"/>
  <c r="AR134" i="2"/>
  <c r="DD140" i="2"/>
  <c r="CM149" i="2"/>
  <c r="BG149" i="2"/>
  <c r="DU149" i="2"/>
  <c r="DD149" i="2"/>
  <c r="CM182" i="2"/>
  <c r="BG182" i="2"/>
  <c r="DD182" i="2"/>
  <c r="AR182" i="2"/>
  <c r="AB182" i="2"/>
  <c r="DD188" i="2"/>
  <c r="CM197" i="2"/>
  <c r="BG197" i="2"/>
  <c r="DU197" i="2"/>
  <c r="DD197" i="2"/>
  <c r="CM230" i="2"/>
  <c r="BG230" i="2"/>
  <c r="DD230" i="2"/>
  <c r="AB230" i="2"/>
  <c r="AR230" i="2"/>
  <c r="DD236" i="2"/>
  <c r="CM245" i="2"/>
  <c r="BG245" i="2"/>
  <c r="DU245" i="2"/>
  <c r="DD245" i="2"/>
  <c r="CM278" i="2"/>
  <c r="BG278" i="2"/>
  <c r="DD278" i="2"/>
  <c r="AR278" i="2"/>
  <c r="AB278" i="2"/>
  <c r="DD284" i="2"/>
  <c r="CM293" i="2"/>
  <c r="BG293" i="2"/>
  <c r="DD293" i="2"/>
  <c r="DU293" i="2"/>
  <c r="CM329" i="2"/>
  <c r="BG329" i="2"/>
  <c r="DU329" i="2"/>
  <c r="DD329" i="2"/>
  <c r="DU398" i="2"/>
  <c r="DD398" i="2"/>
  <c r="CM398" i="2"/>
  <c r="AR398" i="2"/>
  <c r="AB398" i="2"/>
  <c r="DU407" i="2"/>
  <c r="DD407" i="2"/>
  <c r="CM407" i="2"/>
  <c r="BG407" i="2"/>
  <c r="DU434" i="2"/>
  <c r="DD434" i="2"/>
  <c r="CM434" i="2"/>
  <c r="BG434" i="2"/>
  <c r="DU14" i="2"/>
  <c r="AR20" i="2"/>
  <c r="AB26" i="2"/>
  <c r="BG35" i="2"/>
  <c r="AR35" i="2"/>
  <c r="AB35" i="2"/>
  <c r="CM68" i="2"/>
  <c r="BG68" i="2"/>
  <c r="DU68" i="2"/>
  <c r="AR80" i="2"/>
  <c r="DU86" i="2"/>
  <c r="AB101" i="2"/>
  <c r="CM116" i="2"/>
  <c r="BG116" i="2"/>
  <c r="DU116" i="2"/>
  <c r="AR128" i="2"/>
  <c r="DU134" i="2"/>
  <c r="AB149" i="2"/>
  <c r="CM164" i="2"/>
  <c r="BG164" i="2"/>
  <c r="DU164" i="2"/>
  <c r="AR176" i="2"/>
  <c r="DU182" i="2"/>
  <c r="AB197" i="2"/>
  <c r="CM212" i="2"/>
  <c r="BG212" i="2"/>
  <c r="DU212" i="2"/>
  <c r="AR224" i="2"/>
  <c r="DU230" i="2"/>
  <c r="AB245" i="2"/>
  <c r="CM260" i="2"/>
  <c r="BG260" i="2"/>
  <c r="DU260" i="2"/>
  <c r="AR272" i="2"/>
  <c r="DU278" i="2"/>
  <c r="AB293" i="2"/>
  <c r="CM308" i="2"/>
  <c r="BG308" i="2"/>
  <c r="DU308" i="2"/>
  <c r="AR320" i="2"/>
  <c r="AB329" i="2"/>
  <c r="DU338" i="2"/>
  <c r="DD338" i="2"/>
  <c r="CM338" i="2"/>
  <c r="BG338" i="2"/>
  <c r="CM356" i="2"/>
  <c r="BG398" i="2"/>
  <c r="AB407" i="2"/>
  <c r="AB434" i="2"/>
  <c r="DU455" i="2"/>
  <c r="DD455" i="2"/>
  <c r="CM455" i="2"/>
  <c r="BG455" i="2"/>
  <c r="AR455" i="2"/>
  <c r="AB455" i="2"/>
  <c r="DU524" i="2"/>
  <c r="DD524" i="2"/>
  <c r="AR524" i="2"/>
  <c r="AB524" i="2"/>
  <c r="DU347" i="2"/>
  <c r="DD347" i="2"/>
  <c r="CM347" i="2"/>
  <c r="BG347" i="2"/>
  <c r="DU359" i="2"/>
  <c r="DD359" i="2"/>
  <c r="CM359" i="2"/>
  <c r="BG359" i="2"/>
  <c r="AR359" i="2"/>
  <c r="AB359" i="2"/>
  <c r="DU458" i="2"/>
  <c r="DD458" i="2"/>
  <c r="DU488" i="2"/>
  <c r="DD488" i="2"/>
  <c r="AR488" i="2"/>
  <c r="AB488" i="2"/>
  <c r="DU500" i="2"/>
  <c r="DD500" i="2"/>
  <c r="AR500" i="2"/>
  <c r="AB500" i="2"/>
  <c r="CM500" i="2"/>
  <c r="BG500" i="2"/>
  <c r="DU515" i="2"/>
  <c r="DD515" i="2"/>
  <c r="CM515" i="2"/>
  <c r="BG515" i="2"/>
  <c r="AR515" i="2"/>
  <c r="DU557" i="2"/>
  <c r="DD557" i="2"/>
  <c r="CM557" i="2"/>
  <c r="BG557" i="2"/>
  <c r="AR557" i="2"/>
  <c r="BG44" i="2"/>
  <c r="DU44" i="2"/>
  <c r="CM44" i="2"/>
  <c r="DD44" i="2"/>
  <c r="BG50" i="2"/>
  <c r="DU50" i="2"/>
  <c r="AB347" i="2"/>
  <c r="DU362" i="2"/>
  <c r="DD362" i="2"/>
  <c r="DU392" i="2"/>
  <c r="DD392" i="2"/>
  <c r="AR392" i="2"/>
  <c r="AB392" i="2"/>
  <c r="DU404" i="2"/>
  <c r="DD404" i="2"/>
  <c r="AR404" i="2"/>
  <c r="AB404" i="2"/>
  <c r="BG404" i="2"/>
  <c r="CM404" i="2"/>
  <c r="DU419" i="2"/>
  <c r="DD419" i="2"/>
  <c r="CM419" i="2"/>
  <c r="BG419" i="2"/>
  <c r="AR419" i="2"/>
  <c r="AB458" i="2"/>
  <c r="DU470" i="2"/>
  <c r="DD470" i="2"/>
  <c r="CM470" i="2"/>
  <c r="BG470" i="2"/>
  <c r="AR470" i="2"/>
  <c r="BG488" i="2"/>
  <c r="DU503" i="2"/>
  <c r="DD503" i="2"/>
  <c r="CM503" i="2"/>
  <c r="BG503" i="2"/>
  <c r="AB515" i="2"/>
  <c r="AB557" i="2"/>
  <c r="DU530" i="2"/>
  <c r="DD530" i="2"/>
  <c r="CM530" i="2"/>
  <c r="BG530" i="2"/>
  <c r="DU350" i="2"/>
  <c r="DD350" i="2"/>
  <c r="DU395" i="2"/>
  <c r="DD395" i="2"/>
  <c r="CM395" i="2"/>
  <c r="BG395" i="2"/>
  <c r="DU446" i="2"/>
  <c r="DD446" i="2"/>
  <c r="DU491" i="2"/>
  <c r="DD491" i="2"/>
  <c r="CM491" i="2"/>
  <c r="BG491" i="2"/>
  <c r="DU539" i="2"/>
  <c r="DD539" i="2"/>
  <c r="DU578" i="2"/>
  <c r="DD578" i="2"/>
  <c r="CM578" i="2"/>
  <c r="BG578" i="2"/>
  <c r="AB59" i="2"/>
  <c r="CM71" i="2"/>
  <c r="BG71" i="2"/>
  <c r="CM83" i="2"/>
  <c r="BG83" i="2"/>
  <c r="CM95" i="2"/>
  <c r="BG95" i="2"/>
  <c r="CM107" i="2"/>
  <c r="BG107" i="2"/>
  <c r="CM119" i="2"/>
  <c r="BG119" i="2"/>
  <c r="CM131" i="2"/>
  <c r="BG131" i="2"/>
  <c r="CM143" i="2"/>
  <c r="BG143" i="2"/>
  <c r="CM155" i="2"/>
  <c r="BG155" i="2"/>
  <c r="CM167" i="2"/>
  <c r="BG167" i="2"/>
  <c r="CM179" i="2"/>
  <c r="BG179" i="2"/>
  <c r="CM191" i="2"/>
  <c r="BG191" i="2"/>
  <c r="CM203" i="2"/>
  <c r="BG203" i="2"/>
  <c r="CM215" i="2"/>
  <c r="BG215" i="2"/>
  <c r="CM227" i="2"/>
  <c r="BG227" i="2"/>
  <c r="CM239" i="2"/>
  <c r="BG239" i="2"/>
  <c r="CM251" i="2"/>
  <c r="BG251" i="2"/>
  <c r="CM263" i="2"/>
  <c r="BG263" i="2"/>
  <c r="CM275" i="2"/>
  <c r="BG275" i="2"/>
  <c r="CM287" i="2"/>
  <c r="BG287" i="2"/>
  <c r="CM299" i="2"/>
  <c r="BG299" i="2"/>
  <c r="CM311" i="2"/>
  <c r="BG311" i="2"/>
  <c r="CM323" i="2"/>
  <c r="BG323" i="2"/>
  <c r="DU335" i="2"/>
  <c r="DD335" i="2"/>
  <c r="CM335" i="2"/>
  <c r="BG335" i="2"/>
  <c r="AB350" i="2"/>
  <c r="DU380" i="2"/>
  <c r="DD380" i="2"/>
  <c r="AR380" i="2"/>
  <c r="AB380" i="2"/>
  <c r="DU386" i="2"/>
  <c r="DD386" i="2"/>
  <c r="AB395" i="2"/>
  <c r="DU431" i="2"/>
  <c r="DD431" i="2"/>
  <c r="CM431" i="2"/>
  <c r="BG431" i="2"/>
  <c r="AB446" i="2"/>
  <c r="DU476" i="2"/>
  <c r="DD476" i="2"/>
  <c r="AR476" i="2"/>
  <c r="AB476" i="2"/>
  <c r="DU482" i="2"/>
  <c r="DD482" i="2"/>
  <c r="AB491" i="2"/>
  <c r="DU527" i="2"/>
  <c r="DD527" i="2"/>
  <c r="CM527" i="2"/>
  <c r="BG527" i="2"/>
  <c r="AB539" i="2"/>
  <c r="DU563" i="2"/>
  <c r="DD563" i="2"/>
  <c r="AR563" i="2"/>
  <c r="AB563" i="2"/>
  <c r="DU569" i="2"/>
  <c r="DD569" i="2"/>
  <c r="AB578" i="2"/>
  <c r="DU344" i="2"/>
  <c r="DD344" i="2"/>
  <c r="AR344" i="2"/>
  <c r="AB344" i="2"/>
  <c r="DU440" i="2"/>
  <c r="DD440" i="2"/>
  <c r="AR440" i="2"/>
  <c r="AB440" i="2"/>
  <c r="DU536" i="2"/>
  <c r="DD536" i="2"/>
  <c r="AR536" i="2"/>
  <c r="AB536" i="2"/>
  <c r="AB32" i="2"/>
  <c r="AB56" i="2"/>
  <c r="AR59" i="2"/>
  <c r="AB71" i="2"/>
  <c r="AB83" i="2"/>
  <c r="AB95" i="2"/>
  <c r="AB107" i="2"/>
  <c r="AB119" i="2"/>
  <c r="AB131" i="2"/>
  <c r="AB143" i="2"/>
  <c r="AB155" i="2"/>
  <c r="AB167" i="2"/>
  <c r="AB179" i="2"/>
  <c r="AB191" i="2"/>
  <c r="AB203" i="2"/>
  <c r="AB215" i="2"/>
  <c r="AB227" i="2"/>
  <c r="AB239" i="2"/>
  <c r="AB251" i="2"/>
  <c r="AB263" i="2"/>
  <c r="AB275" i="2"/>
  <c r="AB287" i="2"/>
  <c r="AB299" i="2"/>
  <c r="AB311" i="2"/>
  <c r="AB323" i="2"/>
  <c r="AB335" i="2"/>
  <c r="CM344" i="2"/>
  <c r="AR350" i="2"/>
  <c r="DU371" i="2"/>
  <c r="DD371" i="2"/>
  <c r="CM371" i="2"/>
  <c r="BG371" i="2"/>
  <c r="BG380" i="2"/>
  <c r="AB386" i="2"/>
  <c r="AR395" i="2"/>
  <c r="DU416" i="2"/>
  <c r="DD416" i="2"/>
  <c r="AR416" i="2"/>
  <c r="AB416" i="2"/>
  <c r="DU422" i="2"/>
  <c r="DD422" i="2"/>
  <c r="AB431" i="2"/>
  <c r="CM440" i="2"/>
  <c r="AR446" i="2"/>
  <c r="DU467" i="2"/>
  <c r="DD467" i="2"/>
  <c r="CM467" i="2"/>
  <c r="BG467" i="2"/>
  <c r="BG476" i="2"/>
  <c r="AB482" i="2"/>
  <c r="AR491" i="2"/>
  <c r="DU512" i="2"/>
  <c r="DD512" i="2"/>
  <c r="AR512" i="2"/>
  <c r="AB512" i="2"/>
  <c r="DU518" i="2"/>
  <c r="DD518" i="2"/>
  <c r="AB527" i="2"/>
  <c r="CM536" i="2"/>
  <c r="AR539" i="2"/>
  <c r="DU554" i="2"/>
  <c r="DD554" i="2"/>
  <c r="CM554" i="2"/>
  <c r="BG554" i="2"/>
  <c r="BG563" i="2"/>
  <c r="AB569" i="2"/>
  <c r="AR578" i="2"/>
  <c r="DU341" i="2"/>
  <c r="DD341" i="2"/>
  <c r="DU353" i="2"/>
  <c r="DD353" i="2"/>
  <c r="DU365" i="2"/>
  <c r="DD365" i="2"/>
  <c r="DU377" i="2"/>
  <c r="DD377" i="2"/>
  <c r="DU389" i="2"/>
  <c r="DD389" i="2"/>
  <c r="DU401" i="2"/>
  <c r="DD401" i="2"/>
  <c r="DU413" i="2"/>
  <c r="DD413" i="2"/>
  <c r="DU425" i="2"/>
  <c r="DD425" i="2"/>
  <c r="DU437" i="2"/>
  <c r="DD437" i="2"/>
  <c r="DU449" i="2"/>
  <c r="DD449" i="2"/>
  <c r="DU461" i="2"/>
  <c r="DD461" i="2"/>
  <c r="DU473" i="2"/>
  <c r="DD473" i="2"/>
  <c r="DU485" i="2"/>
  <c r="DD485" i="2"/>
  <c r="DU497" i="2"/>
  <c r="DD497" i="2"/>
  <c r="DU509" i="2"/>
  <c r="DD509" i="2"/>
  <c r="DU521" i="2"/>
  <c r="DD521" i="2"/>
  <c r="DU533" i="2"/>
  <c r="DD533" i="2"/>
  <c r="DU548" i="2"/>
  <c r="DD548" i="2"/>
  <c r="DU560" i="2"/>
  <c r="DD560" i="2"/>
  <c r="DU572" i="2"/>
  <c r="DD572" i="2"/>
  <c r="AR11" i="2"/>
  <c r="CM11" i="2"/>
  <c r="DD11" i="2"/>
  <c r="AB11" i="2"/>
  <c r="BG11" i="2"/>
  <c r="AR8" i="2"/>
  <c r="BG8" i="2"/>
  <c r="DD5" i="2"/>
  <c r="CM8" i="2"/>
  <c r="AR5" i="2"/>
  <c r="CM5" i="2"/>
  <c r="DU5" i="2"/>
  <c r="DD8" i="2"/>
  <c r="EX5" i="2"/>
  <c r="AB5" i="2"/>
  <c r="AB8" i="2"/>
  <c r="BG5" i="2"/>
  <c r="M71" i="3" l="1"/>
  <c r="FM71" i="3" s="1"/>
  <c r="M68" i="3"/>
  <c r="CO68" i="3" s="1"/>
  <c r="M65" i="3"/>
  <c r="EL65" i="3" s="1"/>
  <c r="M62" i="3"/>
  <c r="BI62" i="3" s="1"/>
  <c r="M59" i="3"/>
  <c r="DF59" i="3" s="1"/>
  <c r="M56" i="3"/>
  <c r="FA56" i="3" s="1"/>
  <c r="M53" i="3"/>
  <c r="FM53" i="3" s="1"/>
  <c r="M50" i="3"/>
  <c r="DW50" i="3" s="1"/>
  <c r="FM47" i="3"/>
  <c r="M47" i="3"/>
  <c r="EL47" i="3" s="1"/>
  <c r="M44" i="3"/>
  <c r="BI44" i="3" s="1"/>
  <c r="M41" i="3"/>
  <c r="EL41" i="3" s="1"/>
  <c r="M38" i="3"/>
  <c r="BI38" i="3" s="1"/>
  <c r="M35" i="3"/>
  <c r="DF35" i="3" s="1"/>
  <c r="M32" i="3"/>
  <c r="FA32" i="3" s="1"/>
  <c r="FA29" i="3"/>
  <c r="M29" i="3"/>
  <c r="FM29" i="3" s="1"/>
  <c r="M26" i="3"/>
  <c r="DW26" i="3" s="1"/>
  <c r="M23" i="3"/>
  <c r="EL23" i="3" s="1"/>
  <c r="M20" i="3"/>
  <c r="BI20" i="3" s="1"/>
  <c r="M17" i="3"/>
  <c r="EL17" i="3" s="1"/>
  <c r="BY14" i="3"/>
  <c r="M14" i="3"/>
  <c r="BI14" i="3" s="1"/>
  <c r="M11" i="3"/>
  <c r="DF11" i="3" s="1"/>
  <c r="AT8" i="3"/>
  <c r="M8" i="3"/>
  <c r="FA8" i="3" s="1"/>
  <c r="BI23" i="3" l="1"/>
  <c r="FM44" i="3"/>
  <c r="BY23" i="3"/>
  <c r="FM23" i="3"/>
  <c r="FA47" i="3"/>
  <c r="CO53" i="3"/>
  <c r="AT23" i="3"/>
  <c r="DF53" i="3"/>
  <c r="CO35" i="3"/>
  <c r="DW53" i="3"/>
  <c r="FM41" i="3"/>
  <c r="AD23" i="3"/>
  <c r="DW35" i="3"/>
  <c r="FA41" i="3"/>
  <c r="DF68" i="3"/>
  <c r="DW44" i="3"/>
  <c r="FM8" i="3"/>
  <c r="BY20" i="3"/>
  <c r="BY38" i="3"/>
  <c r="FA53" i="3"/>
  <c r="AT47" i="3"/>
  <c r="AT56" i="3"/>
  <c r="CO20" i="3"/>
  <c r="DF20" i="3"/>
  <c r="BI47" i="3"/>
  <c r="CO11" i="3"/>
  <c r="DW20" i="3"/>
  <c r="CO29" i="3"/>
  <c r="AT41" i="3"/>
  <c r="BY47" i="3"/>
  <c r="FM56" i="3"/>
  <c r="DF8" i="3"/>
  <c r="AT20" i="3"/>
  <c r="BI71" i="3"/>
  <c r="AD29" i="3"/>
  <c r="AD47" i="3"/>
  <c r="BY71" i="3"/>
  <c r="BI29" i="3"/>
  <c r="BI11" i="3"/>
  <c r="BY29" i="3"/>
  <c r="AD41" i="3"/>
  <c r="DW11" i="3"/>
  <c r="FM20" i="3"/>
  <c r="DF29" i="3"/>
  <c r="CO41" i="3"/>
  <c r="CO47" i="3"/>
  <c r="FM17" i="3"/>
  <c r="DW29" i="3"/>
  <c r="DW41" i="3"/>
  <c r="DW47" i="3"/>
  <c r="DW59" i="3"/>
  <c r="AD65" i="3"/>
  <c r="DF32" i="3"/>
  <c r="AT44" i="3"/>
  <c r="AT65" i="3"/>
  <c r="CO17" i="3"/>
  <c r="CO23" i="3"/>
  <c r="FM32" i="3"/>
  <c r="BY44" i="3"/>
  <c r="AD53" i="3"/>
  <c r="FA65" i="3"/>
  <c r="AD17" i="3"/>
  <c r="AT32" i="3"/>
  <c r="AT17" i="3"/>
  <c r="DW17" i="3"/>
  <c r="DW23" i="3"/>
  <c r="CO44" i="3"/>
  <c r="BI53" i="3"/>
  <c r="FM65" i="3"/>
  <c r="FA17" i="3"/>
  <c r="FA23" i="3"/>
  <c r="BI35" i="3"/>
  <c r="DF44" i="3"/>
  <c r="BY53" i="3"/>
  <c r="EL50" i="3"/>
  <c r="BY62" i="3"/>
  <c r="EL68" i="3"/>
  <c r="CO71" i="3"/>
  <c r="BI8" i="3"/>
  <c r="EL11" i="3"/>
  <c r="CO14" i="3"/>
  <c r="AD26" i="3"/>
  <c r="FA26" i="3"/>
  <c r="BI32" i="3"/>
  <c r="EL35" i="3"/>
  <c r="CO38" i="3"/>
  <c r="AD50" i="3"/>
  <c r="FA50" i="3"/>
  <c r="BI56" i="3"/>
  <c r="EL59" i="3"/>
  <c r="CO62" i="3"/>
  <c r="DW68" i="3"/>
  <c r="BY8" i="3"/>
  <c r="AD11" i="3"/>
  <c r="FA11" i="3"/>
  <c r="DF14" i="3"/>
  <c r="BI17" i="3"/>
  <c r="EL20" i="3"/>
  <c r="AT26" i="3"/>
  <c r="FM26" i="3"/>
  <c r="BY32" i="3"/>
  <c r="AD35" i="3"/>
  <c r="FA35" i="3"/>
  <c r="DF38" i="3"/>
  <c r="BI41" i="3"/>
  <c r="EL44" i="3"/>
  <c r="AT50" i="3"/>
  <c r="FM50" i="3"/>
  <c r="BY56" i="3"/>
  <c r="AD59" i="3"/>
  <c r="FA59" i="3"/>
  <c r="DF62" i="3"/>
  <c r="BI65" i="3"/>
  <c r="CO8" i="3"/>
  <c r="AT11" i="3"/>
  <c r="FM11" i="3"/>
  <c r="DW14" i="3"/>
  <c r="BY17" i="3"/>
  <c r="AD20" i="3"/>
  <c r="FA20" i="3"/>
  <c r="DF23" i="3"/>
  <c r="BI26" i="3"/>
  <c r="EL29" i="3"/>
  <c r="CO32" i="3"/>
  <c r="AT35" i="3"/>
  <c r="FM35" i="3"/>
  <c r="DW38" i="3"/>
  <c r="BY41" i="3"/>
  <c r="AD44" i="3"/>
  <c r="FA44" i="3"/>
  <c r="DF47" i="3"/>
  <c r="BI50" i="3"/>
  <c r="EL53" i="3"/>
  <c r="CO56" i="3"/>
  <c r="AT59" i="3"/>
  <c r="FM59" i="3"/>
  <c r="DW62" i="3"/>
  <c r="BY65" i="3"/>
  <c r="AD68" i="3"/>
  <c r="FA68" i="3"/>
  <c r="DF71" i="3"/>
  <c r="EL62" i="3"/>
  <c r="CO65" i="3"/>
  <c r="AT68" i="3"/>
  <c r="FM68" i="3"/>
  <c r="DW71" i="3"/>
  <c r="DF56" i="3"/>
  <c r="BI59" i="3"/>
  <c r="DW8" i="3"/>
  <c r="BY11" i="3"/>
  <c r="AD14" i="3"/>
  <c r="FA14" i="3"/>
  <c r="DF17" i="3"/>
  <c r="CO26" i="3"/>
  <c r="AT29" i="3"/>
  <c r="DW32" i="3"/>
  <c r="BY35" i="3"/>
  <c r="AD38" i="3"/>
  <c r="FA38" i="3"/>
  <c r="DF41" i="3"/>
  <c r="CO50" i="3"/>
  <c r="AT53" i="3"/>
  <c r="DW56" i="3"/>
  <c r="BY59" i="3"/>
  <c r="AD62" i="3"/>
  <c r="FA62" i="3"/>
  <c r="DF65" i="3"/>
  <c r="BI68" i="3"/>
  <c r="EL71" i="3"/>
  <c r="EL14" i="3"/>
  <c r="BY50" i="3"/>
  <c r="EL32" i="3"/>
  <c r="EL56" i="3"/>
  <c r="CO59" i="3"/>
  <c r="AT62" i="3"/>
  <c r="FM62" i="3"/>
  <c r="DW65" i="3"/>
  <c r="BY68" i="3"/>
  <c r="AD71" i="3"/>
  <c r="FA71" i="3"/>
  <c r="EL26" i="3"/>
  <c r="BY26" i="3"/>
  <c r="EL38" i="3"/>
  <c r="EL8" i="3"/>
  <c r="AT14" i="3"/>
  <c r="FM14" i="3"/>
  <c r="DF26" i="3"/>
  <c r="AT38" i="3"/>
  <c r="FM38" i="3"/>
  <c r="DF50" i="3"/>
  <c r="AD8" i="3"/>
  <c r="AD32" i="3"/>
  <c r="AD56" i="3"/>
  <c r="AT71" i="3"/>
</calcChain>
</file>

<file path=xl/sharedStrings.xml><?xml version="1.0" encoding="utf-8"?>
<sst xmlns="http://schemas.openxmlformats.org/spreadsheetml/2006/main" count="42951" uniqueCount="2141">
  <si>
    <t>Model Year</t>
  </si>
  <si>
    <t>Mfr Name</t>
  </si>
  <si>
    <t>Division</t>
  </si>
  <si>
    <t>Carline</t>
  </si>
  <si>
    <t>Verify Mfr Cd</t>
  </si>
  <si>
    <t>Index (Model Type Index)</t>
  </si>
  <si>
    <t>Eng Displ</t>
  </si>
  <si>
    <t># Cyl</t>
  </si>
  <si>
    <t>Transmission</t>
  </si>
  <si>
    <t>City FE (Guide) - Conventional Fuel</t>
  </si>
  <si>
    <t>Hwy FE (Guide) - Conventional Fuel</t>
  </si>
  <si>
    <t>Comb FE (Guide) - Conventional Fuel</t>
  </si>
  <si>
    <t>City Unadj FE - Conventional Fuel</t>
  </si>
  <si>
    <t>Hwy Unadj FE - Conventional Fuel</t>
  </si>
  <si>
    <t>Comb Unadj FE - Conventional Fuel</t>
  </si>
  <si>
    <t>City Unrd Adj FE - Conventional Fuel</t>
  </si>
  <si>
    <t>Hwy Unrd Adj FE - Conventional Fuel</t>
  </si>
  <si>
    <t>Comb Unrd Adj FE - Conventional Fuel</t>
  </si>
  <si>
    <t xml:space="preserve">Guzzler? </t>
  </si>
  <si>
    <t>Air Aspir Method</t>
  </si>
  <si>
    <t>Air Aspiration Method Desc</t>
  </si>
  <si>
    <t>Trans</t>
  </si>
  <si>
    <t>Trans Desc</t>
  </si>
  <si>
    <t>Trans, Other</t>
  </si>
  <si>
    <t># Gears</t>
  </si>
  <si>
    <t>Lockup Torque Converter</t>
  </si>
  <si>
    <t>Trans Creeper Gear</t>
  </si>
  <si>
    <t>Drive Sys</t>
  </si>
  <si>
    <t>Drive Desc</t>
  </si>
  <si>
    <t>Max Ethanol % - Gasoline</t>
  </si>
  <si>
    <t>Max Biodiesel %</t>
  </si>
  <si>
    <t>Range1 - Model Type Driving Range - Conventional Fuel</t>
  </si>
  <si>
    <t>Fuel Usage  - Conventional Fuel</t>
  </si>
  <si>
    <t>Fuel Usage Desc - Conventional Fuel</t>
  </si>
  <si>
    <t>Fuel Unit - Conventional Fuel</t>
  </si>
  <si>
    <t>Fuel Unit Desc - Conventional Fuel</t>
  </si>
  <si>
    <t>Gas Guzzler Exempt (Where Truck = 1975 NHTSA truck definition)</t>
  </si>
  <si>
    <t>Gas Guzzler Exempt Desc (Where Truck = 1975 NHTSA truck definition)</t>
  </si>
  <si>
    <t>2Dr Pass Vol</t>
  </si>
  <si>
    <t>2Dr Lugg Vol</t>
  </si>
  <si>
    <t>4Dr Pass Vol</t>
  </si>
  <si>
    <t>4Dr Lugg Vol</t>
  </si>
  <si>
    <t>Htchbk Pass Vol</t>
  </si>
  <si>
    <t>Htchbk Lugg Vol</t>
  </si>
  <si>
    <t>Annual Fuel1 Cost - Conventional Fuel</t>
  </si>
  <si>
    <t xml:space="preserve">EPA Calculated Annual Fuel Cost - Conventional Fuel -----  Annual fuel cost error. Please revise Verify. </t>
  </si>
  <si>
    <t>City2 FE (Guide) - Alternative Fuel</t>
  </si>
  <si>
    <t>Hwy2 Fuel FE (Guide) - Alternative Fuel</t>
  </si>
  <si>
    <t>Comb2 Fuel FE (Guide) - Alternative Fuel</t>
  </si>
  <si>
    <t>City2 Unadj FE - Alternative Fuel</t>
  </si>
  <si>
    <t>Hwy2 Unadj FE - Alternative Fuel</t>
  </si>
  <si>
    <t>Comb2 Unadj FE - Alternative Fuel</t>
  </si>
  <si>
    <t>City2 Unrd Adj FE - Alternative Fuel</t>
  </si>
  <si>
    <t>Hwy2 Unrd Adj FE - Alternative Fuel</t>
  </si>
  <si>
    <t>Cmb2 Unrd Adj FE - Alternative Fuel</t>
  </si>
  <si>
    <t xml:space="preserve"> Range2 - Alt Fuel Model Typ Driving Range - Alternative Fuel</t>
  </si>
  <si>
    <t>Fuel2 Usage - Alternative Fuel</t>
  </si>
  <si>
    <t>Fuel2 Usage Desc - Alternative Fuel</t>
  </si>
  <si>
    <t>Fuel2 Unit - Alternative Fuel</t>
  </si>
  <si>
    <t>Fuel2 Unit Desc - Alternative Fuel</t>
  </si>
  <si>
    <t>Fuel2 Annual Fuel Cost - Alternative Fuel</t>
  </si>
  <si>
    <t>City CO2 Rounded Adjusted - Fuel2</t>
  </si>
  <si>
    <t>Hwy CO2 Rounded Adjusted - Fuel2</t>
  </si>
  <si>
    <t>Comb CO2 Rounded Adjusted - Fuel2</t>
  </si>
  <si>
    <t>Fuel2 EPA Calculated Annual Fuel Cost - Alternative Fuel</t>
  </si>
  <si>
    <t>Descriptor - Model Type (40 Char or less)</t>
  </si>
  <si>
    <t>Intake Valves Per Cyl</t>
  </si>
  <si>
    <t>Exhaust Valves Per Cyl</t>
  </si>
  <si>
    <t>Carline Class</t>
  </si>
  <si>
    <t>Carline Class Desc</t>
  </si>
  <si>
    <t>Car/Truck Category - Cash for Clunkers Bill.</t>
  </si>
  <si>
    <t>Calc Approach Desc</t>
  </si>
  <si>
    <t>Release Date</t>
  </si>
  <si>
    <t>EPA FE Label Dataset ID</t>
  </si>
  <si>
    <t>Blank1</t>
  </si>
  <si>
    <t>Unique Label?</t>
  </si>
  <si>
    <t>Label Recalc?</t>
  </si>
  <si>
    <t>Relabel</t>
  </si>
  <si>
    <t>Relabel Desc</t>
  </si>
  <si>
    <t>Suppressed?</t>
  </si>
  <si>
    <t>Police/Emerg?</t>
  </si>
  <si>
    <t>Comments - Mfr Eng Cnfg</t>
  </si>
  <si>
    <t>Cyl Deact?</t>
  </si>
  <si>
    <t>Cyl Deact Desc</t>
  </si>
  <si>
    <t>Var Valve Timing?</t>
  </si>
  <si>
    <t>Var Valve Timing Desc</t>
  </si>
  <si>
    <t>Var Valve Lift?</t>
  </si>
  <si>
    <t>Var Valve Lift Desc</t>
  </si>
  <si>
    <t>Energy Storage Device Desc</t>
  </si>
  <si>
    <t>Energy Storage Device,If Other</t>
  </si>
  <si>
    <t># Batteries</t>
  </si>
  <si>
    <t>Battery Type Desc</t>
  </si>
  <si>
    <t>Battery Type, If Other</t>
  </si>
  <si>
    <t>Total Voltage for Battery Pack(s)</t>
  </si>
  <si>
    <t>Batt Energy Capacity (Amp-hrs)</t>
  </si>
  <si>
    <t>Batt Specific Energy (Watt-hr/kg)</t>
  </si>
  <si>
    <t>Batt Charger Type Desc</t>
  </si>
  <si>
    <t>Comments</t>
  </si>
  <si>
    <t># Capacitors</t>
  </si>
  <si>
    <t>Regen Braking Type Desc</t>
  </si>
  <si>
    <t>Regen Braking Type, If Other</t>
  </si>
  <si>
    <t>Regen Braking Wheels Source (Front, Rear, Both)</t>
  </si>
  <si>
    <t>Driver Cntrl Regen Braking?</t>
  </si>
  <si>
    <t>Fuel Cell Desc</t>
  </si>
  <si>
    <t>Usable H2 Fill Capacity (kg)</t>
  </si>
  <si>
    <t>Fuel Cell Onboard H2 Capacity (kg)</t>
  </si>
  <si>
    <t>HEV-EV Comments</t>
  </si>
  <si>
    <t># Drive Motor Gen</t>
  </si>
  <si>
    <t>Motor Gen Type Desc</t>
  </si>
  <si>
    <t>Motor Gen Type, If Other</t>
  </si>
  <si>
    <t>Rated Motor Gen Power (kW)</t>
  </si>
  <si>
    <t>Fuel Metering Type 1 Desc</t>
  </si>
  <si>
    <t>Fuel Metering Type 2 Desc</t>
  </si>
  <si>
    <t>Fuel Metering Sys Cd</t>
  </si>
  <si>
    <t>Fuel Metering Sys Desc</t>
  </si>
  <si>
    <t>Fuel Cell Vehicle (Y or N)</t>
  </si>
  <si>
    <t>Off Board Charge Capable (Y or N)</t>
  </si>
  <si>
    <t>Camless Valvetrain (Y or N)</t>
  </si>
  <si>
    <t>Oil Viscosity</t>
  </si>
  <si>
    <t>Stop/Start System (Engine Management System) Code</t>
  </si>
  <si>
    <t>Stop/Start System (Engine Management System)  Description</t>
  </si>
  <si>
    <t>Model Type Desc (MFR entered)</t>
  </si>
  <si>
    <t>Charge Depleting Calc Appr Code (PHEV only)</t>
  </si>
  <si>
    <t>Charge Depleting Calc Appr Desc (PHEV only)</t>
  </si>
  <si>
    <t>Charge Sustaining Calc Appr Code (PHEV only)</t>
  </si>
  <si>
    <t>Charge Sustaining Calc Appr Desc (PHEV only)</t>
  </si>
  <si>
    <t>EPA Calculated Annual Fuel Cost</t>
  </si>
  <si>
    <t>EPA Calculated Gas Guzzler MPG</t>
  </si>
  <si>
    <t xml:space="preserve">MFR Calculated Gas Guzzler MPG </t>
  </si>
  <si>
    <t>EPA Calculated Gas Guzzler Indicator (Y or N)</t>
  </si>
  <si>
    <t>Blank 2</t>
  </si>
  <si>
    <t>FE Rating (1-10 rating on Label)</t>
  </si>
  <si>
    <t>GHG Rating (1-10 rating on Label)</t>
  </si>
  <si>
    <t>GHG 1-10 rating on Ethanol (EPA Determined)</t>
  </si>
  <si>
    <t>#1 Smog Rating Test Group</t>
  </si>
  <si>
    <t>#1 Mfr Smog Rating (Mfr Smog 1-10 Rating on Label for Test Group 1)</t>
  </si>
  <si>
    <t>#1 EPA Smog Rating (EPA Smog 1-10 Rating on Label for Test Group 1)</t>
  </si>
  <si>
    <t>SmartWay1 (EPA-derived SmartWay rating for Test Group 1)</t>
  </si>
  <si>
    <t>#2 Smog Rating Test Group</t>
  </si>
  <si>
    <t>#2 Mfr Smog Rating (Mfr Smog 1-10 Rating on Label for Test Group 2)</t>
  </si>
  <si>
    <t>#2 EPA Smog Rating (EPA Smog 1-10 Rating on Label for Test Group 2)</t>
  </si>
  <si>
    <t>SmartWay2 (EPA-derived SmartWay rating for Test Group 2)</t>
  </si>
  <si>
    <t>#3 Smog Rating Test Group</t>
  </si>
  <si>
    <t>#3 Mfr Smog Rating (Mfr Smog 1-10 Rating on Label for Test Group 3)</t>
  </si>
  <si>
    <t>#3 EPA Smog Rating (EPA Smog 1-10 Rating on Label for Test Group 3)</t>
  </si>
  <si>
    <t>SmartWay3 (EPA-derived SmartWay rating for Test Group 3)</t>
  </si>
  <si>
    <t>#4 Smog Rating Test Group</t>
  </si>
  <si>
    <t>#4 Mfr Smog Rating (Mfr Smog 1-10 Rating on Label for Test Group 4)</t>
  </si>
  <si>
    <t>#4 EPA Smog Rating (EPA Smog 1-10 Rating on Label for Test Group 4)</t>
  </si>
  <si>
    <t>SmartWay4 (EPA-derived SmartWay rating for Test Group 4)</t>
  </si>
  <si>
    <t xml:space="preserve">$ You Save over 5 years (amount saved in fuel costs over 5 years - on label) </t>
  </si>
  <si>
    <t xml:space="preserve">$ You Spend over 5 years (increased amount spent in fuel costs over 5 years - on label) </t>
  </si>
  <si>
    <t>City CO2 Rounded Adjusted</t>
  </si>
  <si>
    <t>Hwy CO2 Rounded Adjusted</t>
  </si>
  <si>
    <t>Comb CO2 Rounded Adjusted (as shown on FE Label)</t>
  </si>
  <si>
    <t>CO2-PHEV Composite Rounded Adjusted Combined CO2</t>
  </si>
  <si>
    <t>240V Charge Time at 240 volts (hours)</t>
  </si>
  <si>
    <t>120V Charge time at 120 Volts (hours)</t>
  </si>
  <si>
    <t>PHEV Total Driving Range (rounded to nearest 10 miles)DISTANCE</t>
  </si>
  <si>
    <t>City PHEV Composite MPGe</t>
  </si>
  <si>
    <t>Hwy PHEV Composite MPGe</t>
  </si>
  <si>
    <t>Comb PHEV Composite MPGe</t>
  </si>
  <si>
    <t>aston martin</t>
  </si>
  <si>
    <t>Aston Martin Lagonda Ltd</t>
  </si>
  <si>
    <t>Vanquish</t>
  </si>
  <si>
    <t>ASX</t>
  </si>
  <si>
    <t>Auto(A8)</t>
  </si>
  <si>
    <t>G</t>
  </si>
  <si>
    <t>TC</t>
  </si>
  <si>
    <t>Turbocharged</t>
  </si>
  <si>
    <t>A</t>
  </si>
  <si>
    <t>Automatic</t>
  </si>
  <si>
    <t>Y</t>
  </si>
  <si>
    <t>N</t>
  </si>
  <si>
    <t>R</t>
  </si>
  <si>
    <t>2-Wheel Drive, Rear</t>
  </si>
  <si>
    <t>GP</t>
  </si>
  <si>
    <t>Gasoline (Premium Unleaded Recommended)</t>
  </si>
  <si>
    <t>MPG</t>
  </si>
  <si>
    <t>miles per gallon</t>
  </si>
  <si>
    <t>Not exempt</t>
  </si>
  <si>
    <t>Two Seaters</t>
  </si>
  <si>
    <t>car</t>
  </si>
  <si>
    <t>Derived 5-cycle label</t>
  </si>
  <si>
    <t>Vanquish base engine spec</t>
  </si>
  <si>
    <t>Inlet and Exhaust Cam Phasing</t>
  </si>
  <si>
    <t>MFI</t>
  </si>
  <si>
    <t>Multipoint/sequential fuel injection</t>
  </si>
  <si>
    <t>0W40</t>
  </si>
  <si>
    <t>No</t>
  </si>
  <si>
    <t>TASXV05.2AMV</t>
  </si>
  <si>
    <t>Vanquish Volante</t>
  </si>
  <si>
    <t>BMW</t>
  </si>
  <si>
    <t>Z4 M40i</t>
  </si>
  <si>
    <t>BMX</t>
  </si>
  <si>
    <t>Auto(S8)</t>
  </si>
  <si>
    <t>SA</t>
  </si>
  <si>
    <t>Semi-Automatic</t>
  </si>
  <si>
    <t xml:space="preserve">SIDI; </t>
  </si>
  <si>
    <t>variable valve timing at inlet and outlet valves</t>
  </si>
  <si>
    <t>variable valve lift only at inlet valves</t>
  </si>
  <si>
    <t>GDI</t>
  </si>
  <si>
    <t>Spark Ignition Direct Injection</t>
  </si>
  <si>
    <t>0W20</t>
  </si>
  <si>
    <t>Yes</t>
  </si>
  <si>
    <t>TBMXV03.0B5X</t>
  </si>
  <si>
    <t>Manual(M6)</t>
  </si>
  <si>
    <t>M</t>
  </si>
  <si>
    <t>Manual</t>
  </si>
  <si>
    <t>Z4 sDrive30i</t>
  </si>
  <si>
    <t>TBMXV02.0B4X</t>
  </si>
  <si>
    <t>General Motors</t>
  </si>
  <si>
    <t>Chevrolet</t>
  </si>
  <si>
    <t>CORVETTE</t>
  </si>
  <si>
    <t>GMX</t>
  </si>
  <si>
    <t>Naturally Aspirated</t>
  </si>
  <si>
    <t>GPR</t>
  </si>
  <si>
    <t>Gasoline (Premium Unleaded Required)</t>
  </si>
  <si>
    <t>Vehicle Specific 5-cycle label</t>
  </si>
  <si>
    <t>ZERV Y2 Engine</t>
  </si>
  <si>
    <t>Active Fuel Management</t>
  </si>
  <si>
    <t>Dual equal cam phaser, single cam, continuously variable.</t>
  </si>
  <si>
    <t>TGMXV06.2088</t>
  </si>
  <si>
    <t>CORVETTE Z06</t>
  </si>
  <si>
    <t>Cam Phaser</t>
  </si>
  <si>
    <t>TGMXV06.2094</t>
  </si>
  <si>
    <t>CORVETTE Z06 CARBON AERO</t>
  </si>
  <si>
    <t>CORVETTE ZR1</t>
  </si>
  <si>
    <t>Mercedes-Benz</t>
  </si>
  <si>
    <t>AMG GT 55 4MATIC+ (coupe)</t>
  </si>
  <si>
    <t>MBX</t>
  </si>
  <si>
    <t>Auto(A9)</t>
  </si>
  <si>
    <t>All Wheel Drive</t>
  </si>
  <si>
    <t>AMG SL 63 4MATIC+, AMG GT 63 4MATIC+, SL 680 Maybach</t>
  </si>
  <si>
    <t>Allows timing of the intake / exhaust valves to be changed while the engine is in operation</t>
  </si>
  <si>
    <t>5W40</t>
  </si>
  <si>
    <t>TMBXV04.0U3A</t>
  </si>
  <si>
    <t>AMG GT 63 4MATIC+ (coupe)</t>
  </si>
  <si>
    <t>AMG GT 63 PRO 4MATIC+ (coupe)</t>
  </si>
  <si>
    <t>TOYOTA</t>
  </si>
  <si>
    <t>Supra 2.0</t>
  </si>
  <si>
    <t>Supra 3.0</t>
  </si>
  <si>
    <t>Toyota</t>
  </si>
  <si>
    <t>LEXUS</t>
  </si>
  <si>
    <t>LC 500 CONVERTIBLE</t>
  </si>
  <si>
    <t>TYX</t>
  </si>
  <si>
    <t>Auto(S10)</t>
  </si>
  <si>
    <t xml:space="preserve">SIDI &amp; PFI; </t>
  </si>
  <si>
    <t>Minicompact Cars</t>
  </si>
  <si>
    <t>Intake and exhaust</t>
  </si>
  <si>
    <t>GDPI</t>
  </si>
  <si>
    <t>Spark Ignition direct &amp; ported injection</t>
  </si>
  <si>
    <t>5W-30</t>
  </si>
  <si>
    <t>TTYXV05.0B5A</t>
  </si>
  <si>
    <t xml:space="preserve">Mild Hybrid; </t>
  </si>
  <si>
    <t>AMG SL 43</t>
  </si>
  <si>
    <t xml:space="preserve">SIDI; Mild Hybrid; </t>
  </si>
  <si>
    <t>M139-20DETC</t>
  </si>
  <si>
    <t>Camtronic on the exhaust camshift with 2 cams for each cylinder: Low/High</t>
  </si>
  <si>
    <t>Battery(s)</t>
  </si>
  <si>
    <t>Lithium Ion</t>
  </si>
  <si>
    <t>On-Board</t>
  </si>
  <si>
    <t>Electrical Regen Brake</t>
  </si>
  <si>
    <t>Both</t>
  </si>
  <si>
    <t>RSG Engine with 48V Technology</t>
  </si>
  <si>
    <t>DC Brushless</t>
  </si>
  <si>
    <t>0W30</t>
  </si>
  <si>
    <t>TMBXV02.0HY7</t>
  </si>
  <si>
    <t>AMG SL 55 4MATIC+</t>
  </si>
  <si>
    <t>AMG SL 63 4MATIC+</t>
  </si>
  <si>
    <t>]</t>
  </si>
  <si>
    <t>SL 680 Maybach</t>
  </si>
  <si>
    <t>Mini</t>
  </si>
  <si>
    <t>Cooper C Convertible</t>
  </si>
  <si>
    <t>Auto(AM-S7)</t>
  </si>
  <si>
    <t>AMS</t>
  </si>
  <si>
    <t>Automated Manual- Selectable (e.g. Automated Manual with paddles)</t>
  </si>
  <si>
    <t>F</t>
  </si>
  <si>
    <t>2-Wheel Drive, Front</t>
  </si>
  <si>
    <t>TBMXV02.0F6X</t>
  </si>
  <si>
    <t>Cooper S Convertible</t>
  </si>
  <si>
    <t>JCW Convertible</t>
  </si>
  <si>
    <t>Variable Valve Timing at inlet and outlet valves</t>
  </si>
  <si>
    <t>Variable Valve Lift at inlet valves</t>
  </si>
  <si>
    <t>0W-20</t>
  </si>
  <si>
    <t>TBMXJ02.0M4P</t>
  </si>
  <si>
    <t>Porsche</t>
  </si>
  <si>
    <t>911 Carrera</t>
  </si>
  <si>
    <t>PRX</t>
  </si>
  <si>
    <t>Auto(AM-S8)</t>
  </si>
  <si>
    <t>Base models; engine code DYH</t>
  </si>
  <si>
    <t>VarioCam Plus</t>
  </si>
  <si>
    <t>TPRXV03.0C92</t>
  </si>
  <si>
    <t>911 Carrera Cabriolet</t>
  </si>
  <si>
    <t>911 Carrera S</t>
  </si>
  <si>
    <t>S models, engine code DYH</t>
  </si>
  <si>
    <t>911 Carrera S Cabriolet</t>
  </si>
  <si>
    <t>911 Carrera T</t>
  </si>
  <si>
    <t>911 Carrera T Cabriolet</t>
  </si>
  <si>
    <t>230i Coupe</t>
  </si>
  <si>
    <t>Subcompact Cars</t>
  </si>
  <si>
    <t>TBMXV02.0M48</t>
  </si>
  <si>
    <t>230i xDrive Coupe</t>
  </si>
  <si>
    <t>430i Convertible</t>
  </si>
  <si>
    <t xml:space="preserve">SIDI &amp; PFI; Mild Hybrid; </t>
  </si>
  <si>
    <t>Variable Valve Lift at inlet valves and two settings at outlet valves</t>
  </si>
  <si>
    <t>330i Sedan, 330i xDrive Sedan, 430i Convertible, 430i Coupe, 430i xDrive Convertible 430i xDrive Coupe, 430i Gran Coupe and 430i xDrive Gran Coupe: Battery Energy Capacity 10.0 Ah, Total Voltage of Battery Pack(s) 44 V, Battery Specific Energy 40.0 Wh/kg, Motor/Generator Type: EESM 8 kW Starter Generator Engine with 48V Technology; Motor/Generator Type: externally excited synchronuous machine (EESM); X3 xDrive30i: Battery Energy Capacity 19.2 Ah, Total Voltage of Battery Pack(s) 43.9 V, Battery Specific Energy 65.0 Wh/kg, Motor/Generator Type: EESM 8 kW Starter Generator Engine with 48V Technology; Motor/Generator Type: externally excited synchronuous machine (EESM)</t>
  </si>
  <si>
    <t>Other</t>
  </si>
  <si>
    <t>EESM</t>
  </si>
  <si>
    <t>0W-12</t>
  </si>
  <si>
    <t>TBMXJ02.0B4P</t>
  </si>
  <si>
    <t>430i Coupe</t>
  </si>
  <si>
    <t>430i xDrive Convertible</t>
  </si>
  <si>
    <t>430i xDrive Coupe</t>
  </si>
  <si>
    <t>840i Convertible</t>
  </si>
  <si>
    <t>TBMXV03.0B07</t>
  </si>
  <si>
    <t>840i Coupe</t>
  </si>
  <si>
    <t>840i xDrive Convertible</t>
  </si>
  <si>
    <t>840i xDrive Coupe</t>
  </si>
  <si>
    <t>M2 Coupe</t>
  </si>
  <si>
    <t>variable valve lift at inlet valves</t>
  </si>
  <si>
    <t>TBMXV03.0SM3</t>
  </si>
  <si>
    <t>M2 Coupe CS</t>
  </si>
  <si>
    <t>M240i Coupe</t>
  </si>
  <si>
    <t>M240i xDrive Coupe</t>
  </si>
  <si>
    <t>M4 Competition Coupe</t>
  </si>
  <si>
    <t>M4 Competition M xDrive Coupe</t>
  </si>
  <si>
    <t>M4 Coupe</t>
  </si>
  <si>
    <t>M440i Convertible</t>
  </si>
  <si>
    <t>M440i Convertible, M440i Coupe, M440i xDrive Convertible, M440i xDrive Coupe, M340i Sedan, M340i xDrive Sedan, M440i Gran Coupe and M440i xDrive Gran Coupe: Battery Energy Capacity 10.0 Ah, Total Voltage of Battery Pack(s) 44 V, Battery Specific Energy 38.0 Wh/kg, Motor/Generator Type: PMSM 9 kW; 540i xDrive Sedan: Battery Energy Capacity 20.0 Ah, Total Voltage of Battery Pack(s) 46.2 V, Battery Specific Energy 47.0 Wh/kg, Motor/Generator Type: PMSM 13 kW; X3 M50: Battery Energy Capacity 19.2 Ah, Total Voltage of Battery Pack(s) 43.9 V, Battery Specific Energy 65.0 Wh/kg, Motor/Generator Type: PMSM 13 kW Starter Generator Engine with 48V Technology; Motor/Generator Type: permanent magnet synchronous machine (PMSM)</t>
  </si>
  <si>
    <t>PMSM</t>
  </si>
  <si>
    <t>TBMXJ03.0B5P</t>
  </si>
  <si>
    <t>M440i Coupe</t>
  </si>
  <si>
    <t>M440i xDrive Convertible</t>
  </si>
  <si>
    <t>M440i xDrive Coupe</t>
  </si>
  <si>
    <t>M4CompetitionMxDriveConvertible</t>
  </si>
  <si>
    <t>M850i xDrive Convertible</t>
  </si>
  <si>
    <t>TBMXV04.4N63</t>
  </si>
  <si>
    <t>M850i xDrive Coupe</t>
  </si>
  <si>
    <t>LC 500</t>
  </si>
  <si>
    <t>AMG CLE 53 4MATIC+ (convertible)</t>
  </si>
  <si>
    <t>TS</t>
  </si>
  <si>
    <t>Turbocharged+Supercharged</t>
  </si>
  <si>
    <t>AMG CLE 53 4MATIC+ (coupe), AMG CLE 53 4MATIC+ (convertible)</t>
  </si>
  <si>
    <t>Camtronic on the intake camshaft</t>
  </si>
  <si>
    <t>ISG Engine 48V Technologie Data for battery type BB200 as above (GLS 450 4MATIC, GLE 450 4MATIC, GLE 450 4MATIC (coupe), AMG GLE 53 4MATIC+, AMG GLE 53 4MATIC+ (coupe)) / Data for battery type BB300 as follows (AMG CLE 53 4MATIC+ (coupe), AMG CLE 53 4MATIC+ (convertible)): Battery Type: LI; Number of Battery Packs: 1; Total Voltage of Battery Pack (Volts): 48; Battery Energy Capacity (Ah): 17.5; Battery Specific Energy (Whr/kg): 78.2; Battery Charger Type: ON / Data of the electric motor for GLS 450 4MATIC, GLE 450 4MATIC, GLE 450 4MATIC (coupe), AMG GLE 53 4MATIC+, AMG GLE 53 4MATIC+ (coupe) as above / Data of the electric motor for AMG CLE 53 4MATIC+ (coupe), AMG CLE 53 4MATIC+ (convertible) as follows: Motor Type: PSM; Rated Motor Power (kWatt): 17</t>
  </si>
  <si>
    <t>PSM</t>
  </si>
  <si>
    <t>5W30</t>
  </si>
  <si>
    <t>AMG CLE 53 4MATIC+ (convert.)</t>
  </si>
  <si>
    <t>TMBXJ03.0HY1</t>
  </si>
  <si>
    <t>AMG CLE 53 4MATIC+ (coupe)</t>
  </si>
  <si>
    <t>AMG GT 43 (coupe)</t>
  </si>
  <si>
    <t>CLE 300 4MATIC (convertible)</t>
  </si>
  <si>
    <t>M254-20DETC 48V (ISG2)</t>
  </si>
  <si>
    <t>Allows variable valve lift of the intake valves to be changed while the engine is in operation</t>
  </si>
  <si>
    <t>ISG2 Engine 48V technology (BB300)</t>
  </si>
  <si>
    <t>permanent magnet synchronous</t>
  </si>
  <si>
    <t>TMBXV02.0HY1</t>
  </si>
  <si>
    <t>CLE 300 4MATIC (Coupe)</t>
  </si>
  <si>
    <t>CLE 300 4MATIC (coupe)</t>
  </si>
  <si>
    <t>CLE 450 4MATIC (Convertible)</t>
  </si>
  <si>
    <t>E 450 4MATIC (sedan and station wagon), CLE 450 4MATIC (convertible and coupe)</t>
  </si>
  <si>
    <t>Allows timing of the intake/exhaust valves to be changed while the engine is in operation</t>
  </si>
  <si>
    <t>Camtronic on the intake camshaft with 3 cams for each cylinder: low/mid/high</t>
  </si>
  <si>
    <t>ISG2 Engine 48V technology</t>
  </si>
  <si>
    <t>CLE 450 4MATIC (convertible)</t>
  </si>
  <si>
    <t>TMBXV03.0HY3</t>
  </si>
  <si>
    <t>CLE 450 4MATIC (Coupe)</t>
  </si>
  <si>
    <t>CLE 450 4MATIC (coupe)</t>
  </si>
  <si>
    <t>Cooper C 2 Door</t>
  </si>
  <si>
    <t>Cooper S 2 Door</t>
  </si>
  <si>
    <t>JCW 2 Door</t>
  </si>
  <si>
    <t>228 Gran Coupe</t>
  </si>
  <si>
    <t>Compact Cars</t>
  </si>
  <si>
    <t>228 xDrive Gran Coupe</t>
  </si>
  <si>
    <t>330i Sedan</t>
  </si>
  <si>
    <t>330i xDrive Sedan</t>
  </si>
  <si>
    <t>430i Gran Coupe</t>
  </si>
  <si>
    <t>430i xDrive Gran Coupe</t>
  </si>
  <si>
    <t>M235 xDrive Gran Coupe</t>
  </si>
  <si>
    <t>TBMXJ02.0T4P</t>
  </si>
  <si>
    <t>M3 Competition M xDrive Sedan</t>
  </si>
  <si>
    <t>M3 Competition Sedan</t>
  </si>
  <si>
    <t>M3 Sedan</t>
  </si>
  <si>
    <t>M340i Sedan</t>
  </si>
  <si>
    <t>M340i xDrive Sedan</t>
  </si>
  <si>
    <t>M440i Gran Coupe</t>
  </si>
  <si>
    <t>M440i xDrive Gran Coupe</t>
  </si>
  <si>
    <t>Cadillac</t>
  </si>
  <si>
    <t>CT4</t>
  </si>
  <si>
    <t>High,Low,Zero(Cylinder Deactivation)</t>
  </si>
  <si>
    <t>TGMXV02.0041</t>
  </si>
  <si>
    <t>AFM and Stop/Start</t>
  </si>
  <si>
    <t>TGMXV02.7105</t>
  </si>
  <si>
    <t>CT4 AWD</t>
  </si>
  <si>
    <t xml:space="preserve">CT4 AWD </t>
  </si>
  <si>
    <t>CT4 V</t>
  </si>
  <si>
    <t>CAM PHASER</t>
  </si>
  <si>
    <t>TGMXV03.6043</t>
  </si>
  <si>
    <t>CT4 V AWD</t>
  </si>
  <si>
    <t>Hyundai</t>
  </si>
  <si>
    <t>GENESIS</t>
  </si>
  <si>
    <t>G70 AWD</t>
  </si>
  <si>
    <t>HYX</t>
  </si>
  <si>
    <t>APPLY CVVT</t>
  </si>
  <si>
    <t>0W-30</t>
  </si>
  <si>
    <t>THYXV02.5GP5</t>
  </si>
  <si>
    <t>This engine match with Variable Exhaust Valve option only.</t>
  </si>
  <si>
    <t>Fixed3(more than two or continuous)</t>
  </si>
  <si>
    <t>5W30 ACEA A5</t>
  </si>
  <si>
    <t>THYXV03.3GK7</t>
  </si>
  <si>
    <t>G70 RWD</t>
  </si>
  <si>
    <t>MAZDA</t>
  </si>
  <si>
    <t>MAZDA3 4-Door 2WD</t>
  </si>
  <si>
    <t>TKX</t>
  </si>
  <si>
    <t>Auto(S6)</t>
  </si>
  <si>
    <t>Gasoline (Regular Unleaded Recommended)</t>
  </si>
  <si>
    <t>MAZDA3 2.5L-DI w/o cylinder deactivation</t>
  </si>
  <si>
    <t>This technology optimizes the valve timing by using computer control to continuously switch the intake and exhaust valve opening/closing timing according to driving conditions.</t>
  </si>
  <si>
    <t>GF-6 0W-20</t>
  </si>
  <si>
    <t>without cylinder deactivation</t>
  </si>
  <si>
    <t>TTKXV02.5CDH</t>
  </si>
  <si>
    <t>MAZDA3 4-Door 4WD</t>
  </si>
  <si>
    <t>4-Wheel Drive</t>
  </si>
  <si>
    <t>GF-6 5W-30</t>
  </si>
  <si>
    <t>TTKXV02.5EGA</t>
  </si>
  <si>
    <t>AMG C 43 4MATIC</t>
  </si>
  <si>
    <t>AMG CLA 45 S 4MATIC</t>
  </si>
  <si>
    <t>Auto(AM8)</t>
  </si>
  <si>
    <t>AM</t>
  </si>
  <si>
    <t>Automated Manual</t>
  </si>
  <si>
    <t>Engine has both Direct Fuel Injection and Port Fuel Injection.</t>
  </si>
  <si>
    <t>Camtronic on the exhaust camshaft with 2 cam profiles for each cylinder: low/high</t>
  </si>
  <si>
    <t>AMG CLA 45 S 4MATIC+</t>
  </si>
  <si>
    <t>TMBXV02.0U3B</t>
  </si>
  <si>
    <t>C 300</t>
  </si>
  <si>
    <t>C 300 4MATIC</t>
  </si>
  <si>
    <t>CLA 250</t>
  </si>
  <si>
    <t>High/Low position on inlet side</t>
  </si>
  <si>
    <t>RSG2 Engine 48V technology</t>
  </si>
  <si>
    <t>TMBXJ02.0HY3</t>
  </si>
  <si>
    <t>CLA 250 4MATIC</t>
  </si>
  <si>
    <t>Cooper C 4 Door</t>
  </si>
  <si>
    <t>Cooper S 4 Door</t>
  </si>
  <si>
    <t>Volkswagen Group of</t>
  </si>
  <si>
    <t>Volkswagen</t>
  </si>
  <si>
    <t>GLI</t>
  </si>
  <si>
    <t>VGA</t>
  </si>
  <si>
    <t>Applies to DXSA var: 0</t>
  </si>
  <si>
    <t>CONTINOUSLY VARIABLE VALVE TIMING</t>
  </si>
  <si>
    <t>AUDI VALVE LIFT SYSTEM</t>
  </si>
  <si>
    <t>0W20 VW50800</t>
  </si>
  <si>
    <t>TVGAV02.0V3A</t>
  </si>
  <si>
    <t>Jetta</t>
  </si>
  <si>
    <t>Applies to DNKA var: 0</t>
  </si>
  <si>
    <t>-</t>
  </si>
  <si>
    <t>TVGAV01.5V2Q</t>
  </si>
  <si>
    <t>Jetta Sport/SE/SEL</t>
  </si>
  <si>
    <t>Audi</t>
  </si>
  <si>
    <t>RS 7</t>
  </si>
  <si>
    <t>Midsize Cars</t>
  </si>
  <si>
    <t>Applies to DYGA var: 0</t>
  </si>
  <si>
    <t>Fuel saving by reduction of active cylinders. Mechanical deactivation of 4 inlet and outlet vales with injection cut-off on these 4 cylinders.</t>
  </si>
  <si>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</si>
  <si>
    <t>Belt-Driven-Starter-Generator</t>
  </si>
  <si>
    <t>0W40 VW50200 / VW50500</t>
  </si>
  <si>
    <t>TVGAJ04.0NAT</t>
  </si>
  <si>
    <t>530i Sedan</t>
  </si>
  <si>
    <t>Starter Generator Engine with 48V Technology; Motor/Generator Type: externally excited synchronuous machine (EESM)</t>
  </si>
  <si>
    <t>TBMXV02.0B4D</t>
  </si>
  <si>
    <t>530i xDrive Sedan</t>
  </si>
  <si>
    <t>540i xDrive Sedan</t>
  </si>
  <si>
    <t>840i Gran Coupe</t>
  </si>
  <si>
    <t>840i xDrive Gran Coupe</t>
  </si>
  <si>
    <t>M850i xDrive Gran Coupe</t>
  </si>
  <si>
    <t>CT5</t>
  </si>
  <si>
    <t>CT5 AWD</t>
  </si>
  <si>
    <t>CT5 V</t>
  </si>
  <si>
    <t>SC</t>
  </si>
  <si>
    <t>Supercharged</t>
  </si>
  <si>
    <t>CT5 V AWD</t>
  </si>
  <si>
    <t>Honda</t>
  </si>
  <si>
    <t>CIVIC 4Dr</t>
  </si>
  <si>
    <t>HNX</t>
  </si>
  <si>
    <t>Variable valve Timing and lift Electronic Control (VTEC) system and Variable valve Timing Control (VTC) system are applied.</t>
  </si>
  <si>
    <t>Variable valve Timing and lift Electronic Control (VTEC) system is applied.</t>
  </si>
  <si>
    <t>THNXV01.5SDC</t>
  </si>
  <si>
    <t>Auto(AV)</t>
  </si>
  <si>
    <t>CVT</t>
  </si>
  <si>
    <t>Continuously Variable</t>
  </si>
  <si>
    <t>Variable valve Timing Control (VTC) system is applied.</t>
  </si>
  <si>
    <t>THNXV02.0JEK</t>
  </si>
  <si>
    <t xml:space="preserve">SIDI; Hybrid; </t>
  </si>
  <si>
    <t>Front Wheels</t>
  </si>
  <si>
    <t>AC PMSM</t>
  </si>
  <si>
    <t>THNXV02.0GES</t>
  </si>
  <si>
    <t>Auto(AV-S7)</t>
  </si>
  <si>
    <t>SCV</t>
  </si>
  <si>
    <t>Selectable Continuously Variable (e.g. CVT with paddles)</t>
  </si>
  <si>
    <t>MAZDA3 5-Door 2WD</t>
  </si>
  <si>
    <t>MAZDA3 5-Door 4WD</t>
  </si>
  <si>
    <t>E 350</t>
  </si>
  <si>
    <t>E 350 4MATIC</t>
  </si>
  <si>
    <t>E 450 4MATIC</t>
  </si>
  <si>
    <t>PRIUS</t>
  </si>
  <si>
    <t xml:space="preserve">SIDI &amp; PFI; Hybrid; </t>
  </si>
  <si>
    <t>"30kWatt" of Rated Motor/Generator Power is only for AWD.</t>
  </si>
  <si>
    <t>AC SYNCHRONOUS</t>
  </si>
  <si>
    <t>0W-16</t>
  </si>
  <si>
    <t>HYBRID</t>
  </si>
  <si>
    <t>TTYXV02.0H3B</t>
  </si>
  <si>
    <t>PRIUS AWD</t>
  </si>
  <si>
    <t>PRIUS AWD XLE/LTD</t>
  </si>
  <si>
    <t>PRIUS XLE/LTD</t>
  </si>
  <si>
    <t>TOYOTA CROWN AWD Hybrid</t>
  </si>
  <si>
    <t>NiMH</t>
  </si>
  <si>
    <t>0W-8</t>
  </si>
  <si>
    <t>TTYXV02.5H3B</t>
  </si>
  <si>
    <t>Golf R</t>
  </si>
  <si>
    <t>Applies to DSFD var: 1</t>
  </si>
  <si>
    <t>0W30 VW50200 / VW50400</t>
  </si>
  <si>
    <t>TVGAV02.0V7B</t>
  </si>
  <si>
    <t>GTI</t>
  </si>
  <si>
    <t>Applies to DZMA var: 0</t>
  </si>
  <si>
    <t>Volvo</t>
  </si>
  <si>
    <t>Volvo Cars of North America, LLC</t>
  </si>
  <si>
    <t>S90 B5</t>
  </si>
  <si>
    <t>VVX</t>
  </si>
  <si>
    <t>XC40 B5 AWD, S90 B5, V60CC B5 AWD</t>
  </si>
  <si>
    <t>Timing on both intake and exhaust side.</t>
  </si>
  <si>
    <t>DC Permanent Magnet, brushless</t>
  </si>
  <si>
    <t>0W-20 C6 (API SP)</t>
  </si>
  <si>
    <t>Blank</t>
  </si>
  <si>
    <t>TVVXJ02.0U70</t>
  </si>
  <si>
    <t>Acura</t>
  </si>
  <si>
    <t>INTEGRA</t>
  </si>
  <si>
    <t>Large Cars</t>
  </si>
  <si>
    <t>THNXV01.54FE</t>
  </si>
  <si>
    <t>INTEGRA TYPE-S</t>
  </si>
  <si>
    <t>Variable Valve Timing (VTC) and Lift Electronic Control (VTEC) system is applied.</t>
  </si>
  <si>
    <t>THNXV02.0TDC</t>
  </si>
  <si>
    <t>INTEGRA A-SPEC</t>
  </si>
  <si>
    <t>THNXV01.55DD</t>
  </si>
  <si>
    <t>740i Sedan</t>
  </si>
  <si>
    <t>Starter Generator Engine with 48V Technology; Motor/Generator Type: permanent magnet synchronous machine (PMSM); Rated Motor/Generator Power: 9 kW (X7 xDrive40i, X5 sDrive40i, X5 xDrive40i and X6 xDrive40i), 13 kW (740i Sedan and 740i xDrive Sedan) / X7 xDrive40i, X5 sDrive40i, X5 xDrive40i and X6 xDrive40i; Battery Energy Capacity: 10.0 Ah, Total Voltage of Battery Pack(s): 44 V, Battery Specific Energy: 38 Wh/kg / 740i Sedan and 740i xDrive Sedan; Battery Energy Capacity: 20.0 Ah, Total Voltage of Battery Pack(s): 46.2 V, Battery Specific Energy: 47 Wh/kg</t>
  </si>
  <si>
    <t>TBMXJ03.0B58</t>
  </si>
  <si>
    <t>740i xDrive Sedan</t>
  </si>
  <si>
    <t>760i xDrive Sedan</t>
  </si>
  <si>
    <t>Starter Generator Engine with 48V Technology; Motor/Generator Type: permanent magnet synchronous machine (PMSM); Rated Motor/Generator Power: 9 kW (X7 M60i xDrive, X5 M60i xDrive, X6 M60i xDrive and ALPINA XB7), 13 kW (760i xDrive Sedan) / X7 M60i xDrive, X5 M60i xDrive, X6 M60i xDrive and ALPINA XB7; Battery Energy Capacity: 10.0 Ah, Total Voltage of Battery Pack(s): 44 V, Battery Specific Energy: 38 Wh/kg / 760i xDrive Sedan; Battery Energy Capacity: 20.0 Ah, Total Voltage of Battery Pack(s): 46.2 V, Battery Specific Energy: 47 Wh/kg</t>
  </si>
  <si>
    <t>TBMXJ04.4S68</t>
  </si>
  <si>
    <t>G80 AWD</t>
  </si>
  <si>
    <t>Fixed3</t>
  </si>
  <si>
    <t>SAE 0W30</t>
  </si>
  <si>
    <t>THYXV02.5HP3</t>
  </si>
  <si>
    <t>THYXV03.5HT5</t>
  </si>
  <si>
    <t>G90 AWD</t>
  </si>
  <si>
    <t>CVVT</t>
  </si>
  <si>
    <t>THYXV03.5JT7</t>
  </si>
  <si>
    <t xml:space="preserve">Hybrid; </t>
  </si>
  <si>
    <t>CIVIC 5Dr</t>
  </si>
  <si>
    <t>THNXV02.0FEK</t>
  </si>
  <si>
    <t>HYUNDAI MOTOR COMPANY</t>
  </si>
  <si>
    <t>Sonata AWD</t>
  </si>
  <si>
    <t>VVT</t>
  </si>
  <si>
    <t>SAE 0W20</t>
  </si>
  <si>
    <t>THYXV02.5ER3</t>
  </si>
  <si>
    <t>Sonata FWD</t>
  </si>
  <si>
    <t>E-CVVT is an electric device that improve fuel efficiency and reduce toxic exhaust gas by allowing the timing of the intake valves to be changed while the engine is on opration.</t>
  </si>
  <si>
    <t>THYXV02.5EP7</t>
  </si>
  <si>
    <t>DN8 2.5 FWD 8SA</t>
  </si>
  <si>
    <t>Sonata FWD w/ STOP-START</t>
  </si>
  <si>
    <t>STOP-START</t>
  </si>
  <si>
    <t>Sonata Hybrid</t>
  </si>
  <si>
    <t>Auto(AM-S6)</t>
  </si>
  <si>
    <t>APPLY VVT</t>
  </si>
  <si>
    <t>SAE 0W16</t>
  </si>
  <si>
    <t>THYXV02.0E13</t>
  </si>
  <si>
    <t>Sonata Hybrid Blue</t>
  </si>
  <si>
    <t>Kia</t>
  </si>
  <si>
    <t>KIA</t>
  </si>
  <si>
    <t>K5</t>
  </si>
  <si>
    <t>KMX</t>
  </si>
  <si>
    <t>Fixed3(More than two or continuous)</t>
  </si>
  <si>
    <t>SAE 0W-30</t>
  </si>
  <si>
    <t>TKMXV02.5DP7</t>
  </si>
  <si>
    <t>SAE 0W-20</t>
  </si>
  <si>
    <t>TKMXV02.5DR3</t>
  </si>
  <si>
    <t>K5 AWD</t>
  </si>
  <si>
    <t>K5 w/ Stop-Start</t>
  </si>
  <si>
    <t>S 500 4MATIC</t>
  </si>
  <si>
    <t>S 580 4MATIC</t>
  </si>
  <si>
    <t>ISG (Integrated-Starter-Generator) Engine with 48V Technology</t>
  </si>
  <si>
    <t>permanent synchronous motor</t>
  </si>
  <si>
    <t>TMBXV04.0HY1</t>
  </si>
  <si>
    <t>S 580 4MATIC Maybach</t>
  </si>
  <si>
    <t>S 680 4MATIC Maybach</t>
  </si>
  <si>
    <t>5W40 / 229.5</t>
  </si>
  <si>
    <t>TMBXV06.0U3A</t>
  </si>
  <si>
    <t>Rolls-Royce</t>
  </si>
  <si>
    <t>Rolls-Royce Motor Cars Limited</t>
  </si>
  <si>
    <t>Black Badge Ghost</t>
  </si>
  <si>
    <t>RRG</t>
  </si>
  <si>
    <t>Peak-Torque 664 foot-pounds: Black Badge Cullinan, Black Badge Ghost</t>
  </si>
  <si>
    <t>TRRGV06.7N74</t>
  </si>
  <si>
    <t>Ghost</t>
  </si>
  <si>
    <t>Peak-Torque 627 foot-pounds: Cullinan, Ghost, Ghost Extended; 664 foot-pounds: Phantom, Phantom Extended</t>
  </si>
  <si>
    <t>Ghost Extended</t>
  </si>
  <si>
    <t>Phantom</t>
  </si>
  <si>
    <t>Phantom Extended</t>
  </si>
  <si>
    <t>Buick</t>
  </si>
  <si>
    <t>ENVISTA</t>
  </si>
  <si>
    <t>Auto(A6)</t>
  </si>
  <si>
    <t>Small Station Wagons</t>
  </si>
  <si>
    <t>Derived Vehicle Specific 5-cycle Calculation Approach for city label but Modified 5-cycle Calculation Approach for Highway label</t>
  </si>
  <si>
    <t>CSS Prime</t>
  </si>
  <si>
    <t>Cam phaser</t>
  </si>
  <si>
    <t>TGMXV01.2003</t>
  </si>
  <si>
    <t>ENVISTA (Flex Fuel)</t>
  </si>
  <si>
    <t>E</t>
  </si>
  <si>
    <t>Ethanol (E85)</t>
  </si>
  <si>
    <t xml:space="preserve">SIDI; FFV; </t>
  </si>
  <si>
    <t>TGMXV01.2002</t>
  </si>
  <si>
    <t>TRAX</t>
  </si>
  <si>
    <t>TRAX (Flex Fuel)</t>
  </si>
  <si>
    <t>HR-V AWD</t>
  </si>
  <si>
    <t>THNXV02.02EC</t>
  </si>
  <si>
    <t>HR-V FWD</t>
  </si>
  <si>
    <t>AMG GLA 35 4MATIC</t>
  </si>
  <si>
    <t>TMBXV02.0HY4</t>
  </si>
  <si>
    <t>AMG GLC 43 4MATIC</t>
  </si>
  <si>
    <t>AMG GLC 43 4MATIC (coupe)</t>
  </si>
  <si>
    <t>AMG GT 43 4MATIC+</t>
  </si>
  <si>
    <t>OT</t>
  </si>
  <si>
    <t>ICE: 362 HP ; Electric Motor: 21 HP ; AMG GT 43 4MATIC+</t>
  </si>
  <si>
    <t>Camtronic on the intake camshaft with 3 cams for each cylinder: low / mid / high</t>
  </si>
  <si>
    <t>TMBXV03.0HY2</t>
  </si>
  <si>
    <t>AMG GT 53 4MATIC+</t>
  </si>
  <si>
    <t>ICE: 429 HP ; Electric Motor: 21 HP ; AMG GT 53 4MATIC+</t>
  </si>
  <si>
    <t>AMG GT 63 4MATIC+</t>
  </si>
  <si>
    <t>ALLOWS TIMING OF INTAKE AND EXHAUST VALVES TO BE CHANGED WHILE ENGINE IS IN OPERATION</t>
  </si>
  <si>
    <t>TMBXV04.0U3B</t>
  </si>
  <si>
    <t>Subaru</t>
  </si>
  <si>
    <t>IMPREZA</t>
  </si>
  <si>
    <t>FJX</t>
  </si>
  <si>
    <t>Auto(AV-S8)</t>
  </si>
  <si>
    <t>Intake and Exhaust</t>
  </si>
  <si>
    <t>ILSAC GF-6B 0W-16</t>
  </si>
  <si>
    <t>TFJXV02.0BBG</t>
  </si>
  <si>
    <t>TFJXJ02.5VDH</t>
  </si>
  <si>
    <t>V60CC B5 AWD</t>
  </si>
  <si>
    <t>RS 6 Avant</t>
  </si>
  <si>
    <t>Midsize Station Wagons</t>
  </si>
  <si>
    <t>CR-V FWD</t>
  </si>
  <si>
    <t>Variable valve Timing and lift Electronic Control (VTEC/VTC) system is applied.</t>
  </si>
  <si>
    <t>THNXT01.5NST</t>
  </si>
  <si>
    <t>THNXT02.0PHT</t>
  </si>
  <si>
    <t>AMG GLB 35 4MATIC</t>
  </si>
  <si>
    <t>E 450 4MATIC All-Terrain Wagon</t>
  </si>
  <si>
    <t>E 450 4MATIC All-Terrain (sw)</t>
  </si>
  <si>
    <t>V90CC B6 AWD</t>
  </si>
  <si>
    <t>Mechanical Turbo and Electric supercharger</t>
  </si>
  <si>
    <t>0W-20 / C6 (API SP)</t>
  </si>
  <si>
    <t>TVVXT02.0S30</t>
  </si>
  <si>
    <t>COLORADO 2WD</t>
  </si>
  <si>
    <t>T</t>
  </si>
  <si>
    <t>Truck</t>
  </si>
  <si>
    <t>Standard Pick-up Trucks 2WD</t>
  </si>
  <si>
    <t>TGMXT02.7100</t>
  </si>
  <si>
    <t xml:space="preserve">SILVERADO 2WD </t>
  </si>
  <si>
    <t>Auto(A10)</t>
  </si>
  <si>
    <t>DU</t>
  </si>
  <si>
    <t>Diesel, ultra low sulfur (15 ppm, maximum)</t>
  </si>
  <si>
    <t>CRDI</t>
  </si>
  <si>
    <t>Common Rail Direct Diesel Injection</t>
  </si>
  <si>
    <t>TGMXT03.0354</t>
  </si>
  <si>
    <t>SILVERADO 2WD (5.3L with Sport Mode)</t>
  </si>
  <si>
    <t>Dynamic Fuel Management</t>
  </si>
  <si>
    <t>cam phaser</t>
  </si>
  <si>
    <t>with Sport Mode</t>
  </si>
  <si>
    <t>TGMXT05.3330</t>
  </si>
  <si>
    <t>SILVERADO 2WD (5.3L)</t>
  </si>
  <si>
    <t>SILVERADO 2WD 3M</t>
  </si>
  <si>
    <t>SILVERADO 2WD M5</t>
  </si>
  <si>
    <t>GMC</t>
  </si>
  <si>
    <t>SIERRA 2WD</t>
  </si>
  <si>
    <t>SIERRA 2WD 3M</t>
  </si>
  <si>
    <t>SIERRA 2WD M5</t>
  </si>
  <si>
    <t>SIERRA 2WD with Sport Mode</t>
  </si>
  <si>
    <t>FCA US LLC</t>
  </si>
  <si>
    <t>RAM</t>
  </si>
  <si>
    <t>1500 4X2</t>
  </si>
  <si>
    <t>CRX</t>
  </si>
  <si>
    <t>3.0L EFH GDI Dual Turbo</t>
  </si>
  <si>
    <t>electro-hydraulic controlled</t>
  </si>
  <si>
    <t>0w-20</t>
  </si>
  <si>
    <t>TCRXT03.0574</t>
  </si>
  <si>
    <t>TUNDRA 2WD</t>
  </si>
  <si>
    <t>APPLIED TO TUNDRA (1-drive mode)</t>
  </si>
  <si>
    <t>TTYXT03.4B5A</t>
  </si>
  <si>
    <t>APPLIED TO TUNDRA (3-drive mode)</t>
  </si>
  <si>
    <t>TUNDRA 2WD Hybrid</t>
  </si>
  <si>
    <t>APPLIED TO SEQUOIA AND TUNDRA</t>
  </si>
  <si>
    <t>Rear Wheels</t>
  </si>
  <si>
    <t>Regenerative Braking Source is "Both" for 4WD models.</t>
  </si>
  <si>
    <t>TTYXT03.4B5C</t>
  </si>
  <si>
    <t>TUNDRA 2WD HYBRID TRD Perf</t>
  </si>
  <si>
    <t>APPLIED TO SEQUOIA AND TUNDRA TRD PERFORMANCE PACKAGE.</t>
  </si>
  <si>
    <t>HYBRID TRD Perf</t>
  </si>
  <si>
    <t>TUNDRA 2WD TRD Perf</t>
  </si>
  <si>
    <t>APPLIED TO TUNDRA (3-drive mode) TRD PERFORMANCE PACKAGE</t>
  </si>
  <si>
    <t>TRD Perf</t>
  </si>
  <si>
    <t>COLORADO 4WD</t>
  </si>
  <si>
    <t>Standard Pick-up Trucks 4WD</t>
  </si>
  <si>
    <t>COLORADO 4WD MUD TERRAIN TIRES</t>
  </si>
  <si>
    <t>COLORADO ZR2 4WD</t>
  </si>
  <si>
    <t>COLORADO ZR2 BISON 4WD</t>
  </si>
  <si>
    <t>SILVERADO 4WD</t>
  </si>
  <si>
    <t>TGMXT06.2375</t>
  </si>
  <si>
    <t>SILVERADO 4WD  (Flex Fuel)</t>
  </si>
  <si>
    <t>TGMXT05.3387</t>
  </si>
  <si>
    <t>SILVERADO 4WD (5.3 L)</t>
  </si>
  <si>
    <t>.</t>
  </si>
  <si>
    <t>Municipal</t>
  </si>
  <si>
    <t>SILVERADO 4WD 4M</t>
  </si>
  <si>
    <t>SILVERADO 4WD M6 with Sport Mode</t>
  </si>
  <si>
    <t>SILVERADO 4WD MUD TERRAIN TIRE</t>
  </si>
  <si>
    <t>SILVERADO 4WD MUD TERRAIN TIRE  (Flex Fuel)</t>
  </si>
  <si>
    <t>SILVERADO 4WD MUD TERRAIN TIRE (6.2 L)</t>
  </si>
  <si>
    <t>SILVERADO 4WD MUD TERRAIN TIRE 4M</t>
  </si>
  <si>
    <t>SILVERADO 4WD MUD TERRAIN TIRE M6</t>
  </si>
  <si>
    <t>SILVERADO 4WD MUD TERRAIN TIRE with Sport Mode</t>
  </si>
  <si>
    <t>SILVERADO 4WD MUD TERRAIN TIRES</t>
  </si>
  <si>
    <t>SILVERADO 4WD MUD TERRAIN TIRES w/ Sport and Off Road Mode</t>
  </si>
  <si>
    <t>SILVERADO 4WD w/ Sport and Off Road Mode</t>
  </si>
  <si>
    <t>SILVERADO 4WD with Sport Mode</t>
  </si>
  <si>
    <t>SILVERADO 4WD ZR2</t>
  </si>
  <si>
    <t>SILVERADO 4WD ZR2  w/ Sport and Off Road Mode</t>
  </si>
  <si>
    <t>TGMXT03.0355</t>
  </si>
  <si>
    <t>CANYON 4WD</t>
  </si>
  <si>
    <t>CANYON AT4X 4WD</t>
  </si>
  <si>
    <t>CANYON AT4X AEV 4WD</t>
  </si>
  <si>
    <t xml:space="preserve">SIERRA 4WD </t>
  </si>
  <si>
    <t>SIERRA 4WD  (5.3 L)</t>
  </si>
  <si>
    <t>SIERRA 4WD  (Flex Fuel)</t>
  </si>
  <si>
    <t>SIERRA 4WD (6.2L)</t>
  </si>
  <si>
    <t>SIERRA 4WD (Municipal)</t>
  </si>
  <si>
    <t>SIERRA 4WD 4M</t>
  </si>
  <si>
    <t>SIERRA 4WD AT4X</t>
  </si>
  <si>
    <t>SIERRA 4WD M6</t>
  </si>
  <si>
    <t>SIERRA 4WD MUD TERRAIN TIRES</t>
  </si>
  <si>
    <t>SIERRA 4WD MUD TERRAIN TIRES (Flex Fuel)</t>
  </si>
  <si>
    <t>SIERRA 4WD MUD TERRAIN TIRES (Municipal)</t>
  </si>
  <si>
    <t>SIERRA 4WD MUD TERRAIN TIRES 4M</t>
  </si>
  <si>
    <t>SIERRA 4WD MUD TERRAIN TIRES with Sport Mode</t>
  </si>
  <si>
    <t>SIERRA 4WD with Sport Mode</t>
  </si>
  <si>
    <t>1500 4X4</t>
  </si>
  <si>
    <t>GM</t>
  </si>
  <si>
    <t>Gasoline (Mid Grade Unleaded Recommended)</t>
  </si>
  <si>
    <t>Solenoids</t>
  </si>
  <si>
    <t>Cam phasers</t>
  </si>
  <si>
    <t>AC Induction</t>
  </si>
  <si>
    <t>TCRXT05.7560</t>
  </si>
  <si>
    <t>1500 HO 4x4</t>
  </si>
  <si>
    <t>3.0L EFC GDI Dual Turbo</t>
  </si>
  <si>
    <t>TCRXT03.0572</t>
  </si>
  <si>
    <t>1500 RHO 4x4</t>
  </si>
  <si>
    <t>0w-40 SN+</t>
  </si>
  <si>
    <t>TCRXT03.0573</t>
  </si>
  <si>
    <t>TUNDRA 4WD</t>
  </si>
  <si>
    <t>P</t>
  </si>
  <si>
    <t>Part-time 4-Wheel Drive</t>
  </si>
  <si>
    <t>TUNDRA 4WD Hybrid</t>
  </si>
  <si>
    <t>TUNDRA 4WD HYBRID TRD Per</t>
  </si>
  <si>
    <t>TUNDRA 4WD PRO Hybrid</t>
  </si>
  <si>
    <t>TUNDRA 4WD PRO HYBRID TRD Perf</t>
  </si>
  <si>
    <t>TUNDRA 4WD TRD Perf</t>
  </si>
  <si>
    <t>GLA 250</t>
  </si>
  <si>
    <t>Special Purpose Vehicle 2WD</t>
  </si>
  <si>
    <t>??</t>
  </si>
  <si>
    <t>SILVERADO 2WD CAB CHASSIS</t>
  </si>
  <si>
    <t>Special Purpose Vehicle cab chassis</t>
  </si>
  <si>
    <t>SILVERADO 4WD CAB CHASSIS</t>
  </si>
  <si>
    <t>SIERRA 2WD CAB CHASSIS</t>
  </si>
  <si>
    <t>SIERRA 4WD CAB CHASSIS</t>
  </si>
  <si>
    <t>Chrysler</t>
  </si>
  <si>
    <t>Pacifica</t>
  </si>
  <si>
    <t>Special Purpose Vehicle, minivan 2WD</t>
  </si>
  <si>
    <t>TCRXT03.6571</t>
  </si>
  <si>
    <t>Voyager</t>
  </si>
  <si>
    <t>ODYSSEY FWD</t>
  </si>
  <si>
    <t>Variable Cylinder Management (VCM) system is applied.</t>
  </si>
  <si>
    <t>THNXT03.5R4C</t>
  </si>
  <si>
    <t>Carnival</t>
  </si>
  <si>
    <t>TKMXT03.5KU3</t>
  </si>
  <si>
    <t>Carnival Hybrid</t>
  </si>
  <si>
    <t>SAE 0W-20; API SN PLUS</t>
  </si>
  <si>
    <t>TKMXT01.6K13</t>
  </si>
  <si>
    <t>MDX FWD</t>
  </si>
  <si>
    <t>Small SUV 2WD</t>
  </si>
  <si>
    <t>Variable Cylinder Management (VCM) is applied.</t>
  </si>
  <si>
    <t>THNXT03.5CCC</t>
  </si>
  <si>
    <t>ENCORE GX FWD</t>
  </si>
  <si>
    <t>TGMXV01.3550</t>
  </si>
  <si>
    <t>ENCORE GX FWD (Flex Fuel)</t>
  </si>
  <si>
    <t>EQUINOX FWD</t>
  </si>
  <si>
    <t>Multiple Positions</t>
  </si>
  <si>
    <t>TGMXT01.5080</t>
  </si>
  <si>
    <t>TRAILBLAZER FWD</t>
  </si>
  <si>
    <t>TRAILBLAZER FWD (Flex Fuel)</t>
  </si>
  <si>
    <t>GV80 RWD</t>
  </si>
  <si>
    <t>THYXT02.5TP3</t>
  </si>
  <si>
    <t>TERRAIN FWD</t>
  </si>
  <si>
    <t>Kona FWD</t>
  </si>
  <si>
    <t>Auto(AV-S1)</t>
  </si>
  <si>
    <t>Non stop-start</t>
  </si>
  <si>
    <t>THYXT02.0KE3</t>
  </si>
  <si>
    <t>Kona FWD SX2 1.6T 8AT FWD</t>
  </si>
  <si>
    <t>SX2 1.6T 8AT FWD</t>
  </si>
  <si>
    <t>THYXT01.6KC3</t>
  </si>
  <si>
    <t>Kona FWD w/ STOP-START</t>
  </si>
  <si>
    <t>Santa Cruz FWD</t>
  </si>
  <si>
    <t>NX4 OB 2.5 FWD 8SA</t>
  </si>
  <si>
    <t>THYXT02.5VR3</t>
  </si>
  <si>
    <t>Santa Fe FWD</t>
  </si>
  <si>
    <t>THYXT02.5MP3</t>
  </si>
  <si>
    <t>Santa Fe Hybrid FWD</t>
  </si>
  <si>
    <t>Fixed 3 (Continuous Variable Valve Timing)</t>
  </si>
  <si>
    <t>SAE 0W-20, API SN PLUS</t>
  </si>
  <si>
    <t>THYXV01.6M13</t>
  </si>
  <si>
    <t>Tucson FWD</t>
  </si>
  <si>
    <t>NX4 2.5 8AT FWD</t>
  </si>
  <si>
    <t>THYXT02.5LR3</t>
  </si>
  <si>
    <t>Venue</t>
  </si>
  <si>
    <t>THYXV01.6SB7</t>
  </si>
  <si>
    <t>Niro</t>
  </si>
  <si>
    <t>Fixed3, CVVT is an oil pressure device that improve fuel efficiency and reduce toxic exhaust gas by allowing the  timing (some or all) of the intake or exhaust valves (or both ) to be changed  while the engine is in operation.</t>
  </si>
  <si>
    <t>SAE 0W-16 API SN PLUS</t>
  </si>
  <si>
    <t>TKMXV01.6213</t>
  </si>
  <si>
    <t>Niro FE</t>
  </si>
  <si>
    <t>Sorento FWD</t>
  </si>
  <si>
    <t>TKMXT02.5JP3</t>
  </si>
  <si>
    <t>TKMXT02.5JR3</t>
  </si>
  <si>
    <t>Sorento Hybrid FWD</t>
  </si>
  <si>
    <t>Fixed 3 (Continous Variable Valve Timing)</t>
  </si>
  <si>
    <t>TKMXV01.6J13</t>
  </si>
  <si>
    <t>Sportage FWD</t>
  </si>
  <si>
    <t>TKMXT02.5PR3</t>
  </si>
  <si>
    <t>Sportage Hybrid FWD</t>
  </si>
  <si>
    <t>Fixed 3</t>
  </si>
  <si>
    <t>SAE 0W-20 API SN PLUS</t>
  </si>
  <si>
    <t>TKMXT01.6P13</t>
  </si>
  <si>
    <t>NX 350h</t>
  </si>
  <si>
    <t>Auto(AV-S6)</t>
  </si>
  <si>
    <t>Applied to NX 350h and SIENNA.</t>
  </si>
  <si>
    <t>"40kWatt" of Rated Motor/Generator Power is only for AWD.</t>
  </si>
  <si>
    <t>AC Synchronous</t>
  </si>
  <si>
    <t>0W-16,0W-8</t>
  </si>
  <si>
    <t>TTYXJ02.5H3A</t>
  </si>
  <si>
    <t>GLC 300</t>
  </si>
  <si>
    <t>GLC 300, GLC 300 4MATIC, GLC 300 4MATIC (coupe) - ICE: 255 HP / E: 23 HP</t>
  </si>
  <si>
    <t>Allows timing of the intake/exhaust valves to be changed while the engineis in operation</t>
  </si>
  <si>
    <t>TMBXJ02.0HY1</t>
  </si>
  <si>
    <t>Nissan</t>
  </si>
  <si>
    <t>NISSAN</t>
  </si>
  <si>
    <t>ROGUE FWD</t>
  </si>
  <si>
    <t>NSX</t>
  </si>
  <si>
    <t>EXH; ECM controlled, Oil pressure driven INT; ECM controlled, Motor driven</t>
  </si>
  <si>
    <t>TNSXT01.5E3J</t>
  </si>
  <si>
    <t>Atlas</t>
  </si>
  <si>
    <t>DRKB var: 0</t>
  </si>
  <si>
    <t>Electronic / Hydraulic</t>
  </si>
  <si>
    <t>Audi Valve Lift System</t>
  </si>
  <si>
    <t>TVGAT02.0V7A</t>
  </si>
  <si>
    <t>Atlas Cross Sport</t>
  </si>
  <si>
    <t xml:space="preserve">SIDI; Under EPA regulations, the manufacturer revised the fuel economy label values on . Previous values were XX MPG city, XX MPG highway, and XX MPG combined; </t>
  </si>
  <si>
    <t>RL</t>
  </si>
  <si>
    <t>Relabel - label value decreased</t>
  </si>
  <si>
    <t>Taos</t>
  </si>
  <si>
    <t>Applies to DYBA var: 0</t>
  </si>
  <si>
    <t>TVGAJ01.5V2L</t>
  </si>
  <si>
    <t>Tiguan</t>
  </si>
  <si>
    <t>DYLA var: 0 for AWD</t>
  </si>
  <si>
    <t>Hydraulic/Hydraulic</t>
  </si>
  <si>
    <t>TVGAJ02.0V3G</t>
  </si>
  <si>
    <t>Tiguan S</t>
  </si>
  <si>
    <t>XC40 B4</t>
  </si>
  <si>
    <t>MDX AWD</t>
  </si>
  <si>
    <t>Small SUV 4WD</t>
  </si>
  <si>
    <t>X1 M35i</t>
  </si>
  <si>
    <t>X1 xDrive28i</t>
  </si>
  <si>
    <t>X2 M35i</t>
  </si>
  <si>
    <t>X2 xDrive28i</t>
  </si>
  <si>
    <t>X3 M50</t>
  </si>
  <si>
    <t>X3 xDrive30</t>
  </si>
  <si>
    <t>ENCORE GX AWD</t>
  </si>
  <si>
    <t>ENVISION AWD</t>
  </si>
  <si>
    <t>Auto(S9)</t>
  </si>
  <si>
    <t>TGMXT02.0400</t>
  </si>
  <si>
    <t>EQUINOX AWD</t>
  </si>
  <si>
    <t>TRAILBLAZER AWD</t>
  </si>
  <si>
    <t>GV70 AWD</t>
  </si>
  <si>
    <t>THYXV03.5UT5</t>
  </si>
  <si>
    <t>GV70 AWD w/ 4-mode transmission</t>
  </si>
  <si>
    <t>4-mode transmission</t>
  </si>
  <si>
    <t>THYXV02.5UP3</t>
  </si>
  <si>
    <t>GV70 AWD w/ 5-mode transmission (Sport+)</t>
  </si>
  <si>
    <t>5-mode transmission(Sport+)</t>
  </si>
  <si>
    <t>TERRAIN AWD</t>
  </si>
  <si>
    <t>TERRAIN AWD Denali / AT4</t>
  </si>
  <si>
    <t>Denali / AT4</t>
  </si>
  <si>
    <t>CR-V AWD</t>
  </si>
  <si>
    <t>CR-V AWD TrailSport</t>
  </si>
  <si>
    <t>PASSPORT AWD</t>
  </si>
  <si>
    <t>THNXT03.516S</t>
  </si>
  <si>
    <t>PASSPORT AWD Trailsport</t>
  </si>
  <si>
    <t>Kona AWD</t>
  </si>
  <si>
    <t>Kona AWD SX2 1.6T 8AT AWD</t>
  </si>
  <si>
    <t>SX2 1.6T 8AT AWD</t>
  </si>
  <si>
    <t>Kona AWD w/ STOP-START</t>
  </si>
  <si>
    <t>Santa Cruz AWD  NX4 OB 2.5 AWD 8AT</t>
  </si>
  <si>
    <t>NX4 OB 2.5 AWD 8AT</t>
  </si>
  <si>
    <t>Santa Cruz AWD NX4 OB 2.5T AWD 8AT</t>
  </si>
  <si>
    <t>NX4 OB 2.5T AWD 8AT</t>
  </si>
  <si>
    <t>THYXT02.5VP3</t>
  </si>
  <si>
    <t>Santa Cruz XRT AWD</t>
  </si>
  <si>
    <t>NX4 OB 2.5T XRT AWD 8AT</t>
  </si>
  <si>
    <t>Santa Fe AWD</t>
  </si>
  <si>
    <t>Santa Fe AWD XRT</t>
  </si>
  <si>
    <t>Santa Fe Hybrid AWD</t>
  </si>
  <si>
    <t>Tucson AWD</t>
  </si>
  <si>
    <t>NX4 2.5 8AT AWD</t>
  </si>
  <si>
    <t>Tucson Hybrid</t>
  </si>
  <si>
    <t>THYXT01.6L13</t>
  </si>
  <si>
    <t>Tucson Hybrid Blue</t>
  </si>
  <si>
    <t>Jaguar Land Rover L</t>
  </si>
  <si>
    <t>Jaguar</t>
  </si>
  <si>
    <t>F-PACE</t>
  </si>
  <si>
    <t>JLX</t>
  </si>
  <si>
    <t>Inlet and Exhaust Camshaft Phasing controlled by Engine Management System</t>
  </si>
  <si>
    <t>Continuously variable inlet valve lift</t>
  </si>
  <si>
    <t>TJLXJ02.0RTX</t>
  </si>
  <si>
    <t>F-PACE MHEV</t>
  </si>
  <si>
    <t>Inlet and Exhaust Camshaft Phasing controlled by Engine Management System.</t>
  </si>
  <si>
    <t>Not applicable</t>
  </si>
  <si>
    <t>F-PACE P400 MHEV</t>
  </si>
  <si>
    <t>TJLXJ03.0FSC</t>
  </si>
  <si>
    <t>F-PACE SVR</t>
  </si>
  <si>
    <t>F-Pace SVR</t>
  </si>
  <si>
    <t>TJLXJ05.0FSM</t>
  </si>
  <si>
    <t>Jeep</t>
  </si>
  <si>
    <t>Compass 4X4</t>
  </si>
  <si>
    <t>electro-hydraulic control</t>
  </si>
  <si>
    <t>TCRXJ02.0570</t>
  </si>
  <si>
    <t>Seltos AWD (1.6L)</t>
  </si>
  <si>
    <t>TKMXT01.6NC3</t>
  </si>
  <si>
    <t>Seltos AWD (2.0L)</t>
  </si>
  <si>
    <t>0W20 API SN or ILSAC GF-6</t>
  </si>
  <si>
    <t>TKMXT02.0NE3</t>
  </si>
  <si>
    <t>Sorento AWD</t>
  </si>
  <si>
    <t>Sorento Hybrid AWD</t>
  </si>
  <si>
    <t>Sportage AWD</t>
  </si>
  <si>
    <t>Sportage Hybrid AWD</t>
  </si>
  <si>
    <t>Sportage X-pro</t>
  </si>
  <si>
    <t>Land Rover</t>
  </si>
  <si>
    <t>Discovery Sport</t>
  </si>
  <si>
    <t>Land Rover Discovery Sport</t>
  </si>
  <si>
    <t>TJLXT02.0RTV</t>
  </si>
  <si>
    <t>Range Rover Evoque</t>
  </si>
  <si>
    <t>Range Rover Velar</t>
  </si>
  <si>
    <t>Velar</t>
  </si>
  <si>
    <t>Range Rover Velar P340 MHEV</t>
  </si>
  <si>
    <t>Range Rover Velar P400 MHEV</t>
  </si>
  <si>
    <t>Range Rover Velar MHEV</t>
  </si>
  <si>
    <t>NX 350 AWD</t>
  </si>
  <si>
    <t>APPLIED TO NX 350, RX 350, TX 350</t>
  </si>
  <si>
    <t>TTYXJ02.4H3B</t>
  </si>
  <si>
    <t>NX 350 AWD F SPORT</t>
  </si>
  <si>
    <t>NX 350h AWD</t>
  </si>
  <si>
    <t>Ford Motor Company</t>
  </si>
  <si>
    <t>Lincoln</t>
  </si>
  <si>
    <t>NAUTILUS AWD</t>
  </si>
  <si>
    <t>FMX</t>
  </si>
  <si>
    <t>Dual intake &amp;amp; Exhaust</t>
  </si>
  <si>
    <t>SAE 5W-30 / ILSAC GF-7</t>
  </si>
  <si>
    <t>TFMXT02.02Y5</t>
  </si>
  <si>
    <t>NAUTILUS HEV AWD</t>
  </si>
  <si>
    <t>Engine Rated Horsepower is the combined hybrid system HP value.</t>
  </si>
  <si>
    <t>Hydraulic actuated Variable Cam Timing</t>
  </si>
  <si>
    <t>AC Permanent Magnet</t>
  </si>
  <si>
    <t>TFMXT02.02JF</t>
  </si>
  <si>
    <t>GLA 250 4MATIC</t>
  </si>
  <si>
    <t>GLB 250 4MATIC</t>
  </si>
  <si>
    <t>GLC 300 4MATIC</t>
  </si>
  <si>
    <t>GLC 300 4MATIC (Coupe)</t>
  </si>
  <si>
    <t>GLE 350</t>
  </si>
  <si>
    <t>TMBXT02.0HY1</t>
  </si>
  <si>
    <t>GLE 350 4MATIC</t>
  </si>
  <si>
    <t>Countryman S ALL4</t>
  </si>
  <si>
    <t>JCW Countryman ALL4</t>
  </si>
  <si>
    <t>ROGUE AWD</t>
  </si>
  <si>
    <t>ROGUE AWD ROCK CREEK</t>
  </si>
  <si>
    <t>TNSXT01.5E3U</t>
  </si>
  <si>
    <t>Macan</t>
  </si>
  <si>
    <t>TWC/MAP/DFI/WR-HO2S/HO2S/TC/CAC</t>
  </si>
  <si>
    <t>TPRXT02.0MR4</t>
  </si>
  <si>
    <t>Macan GTS</t>
  </si>
  <si>
    <t>VarioCam</t>
  </si>
  <si>
    <t>TPRXT03.0CV6</t>
  </si>
  <si>
    <t>Macan S</t>
  </si>
  <si>
    <t>Engine for Macan S</t>
  </si>
  <si>
    <t>Macan T</t>
  </si>
  <si>
    <t>CROSSTREK AWD</t>
  </si>
  <si>
    <t>CROSSTREK HYBRID AWD</t>
  </si>
  <si>
    <t>Intake</t>
  </si>
  <si>
    <t>TFJXT02.5XEJ</t>
  </si>
  <si>
    <t>CROSSTREK WILDERNESS AWD</t>
  </si>
  <si>
    <t>FORESTER AWD</t>
  </si>
  <si>
    <t>FORESTER SPORT/TOURING AWD</t>
  </si>
  <si>
    <t>FORESTER WILDERNESS AWD</t>
  </si>
  <si>
    <t>OUTBACK AWD</t>
  </si>
  <si>
    <t>ILSAC GF-6A 0W-20</t>
  </si>
  <si>
    <t>TFJXT02.4RAB</t>
  </si>
  <si>
    <t>OUTBACK WILDERNESS AWD</t>
  </si>
  <si>
    <t>Atlas 4Motion Peak Edition</t>
  </si>
  <si>
    <t>Atlas Cross Sport 4Motion</t>
  </si>
  <si>
    <t>Atlas SE 4Motion</t>
  </si>
  <si>
    <t>Atlas SEL 4Motion</t>
  </si>
  <si>
    <t>Taos 4Motion</t>
  </si>
  <si>
    <t>Tiguan 4Motion</t>
  </si>
  <si>
    <t>DYKA var: 0 for AWD</t>
  </si>
  <si>
    <t>Tiguan SEL 4Motion</t>
  </si>
  <si>
    <t>XC40 B5 AWD</t>
  </si>
  <si>
    <t>XC60 B5 AWD</t>
  </si>
  <si>
    <t>TVVXT02.0S31</t>
  </si>
  <si>
    <t>X5 sDrive40i</t>
  </si>
  <si>
    <t>Standard SUV 2WD</t>
  </si>
  <si>
    <t>ENCLAVE FWD</t>
  </si>
  <si>
    <t>TGMXT02.5000</t>
  </si>
  <si>
    <t>TRAVERSE FWD</t>
  </si>
  <si>
    <t>Dodge</t>
  </si>
  <si>
    <t>Durango RWD</t>
  </si>
  <si>
    <t>TCRXT03.6570</t>
  </si>
  <si>
    <t>ACADIA FWD</t>
  </si>
  <si>
    <t>Palisade FWD</t>
  </si>
  <si>
    <t>THYXT03.5NU3</t>
  </si>
  <si>
    <t>Palisade Hybrid FWD Blue</t>
  </si>
  <si>
    <t>Fixed 3 (More than two or continuous)</t>
  </si>
  <si>
    <t>THYXV02.5N13</t>
  </si>
  <si>
    <t>INFINITI</t>
  </si>
  <si>
    <t>QX60 FWD</t>
  </si>
  <si>
    <t>For QX60 FWD, QX60 AWD</t>
  </si>
  <si>
    <t>INT:ECM controlled, Motor driven EXH:ECM controlled, Oil pressure driven</t>
  </si>
  <si>
    <t>TNSXT02.0FVM</t>
  </si>
  <si>
    <t>TNSXT02.0EVW</t>
  </si>
  <si>
    <t>QX80 2WD</t>
  </si>
  <si>
    <t>For QX80 2WD and QX80 4WD</t>
  </si>
  <si>
    <t>INT;ECM and VTC controller controlled, Electric driven EXH;ECM controlled, Oil pressure driven</t>
  </si>
  <si>
    <t>TNSXT03.5EWU</t>
  </si>
  <si>
    <t>ARMADA 2WD</t>
  </si>
  <si>
    <t>For ARMADA 2WD, ARMADA 4WD (except ARMADA 4WD NISMO) and ARMADA 4WD PRO-4X</t>
  </si>
  <si>
    <t>SEQUOIA 2WD</t>
  </si>
  <si>
    <t>MDX AWD Type-S</t>
  </si>
  <si>
    <t>Standard SUV 4WD</t>
  </si>
  <si>
    <t>Variable valve Timing control(VTC) system is applied.</t>
  </si>
  <si>
    <t>THNXT03.0HTC</t>
  </si>
  <si>
    <t>SQ7</t>
  </si>
  <si>
    <t>Applies to DWRB var: 0</t>
  </si>
  <si>
    <t>The variable valve timing is a substantial engine feature for: ? Reducing engine out emissions ? Optimizing full load performance ? Optimizing fuel consumption ? Reducing engine roughness                                                                 Adjust the inlet and outlet camshaft position continously between retard and advanced position.</t>
  </si>
  <si>
    <t>TVGAT04.0NAV</t>
  </si>
  <si>
    <t>Bentley</t>
  </si>
  <si>
    <t>Bentayga</t>
  </si>
  <si>
    <t>Applies to DWNG var: 0</t>
  </si>
  <si>
    <t>The variable valve timing is a substantial engine feature for: * Reducing engine out emissions * Optimizing full load performance * Optimizing fuel consumption * Reducing engine roughness *Adjust the inlet and outlet camshaft position continuously between retard and advanced position.</t>
  </si>
  <si>
    <t>TVGAT04.0PAA</t>
  </si>
  <si>
    <t>Bentayga EWB</t>
  </si>
  <si>
    <t>ALPINA XB7</t>
  </si>
  <si>
    <t>X5 M Competition</t>
  </si>
  <si>
    <t>Starter Generator Engine with 48V Technology; Motor/Generator Type: permanent magnet synchronous machine (PMSM)</t>
  </si>
  <si>
    <t>TBMXT04.4S6M</t>
  </si>
  <si>
    <t>X5 M60i xDrive</t>
  </si>
  <si>
    <t>X5 xDrive40i</t>
  </si>
  <si>
    <t>X6 M Competition</t>
  </si>
  <si>
    <t>X6 M60i xDrive</t>
  </si>
  <si>
    <t>X6 xDrive40i</t>
  </si>
  <si>
    <t>X7 M60i xDrive</t>
  </si>
  <si>
    <t>X7 xDrive40i</t>
  </si>
  <si>
    <t>ENCLAVE AWD</t>
  </si>
  <si>
    <t>TRAVERSE AWD</t>
  </si>
  <si>
    <t>Durango AWD</t>
  </si>
  <si>
    <t>TCRXT05.7570</t>
  </si>
  <si>
    <t>GV80 AWD</t>
  </si>
  <si>
    <t>THYXT03.5TT5</t>
  </si>
  <si>
    <t>GV80 MHEV</t>
  </si>
  <si>
    <t>2 Turbocharger + 1 Supercharger</t>
  </si>
  <si>
    <t>This vehicle is mild hybrid vehicle.</t>
  </si>
  <si>
    <t>Claw pole</t>
  </si>
  <si>
    <t>THYXT03.5T15</t>
  </si>
  <si>
    <t>ACADIA AWD</t>
  </si>
  <si>
    <t>Palisade AWD</t>
  </si>
  <si>
    <t>Palisade Hybrid AWD</t>
  </si>
  <si>
    <t>Palisade XRT Pro</t>
  </si>
  <si>
    <t>QX60 AWD</t>
  </si>
  <si>
    <t>QX80 4WD</t>
  </si>
  <si>
    <t>Defender 110</t>
  </si>
  <si>
    <t>TJLXT02.0RTW</t>
  </si>
  <si>
    <t>TJLXT05.0FSR</t>
  </si>
  <si>
    <t>Defender 110 MHEV</t>
  </si>
  <si>
    <t>TJLXT04.4GTH</t>
  </si>
  <si>
    <t>Defender 130</t>
  </si>
  <si>
    <t>Defender 90</t>
  </si>
  <si>
    <t>AMG GLE 53 4MATIC+</t>
  </si>
  <si>
    <t>GLS 450 4MATIC, GLE 450 4MATIC, GLE 450 4MATIC (coupe)</t>
  </si>
  <si>
    <t>AMG GLE 53 4MATIC+ (coupe)</t>
  </si>
  <si>
    <t>AMG GLE 63 S 4MATIC+</t>
  </si>
  <si>
    <t>ENGINE: GLS 63, GLE 63, GLE 63 coupe (AWD)/ 603 HP COMBUSTION AND 21 HP ELECTRIC MOTOR</t>
  </si>
  <si>
    <t>Camtronic is used to deactivate cylinder 2,3,5,8 by changing the valve lift (intake and exhaust valves) of the mentioned cylinders to 0 mm.</t>
  </si>
  <si>
    <t>TMBXT04.0HY1</t>
  </si>
  <si>
    <t>AMG GLS 63 4MATIC+</t>
  </si>
  <si>
    <t>GLE 450 4MATIC</t>
  </si>
  <si>
    <t>GLE 450 4MATIC (coupe)</t>
  </si>
  <si>
    <t>GLE 580 4MATIC</t>
  </si>
  <si>
    <t>ENGINE: GLS 580 4MATIC, GLE 580 (AWD)/ 510 HP COMBUSTION AND 21 HP ELECTRIC MOTOR</t>
  </si>
  <si>
    <t>GLS 450 4MATIC</t>
  </si>
  <si>
    <t>GLS 580 4MATIC</t>
  </si>
  <si>
    <t>GLS 600 4MATIC Maybach</t>
  </si>
  <si>
    <t>ARMADA 4WD</t>
  </si>
  <si>
    <t>ARMADA 4WD PRO-4X</t>
  </si>
  <si>
    <t>Cayenne</t>
  </si>
  <si>
    <t>engine for Cayenne and Cayenne Coupe TWC/MAP/DFI/WR-HO2S/HO2S/1TC/2CAC</t>
  </si>
  <si>
    <t>Cayenne Coupe</t>
  </si>
  <si>
    <t>Black Badge Cullinan</t>
  </si>
  <si>
    <t>Cullinan</t>
  </si>
  <si>
    <t>SEQUOIA 4WD</t>
  </si>
  <si>
    <t>XC90 B5 AWD</t>
  </si>
  <si>
    <t>XC90 B6 AWD</t>
  </si>
  <si>
    <t>Vantage</t>
  </si>
  <si>
    <t>Vantage Power Spec</t>
  </si>
  <si>
    <t>Inlet and exhaust cam phasing</t>
  </si>
  <si>
    <t>TASXJ04.0AEX</t>
  </si>
  <si>
    <t>CORVETTE E-RAY</t>
  </si>
  <si>
    <t>Drive Motors/Generator:  119 kWatt Represents Engine Config 1; 139 kWatt Represents Engine Config 2</t>
  </si>
  <si>
    <t>TGMXV06.2093</t>
  </si>
  <si>
    <t>Z</t>
  </si>
  <si>
    <t>For Z</t>
  </si>
  <si>
    <t>EXH;ECM controlled, Oil pressure driven INT;ECM and VTC controller controlled, Electric driven</t>
  </si>
  <si>
    <t>TNSXV03.0BXW</t>
  </si>
  <si>
    <t>Z NISMO</t>
  </si>
  <si>
    <t>For Z NISMO</t>
  </si>
  <si>
    <t>DB12 V8</t>
  </si>
  <si>
    <t>Power specification DB12</t>
  </si>
  <si>
    <t>911 Carrera 4 GTS</t>
  </si>
  <si>
    <t>TPRXV03.6T92</t>
  </si>
  <si>
    <t>911 Carrera 4 GTS Cabriolet</t>
  </si>
  <si>
    <t>911 Carrera GTS</t>
  </si>
  <si>
    <t>911 Carrera GTS Cabriolet</t>
  </si>
  <si>
    <t>911 Targa 4 GTS</t>
  </si>
  <si>
    <t>BRZ</t>
  </si>
  <si>
    <t>ILSAC GF-6 0W-20</t>
  </si>
  <si>
    <t>TFJXV02.4AJM</t>
  </si>
  <si>
    <t>A3 quattro</t>
  </si>
  <si>
    <t>Applies to DYWA var: 0</t>
  </si>
  <si>
    <t>CONTINUOUSLY VARIABLE VALVE TIMING</t>
  </si>
  <si>
    <t>TVGAV02.0A3N</t>
  </si>
  <si>
    <t>RS 3</t>
  </si>
  <si>
    <t>Applies to DXHB var: 0</t>
  </si>
  <si>
    <t>0W30 VW50400 / VW50700</t>
  </si>
  <si>
    <t>TVGAV02.5NAG</t>
  </si>
  <si>
    <t>S3</t>
  </si>
  <si>
    <t>Applies to DSFD var: 0</t>
  </si>
  <si>
    <t>TVGAV02.0A7N</t>
  </si>
  <si>
    <t>Ford</t>
  </si>
  <si>
    <t>MUSTANG</t>
  </si>
  <si>
    <t>TFMXV02.3VJY</t>
  </si>
  <si>
    <t>Mustang GT Active Exhaust</t>
  </si>
  <si>
    <t>TiVCT</t>
  </si>
  <si>
    <t>SAE 5W-30 / ILSAC GF-6</t>
  </si>
  <si>
    <t>TFMXV05.0VKN</t>
  </si>
  <si>
    <t>MUSTANG DARK HORSE</t>
  </si>
  <si>
    <t>Mustang Dark Horse</t>
  </si>
  <si>
    <t>Maserati</t>
  </si>
  <si>
    <t>MASERATI</t>
  </si>
  <si>
    <t>Grancabrio</t>
  </si>
  <si>
    <t>MAX</t>
  </si>
  <si>
    <t>Half Engine Mode</t>
  </si>
  <si>
    <t>Variable camshaft timing for exhaust and inlet</t>
  </si>
  <si>
    <t>SAE 5W-40</t>
  </si>
  <si>
    <t>TMAXJ03.0TJI</t>
  </si>
  <si>
    <t>Grancabrio Trofeo</t>
  </si>
  <si>
    <t>Granturismo</t>
  </si>
  <si>
    <t>Granturismo Trofeo</t>
  </si>
  <si>
    <t>AMG CLA 35 4MATIC</t>
  </si>
  <si>
    <t>COROLLA</t>
  </si>
  <si>
    <t>1-mode TM</t>
  </si>
  <si>
    <t>TTYXV02.0E4A</t>
  </si>
  <si>
    <t>3-mode TM</t>
  </si>
  <si>
    <t>Auto(AV-S10)</t>
  </si>
  <si>
    <t>COROLLA HATCHBACK</t>
  </si>
  <si>
    <t>COROLLA HATCHBACK FX</t>
  </si>
  <si>
    <t>COROLLA HATCHBACK XSE</t>
  </si>
  <si>
    <t>COROLLA HYBRID</t>
  </si>
  <si>
    <t>"30kWatt" of Rated Motor/Generator Power is only for COROLLA HYBRID AWD.</t>
  </si>
  <si>
    <t>30 and 70</t>
  </si>
  <si>
    <t>TTYXV01.8H3A</t>
  </si>
  <si>
    <t>COROLLA HYBRID AWD</t>
  </si>
  <si>
    <t>Elantra</t>
  </si>
  <si>
    <t>Fixed3 - Continuously variable cam timing both intake and exhaust for the best performance and fuel economy</t>
  </si>
  <si>
    <t>THYXV01.6CC7</t>
  </si>
  <si>
    <t>Elantra Hybrid</t>
  </si>
  <si>
    <t>SAE 0W-20 API SN</t>
  </si>
  <si>
    <t>THYXV01.6C13</t>
  </si>
  <si>
    <t>Elantra Hybrid Blue</t>
  </si>
  <si>
    <t>Elantra N</t>
  </si>
  <si>
    <t>THYXV02.0CG8</t>
  </si>
  <si>
    <t>Elantra non-ISG</t>
  </si>
  <si>
    <t>NON-ISG</t>
  </si>
  <si>
    <t>THYXV02.0CE3</t>
  </si>
  <si>
    <t>Elantra w/ Stop-Start</t>
  </si>
  <si>
    <t>CAMRY HEV AWD LE</t>
  </si>
  <si>
    <t>30 and 100</t>
  </si>
  <si>
    <t>TTYXV02.5V2A</t>
  </si>
  <si>
    <t>CAMRY HEV AWD SE/XLE</t>
  </si>
  <si>
    <t>CAMRY HEV AWD XSE</t>
  </si>
  <si>
    <t>CAMRY HEV FF LE</t>
  </si>
  <si>
    <t>CAMRY HEV FF SE/XLE/XSE</t>
  </si>
  <si>
    <t>TOYOTA CROWN AWD</t>
  </si>
  <si>
    <t>"59kWatt" of Rated Motor/Generator Power is only for AWD.</t>
  </si>
  <si>
    <t>59 and 61</t>
  </si>
  <si>
    <t>TTYXV02.4H3A</t>
  </si>
  <si>
    <t>A8 quattro</t>
  </si>
  <si>
    <t>Applies to CZSE var: 0</t>
  </si>
  <si>
    <t>The variable valve timing is a substantial feature for: Â• Reducing engine emissions Â• Optimizing gas-exchange cycle Â• Optimizing fuel consumption Â• Reducing engine roughness Â• Optimizing full load performance</t>
  </si>
  <si>
    <t>TVGAV03.0N7M</t>
  </si>
  <si>
    <t>S8</t>
  </si>
  <si>
    <t>Applies to DWKA var: 0</t>
  </si>
  <si>
    <t>G90 MHEV</t>
  </si>
  <si>
    <t>2 Turbo charger + 1 Super charger</t>
  </si>
  <si>
    <t>claw pole</t>
  </si>
  <si>
    <t>THYXV03.5J17</t>
  </si>
  <si>
    <t>Panamera</t>
  </si>
  <si>
    <t>TPRXV02.9PV6</t>
  </si>
  <si>
    <t>Panamera 4</t>
  </si>
  <si>
    <t>A6 allroad quattro</t>
  </si>
  <si>
    <t>Applies to DCBD var: 0</t>
  </si>
  <si>
    <t>Adjust the inlet and outlet camshaft continuously between retarded and advanced position. The maximum adjustment speed is limited by mechanical system (e.g. oil viscosity).</t>
  </si>
  <si>
    <t>TVGAJ03.0N7N</t>
  </si>
  <si>
    <t>CANYON 2WD</t>
  </si>
  <si>
    <t>FRONTIER 2WD</t>
  </si>
  <si>
    <t>TNSXT03.8GRM</t>
  </si>
  <si>
    <t>RIDGELINE AWD</t>
  </si>
  <si>
    <t>THNXT03.53TC</t>
  </si>
  <si>
    <t>RIDGELINE AWD TrailSport</t>
  </si>
  <si>
    <t>Gladiator 4X4</t>
  </si>
  <si>
    <t>FRONTIER 4WD</t>
  </si>
  <si>
    <t>FRONTIER 4WD PRO-4X</t>
  </si>
  <si>
    <t>GLB 250</t>
  </si>
  <si>
    <t xml:space="preserve">SIDI; Mild Hybrid; Under EPA regulations, the manufacturer revised the fuel economy label values on . Previous values were XX MPG city, XX MPG highway, and XX MPG combined; </t>
  </si>
  <si>
    <t>RH</t>
  </si>
  <si>
    <t>Relabel - label value increased</t>
  </si>
  <si>
    <t>40 and 134</t>
  </si>
  <si>
    <t>ESCAPE FWD</t>
  </si>
  <si>
    <t>Intake/Exhaust, Hydraulic Actuated VCT</t>
  </si>
  <si>
    <t>0W-20 / ILSAC GF-7</t>
  </si>
  <si>
    <t>TFMXT01.52X1</t>
  </si>
  <si>
    <t>RX 350</t>
  </si>
  <si>
    <t>CORSAIR FWD</t>
  </si>
  <si>
    <t>26MY 2.0L GTPFDI Corsair FWD, Corsair AWD, Escape AWD, Rated HP and Peak Torque values based on 98 RON testing.</t>
  </si>
  <si>
    <t>TFMXT02.02Y3</t>
  </si>
  <si>
    <t>Mitsubishi Motors Co</t>
  </si>
  <si>
    <t>Mitsubishi Motors Corporation</t>
  </si>
  <si>
    <t>MTX</t>
  </si>
  <si>
    <t>KICKS</t>
  </si>
  <si>
    <t>Fof KICKS</t>
  </si>
  <si>
    <t>TNSXJ02.0JMF</t>
  </si>
  <si>
    <t>COROLLA CROSS</t>
  </si>
  <si>
    <t>TTYXT02.0E4A</t>
  </si>
  <si>
    <t>RDX AWD</t>
  </si>
  <si>
    <t>Variable valve Timing (VTC) and lift Electronic Control (VTEC) system is applied.</t>
  </si>
  <si>
    <t>THNXT02.0V7S</t>
  </si>
  <si>
    <t>RDX AWD A-SPEC</t>
  </si>
  <si>
    <t>THNXT02.0W7S</t>
  </si>
  <si>
    <t>ESCAPE AWD</t>
  </si>
  <si>
    <t>ESCAPE AWD HEV</t>
  </si>
  <si>
    <t>FHEV Escape</t>
  </si>
  <si>
    <t>SAE 0W-20 / ILSAC GF-7</t>
  </si>
  <si>
    <t>TFMXT02.52F1</t>
  </si>
  <si>
    <t>Wrangler 2dr 4X4</t>
  </si>
  <si>
    <t>TCRXT02.0572</t>
  </si>
  <si>
    <t>Wrangler 4dr 4X4</t>
  </si>
  <si>
    <t>RX 350 AWD</t>
  </si>
  <si>
    <t>RX 350h AWD</t>
  </si>
  <si>
    <t>Applied to GRAND HIGHLANDER HYBRID and RX 350h.</t>
  </si>
  <si>
    <t>RX 500h AWD</t>
  </si>
  <si>
    <t>APPLIED TO TX 500h, RX 500h</t>
  </si>
  <si>
    <t>64 and 76</t>
  </si>
  <si>
    <t>TTYXT02.4H3L</t>
  </si>
  <si>
    <t>CORSAIR AWD</t>
  </si>
  <si>
    <t>Grecale Modena V6</t>
  </si>
  <si>
    <t>Variable camshaft timing for exhaust and intake</t>
  </si>
  <si>
    <t>Grecale Trofeo</t>
  </si>
  <si>
    <t>ECLIPSE CROSS 4WD</t>
  </si>
  <si>
    <t>DOHC continuous Variable Valve Timing System with both inlet and exhaust</t>
  </si>
  <si>
    <t>TMTXT01.5G8W</t>
  </si>
  <si>
    <t>ECLIPSE CROSS ES 4WD</t>
  </si>
  <si>
    <t>KICKS AWD</t>
  </si>
  <si>
    <t>Fof KICKS AWD</t>
  </si>
  <si>
    <t>COROLLA CROSS AWD</t>
  </si>
  <si>
    <t>COROLLA CROSS HYBRID AWD</t>
  </si>
  <si>
    <t>30 and 83</t>
  </si>
  <si>
    <t>TTYXT02.0H3A</t>
  </si>
  <si>
    <t>SUBURBAN 2WD</t>
  </si>
  <si>
    <t>TGMXT03.0353</t>
  </si>
  <si>
    <t>TAHOE 2WD</t>
  </si>
  <si>
    <t>EXPLORER RWD</t>
  </si>
  <si>
    <t>TFMXT02.34K2</t>
  </si>
  <si>
    <t>YUKON 2WD</t>
  </si>
  <si>
    <t>YUKON XL 2WD</t>
  </si>
  <si>
    <t>Palisade Hybrid FWD</t>
  </si>
  <si>
    <t>TX 350</t>
  </si>
  <si>
    <t>GRAND HIGHLANDER HYBRID</t>
  </si>
  <si>
    <t>GRAND HIGHLANDER LE/XLE</t>
  </si>
  <si>
    <t>APPLIED TO GRAND HIGHLANDER, HIGHLANDER</t>
  </si>
  <si>
    <t>GRAND HIGHLANDER LIMITED</t>
  </si>
  <si>
    <t>DBX 707</t>
  </si>
  <si>
    <t>DBX707 Power Spec</t>
  </si>
  <si>
    <t>Individual cylinder de-activation based on torque demand</t>
  </si>
  <si>
    <t>DBX 727</t>
  </si>
  <si>
    <t>Q7</t>
  </si>
  <si>
    <t>Applies to DUVA var: 0</t>
  </si>
  <si>
    <t>Audi Valve System</t>
  </si>
  <si>
    <t>TVGAT02.0A77</t>
  </si>
  <si>
    <t>Q7 quattro</t>
  </si>
  <si>
    <t>Q8 quattro</t>
  </si>
  <si>
    <t>RS Q8 Performance</t>
  </si>
  <si>
    <t>Applies to DWNA var: 0</t>
  </si>
  <si>
    <t>SQ8</t>
  </si>
  <si>
    <t>ESCALADE 4WD</t>
  </si>
  <si>
    <t>ESCALADE V AWD</t>
  </si>
  <si>
    <t>TGMXT06.2376</t>
  </si>
  <si>
    <t>SUBURBAN 4WD</t>
  </si>
  <si>
    <t>TAHOE 4WD</t>
  </si>
  <si>
    <t>TAHOE 4WD (5.3L)</t>
  </si>
  <si>
    <t>TAHOE 4WD (6.2L)</t>
  </si>
  <si>
    <t>EXPLORER AWD</t>
  </si>
  <si>
    <t>YUKON 4WD</t>
  </si>
  <si>
    <t>YUKON XL 4WD</t>
  </si>
  <si>
    <t>Defender 110 Trophy MHEV</t>
  </si>
  <si>
    <t>Mechanical turbocharger and electronic supercharger.</t>
  </si>
  <si>
    <t>Defender Trophy MHEV</t>
  </si>
  <si>
    <t>TJLXT03.0HTS</t>
  </si>
  <si>
    <t>Defender 130 Outbound</t>
  </si>
  <si>
    <t>Defender Outbound MHEV</t>
  </si>
  <si>
    <t>Range Rover LWB MHEV</t>
  </si>
  <si>
    <t>Range Rover MHEV LWB</t>
  </si>
  <si>
    <t>TJLXT04.4GTG</t>
  </si>
  <si>
    <t>Range Rover MHEV</t>
  </si>
  <si>
    <t>Range Rover Sport MHEV</t>
  </si>
  <si>
    <t>Range Rover Sport SVR MHEV</t>
  </si>
  <si>
    <t>Range Rover SV LWB MHEV</t>
  </si>
  <si>
    <t>Range Rover SV MHEV LWB</t>
  </si>
  <si>
    <t>Range Rover SV MHEV</t>
  </si>
  <si>
    <t>TX 350 AWD</t>
  </si>
  <si>
    <t>TX 500h AWD</t>
  </si>
  <si>
    <t>Permanent magnet synchronous</t>
  </si>
  <si>
    <t>TTKXT03.3DHB</t>
  </si>
  <si>
    <t>TTKXT03.3DHA</t>
  </si>
  <si>
    <t>MAZDA CX-90 4WD</t>
  </si>
  <si>
    <t>AMG GLE 63 S 4MATIC+ (coupe)</t>
  </si>
  <si>
    <t>G 550</t>
  </si>
  <si>
    <t>Electric motor: max. power 15kW</t>
  </si>
  <si>
    <t>TMBXT03.0HY1</t>
  </si>
  <si>
    <t>Cayenne GTS</t>
  </si>
  <si>
    <t>2TWC/MAP/DFI/2WR-HO2S/2HO2S/2TC/2CAC</t>
  </si>
  <si>
    <t>TPRXT04.0CE8</t>
  </si>
  <si>
    <t>Cayenne GTS Coupe</t>
  </si>
  <si>
    <t>Cayenne S</t>
  </si>
  <si>
    <t>Cayenne S Coupe</t>
  </si>
  <si>
    <t>Cayenne Turbo GT</t>
  </si>
  <si>
    <t>Engine for Cayenne Turbo GT</t>
  </si>
  <si>
    <t>Adaptive Cylinder Control</t>
  </si>
  <si>
    <t>TPRXT04.0CV8</t>
  </si>
  <si>
    <t>GRAND HIGHLANDER AWD LE/XLE</t>
  </si>
  <si>
    <t>GRAND HIGHLANDER AWD LIMITED/PLATINUM</t>
  </si>
  <si>
    <t>GRAND HIGHLANDER HYBRID AWD</t>
  </si>
  <si>
    <t>APPLIED TO GRAND HIGHLANDER</t>
  </si>
  <si>
    <t>64 and 74</t>
  </si>
  <si>
    <t>LAND CRUISER</t>
  </si>
  <si>
    <t>TTYXT02.4E4A</t>
  </si>
  <si>
    <t>City Range (miles)</t>
  </si>
  <si>
    <t>Hwy Range (miles)</t>
  </si>
  <si>
    <t>Comb Range as shown on FE Label (miles)</t>
  </si>
  <si>
    <t>Q4 45 e-tron</t>
  </si>
  <si>
    <t>Auto(A1)</t>
  </si>
  <si>
    <t>EL</t>
  </si>
  <si>
    <t>Electricity</t>
  </si>
  <si>
    <t>Vehicle can not operate on gasoline or diesel fuel</t>
  </si>
  <si>
    <t>Electric Vehicle 2-cycle label</t>
  </si>
  <si>
    <t>Off-Board</t>
  </si>
  <si>
    <t>3 Phase PSM</t>
  </si>
  <si>
    <t>TVGAV00.0NZ4</t>
  </si>
  <si>
    <t>KW-HR/100Miles</t>
  </si>
  <si>
    <t>kilowatt-hour per 100 miles</t>
  </si>
  <si>
    <t>i5 eDrive40 Sedan (19'' Wheels)</t>
  </si>
  <si>
    <t>Electric Vehicle 5-cycle label</t>
  </si>
  <si>
    <t>TBMXV00.0G6A</t>
  </si>
  <si>
    <t>i5 eDrive40 Sedan (20'' Wheels)</t>
  </si>
  <si>
    <t>i5 eDrive40 Sedan (21'' Wheels)</t>
  </si>
  <si>
    <t>i5 xDrive40 Sedan (19'' Wheels)</t>
  </si>
  <si>
    <t>190 and 230</t>
  </si>
  <si>
    <t>TBMXV00.0G6B</t>
  </si>
  <si>
    <t>i5 xDrive40 Sedan (20'' Wheels)</t>
  </si>
  <si>
    <t>i5 xDrive40 Sedan (21'' Wheels)</t>
  </si>
  <si>
    <t>iX xDrive45 (20'' Wheels)</t>
  </si>
  <si>
    <t>Motor/Generator Type: externally excited synchronuous machine (EESM)</t>
  </si>
  <si>
    <t>190 and 200</t>
  </si>
  <si>
    <t>TBMXT00.0I2A</t>
  </si>
  <si>
    <t>iX xDrive45 (21'' Wheels)</t>
  </si>
  <si>
    <t>iX xDrive45 (22'' Wheels)</t>
  </si>
  <si>
    <t>iX xDrive45 (23'' Wheels)</t>
  </si>
  <si>
    <t>iX xDrive60 (20'' Wheels)</t>
  </si>
  <si>
    <t>TBMXT00.0I2B</t>
  </si>
  <si>
    <t>iX xDrive60 (21'' Wheels)</t>
  </si>
  <si>
    <t>iX xDrive60 (22'' Wheels)</t>
  </si>
  <si>
    <t>iX xDrive60 (23'' Wheels)</t>
  </si>
  <si>
    <t>iX M70 (21'' Wheels)</t>
  </si>
  <si>
    <t>190 and 360</t>
  </si>
  <si>
    <t>TBMXT00.0I2C</t>
  </si>
  <si>
    <t>iX M70 (22'' Wheels)</t>
  </si>
  <si>
    <t>iX M70 (23'' Wheels)</t>
  </si>
  <si>
    <t>Bugatti Rimac LLC</t>
  </si>
  <si>
    <t>Bugatti Rimac</t>
  </si>
  <si>
    <t>Nevera R</t>
  </si>
  <si>
    <t>BGR</t>
  </si>
  <si>
    <t>226 and 500</t>
  </si>
  <si>
    <t>NEVERA R</t>
  </si>
  <si>
    <t>TBGRV00.0CJP</t>
  </si>
  <si>
    <t>LYRIQ</t>
  </si>
  <si>
    <t>A1</t>
  </si>
  <si>
    <t>Both On-Board and Off-Board</t>
  </si>
  <si>
    <t>LYRIQ RWD</t>
  </si>
  <si>
    <t>TGMXT00.0906</t>
  </si>
  <si>
    <t>LYRIQ PAWD V SERIES (11 kW Charger)</t>
  </si>
  <si>
    <t>155 and 220</t>
  </si>
  <si>
    <t>LYRIQ PAWD V SERIES</t>
  </si>
  <si>
    <t>TGMXJ00.0917</t>
  </si>
  <si>
    <t>LYRIQ PAWD V SERIES (19 kW Charger)</t>
  </si>
  <si>
    <t>LYRIQ AWD</t>
  </si>
  <si>
    <t>VISTIQ (11 kW Charger)</t>
  </si>
  <si>
    <t>VISTIQ</t>
  </si>
  <si>
    <t>VISTIQ (19 kW Charger)</t>
  </si>
  <si>
    <t>SILVERADO EV</t>
  </si>
  <si>
    <t>255 and 256</t>
  </si>
  <si>
    <t>TGMXT00.0905</t>
  </si>
  <si>
    <t>TGMXT00.0907</t>
  </si>
  <si>
    <t>BLAZER EV FWD</t>
  </si>
  <si>
    <t>TGMXT00.0913</t>
  </si>
  <si>
    <t>BLAZER EV FWD 22IN TIRE</t>
  </si>
  <si>
    <t>BLAZER EV AWD</t>
  </si>
  <si>
    <t>67 and 180</t>
  </si>
  <si>
    <t>BLAZER EV EAWD</t>
  </si>
  <si>
    <t>TGMXT00.0914</t>
  </si>
  <si>
    <t>Charger Daytona R/T AWD 305/35ZR20</t>
  </si>
  <si>
    <t>TCRXV00.0512</t>
  </si>
  <si>
    <t>Charger Daytona Scat Pack AWD 305/35ZR20</t>
  </si>
  <si>
    <t>Charger Daytona Scat Pack AWD 325/35ZR20 Rear</t>
  </si>
  <si>
    <t>Charger Daytona Scat Pack AWD 325/35ZR20 Rear A/S</t>
  </si>
  <si>
    <t>Electrified G80</t>
  </si>
  <si>
    <t>Reduction Gear</t>
  </si>
  <si>
    <t>PMSM : Permanent Magnet Synchronous Motor</t>
  </si>
  <si>
    <t>THYXV00.0H00</t>
  </si>
  <si>
    <t>GV60 RWD</t>
  </si>
  <si>
    <t>IPMSM : Interior Permanent Magnet Synchronous Motor</t>
  </si>
  <si>
    <t>IPMSM</t>
  </si>
  <si>
    <t>RWD</t>
  </si>
  <si>
    <t>THYXV00.0300</t>
  </si>
  <si>
    <t>GV60 AWD with 19''</t>
  </si>
  <si>
    <t>74 and 160</t>
  </si>
  <si>
    <t>AWD with  19''</t>
  </si>
  <si>
    <t>THYXV00.0301</t>
  </si>
  <si>
    <t>GV60 AWD Advanced with 20''</t>
  </si>
  <si>
    <t>AWD Advanced with 20''</t>
  </si>
  <si>
    <t>GV60 AWD Performance</t>
  </si>
  <si>
    <t>IPMSM : Interior Permanent Magnet Synchronous Motor Motor Power is temporarily increased to 180 kW in boost mode.</t>
  </si>
  <si>
    <t>AWD Performance</t>
  </si>
  <si>
    <t>THYXV00.0302</t>
  </si>
  <si>
    <t>Electrified GV70 19'' AWD</t>
  </si>
  <si>
    <t>PMSM : Permanent Magnet Synchronous Motor Motor Power is temporarily increased to 180 kW in boost mode.</t>
  </si>
  <si>
    <t>THYXJ00.0U00</t>
  </si>
  <si>
    <t>Electrified GV70 20'' AWD</t>
  </si>
  <si>
    <t>SIERRA EV</t>
  </si>
  <si>
    <t>Ioniq 9 RWD</t>
  </si>
  <si>
    <t>THYXV00.0402</t>
  </si>
  <si>
    <t>Ioniq 9 AWD</t>
  </si>
  <si>
    <t>66 and 160</t>
  </si>
  <si>
    <t>THYXV00.0401</t>
  </si>
  <si>
    <t>Ioniq 9 AWD Performance</t>
  </si>
  <si>
    <t>THYXV00.0400</t>
  </si>
  <si>
    <t>Niro Electric</t>
  </si>
  <si>
    <t>PMSM : Permanent Magnet Synchronous Motor IPM : Interior Permanent Magnet</t>
  </si>
  <si>
    <t>PMSM (IPM)</t>
  </si>
  <si>
    <t>TKMXV00.0200</t>
  </si>
  <si>
    <t>EV9 Standard Range RWD</t>
  </si>
  <si>
    <t>TKMXV00.0302</t>
  </si>
  <si>
    <t>EV9 Long Range RWD</t>
  </si>
  <si>
    <t>TKMXV00.0301</t>
  </si>
  <si>
    <t>EV9 Long Range AWD</t>
  </si>
  <si>
    <t>TKMXV00.0300</t>
  </si>
  <si>
    <t>EV9 Long Range AWD GT-Line</t>
  </si>
  <si>
    <t>EV9 GT</t>
  </si>
  <si>
    <t>139 and 235</t>
  </si>
  <si>
    <t>TKMXV00.0303</t>
  </si>
  <si>
    <t>Lucid USA, Inc</t>
  </si>
  <si>
    <t>Lucid USA Inc.</t>
  </si>
  <si>
    <t>Gravity GT w/20F21R wheels (2R)</t>
  </si>
  <si>
    <t>LMU</t>
  </si>
  <si>
    <t>Permanent Magnet AC Motor</t>
  </si>
  <si>
    <t>TLMUJ00.0GL2</t>
  </si>
  <si>
    <t>Gravity GT w/21F22R wheels (2R)</t>
  </si>
  <si>
    <t>Gravity GT w/22F23R wheels (2R)</t>
  </si>
  <si>
    <t>Gravity GT w/21F22R wheels (3R)</t>
  </si>
  <si>
    <t>Gravity GT w/22F23R wheels (3R)</t>
  </si>
  <si>
    <t>Gravity Dream w/20F21R wheels (3R)</t>
  </si>
  <si>
    <t>Gravity Dream w/21F22R wheels (3R)</t>
  </si>
  <si>
    <t>Gravity Dream w/22F23R wheels (3R)</t>
  </si>
  <si>
    <t>AMG EQE 4MATIC+</t>
  </si>
  <si>
    <t>AC 6 Phase permanent magnet</t>
  </si>
  <si>
    <t>165 and 295</t>
  </si>
  <si>
    <t>TMBXV00.0ED3</t>
  </si>
  <si>
    <t>AC 3 Phase permanent magnet</t>
  </si>
  <si>
    <t>EQE 320+</t>
  </si>
  <si>
    <t>TMBXV00.0ED1</t>
  </si>
  <si>
    <t>EQE 320 4MATIC</t>
  </si>
  <si>
    <t>78 and 157</t>
  </si>
  <si>
    <t>TMBXV00.0ED2</t>
  </si>
  <si>
    <t>EQS 450+</t>
  </si>
  <si>
    <t>TMBXV00.0ED4</t>
  </si>
  <si>
    <t>EQS 580 4MATIC</t>
  </si>
  <si>
    <t>EQS 450 4MATIC and EQS 400 4MATIC (SUV): AC 3 Phase permanent magnet = 88 KW/ AC 6 Phase permanent magnet = 178 KW, EQS 580 4MATIC and EQS 550 4MATIC (SUV): AC 3 Phase permanent magnet = 135 KW/ AC 6 Phase permanent magnet = 265 KW,</t>
  </si>
  <si>
    <t>135 and 265</t>
  </si>
  <si>
    <t>TMBXJ00.0ED2</t>
  </si>
  <si>
    <t>EQS 450 4MATIC</t>
  </si>
  <si>
    <t>EQE 320+ (SUV)</t>
  </si>
  <si>
    <t>EQE 320 4MATIC (SUV)</t>
  </si>
  <si>
    <t>BEV</t>
  </si>
  <si>
    <t>AMG EQE 4MATIC+ (SUV)</t>
  </si>
  <si>
    <t>AMG EQE 4MATIC (SUV)</t>
  </si>
  <si>
    <t>G 580 with EQ Technology</t>
  </si>
  <si>
    <t>Auto(A2)</t>
  </si>
  <si>
    <t>TMBXT00.0ED4</t>
  </si>
  <si>
    <t>EQS 400 4MATIC (SUV)</t>
  </si>
  <si>
    <t>EQS 550 4MATIC (SUV)</t>
  </si>
  <si>
    <t>EQS 680 4MATIC Maybach (SUV)</t>
  </si>
  <si>
    <t>174 and 310</t>
  </si>
  <si>
    <t>TMBXT00.0ED2</t>
  </si>
  <si>
    <t>Rivian Automotive L</t>
  </si>
  <si>
    <t>Rivian</t>
  </si>
  <si>
    <t>R1T Dual Standard (22in)</t>
  </si>
  <si>
    <t>RIV</t>
  </si>
  <si>
    <t>LITHIUM FERRO-PHOSPHATE</t>
  </si>
  <si>
    <t>All-Purpose (Default) Drive Mode</t>
  </si>
  <si>
    <t>R1T DUAL STANDARD (22IN)</t>
  </si>
  <si>
    <t>TRIVT00.01L2</t>
  </si>
  <si>
    <t>R1T Dual Standard (20in)</t>
  </si>
  <si>
    <t>R1T DUAL STANDARD (20IN)</t>
  </si>
  <si>
    <t>R1T Dual Max (20in)</t>
  </si>
  <si>
    <t>R1T DUAL MAX (20IN)</t>
  </si>
  <si>
    <t>TRIVT00.0SEP</t>
  </si>
  <si>
    <t>R1T Dual Max (22in)</t>
  </si>
  <si>
    <t>R1T DUAL MAX (22IN)</t>
  </si>
  <si>
    <t>R1T All-Terrain Dual Max (20in)</t>
  </si>
  <si>
    <t>R1T AT DUAL MAX (20IN)</t>
  </si>
  <si>
    <t>R1T Performance Dual Max (20in)</t>
  </si>
  <si>
    <t>R1T PERFORMANC DUAL MAX (20IN)</t>
  </si>
  <si>
    <t>R1T Performance Dual Max (22in)</t>
  </si>
  <si>
    <t>R1T PERF DUAL MAX (22IN)</t>
  </si>
  <si>
    <t>R1T All-Terrain Performance Dual Max (20in)</t>
  </si>
  <si>
    <t>R1T AT PERF DUAL MAX (20IN)</t>
  </si>
  <si>
    <t>R1T Dual Large Plus (22in)</t>
  </si>
  <si>
    <t>R1T DUAL LARGE PLUS (22IN)</t>
  </si>
  <si>
    <t>R1T All-Terrain Dual Large Plus (20in)</t>
  </si>
  <si>
    <t>R1T AT DUAL LARGE PLUS (20IN)</t>
  </si>
  <si>
    <t>R1T Performance Dual Large Plus (22in)</t>
  </si>
  <si>
    <t>R1T PRF DUAL LARGE PLUS (22IN)</t>
  </si>
  <si>
    <t>R1T All-Terrain Performance Dual Large Plus (20in)</t>
  </si>
  <si>
    <t>R1T AT PRF DUAL LRG PLUS(20IN)</t>
  </si>
  <si>
    <t>R1T Dual Large Plus (20in)</t>
  </si>
  <si>
    <t>R1T DUAL LARGE PLUS (20IN)</t>
  </si>
  <si>
    <t>R1T Performance Dual Large Plus (20in)</t>
  </si>
  <si>
    <t>R1T PRF DUAL LARGE PLUS 20IN</t>
  </si>
  <si>
    <t>R1T Tri Max (22in)</t>
  </si>
  <si>
    <t>All-Purpose Drive Mode and Conserve Drive Mode.</t>
  </si>
  <si>
    <t>201 and 233</t>
  </si>
  <si>
    <t>R1T TRI MAX (22IN)</t>
  </si>
  <si>
    <t>TRIVT00.0193</t>
  </si>
  <si>
    <t>R1T All-Terrain Tri Max (20in)</t>
  </si>
  <si>
    <t>R1T ALL-TERRAIN TRI MAX (20IN)</t>
  </si>
  <si>
    <t>R1T Dual Large (22in)</t>
  </si>
  <si>
    <t>All-Purpose Drive Mode (DEFAULT)</t>
  </si>
  <si>
    <t>R1T DUAL LARGE (22IN)</t>
  </si>
  <si>
    <t>TRIVT00.0172</t>
  </si>
  <si>
    <t>R1T Dual Large (20in)</t>
  </si>
  <si>
    <t>R1T DUAL LARGE (20IN)</t>
  </si>
  <si>
    <t>R1T All-Terrain Dual Large (20in)</t>
  </si>
  <si>
    <t>R1T AT DUAL LARGE (20IN)</t>
  </si>
  <si>
    <t>R1T Performance Dual Large (22in)</t>
  </si>
  <si>
    <t>R1T PERF DUAL LARGE (22IN)</t>
  </si>
  <si>
    <t>R1T Performance Dual Large (20in)</t>
  </si>
  <si>
    <t>R1T PERF DUAL LARGE (20IN)</t>
  </si>
  <si>
    <t>R1T All-Terrain Performance Dual Large (20in)</t>
  </si>
  <si>
    <t>R1T AT PERF DUAL LARGE (20IN)</t>
  </si>
  <si>
    <t>R1T Quad Max (22in UHP)</t>
  </si>
  <si>
    <t>R1T QUAD MAX (22IN UHP)</t>
  </si>
  <si>
    <t>TRIVT00.0194</t>
  </si>
  <si>
    <t>R1T Quad Max (20in AT)</t>
  </si>
  <si>
    <t>R1T QUAD MAX (20IN AT)</t>
  </si>
  <si>
    <t>R1T Quad Max (22in)</t>
  </si>
  <si>
    <t>R1T QUAD MAX (22IN)</t>
  </si>
  <si>
    <t>R1S Dual Standard (22in)</t>
  </si>
  <si>
    <t>R1S DUAL STANDARD (22IN)</t>
  </si>
  <si>
    <t>R1S Dual Standard (20in)</t>
  </si>
  <si>
    <t>R1S DUAL STANDARD (20IN)</t>
  </si>
  <si>
    <t>R1S Dual Max (20in)</t>
  </si>
  <si>
    <t>R1S DUAL MAX (20IN)</t>
  </si>
  <si>
    <t>R1S Dual Max (22in)</t>
  </si>
  <si>
    <t>R1S DUAL MAX (22IN)</t>
  </si>
  <si>
    <t>R1S All-Terrain Dual Max (20in)</t>
  </si>
  <si>
    <t>R1S AT DUAL MAX (20IN)</t>
  </si>
  <si>
    <t>R1S Performance Dual Max (20in)</t>
  </si>
  <si>
    <t>R1S PERF DUAL MAX (20IN)</t>
  </si>
  <si>
    <t>R1S Performance Dual Max (22in)</t>
  </si>
  <si>
    <t>R1S PERF DUAL MAX (22IN)</t>
  </si>
  <si>
    <t>R1S All-Terrain Performance  Dual Max (20in)</t>
  </si>
  <si>
    <t>R1S AT PERF DUAL MAX (20IN)</t>
  </si>
  <si>
    <t>R1S Dual Large Plus (22in)</t>
  </si>
  <si>
    <t>R1S DUAL LARGE PLUS (22IN)</t>
  </si>
  <si>
    <t>R1S All-Terrain Dual Large Plus (20in)</t>
  </si>
  <si>
    <t>R1S AT DUAL LARGE PLUS (20IN)</t>
  </si>
  <si>
    <t>R1S Performance Dual Large Plus (22in)</t>
  </si>
  <si>
    <t>R1S PRF DUAL LARGE PLUS (22IN)</t>
  </si>
  <si>
    <t>R1S All-Terrain Performance Dual Large Plus (20in)</t>
  </si>
  <si>
    <t>R1S AT PRF DUAL LRG PLUS(20IN)</t>
  </si>
  <si>
    <t>R1S Dual Large Plus (20in)</t>
  </si>
  <si>
    <t>R1S DUAL LARGE PLUS (20IN)</t>
  </si>
  <si>
    <t>R1S Performance Dual Large Plus (20in)</t>
  </si>
  <si>
    <t>R1S PRF DUAL LARGE PLUS 20IN</t>
  </si>
  <si>
    <t>R1S Tri Max (22in)</t>
  </si>
  <si>
    <t>R1S TRI MAX (22IN)</t>
  </si>
  <si>
    <t>R1S All-Terrain Tri Max (20in)</t>
  </si>
  <si>
    <t>R1S ALL-TERRAIN TRI MAX (20IN)</t>
  </si>
  <si>
    <t>R1S Dual Large (22in)</t>
  </si>
  <si>
    <t>R1S DUAL LARGE (22IN)</t>
  </si>
  <si>
    <t>R1S Dual Large (20in)</t>
  </si>
  <si>
    <t>R1S DUAL LARGE (20IN)</t>
  </si>
  <si>
    <t>R1S All-Terrain Dual Large (20in)</t>
  </si>
  <si>
    <t>R1S AT DUAL LARGE (20IN)</t>
  </si>
  <si>
    <t>R1S Performance Dual Large (22in)</t>
  </si>
  <si>
    <t>R1S PERF DUAL LARGE (22IN)</t>
  </si>
  <si>
    <t>R1S Performance Dual Large (20in)</t>
  </si>
  <si>
    <t>R1S PERF DUAL LARGE (20IN)</t>
  </si>
  <si>
    <t>R1S All-Terrain Performance Dual Large (20in)</t>
  </si>
  <si>
    <t>R1S PERF AT DUAL LARGE (20IN)</t>
  </si>
  <si>
    <t>R1S Quad Max (22in UHP)</t>
  </si>
  <si>
    <t>R1S QUAD MAX (22IN UHP)</t>
  </si>
  <si>
    <t>R1S Quad Max (20in AT)</t>
  </si>
  <si>
    <t>R1S QUAD MAX (20IN AT)</t>
  </si>
  <si>
    <t>R1S Quad Max (22in)</t>
  </si>
  <si>
    <t>R1S QUAD MAX (22IN)</t>
  </si>
  <si>
    <t>Tesla</t>
  </si>
  <si>
    <t>Tesla Motors</t>
  </si>
  <si>
    <t>Model S</t>
  </si>
  <si>
    <t>TSL</t>
  </si>
  <si>
    <t>1 carline (Model S) is available for MY2026 Model S vehicles. Rated Motor Power: Front - 243 kW; Rear - 248 kW</t>
  </si>
  <si>
    <t>AC 3 PHASE PERMANENT MAGNET</t>
  </si>
  <si>
    <t>243 and 248</t>
  </si>
  <si>
    <t>TTSLV00.0L2S</t>
  </si>
  <si>
    <t>Model S Plaid</t>
  </si>
  <si>
    <t>Model S Plaid: Front - 250 kW; Rear - 250 kW x 2</t>
  </si>
  <si>
    <t>Plaid</t>
  </si>
  <si>
    <t>TTSLV00.0L3S</t>
  </si>
  <si>
    <t>Model Y Long Range RWD</t>
  </si>
  <si>
    <t>MY2026 Model Y Standard RWD; Battery Energy Capacity (Ah): 201 Ah; Battery Specific Energy (Whr/kg): 166 Wh/kg; Rated Motor Power; Rear - 228 kW MY2026 Model Y LR RWD; Battery Energy Capacity (Ah): 223 Ah; Battery Specific Energy (Whr/kg): 173 Wh/kg; Rated Motor Power; Rear - 243 kW</t>
  </si>
  <si>
    <t>228 and 243</t>
  </si>
  <si>
    <t>TTSLV00.0L1Y</t>
  </si>
  <si>
    <t>Model Y Long Range AWD</t>
  </si>
  <si>
    <t>MY2026 Model Y AWD Carline; Long Range AWD Front - 91 kW; Rear - 200 kW</t>
  </si>
  <si>
    <t>91 and 200</t>
  </si>
  <si>
    <t>Long Range AWD</t>
  </si>
  <si>
    <t>TTSLV00.0L2Y</t>
  </si>
  <si>
    <t>Model X</t>
  </si>
  <si>
    <t>MY2026 Model X; FRONT Motor Power - 246 kW, REAR Motor Power - 251 kW</t>
  </si>
  <si>
    <t>246 and 251</t>
  </si>
  <si>
    <t>TTSLV00.0L2X</t>
  </si>
  <si>
    <t>Model X Plaid</t>
  </si>
  <si>
    <t>MY2026 Model X Plaid FRONT Motor Power - 230 kW; REAR Motor Power - 230 kW x 2</t>
  </si>
  <si>
    <t>TTSLV00.0L3X</t>
  </si>
  <si>
    <t>EX40</t>
  </si>
  <si>
    <t>Motor PMSM = Permanent Magnet Synch Machine Motor:EX40,EC40 have PMSM 185 kWatt Rear.</t>
  </si>
  <si>
    <t>TVVXV00.0ZVB</t>
  </si>
  <si>
    <t>EC40</t>
  </si>
  <si>
    <t>EX40 Twin</t>
  </si>
  <si>
    <t>Motor PMSM = Permanent Magnet Synch Machine Motor:EX40,EC40 Twin have ACI 110 kWatt front and PMSM 190 kWatt Rear. Motor:EX40,EC40 Twin Performance have ACI 135 kWatt front and PMSM 190 kWatt Rear.</t>
  </si>
  <si>
    <t>110, 135 and 190</t>
  </si>
  <si>
    <t>TVVXV00.0ZVA</t>
  </si>
  <si>
    <t>EC40 Twin</t>
  </si>
  <si>
    <t>EV direct drive</t>
  </si>
  <si>
    <t>Black Badge Spectre (22'' Wheels)</t>
  </si>
  <si>
    <t>TRRGV00.0R2B</t>
  </si>
  <si>
    <t>Black Badge Spectre (23'' Wheels)</t>
  </si>
  <si>
    <t>Spectre (22'' Wheels)</t>
  </si>
  <si>
    <t>TRRGV00.0R25</t>
  </si>
  <si>
    <t>Spectre (23'' Wheels)</t>
  </si>
  <si>
    <t>i7 eDrive50 Sedan (19'' Wheels)</t>
  </si>
  <si>
    <t>TBMXV00.0G7A</t>
  </si>
  <si>
    <t>i7 eDrive50 Sedan (20'' Wheels)</t>
  </si>
  <si>
    <t>i7 eDrive50 Sedan (21'' Wheels)</t>
  </si>
  <si>
    <t>i7 M70 xDrive Sedan (20'' Wheels)</t>
  </si>
  <si>
    <t>TBMXV00.0G7C</t>
  </si>
  <si>
    <t>i7 M70 xDrive Sedan (21'' Wheels)</t>
  </si>
  <si>
    <t>i7 xDrive60 Sedan (19'' Wheels)</t>
  </si>
  <si>
    <t>TBMXV00.0G7B</t>
  </si>
  <si>
    <t>i7 xDrive60 Sedan (20'' Wheels)</t>
  </si>
  <si>
    <t>i7 xDrive60 Sedan (21'' Wheels)</t>
  </si>
  <si>
    <t>Charger Daytona R/T AWD 245/55ZR18</t>
  </si>
  <si>
    <t>Charger Daytona R/T AWD 255/45R20</t>
  </si>
  <si>
    <t>Charger Daytona R/T AWD 275/40R20</t>
  </si>
  <si>
    <t>Air G Touring XR AWD w/19" wheels</t>
  </si>
  <si>
    <t>178 and 433</t>
  </si>
  <si>
    <t>TLMUV00.0ZA2</t>
  </si>
  <si>
    <t>Air G Touring XR AWD w/20" wheels</t>
  </si>
  <si>
    <t>Air G Touring XR AWD w/21" wheels</t>
  </si>
  <si>
    <t>Air Pure RWD w/19" wheels</t>
  </si>
  <si>
    <t>TLMUV00.0NR1</t>
  </si>
  <si>
    <t>Air Pure RWD w/20" wheels</t>
  </si>
  <si>
    <t>Air Sapphire AWD</t>
  </si>
  <si>
    <t>TLMUV00.0GJ3</t>
  </si>
  <si>
    <t>Air Touring AWD w/19" wheels</t>
  </si>
  <si>
    <t>Air Touring AWD w/20" wheels</t>
  </si>
  <si>
    <t>LEAF 75kWh (18 inch alloy wheels)</t>
  </si>
  <si>
    <t>Alternationg Current 3-phase</t>
  </si>
  <si>
    <t>TNSXV0000E6A</t>
  </si>
  <si>
    <t>LEAF 75kWh (18 inch steel wheels)</t>
  </si>
  <si>
    <t>LEAF 75kWh (19 inch wheels)</t>
  </si>
  <si>
    <t>EQUINOX EV FWD</t>
  </si>
  <si>
    <t>Ioniq 5 RWD</t>
  </si>
  <si>
    <t>THYXV00.0W02</t>
  </si>
  <si>
    <t>Ioniq 5 Standard range</t>
  </si>
  <si>
    <t>THYXV00.0W01</t>
  </si>
  <si>
    <t>bZ</t>
  </si>
  <si>
    <t>TTYXT00.0D11</t>
  </si>
  <si>
    <t>TTYXT00.0D13</t>
  </si>
  <si>
    <t>bZ LIMITED</t>
  </si>
  <si>
    <t>ID.4</t>
  </si>
  <si>
    <t>*Battery capacity and energy density were measured on a single cell basis and this single cell data was used to estimate the pack level capacity and energy density, 1 HV pack contains 12 modules.</t>
  </si>
  <si>
    <t>AC 3 Phase Brushless Motor</t>
  </si>
  <si>
    <t>TVGAV00.0VZR</t>
  </si>
  <si>
    <t>EX30 Single motor extended range</t>
  </si>
  <si>
    <t>Motor PMSM = Permanent Magnet Synch Machine</t>
  </si>
  <si>
    <t>TVVXV00.0ZVD</t>
  </si>
  <si>
    <t>140, 155, 205 and 220</t>
  </si>
  <si>
    <t>BLAZER EV AWD SS</t>
  </si>
  <si>
    <t>EQUINOX EV AWD</t>
  </si>
  <si>
    <t>AC Permanent</t>
  </si>
  <si>
    <t>Ioniq 5 AWD (19inch Wheels)</t>
  </si>
  <si>
    <t>74 and 165</t>
  </si>
  <si>
    <t>THYXV00.0W00</t>
  </si>
  <si>
    <t>Ioniq 5 AWD (20inch Wheels)</t>
  </si>
  <si>
    <t>Ioniq 5 AWD XRT</t>
  </si>
  <si>
    <t>Ioniq 5 N</t>
  </si>
  <si>
    <t>166 and 282</t>
  </si>
  <si>
    <t>THYXV00.0W04</t>
  </si>
  <si>
    <t>SOLTERRA 20 AWD</t>
  </si>
  <si>
    <t>87 and 167</t>
  </si>
  <si>
    <t>TTYXT00.0D1S</t>
  </si>
  <si>
    <t>SOLTERRA AWD</t>
  </si>
  <si>
    <t>bZ AWD</t>
  </si>
  <si>
    <t>bZ AWD LIMITED</t>
  </si>
  <si>
    <t>ID.4 AWD</t>
  </si>
  <si>
    <t>*Battery capacity and energy density were measured on a single cell basis and this single cell data was used to estimate the pack level capacity and energy density</t>
  </si>
  <si>
    <t>AC Permanent-field synchronous</t>
  </si>
  <si>
    <t>80 and 210</t>
  </si>
  <si>
    <t>TVGAT00.0VZA</t>
  </si>
  <si>
    <t>EX30 Cross Country (18 Inch wheels)</t>
  </si>
  <si>
    <t>115 and 200</t>
  </si>
  <si>
    <t>TVVXV00.0ZVC</t>
  </si>
  <si>
    <t>EX30 Cross Country (19 Inch wheels)</t>
  </si>
  <si>
    <t>EX30 Twin Performance</t>
  </si>
  <si>
    <t>OPTIQ RWD</t>
  </si>
  <si>
    <t>210 and 255</t>
  </si>
  <si>
    <t>OPTIQ AWD</t>
  </si>
  <si>
    <t>13 and 54</t>
  </si>
  <si>
    <t xml:space="preserve"> Fuel2 Usage - Alternative Fuel</t>
  </si>
  <si>
    <t xml:space="preserve"> Fuel2 Usage Desc - Alternative Fuel</t>
  </si>
  <si>
    <t>BlankG</t>
  </si>
  <si>
    <t>Blank B</t>
  </si>
  <si>
    <t>(Not Confidential)</t>
  </si>
  <si>
    <t xml:space="preserve">Total </t>
  </si>
  <si>
    <t>New fields added by D. Good</t>
  </si>
  <si>
    <t>Model Type Information</t>
  </si>
  <si>
    <t>Charge Sustaining Information  (Gasoline Operation)</t>
  </si>
  <si>
    <t>Vehicle Information</t>
  </si>
  <si>
    <t>Ann Fuel Cost</t>
  </si>
  <si>
    <t>Charge Depleting Information (Electricity Operation)</t>
  </si>
  <si>
    <t>General Information</t>
  </si>
  <si>
    <t xml:space="preserve"> </t>
  </si>
  <si>
    <t>General Hybrid Vehicle Information - Engine, Motor/Generator, Battery Information, etc.                                                                                                                                                                                                                                                                                                                               General Hybrid Vehicle Information - Engine, Motor/Generator, Battery Information, etc.</t>
  </si>
  <si>
    <t>FE &amp; GHG Ratings</t>
  </si>
  <si>
    <t>You Save/You Spend</t>
  </si>
  <si>
    <t>Gasoline Adjusted CO2</t>
  </si>
  <si>
    <t>PHEV</t>
  </si>
  <si>
    <t>Battery Charge Time</t>
  </si>
  <si>
    <t>Range</t>
  </si>
  <si>
    <t>PHEV Composite  MPGe</t>
  </si>
  <si>
    <t>Composite CO2</t>
  </si>
  <si>
    <t>Charge Depleting Driving Range</t>
  </si>
  <si>
    <t>Individual Utility Factors (Rcda MDIUFs)</t>
  </si>
  <si>
    <t>PHEV Charge Depleting Fuel Consumption</t>
  </si>
  <si>
    <t>Fuel Tank</t>
  </si>
  <si>
    <t>Model Yr  (gold fill means release date is after today's date)</t>
  </si>
  <si>
    <t>Trans Lockup</t>
  </si>
  <si>
    <t>Comb CO2 Rounded Adjusted</t>
  </si>
  <si>
    <t>Release Date (gold fill means release date is after today's date)</t>
  </si>
  <si>
    <t>Charge Depleting Calc Appr Code (PHEVs only)</t>
  </si>
  <si>
    <t>Charge Depleting Calc Appr Desc  (PHEVs only)</t>
  </si>
  <si>
    <t>Charge Sustaining Calc Appr Code  (PHEVs only)</t>
  </si>
  <si>
    <t>Charge Sustaining Calc Appr Desc  (PHEVs only)</t>
  </si>
  <si>
    <t>City CO2-PHEV Composite Rounded Adjusted Combined CO2</t>
  </si>
  <si>
    <t>Hwy CO2-PHEV Composite Rounded Adjusted Combined CO2</t>
  </si>
  <si>
    <t>City Range on Electricity (miles)</t>
  </si>
  <si>
    <t>Hwy Range on Electricity (miles)</t>
  </si>
  <si>
    <t>Comb Range on Electricity as shown on FE Label (miles)</t>
  </si>
  <si>
    <t>City Utility Factor (MDIUF)</t>
  </si>
  <si>
    <t>Hwy Utility Factor (MDIUF)</t>
  </si>
  <si>
    <t>Comb Utility Factor (MDIUF)</t>
  </si>
  <si>
    <t>City (gal/100 mi)</t>
  </si>
  <si>
    <t>Hwy (gal/100 mi)</t>
  </si>
  <si>
    <t>Combined (gal/100 mi) as listed on blended PHEV labels</t>
  </si>
  <si>
    <t>Size (gal)</t>
  </si>
  <si>
    <t>Bentayga Hybrid</t>
  </si>
  <si>
    <t xml:space="preserve">SIDI; PHEV; </t>
  </si>
  <si>
    <t>Plug-in Hybrid Label</t>
  </si>
  <si>
    <t>Applies to DCBE + EALD var: 0</t>
  </si>
  <si>
    <t>The variable valve timing is a substantial engine feature for: Reducing engine out emissions, Optimizing full load performance ? Optimizing fuel consumption ? Reducing engine roughness Adjust the inlet and outlet camshaft position continuously between retard and advanced position.</t>
  </si>
  <si>
    <t>CD-5C</t>
  </si>
  <si>
    <t>Charge Depleting 5-cycle</t>
  </si>
  <si>
    <t>CS-2C</t>
  </si>
  <si>
    <t>Charge Sustaining 2-cycle</t>
  </si>
  <si>
    <t>TVGAT03.0NAQ</t>
  </si>
  <si>
    <t>Volkswagen Group of America</t>
  </si>
  <si>
    <t>All Electric Range = 0-20 miles (combined)</t>
  </si>
  <si>
    <t>Continental GT</t>
  </si>
  <si>
    <t>Applies to DVTC+ECSA var: 0</t>
  </si>
  <si>
    <t>The variable valve timing is a substantial engine feature for: - Reducing engine out emissions - Optimizing full load performance - Optimizing fuel consumption - Reducing engine roughness</t>
  </si>
  <si>
    <t>VW51100</t>
  </si>
  <si>
    <t>CD-2C</t>
  </si>
  <si>
    <t>Charge Depleting 2-cycle</t>
  </si>
  <si>
    <t>TVGAV04.0P7B</t>
  </si>
  <si>
    <t>All Electric Range = 0-30 miles (combined)</t>
  </si>
  <si>
    <t>Continental GTC</t>
  </si>
  <si>
    <t>Flying Spur</t>
  </si>
  <si>
    <t>Lamborghini</t>
  </si>
  <si>
    <t>Urus SE</t>
  </si>
  <si>
    <t>Applies to DWHE var: 0</t>
  </si>
  <si>
    <t>The variable valve timing is a substantial engine feature for: - Reducing engine out emissions - Optimizing full load performance - Optimizing fuel consumption - Reducing engine roughness - Adjust the inlet and outlet camshaft position continuously between retard and advanced position.</t>
  </si>
  <si>
    <t>1 battery, no modules Number of battery cells = 103 1 e-motors @ 141kW</t>
  </si>
  <si>
    <t>AC 3-phase</t>
  </si>
  <si>
    <t>CS-5C</t>
  </si>
  <si>
    <t>Charge Sustaining 5-cycle</t>
  </si>
  <si>
    <t>TVGAT04.0LAA</t>
  </si>
  <si>
    <t>All Electric Range = 0-35 miles (combined)</t>
  </si>
  <si>
    <t>550e xDrive Sedan</t>
  </si>
  <si>
    <t xml:space="preserve">SIDI &amp; PFI; PHEV; </t>
  </si>
  <si>
    <t>permanent magnet synchronous machine (PMSM)</t>
  </si>
  <si>
    <t>TBMXV03.0H5P</t>
  </si>
  <si>
    <t>All Electric Range = 0-33 miles (combined)</t>
  </si>
  <si>
    <t>M5 Sedan</t>
  </si>
  <si>
    <t>(PMSM)</t>
  </si>
  <si>
    <t>TBMXV04.4H9X</t>
  </si>
  <si>
    <t>All Electric Range = 0-25 miles (combined)</t>
  </si>
  <si>
    <t>M5 Touring</t>
  </si>
  <si>
    <t>750e xDrive Sedan</t>
  </si>
  <si>
    <t>All Electric Range = 0-24 miles (combined)</t>
  </si>
  <si>
    <t>permanent magnet synchronous machine (PMSM) / 750e xDrive Sedan: Number of Battery Packs = 1, Battery Energy Capacity (Ah) = 63.5, Total Voltage of Battery Pack(s) (Volts) = 347.5, Battery Specific Energy (Whr/kg) = 108</t>
  </si>
  <si>
    <t>0W12</t>
  </si>
  <si>
    <t>TBMXJ03.0H70</t>
  </si>
  <si>
    <t>All Electric Range = 0-34 miles (combined)</t>
  </si>
  <si>
    <t>X5 xDrive50e</t>
  </si>
  <si>
    <t>All Electric Range = 0-38 miles (combined)</t>
  </si>
  <si>
    <t>XM Label</t>
  </si>
  <si>
    <t>TBMXT04.4H09</t>
  </si>
  <si>
    <t>All Electric Range = 0-29 miles (combined)</t>
  </si>
  <si>
    <t>Pacifica Hybrid</t>
  </si>
  <si>
    <t>NA</t>
  </si>
  <si>
    <t xml:space="preserve">PHEV; </t>
  </si>
  <si>
    <t>5W20</t>
  </si>
  <si>
    <t>TCRXT03.6542</t>
  </si>
  <si>
    <t>All Electric Range = 0-32 miles (combined)</t>
  </si>
  <si>
    <t>ESCAPE FWD PHEV</t>
  </si>
  <si>
    <t>PHEV FWD Escape</t>
  </si>
  <si>
    <t>CS-3C</t>
  </si>
  <si>
    <t>Charge Sustaining 3-cycle</t>
  </si>
  <si>
    <t>TFMXT02.52P1</t>
  </si>
  <si>
    <t>All Electric Range = 0-37 miles (combined)</t>
  </si>
  <si>
    <t>Tucson Plug-in Hybrid</t>
  </si>
  <si>
    <t>Fixed3 (Continous Variable Valve Timing)</t>
  </si>
  <si>
    <t>0W20, API SN PLUS</t>
  </si>
  <si>
    <t>THYXT01.6L2T</t>
  </si>
  <si>
    <t>Niro Plug-in Hybrid</t>
  </si>
  <si>
    <t>Hydraulic Regen Brake</t>
  </si>
  <si>
    <t>TKMXV01.622T</t>
  </si>
  <si>
    <t>Sorento Plug-in Hybrid</t>
  </si>
  <si>
    <t>TKMXV01.6J2T</t>
  </si>
  <si>
    <t>All Electric Range = 0-31 miles (combined)</t>
  </si>
  <si>
    <t>Sportage Plug-in Hybrid</t>
  </si>
  <si>
    <t>TKMXT01.6P2T</t>
  </si>
  <si>
    <t>CORSAIR AWD PHEV</t>
  </si>
  <si>
    <t>2.5L PHEV</t>
  </si>
  <si>
    <t>50 and 96</t>
  </si>
  <si>
    <t>TFMXT02.53CE</t>
  </si>
  <si>
    <t>All Electric Range = 0-27 miles (combined)</t>
  </si>
  <si>
    <t>AMG E 53 HYBRID 4MATIC+</t>
  </si>
  <si>
    <t>M256M-30DETC-P2/ 6-Cylinder Inline Engine Plug-In Hybrid / AMG E 53 HYBRID 4MATIC+ (PHEV) / COMBUSTION: 443 HP and 413 LB-FT / ELECTRIC : 161 HP and 354 LB-FT</t>
  </si>
  <si>
    <t>TMBXV03.0HY4</t>
  </si>
  <si>
    <t>All Electric Range = 0-43 miles (combined)</t>
  </si>
  <si>
    <t>AMG E 53 HYBRID 4MATIC+ (station wagon)</t>
  </si>
  <si>
    <t>AMG E 53 HYBRID 4MATIC+ Wagon</t>
  </si>
  <si>
    <t>All Electric Range = 0-41 miles (combined)</t>
  </si>
  <si>
    <t>XC60 T8 AWD</t>
  </si>
  <si>
    <t>All variants/models are AWD.</t>
  </si>
  <si>
    <t>Timing on both intake and exhaust sides.</t>
  </si>
  <si>
    <t>N/A</t>
  </si>
  <si>
    <t>Integrated starter generator</t>
  </si>
  <si>
    <t>34 and 107</t>
  </si>
  <si>
    <t>TVVXT02.0P30</t>
  </si>
  <si>
    <t>3 phase synchronous electric</t>
  </si>
  <si>
    <t>XC90 T8 AWD</t>
  </si>
  <si>
    <t>2026 BMW i5 eDrive40 Sedan (20'' Wheels)</t>
  </si>
  <si>
    <t>2026 BMW i5 eDrive40 Sedan (21'' Wheels)</t>
  </si>
  <si>
    <t>2026 BMW i5 xDrive40 Sedan (19'' Wheels)</t>
  </si>
  <si>
    <t>2026 BMW i5 xDrive40 Sedan (20'' Wheels)</t>
  </si>
  <si>
    <t>2026 BMW i5 xDrive40 Sedan (21'' Wheels)</t>
  </si>
  <si>
    <t>2026 BMW i7 eDrive50 Sedan (19'' Wheels)</t>
  </si>
  <si>
    <t>2026 BMW i7 eDrive50 Sedan (20'' Wheels)</t>
  </si>
  <si>
    <t>2026 BMW i7 eDrive50 Sedan (21'' Wheels)</t>
  </si>
  <si>
    <t>2026 BMW i7 M70 xDrive Sedan (20'' Wheels)</t>
  </si>
  <si>
    <t>2026 BMW i7 M70 xDrive Sedan (21'' Wheels)</t>
  </si>
  <si>
    <t>2026 BMW i7 xDrive60 Sedan (19'' Wheels)</t>
  </si>
  <si>
    <t>2026 BMW i7 xDrive60 Sedan (20'' Wheels)</t>
  </si>
  <si>
    <t>2026 BMW i7 xDrive60 Sedan (21'' Wheels)</t>
  </si>
  <si>
    <t>2026 BMW iX M70 (21'' Wheels)</t>
  </si>
  <si>
    <t>2026 BMW iX M70 (22'' Wheels)</t>
  </si>
  <si>
    <t>2026 BMW iX M70 (23'' Wheels)</t>
  </si>
  <si>
    <t>2026 BMW iX xDrive45 (20'' Wheels)</t>
  </si>
  <si>
    <t>2026 BMW iX xDrive45 (21'' Wheels)</t>
  </si>
  <si>
    <t>2026 BMW iX xDrive45 (22'' Wheels)</t>
  </si>
  <si>
    <t>2026 BMW iX xDrive45 (23'' Wheels)</t>
  </si>
  <si>
    <t>2026 BMW iX xDrive60 (20'' Wheels)</t>
  </si>
  <si>
    <t>2026 BMW iX xDrive60 (21'' Wheels)</t>
  </si>
  <si>
    <t>2026 BMW iX xDrive60 (22'' Wheels)</t>
  </si>
  <si>
    <t>2026 BMW iX xDrive60 (23'' Wheels)</t>
  </si>
  <si>
    <t>2026 Bugatti Rimac Nevera R</t>
  </si>
  <si>
    <t>2026 Cadillac LYRIQ</t>
  </si>
  <si>
    <t>2026 Cadillac LYRIQ AWD</t>
  </si>
  <si>
    <t>2026 Cadillac LYRIQ PAWD V SERIES (11 kW Charger)</t>
  </si>
  <si>
    <t>2026 Cadillac LYRIQ PAWD V SERIES (19 kW Charger)</t>
  </si>
  <si>
    <t>2026 Cadillac OPTIQ RWD</t>
  </si>
  <si>
    <t>2026 Cadillac OPTIQ AWD</t>
  </si>
  <si>
    <t>2026 Cadillac VISTIQ (11 kW Charger)</t>
  </si>
  <si>
    <t>2026 Cadillac VISTIQ (19 kW Charger)</t>
  </si>
  <si>
    <t>2026 Chevrolet SILVERADO EV</t>
  </si>
  <si>
    <t>2026 Chevrolet BLAZER EV FWD</t>
  </si>
  <si>
    <t>2026 Chevrolet BLAZER EV FWD 22IN TIRE</t>
  </si>
  <si>
    <t>2026 Chevrolet EQUINOX EV FWD</t>
  </si>
  <si>
    <t>2026 Chevrolet BLAZER EV AWD</t>
  </si>
  <si>
    <t>2026 Chevrolet EQUINOX EV AWD</t>
  </si>
  <si>
    <t>2026 Dodge Charger Daytona R/T AWD 245/55ZR18</t>
  </si>
  <si>
    <t>2026 Dodge Charger Daytona R/T AWD 255/45R20</t>
  </si>
  <si>
    <t>2026 Dodge Charger Daytona R/T AWD 275/40R20</t>
  </si>
  <si>
    <t>2026 Dodge Charger Daytona R/T AWD 305/35ZR20</t>
  </si>
  <si>
    <t>2026 Dodge Charger Daytona Scat Pack AWD 305/35ZR20</t>
  </si>
  <si>
    <t>2026 Dodge Charger Daytona Scat Pack AWD 325/35ZR20 Rear</t>
  </si>
  <si>
    <t>2026 Dodge Charger Daytona Scat Pack AWD 325/35ZR20 Rear A/S</t>
  </si>
  <si>
    <t>2026 GENESIS Electrified G80</t>
  </si>
  <si>
    <t>2026 GENESIS GV60 RWD</t>
  </si>
  <si>
    <t>2026 GENESIS GV60 AWD Advanced with 20''</t>
  </si>
  <si>
    <t>2026 GENESIS GV60 AWD Performance</t>
  </si>
  <si>
    <t>2026 GENESIS GV60 AWD with 19''</t>
  </si>
  <si>
    <t>2026 GENESIS Electrified GV70 19'' AWD</t>
  </si>
  <si>
    <t>2026 GENESIS Electrified GV70 20'' AWD</t>
  </si>
  <si>
    <t>2026 GMC SIERRA EV</t>
  </si>
  <si>
    <t>2026 HYUNDAI MOTOR COMPANY Ioniq 5 RWD</t>
  </si>
  <si>
    <t>2026 HYUNDAI MOTOR COMPANY Ioniq 5 Standard range</t>
  </si>
  <si>
    <t>2026 HYUNDAI MOTOR COMPANY Ioniq 5 AWD (19inch Wheels)</t>
  </si>
  <si>
    <t>2026 HYUNDAI MOTOR COMPANY Ioniq 5 AWD (20inch Wheels)</t>
  </si>
  <si>
    <t>2026 HYUNDAI MOTOR COMPANY Ioniq 5 AWD XRT</t>
  </si>
  <si>
    <t>2026 HYUNDAI MOTOR COMPANY Ioniq 5 N</t>
  </si>
  <si>
    <t>2026 HYUNDAI MOTOR COMPANY Ioniq 9 RWD</t>
  </si>
  <si>
    <t>2026 HYUNDAI MOTOR COMPANY Ioniq 9 AWD</t>
  </si>
  <si>
    <t>2026 HYUNDAI MOTOR COMPANY Ioniq 9 AWD Performance</t>
  </si>
  <si>
    <t>2026 KIA Niro Electric</t>
  </si>
  <si>
    <t>2026 KIA EV9 Long Range RWD</t>
  </si>
  <si>
    <t>2026 KIA EV9 Standard Range RWD</t>
  </si>
  <si>
    <t>2026 KIA EV9 GT</t>
  </si>
  <si>
    <t>2026 KIA EV9 Long Range AWD</t>
  </si>
  <si>
    <t>2026 KIA EV9 Long Range AWD GT-Line</t>
  </si>
  <si>
    <t>2026 Lucid USA Inc. Air G Touring XR AWD w/19" wheels</t>
  </si>
  <si>
    <t>2026 Lucid USA Inc. Air G Touring XR AWD w/20" wheels</t>
  </si>
  <si>
    <t>2026 Lucid USA Inc. Air G Touring XR AWD w/21" wheels</t>
  </si>
  <si>
    <t>2026 Lucid USA Inc. Air Pure RWD w/19" wheels</t>
  </si>
  <si>
    <t>2026 Lucid USA Inc. Air Pure RWD w/20" wheels</t>
  </si>
  <si>
    <t>2026 Lucid USA Inc. Air Sapphire AWD</t>
  </si>
  <si>
    <t>2026 Lucid USA Inc. Air Touring AWD w/19" wheels</t>
  </si>
  <si>
    <t>2026 Lucid USA Inc. Air Touring AWD w/20" wheels</t>
  </si>
  <si>
    <t>2026 Lucid USA Inc. Gravity Dream w/20F21R wheels (3R)</t>
  </si>
  <si>
    <t>2026 Lucid USA Inc. Gravity Dream w/21F22R wheels (3R)</t>
  </si>
  <si>
    <t>2026 Lucid USA Inc. Gravity Dream w/22F23R wheels (3R)</t>
  </si>
  <si>
    <t>2026 Lucid USA Inc. Gravity GT w/20F21R wheels (2R)</t>
  </si>
  <si>
    <t>2026 Lucid USA Inc. Gravity GT w/21F22R wheels (2R)</t>
  </si>
  <si>
    <t>2026 Lucid USA Inc. Gravity GT w/21F22R wheels (3R)</t>
  </si>
  <si>
    <t>2026 Lucid USA Inc. Gravity GT w/22F23R wheels (2R)</t>
  </si>
  <si>
    <t>2026 Lucid USA Inc. Gravity GT w/22F23R wheels (3R)</t>
  </si>
  <si>
    <t>2026 Mercedes-Benz AMG EQE 4MATIC+</t>
  </si>
  <si>
    <t>2026 Mercedes-Benz EQE 320 4MATIC</t>
  </si>
  <si>
    <t>2026 Mercedes-Benz EQE 320+</t>
  </si>
  <si>
    <t>2026 Mercedes-Benz EQS 450 4MATIC</t>
  </si>
  <si>
    <t>2026 Mercedes-Benz EQS 450+</t>
  </si>
  <si>
    <t>2026 Mercedes-Benz EQS 580 4MATIC</t>
  </si>
  <si>
    <t>2026 Mercedes-Benz AMG EQE 4MATIC+ (SUV)</t>
  </si>
  <si>
    <t>2026 Mercedes-Benz EQE 320 4MATIC (SUV)</t>
  </si>
  <si>
    <t>2026 Mercedes-Benz EQE 320+ (SUV)</t>
  </si>
  <si>
    <t>2026 Mercedes-Benz EQS 400 4MATIC (SUV)</t>
  </si>
  <si>
    <t>2026 Mercedes-Benz EQS 550 4MATIC (SUV)</t>
  </si>
  <si>
    <t>2026 Mercedes-Benz EQS 680 4MATIC Maybach (SUV)</t>
  </si>
  <si>
    <t>2026 Mercedes-Benz G 580 with EQ Technology</t>
  </si>
  <si>
    <t>2026 NISSAN LEAF 75kWh (18 inch alloy wheels)</t>
  </si>
  <si>
    <t>2026 NISSAN LEAF 75kWh (18 inch steel wheels)</t>
  </si>
  <si>
    <t>2026 NISSAN LEAF 75kWh (19 inch wheels)</t>
  </si>
  <si>
    <t>2026 Rivian R1T All-Terrain Dual Large (20in)</t>
  </si>
  <si>
    <t>2026 Rivian R1T All-Terrain Dual Large Plus (20in)</t>
  </si>
  <si>
    <t>2026 Rivian R1T All-Terrain Dual Max (20in)</t>
  </si>
  <si>
    <t>2026 Rivian R1T All-Terrain Performance Dual Large (20in)</t>
  </si>
  <si>
    <t>2026 Rivian R1T All-Terrain Performance Dual Large Plus (20in)</t>
  </si>
  <si>
    <t>2026 Rivian R1T All-Terrain Performance Dual Max (20in)</t>
  </si>
  <si>
    <t>2026 Rivian R1T All-Terrain Tri Max (20in)</t>
  </si>
  <si>
    <t>2026 Rivian R1T Dual Large (20in)</t>
  </si>
  <si>
    <t>2026 Rivian R1T Dual Large (22in)</t>
  </si>
  <si>
    <t>2026 Rivian R1T Dual Large Plus (20in)</t>
  </si>
  <si>
    <t>2026 Rivian R1T Dual Large Plus (22in)</t>
  </si>
  <si>
    <t>2026 Rivian R1T Dual Max (20in)</t>
  </si>
  <si>
    <t>2026 Rivian R1T Dual Max (22in)</t>
  </si>
  <si>
    <t>2026 Rivian R1T Dual Standard (20in)</t>
  </si>
  <si>
    <t>2026 Rivian R1T Dual Standard (22in)</t>
  </si>
  <si>
    <t>2026 Rivian R1T Performance Dual Large (20in)</t>
  </si>
  <si>
    <t>2026 Rivian R1T Performance Dual Large (22in)</t>
  </si>
  <si>
    <t>2026 Rivian R1T Performance Dual Large Plus (20in)</t>
  </si>
  <si>
    <t>2026 Rivian R1T Performance Dual Large Plus (22in)</t>
  </si>
  <si>
    <t>2026 Rivian R1T Performance Dual Max (20in)</t>
  </si>
  <si>
    <t>2026 Rivian R1T Performance Dual Max (22in)</t>
  </si>
  <si>
    <t>2026 Rivian R1T Quad Max (20in AT)</t>
  </si>
  <si>
    <t>2026 Rivian R1T Quad Max (22in UHP)</t>
  </si>
  <si>
    <t>2026 Rivian R1T Quad Max (22in)</t>
  </si>
  <si>
    <t>2026 Rivian R1T Tri Max (22in)</t>
  </si>
  <si>
    <t>2026 Rivian R1S All-Terrain Dual Large (20in)</t>
  </si>
  <si>
    <t>2026 Rivian R1S All-Terrain Dual Large Plus (20in)</t>
  </si>
  <si>
    <t>2026 Rivian R1S All-Terrain Dual Max (20in)</t>
  </si>
  <si>
    <t>2026 Rivian R1S All-Terrain Performance  Dual Max (20in)</t>
  </si>
  <si>
    <t>2026 Rivian R1S All-Terrain Performance Dual Large (20in)</t>
  </si>
  <si>
    <t>2026 Rivian R1S All-Terrain Performance Dual Large Plus (20in)</t>
  </si>
  <si>
    <t>2026 Rivian R1S All-Terrain Tri Max (20in)</t>
  </si>
  <si>
    <t>2026 Rivian R1S Dual Large (20in)</t>
  </si>
  <si>
    <t>2026 Rivian R1S Dual Large (22in)</t>
  </si>
  <si>
    <t>2026 Rivian R1S Dual Large Plus (20in)</t>
  </si>
  <si>
    <t>2026 Rivian R1S Dual Large Plus (22in)</t>
  </si>
  <si>
    <t>2026 Rivian R1S Dual Max (20in)</t>
  </si>
  <si>
    <t>2026 Rivian R1S Dual Max (22in)</t>
  </si>
  <si>
    <t>2026 Rivian R1S Dual Standard (20in)</t>
  </si>
  <si>
    <t>2026 Rivian R1S Dual Standard (22in)</t>
  </si>
  <si>
    <t>2026 Rivian R1S Performance Dual Large (20in)</t>
  </si>
  <si>
    <t>2026 Rivian R1S Performance Dual Large (22in)</t>
  </si>
  <si>
    <t>2026 Rivian R1S Performance Dual Large Plus (20in)</t>
  </si>
  <si>
    <t>2026 Rivian R1S Performance Dual Large Plus (22in)</t>
  </si>
  <si>
    <t>2026 Rivian R1S Performance Dual Max (20in)</t>
  </si>
  <si>
    <t>2026 Rivian R1S Performance Dual Max (22in)</t>
  </si>
  <si>
    <t>2026 Rivian R1S Quad Max (20in AT)</t>
  </si>
  <si>
    <t>2026 Rivian R1S Quad Max (22in UHP)</t>
  </si>
  <si>
    <t>2026 Rivian R1S Quad Max (22in)</t>
  </si>
  <si>
    <t>2026 Rivian R1S Tri Max (22in)</t>
  </si>
  <si>
    <t>2026 Rolls-Royce Motor Cars Limited Black Badge Spectre (22'' Wheels)</t>
  </si>
  <si>
    <t>2026 Rolls-Royce Motor Cars Limited Black Badge Spectre (23'' Wheels)</t>
  </si>
  <si>
    <t>2026 Rolls-Royce Motor Cars Limited Spectre (22'' Wheels)</t>
  </si>
  <si>
    <t>2026 Rolls-Royce Motor Cars Limited Spectre (23'' Wheels)</t>
  </si>
  <si>
    <t>2026 Subaru SOLTERRA 20 AWD</t>
  </si>
  <si>
    <t>2026 Subaru SOLTERRA AWD</t>
  </si>
  <si>
    <t>2026 Tesla Motors Model S</t>
  </si>
  <si>
    <t>2026 Tesla Motors Model S Plaid</t>
  </si>
  <si>
    <t>2026 Tesla Motors Model Y Long Range RWD</t>
  </si>
  <si>
    <t>2026 Tesla Motors Model Y Long Range AWD</t>
  </si>
  <si>
    <t>2026 Tesla Motors Model X</t>
  </si>
  <si>
    <t>2026 Tesla Motors Model X Plaid</t>
  </si>
  <si>
    <t>2026 TOYOTA bZ</t>
  </si>
  <si>
    <t>2026 TOYOTA bZ LIMITED</t>
  </si>
  <si>
    <t>2026 TOYOTA bZ AWD</t>
  </si>
  <si>
    <t>2026 TOYOTA bZ AWD LIMITED</t>
  </si>
  <si>
    <t>2026 Volkswagen ID.4</t>
  </si>
  <si>
    <t>2026 Volkswagen ID.4 AWD</t>
  </si>
  <si>
    <t>2026 Volvo Cars of North America, LLC EC40</t>
  </si>
  <si>
    <t>2026 Volvo Cars of North America, LLC EX30 Single motor extended range</t>
  </si>
  <si>
    <t>2026 Volvo Cars of North America, LLC EX40</t>
  </si>
  <si>
    <t>2026 Volvo Cars of North America, LLC EC40 Twin</t>
  </si>
  <si>
    <t>2026 Volvo Cars of North America, LLC EX30 Cross Country (18 Inch wheels)</t>
  </si>
  <si>
    <t>2026 Volvo Cars of North America, LLC EX30 Cross Country (19 Inch wheels)</t>
  </si>
  <si>
    <t>2026 Volvo Cars of North America, LLC EX30 Twin Performance</t>
  </si>
  <si>
    <t>2026 Volvo Cars of North America, LLC EX40 Twin</t>
  </si>
  <si>
    <t>LYRIQ PAWD</t>
  </si>
  <si>
    <t>Ferrari</t>
  </si>
  <si>
    <t>Ferrari S.p.A.</t>
  </si>
  <si>
    <t>12Cilindri</t>
  </si>
  <si>
    <t>FEX</t>
  </si>
  <si>
    <t>Ferrari 12Cilindri</t>
  </si>
  <si>
    <t>Not applicable.</t>
  </si>
  <si>
    <t>Variable camshaft timing for exhaust and inlet.</t>
  </si>
  <si>
    <t>10W60</t>
  </si>
  <si>
    <t>TFEXV06.5G50</t>
  </si>
  <si>
    <t>12Cilindri Spider</t>
  </si>
  <si>
    <t>Ferrari 12Cilindri Spider</t>
  </si>
  <si>
    <t>Roma Spider</t>
  </si>
  <si>
    <t>Ferrari Roma Spider</t>
  </si>
  <si>
    <t>TFEXV03.9T50</t>
  </si>
  <si>
    <t>Purosangue</t>
  </si>
  <si>
    <t>Ferrari Purosangue</t>
  </si>
  <si>
    <t>TCRXT03.6560</t>
  </si>
  <si>
    <t>CX-30 4WD</t>
  </si>
  <si>
    <t>MAZDA CX-30 2.5L-DI w/o cylinder deactivation</t>
  </si>
  <si>
    <t>TTKXV02.5CDI</t>
  </si>
  <si>
    <t>MURANO AWD</t>
  </si>
  <si>
    <t>MURANO FWD, MURANO AWD, PATHFINDER 2WD, PATHFINDER 4WD</t>
  </si>
  <si>
    <t>DOHC with VCT</t>
  </si>
  <si>
    <t>TFMXT03.0JPC</t>
  </si>
  <si>
    <t>AVIATOR RWD</t>
  </si>
  <si>
    <t>EXPLORER TREMOR AWD</t>
  </si>
  <si>
    <t>Tremor</t>
  </si>
  <si>
    <t>TFMXT02.34K4</t>
  </si>
  <si>
    <t>AVIATOR AWD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</si>
</sst>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
  </numFmts>
  <fonts count="12" x14ac:knownFonts="1">
    <font>
      <sz val="11"/>
      <color theme="1"/>
      <name val="Calibri"/>
      <family val="2"/>
      <scheme val="minor"/>
    </font>
    <font>
      <sz val="11"/>
      <color rgb="FFFF0000"/>
      <name val="Calibri"/>
      <family val="2"/>
      <scheme val="minor"/>
    </font>
    <font>
      <b/>
      <sz val="11"/>
      <color theme="1"/>
      <name val="Calibri"/>
      <family val="2"/>
      <scheme val="minor"/>
    </font>
    <font>
      <sz val="10"/>
      <name val="Arial"/>
      <family val="2"/>
    </font>
    <font>
      <b/>
      <sz val="10"/>
      <name val="Arial"/>
      <family val="2"/>
    </font>
    <font>
      <b/>
      <sz val="11"/>
      <name val="Calibri"/>
      <family val="2"/>
      <scheme val="minor"/>
    </font>
    <font>
      <sz val="11"/>
      <name val="Calibri"/>
      <family val="2"/>
      <scheme val="minor"/>
    </font>
    <font>
      <b/>
      <sz val="14"/>
      <color theme="1"/>
      <name val="Calibri"/>
      <family val="2"/>
      <scheme val="minor"/>
    </font>
    <font>
      <b/>
      <sz val="11"/>
      <color rgb="FFFF0000"/>
      <name val="Calibri"/>
      <family val="2"/>
      <scheme val="minor"/>
    </font>
    <font>
      <b/>
      <sz val="10"/>
      <color indexed="10"/>
      <name val="Arial"/>
      <family val="2"/>
    </font>
    <font>
      <b/>
      <sz val="10"/>
      <color indexed="12"/>
      <name val="Arial"/>
      <family val="2"/>
    </font>
    <font>
      <b/>
      <sz val="10"/>
      <color rgb="FFFF0000"/>
      <name val="Arial"/>
      <family val="2"/>
    </font>
  </fonts>
  <fills count="17">
    <fill>
      <patternFill patternType="none"/>
    </fill>
    <fill>
      <patternFill patternType="gray125"/>
    </fill>
    <fill>
      <patternFill patternType="solid">
        <fgColor indexed="15"/>
        <bgColor indexed="64"/>
      </patternFill>
    </fill>
    <fill>
      <patternFill patternType="solid">
        <fgColor indexed="50"/>
        <bgColor indexed="64"/>
      </patternFill>
    </fill>
    <fill>
      <patternFill patternType="solid">
        <fgColor indexed="13"/>
        <bgColor indexed="64"/>
      </patternFill>
    </fill>
    <fill>
      <patternFill patternType="solid">
        <fgColor indexed="45"/>
        <bgColor indexed="64"/>
      </patternFill>
    </fill>
    <fill>
      <patternFill patternType="solid">
        <fgColor indexed="14"/>
        <bgColor indexed="64"/>
      </patternFill>
    </fill>
    <fill>
      <patternFill patternType="solid">
        <fgColor rgb="FFFFFF00"/>
        <bgColor indexed="64"/>
      </patternFill>
    </fill>
    <fill>
      <patternFill patternType="solid">
        <fgColor rgb="FFFFFF99"/>
        <bgColor indexed="64"/>
      </patternFill>
    </fill>
    <fill>
      <patternFill patternType="solid">
        <fgColor rgb="FF92D050"/>
        <bgColor indexed="64"/>
      </patternFill>
    </fill>
    <fill>
      <patternFill patternType="solid">
        <fgColor rgb="FFFFC000"/>
        <bgColor indexed="64"/>
      </patternFill>
    </fill>
    <fill>
      <patternFill patternType="solid">
        <fgColor rgb="FF6699FF"/>
        <bgColor indexed="64"/>
      </patternFill>
    </fill>
    <fill>
      <patternFill patternType="solid">
        <fgColor rgb="FF39AD39"/>
        <bgColor indexed="64"/>
      </patternFill>
    </fill>
    <fill>
      <patternFill patternType="solid">
        <fgColor rgb="FF0000FF"/>
        <bgColor indexed="64"/>
      </patternFill>
    </fill>
    <fill>
      <patternFill patternType="solid">
        <fgColor rgb="FFF808DB"/>
        <bgColor indexed="64"/>
      </patternFill>
    </fill>
    <fill>
      <patternFill patternType="solid">
        <fgColor theme="9" tint="0.79998168889431442"/>
        <bgColor indexed="64"/>
      </patternFill>
    </fill>
    <fill>
      <patternFill patternType="solid">
        <fgColor rgb="FF14B4C8"/>
        <bgColor indexed="64"/>
      </patternFill>
    </fill>
  </fills>
  <borders count="16">
    <border>
      <left/>
      <right/>
      <top/>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right/>
      <top style="medium">
        <color indexed="64"/>
      </top>
      <bottom/>
      <diagonal/>
    </border>
    <border>
      <left style="medium">
        <color indexed="64"/>
      </left>
      <right/>
      <top/>
      <bottom/>
      <diagonal/>
    </border>
    <border>
      <left/>
      <right style="medium">
        <color indexed="64"/>
      </right>
      <top/>
      <bottom/>
      <diagonal/>
    </border>
    <border>
      <left style="medium">
        <color indexed="64"/>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1">
    <xf numFmtId="0" fontId="0" fillId="0" borderId="0"/>
  </cellStyleXfs>
  <cellXfs count="151">
    <xf numFmtId="0" fontId="0" fillId="0" borderId="0" xfId="0"/>
    <xf numFmtId="0" fontId="4" fillId="0" borderId="0" xfId="0" applyFont="1"/>
    <xf numFmtId="0" fontId="4" fillId="2" borderId="0" xfId="0" applyFont="1" applyFill="1"/>
    <xf numFmtId="0" fontId="4" fillId="3" borderId="0" xfId="0" applyFont="1" applyFill="1"/>
    <xf numFmtId="0" fontId="4" fillId="4" borderId="0" xfId="0" applyFont="1" applyFill="1"/>
    <xf numFmtId="164" fontId="4" fillId="2" borderId="0" xfId="0" applyNumberFormat="1" applyFont="1" applyFill="1"/>
    <xf numFmtId="1" fontId="4" fillId="5" borderId="0" xfId="0" applyNumberFormat="1" applyFont="1" applyFill="1"/>
    <xf numFmtId="14" fontId="4" fillId="0" borderId="0" xfId="0" applyNumberFormat="1" applyFont="1"/>
    <xf numFmtId="0" fontId="4" fillId="5" borderId="0" xfId="0" applyFont="1" applyFill="1"/>
    <xf numFmtId="0" fontId="4" fillId="6" borderId="0" xfId="0" applyFont="1" applyFill="1"/>
    <xf numFmtId="0" fontId="5" fillId="0" borderId="0" xfId="0" applyFont="1"/>
    <xf numFmtId="0" fontId="5" fillId="7" borderId="0" xfId="0" applyFont="1" applyFill="1"/>
    <xf numFmtId="0" fontId="6" fillId="8" borderId="0" xfId="0" applyFont="1" applyFill="1"/>
    <xf numFmtId="0" fontId="6" fillId="7" borderId="0" xfId="0" applyFont="1" applyFill="1"/>
    <xf numFmtId="0" fontId="5" fillId="9" borderId="0" xfId="0" applyFont="1" applyFill="1"/>
    <xf numFmtId="0" fontId="5" fillId="10" borderId="0" xfId="0" applyFont="1" applyFill="1"/>
    <xf numFmtId="0" fontId="5" fillId="11" borderId="0" xfId="0" applyFont="1" applyFill="1"/>
    <xf numFmtId="0" fontId="6" fillId="0" borderId="0" xfId="0" applyFont="1"/>
    <xf numFmtId="0" fontId="7" fillId="0" borderId="0" xfId="0" applyFont="1"/>
    <xf numFmtId="0" fontId="8" fillId="0" borderId="0" xfId="0" applyFont="1"/>
    <xf numFmtId="0" fontId="0" fillId="0" borderId="0" xfId="0" applyAlignment="1">
      <alignment horizontal="center"/>
    </xf>
    <xf numFmtId="0" fontId="2" fillId="0" borderId="1" xfId="0" applyFont="1" applyBorder="1" applyAlignment="1">
      <alignment horizontal="center"/>
    </xf>
    <xf numFmtId="0" fontId="3" fillId="12" borderId="5" xfId="0" applyFont="1" applyFill="1" applyBorder="1"/>
    <xf numFmtId="0" fontId="3" fillId="13" borderId="1" xfId="0" applyFont="1" applyFill="1" applyBorder="1"/>
    <xf numFmtId="0" fontId="2" fillId="0" borderId="5" xfId="0" applyFont="1" applyBorder="1" applyAlignment="1">
      <alignment horizontal="center"/>
    </xf>
    <xf numFmtId="0" fontId="2" fillId="0" borderId="3" xfId="0" applyFont="1" applyBorder="1"/>
    <xf numFmtId="0" fontId="2" fillId="0" borderId="6" xfId="0" applyFont="1" applyBorder="1" applyAlignment="1">
      <alignment horizontal="center"/>
    </xf>
    <xf numFmtId="0" fontId="0" fillId="7" borderId="1" xfId="0" applyFill="1" applyBorder="1" applyAlignment="1">
      <alignment horizontal="center"/>
    </xf>
    <xf numFmtId="0" fontId="4" fillId="0" borderId="9" xfId="0" applyFont="1" applyBorder="1"/>
    <xf numFmtId="0" fontId="9" fillId="0" borderId="9" xfId="0" applyFont="1" applyBorder="1"/>
    <xf numFmtId="0" fontId="4" fillId="2" borderId="8" xfId="0" applyFont="1" applyFill="1" applyBorder="1"/>
    <xf numFmtId="0" fontId="4" fillId="3" borderId="9" xfId="0" applyFont="1" applyFill="1" applyBorder="1"/>
    <xf numFmtId="0" fontId="10" fillId="2" borderId="9" xfId="0" applyFont="1" applyFill="1" applyBorder="1"/>
    <xf numFmtId="0" fontId="4" fillId="0" borderId="7" xfId="0" applyFont="1" applyBorder="1"/>
    <xf numFmtId="0" fontId="4" fillId="0" borderId="8" xfId="0" applyFont="1" applyBorder="1"/>
    <xf numFmtId="0" fontId="4" fillId="2" borderId="9" xfId="0" applyFont="1" applyFill="1" applyBorder="1"/>
    <xf numFmtId="0" fontId="4" fillId="4" borderId="9" xfId="0" applyFont="1" applyFill="1" applyBorder="1"/>
    <xf numFmtId="164" fontId="9" fillId="2" borderId="9" xfId="0" applyNumberFormat="1" applyFont="1" applyFill="1" applyBorder="1"/>
    <xf numFmtId="0" fontId="4" fillId="5" borderId="7" xfId="0" applyFont="1" applyFill="1" applyBorder="1"/>
    <xf numFmtId="0" fontId="3" fillId="12" borderId="1" xfId="0" applyFont="1" applyFill="1" applyBorder="1"/>
    <xf numFmtId="14" fontId="4" fillId="0" borderId="9" xfId="0" applyNumberFormat="1" applyFont="1" applyBorder="1"/>
    <xf numFmtId="0" fontId="4" fillId="5" borderId="9" xfId="0" applyFont="1" applyFill="1" applyBorder="1"/>
    <xf numFmtId="0" fontId="4" fillId="6" borderId="9" xfId="0" applyFont="1" applyFill="1" applyBorder="1"/>
    <xf numFmtId="0" fontId="2" fillId="0" borderId="9" xfId="0" applyFont="1" applyBorder="1"/>
    <xf numFmtId="0" fontId="2" fillId="7" borderId="9" xfId="0" applyFont="1" applyFill="1" applyBorder="1"/>
    <xf numFmtId="0" fontId="0" fillId="8" borderId="7" xfId="0" applyFill="1" applyBorder="1"/>
    <xf numFmtId="0" fontId="0" fillId="8" borderId="9" xfId="0" applyFill="1" applyBorder="1"/>
    <xf numFmtId="0" fontId="0" fillId="8" borderId="8" xfId="0" applyFill="1" applyBorder="1"/>
    <xf numFmtId="0" fontId="0" fillId="7" borderId="9" xfId="0" applyFill="1" applyBorder="1"/>
    <xf numFmtId="0" fontId="0" fillId="7" borderId="7" xfId="0" applyFill="1" applyBorder="1"/>
    <xf numFmtId="0" fontId="2" fillId="9" borderId="7" xfId="0" applyFont="1" applyFill="1" applyBorder="1"/>
    <xf numFmtId="0" fontId="2" fillId="9" borderId="8" xfId="0" applyFont="1" applyFill="1" applyBorder="1"/>
    <xf numFmtId="0" fontId="2" fillId="10" borderId="9" xfId="0" applyFont="1" applyFill="1" applyBorder="1"/>
    <xf numFmtId="0" fontId="2" fillId="11" borderId="9" xfId="0" applyFont="1" applyFill="1" applyBorder="1"/>
    <xf numFmtId="0" fontId="2" fillId="10" borderId="1" xfId="0" applyFont="1" applyFill="1" applyBorder="1"/>
    <xf numFmtId="0" fontId="2" fillId="11" borderId="1" xfId="0" applyFont="1" applyFill="1" applyBorder="1"/>
    <xf numFmtId="0" fontId="2" fillId="10" borderId="7" xfId="0" applyFont="1" applyFill="1" applyBorder="1"/>
    <xf numFmtId="0" fontId="2" fillId="10" borderId="8" xfId="0" applyFont="1" applyFill="1" applyBorder="1"/>
    <xf numFmtId="0" fontId="2" fillId="14" borderId="7" xfId="0" applyFont="1" applyFill="1" applyBorder="1"/>
    <xf numFmtId="0" fontId="2" fillId="14" borderId="9" xfId="0" applyFont="1" applyFill="1" applyBorder="1"/>
    <xf numFmtId="0" fontId="2" fillId="14" borderId="8" xfId="0" applyFont="1" applyFill="1" applyBorder="1"/>
    <xf numFmtId="0" fontId="2" fillId="11" borderId="7" xfId="0" applyFont="1" applyFill="1" applyBorder="1"/>
    <xf numFmtId="0" fontId="2" fillId="11" borderId="8" xfId="0" applyFont="1" applyFill="1" applyBorder="1"/>
    <xf numFmtId="0" fontId="2" fillId="9" borderId="9" xfId="0" applyFont="1" applyFill="1" applyBorder="1"/>
    <xf numFmtId="0" fontId="0" fillId="7" borderId="6" xfId="0" applyFill="1" applyBorder="1" applyAlignment="1">
      <alignment horizontal="center"/>
    </xf>
    <xf numFmtId="0" fontId="1" fillId="0" borderId="11" xfId="0" applyFont="1" applyBorder="1"/>
    <xf numFmtId="0" fontId="1" fillId="0" borderId="0" xfId="0" applyFont="1"/>
    <xf numFmtId="165" fontId="6" fillId="0" borderId="0" xfId="0" applyNumberFormat="1" applyFont="1"/>
    <xf numFmtId="0" fontId="6" fillId="0" borderId="11" xfId="0" applyFont="1" applyBorder="1"/>
    <xf numFmtId="0" fontId="8" fillId="0" borderId="10" xfId="0" applyFont="1" applyBorder="1"/>
    <xf numFmtId="0" fontId="11" fillId="0" borderId="0" xfId="0" applyFont="1"/>
    <xf numFmtId="0" fontId="4" fillId="0" borderId="10" xfId="0" applyFont="1" applyBorder="1"/>
    <xf numFmtId="0" fontId="4" fillId="0" borderId="11" xfId="0" applyFont="1" applyBorder="1"/>
    <xf numFmtId="164" fontId="4" fillId="0" borderId="0" xfId="0" applyNumberFormat="1" applyFont="1"/>
    <xf numFmtId="1" fontId="3" fillId="12" borderId="12" xfId="0" applyNumberFormat="1" applyFont="1" applyFill="1" applyBorder="1"/>
    <xf numFmtId="0" fontId="3" fillId="0" borderId="0" xfId="0" applyFont="1"/>
    <xf numFmtId="49" fontId="3" fillId="13" borderId="12" xfId="0" applyNumberFormat="1" applyFont="1" applyFill="1" applyBorder="1"/>
    <xf numFmtId="0" fontId="8" fillId="0" borderId="11" xfId="0" applyFont="1" applyBorder="1"/>
    <xf numFmtId="0" fontId="1" fillId="0" borderId="10" xfId="0" applyFont="1" applyBorder="1"/>
    <xf numFmtId="0" fontId="1" fillId="0" borderId="12" xfId="0" applyFont="1" applyBorder="1"/>
    <xf numFmtId="0" fontId="1" fillId="0" borderId="1" xfId="0" applyFont="1" applyBorder="1"/>
    <xf numFmtId="0" fontId="8" fillId="0" borderId="0" xfId="0" applyFont="1" applyAlignment="1">
      <alignment horizontal="center"/>
    </xf>
    <xf numFmtId="165" fontId="8" fillId="0" borderId="12" xfId="0" applyNumberFormat="1" applyFont="1" applyBorder="1" applyAlignment="1">
      <alignment horizontal="center"/>
    </xf>
    <xf numFmtId="1" fontId="6" fillId="0" borderId="12" xfId="0" applyNumberFormat="1" applyFont="1" applyBorder="1"/>
    <xf numFmtId="0" fontId="6" fillId="0" borderId="10" xfId="0" applyFont="1" applyBorder="1"/>
    <xf numFmtId="0" fontId="6" fillId="0" borderId="12" xfId="0" applyFont="1" applyBorder="1"/>
    <xf numFmtId="1" fontId="6" fillId="0" borderId="10" xfId="0" applyNumberFormat="1" applyFont="1" applyBorder="1"/>
    <xf numFmtId="14" fontId="6" fillId="0" borderId="0" xfId="0" applyNumberFormat="1" applyFont="1"/>
    <xf numFmtId="0" fontId="6" fillId="12" borderId="12" xfId="0" applyFont="1" applyFill="1" applyBorder="1"/>
    <xf numFmtId="0" fontId="6" fillId="13" borderId="12" xfId="0" applyFont="1" applyFill="1" applyBorder="1"/>
    <xf numFmtId="2" fontId="6" fillId="0" borderId="10" xfId="0" applyNumberFormat="1" applyFont="1" applyBorder="1"/>
    <xf numFmtId="2" fontId="6" fillId="0" borderId="0" xfId="0" applyNumberFormat="1" applyFont="1"/>
    <xf numFmtId="0" fontId="6" fillId="0" borderId="0" xfId="0" applyFont="1" applyAlignment="1">
      <alignment horizontal="center"/>
    </xf>
    <xf numFmtId="165" fontId="0" fillId="0" borderId="12" xfId="0" applyNumberFormat="1" applyBorder="1" applyAlignment="1">
      <alignment horizontal="center"/>
    </xf>
    <xf numFmtId="1" fontId="6" fillId="0" borderId="0" xfId="0" applyNumberFormat="1" applyFont="1"/>
    <xf numFmtId="1" fontId="6" fillId="0" borderId="11" xfId="0" applyNumberFormat="1" applyFont="1" applyBorder="1"/>
    <xf numFmtId="0" fontId="6" fillId="0" borderId="0" xfId="0" applyFont="1" applyAlignment="1">
      <alignment horizontal="left"/>
    </xf>
    <xf numFmtId="0" fontId="6" fillId="0" borderId="12" xfId="0" applyFont="1" applyBorder="1" applyAlignment="1">
      <alignment horizontal="center"/>
    </xf>
    <xf numFmtId="0" fontId="6" fillId="15" borderId="0" xfId="0" applyFont="1" applyFill="1"/>
    <xf numFmtId="0" fontId="6" fillId="0" borderId="13" xfId="0" applyFont="1" applyBorder="1"/>
    <xf numFmtId="0" fontId="6" fillId="0" borderId="14" xfId="0" applyFont="1" applyBorder="1"/>
    <xf numFmtId="0" fontId="6" fillId="0" borderId="15" xfId="0" applyFont="1" applyBorder="1"/>
    <xf numFmtId="0" fontId="6" fillId="0" borderId="6" xfId="0" applyFont="1" applyBorder="1"/>
    <xf numFmtId="1" fontId="6" fillId="0" borderId="13" xfId="0" applyNumberFormat="1" applyFont="1" applyBorder="1"/>
    <xf numFmtId="14" fontId="6" fillId="0" borderId="15" xfId="0" applyNumberFormat="1" applyFont="1" applyBorder="1"/>
    <xf numFmtId="0" fontId="6" fillId="12" borderId="6" xfId="0" applyFont="1" applyFill="1" applyBorder="1"/>
    <xf numFmtId="0" fontId="6" fillId="13" borderId="6" xfId="0" applyFont="1" applyFill="1" applyBorder="1"/>
    <xf numFmtId="1" fontId="6" fillId="0" borderId="6" xfId="0" applyNumberFormat="1" applyFont="1" applyBorder="1"/>
    <xf numFmtId="1" fontId="6" fillId="0" borderId="14" xfId="0" applyNumberFormat="1" applyFont="1" applyBorder="1"/>
    <xf numFmtId="1" fontId="6" fillId="0" borderId="15" xfId="0" applyNumberFormat="1" applyFont="1" applyBorder="1"/>
    <xf numFmtId="0" fontId="6" fillId="0" borderId="15" xfId="0" applyFont="1" applyBorder="1" applyAlignment="1">
      <alignment horizontal="center"/>
    </xf>
    <xf numFmtId="165" fontId="0" fillId="0" borderId="6" xfId="0" applyNumberFormat="1" applyBorder="1" applyAlignment="1">
      <alignment horizontal="center"/>
    </xf>
    <xf numFmtId="0" fontId="0" fillId="16" borderId="0" xfId="0" applyFill="1"/>
    <xf numFmtId="165" fontId="0" fillId="0" borderId="0" xfId="0" applyNumberFormat="1"/>
    <xf numFmtId="1" fontId="0" fillId="0" borderId="0" xfId="0" applyNumberFormat="1"/>
    <xf numFmtId="14" fontId="0" fillId="0" borderId="0" xfId="0" applyNumberFormat="1"/>
    <xf numFmtId="0" fontId="0" fillId="12" borderId="0" xfId="0" applyFill="1"/>
    <xf numFmtId="0" fontId="0" fillId="13" borderId="0" xfId="0" applyFill="1"/>
    <xf numFmtId="0" fontId="9" fillId="0" borderId="0" xfId="0" applyFont="1"/>
    <xf numFmtId="0" fontId="10" fillId="2" borderId="0" xfId="0" applyFont="1" applyFill="1"/>
    <xf numFmtId="164" fontId="9" fillId="2" borderId="0" xfId="0" applyNumberFormat="1" applyFont="1" applyFill="1"/>
    <xf numFmtId="0" fontId="2" fillId="0" borderId="0" xfId="0" applyFont="1"/>
    <xf numFmtId="0" fontId="2" fillId="7" borderId="0" xfId="0" applyFont="1" applyFill="1"/>
    <xf numFmtId="0" fontId="0" fillId="8" borderId="0" xfId="0" applyFill="1"/>
    <xf numFmtId="0" fontId="0" fillId="7" borderId="0" xfId="0" applyFill="1"/>
    <xf numFmtId="0" fontId="2" fillId="9" borderId="0" xfId="0" applyFont="1" applyFill="1"/>
    <xf numFmtId="0" fontId="2" fillId="10" borderId="0" xfId="0" applyFont="1" applyFill="1"/>
    <xf numFmtId="0" fontId="2" fillId="11" borderId="0" xfId="0" applyFont="1" applyFill="1"/>
    <xf numFmtId="165" fontId="8" fillId="0" borderId="0" xfId="0" applyNumberFormat="1" applyFont="1"/>
    <xf numFmtId="1" fontId="8" fillId="0" borderId="0" xfId="0" applyNumberFormat="1" applyFont="1"/>
    <xf numFmtId="14" fontId="8" fillId="0" borderId="0" xfId="0" applyNumberFormat="1" applyFont="1"/>
    <xf numFmtId="0" fontId="8" fillId="7" borderId="0" xfId="0" applyFont="1" applyFill="1"/>
    <xf numFmtId="165" fontId="8" fillId="7" borderId="0" xfId="0" applyNumberFormat="1" applyFont="1" applyFill="1"/>
    <xf numFmtId="1" fontId="8" fillId="7" borderId="0" xfId="0" applyNumberFormat="1" applyFont="1" applyFill="1"/>
    <xf numFmtId="14" fontId="8" fillId="7" borderId="0" xfId="0" applyNumberFormat="1" applyFont="1" applyFill="1"/>
    <xf numFmtId="165" fontId="0" fillId="7" borderId="0" xfId="0" applyNumberFormat="1" applyFill="1"/>
    <xf numFmtId="1" fontId="0" fillId="7" borderId="0" xfId="0" applyNumberFormat="1" applyFill="1"/>
    <xf numFmtId="14" fontId="0" fillId="7" borderId="0" xfId="0" applyNumberFormat="1" applyFill="1"/>
    <xf numFmtId="1" fontId="6" fillId="7" borderId="0" xfId="0" applyNumberFormat="1" applyFont="1" applyFill="1"/>
    <xf numFmtId="0" fontId="1" fillId="7" borderId="0" xfId="0" applyFont="1" applyFill="1"/>
    <xf numFmtId="0" fontId="4" fillId="7" borderId="0" xfId="0" applyFont="1" applyFill="1"/>
    <xf numFmtId="0" fontId="6" fillId="0" borderId="0" xfId="0" applyFont="1" applyAlignment="1">
      <alignment horizontal="left"/>
    </xf>
    <xf numFmtId="0" fontId="6" fillId="0" borderId="11" xfId="0" applyFont="1" applyBorder="1" applyAlignment="1">
      <alignment horizontal="left"/>
    </xf>
    <xf numFmtId="0" fontId="6" fillId="0" borderId="15" xfId="0" applyFont="1" applyBorder="1" applyAlignment="1">
      <alignment horizontal="left"/>
    </xf>
    <xf numFmtId="0" fontId="6" fillId="0" borderId="14" xfId="0" applyFont="1" applyBorder="1" applyAlignment="1">
      <alignment horizontal="left"/>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DDAEC5-07B8-437E-8800-05795423C9CB}">
  <dimension ref="A1:FI623"/>
  <sheetViews>
    <sheetView tabSelected="1" workbookViewId="0"/>
  </sheetViews>
  <sheetFormatPr defaultRowHeight="14.5" x14ac:dyDescent="0.35"/>
  <cols>
    <col min="73" max="73" width="14" customWidth="1"/>
  </cols>
  <sheetData>
    <row r="1" spans="1:165" x14ac:dyDescent="0.35">
      <c r="A1" s="1" t="s">
        <v>0</v>
      </c>
      <c r="B1" s="1" t="s">
        <v>1</v>
      </c>
      <c r="C1" s="1" t="s">
        <v>2</v>
      </c>
      <c r="D1" s="1" t="s">
        <v>3</v>
      </c>
      <c r="E1" s="1" t="s">
        <v>4</v>
      </c>
      <c r="F1" s="118" t="s">
        <v>5</v>
      </c>
      <c r="G1" s="1" t="s">
        <v>6</v>
      </c>
      <c r="H1" s="1" t="s">
        <v>7</v>
      </c>
      <c r="I1" s="2" t="s">
        <v>8</v>
      </c>
      <c r="J1" s="3" t="s">
        <v>9</v>
      </c>
      <c r="K1" s="3" t="s">
        <v>10</v>
      </c>
      <c r="L1" s="3" t="s">
        <v>11</v>
      </c>
      <c r="M1" s="3" t="s">
        <v>12</v>
      </c>
      <c r="N1" s="3" t="s">
        <v>13</v>
      </c>
      <c r="O1" s="3" t="s">
        <v>14</v>
      </c>
      <c r="P1" s="3" t="s">
        <v>15</v>
      </c>
      <c r="Q1" s="3" t="s">
        <v>16</v>
      </c>
      <c r="R1" s="3" t="s">
        <v>17</v>
      </c>
      <c r="S1" s="119" t="s">
        <v>18</v>
      </c>
      <c r="T1" s="1" t="s">
        <v>19</v>
      </c>
      <c r="U1" s="1" t="s">
        <v>20</v>
      </c>
      <c r="V1" s="1" t="s">
        <v>21</v>
      </c>
      <c r="W1" s="1" t="s">
        <v>22</v>
      </c>
      <c r="X1" s="1" t="s">
        <v>23</v>
      </c>
      <c r="Y1" s="1" t="s">
        <v>24</v>
      </c>
      <c r="Z1" s="1" t="s">
        <v>25</v>
      </c>
      <c r="AA1" s="1" t="s">
        <v>26</v>
      </c>
      <c r="AB1" s="1" t="s">
        <v>27</v>
      </c>
      <c r="AC1" s="1" t="s">
        <v>28</v>
      </c>
      <c r="AD1" s="1" t="s">
        <v>29</v>
      </c>
      <c r="AE1" s="1" t="s">
        <v>30</v>
      </c>
      <c r="AF1" s="3" t="s">
        <v>31</v>
      </c>
      <c r="AG1" s="3" t="s">
        <v>32</v>
      </c>
      <c r="AH1" s="3" t="s">
        <v>33</v>
      </c>
      <c r="AI1" s="3" t="s">
        <v>34</v>
      </c>
      <c r="AJ1" s="3" t="s">
        <v>35</v>
      </c>
      <c r="AK1" s="1" t="s">
        <v>36</v>
      </c>
      <c r="AL1" s="1" t="s">
        <v>37</v>
      </c>
      <c r="AM1" s="1" t="s">
        <v>38</v>
      </c>
      <c r="AN1" s="1" t="s">
        <v>39</v>
      </c>
      <c r="AO1" s="1" t="s">
        <v>40</v>
      </c>
      <c r="AP1" s="1" t="s">
        <v>41</v>
      </c>
      <c r="AQ1" s="1" t="s">
        <v>42</v>
      </c>
      <c r="AR1" s="1" t="s">
        <v>43</v>
      </c>
      <c r="AS1" s="3" t="s">
        <v>44</v>
      </c>
      <c r="AT1" s="2" t="s">
        <v>45</v>
      </c>
      <c r="AU1" s="4" t="s">
        <v>46</v>
      </c>
      <c r="AV1" s="4" t="s">
        <v>47</v>
      </c>
      <c r="AW1" s="4" t="s">
        <v>48</v>
      </c>
      <c r="AX1" s="4" t="s">
        <v>49</v>
      </c>
      <c r="AY1" s="4" t="s">
        <v>50</v>
      </c>
      <c r="AZ1" s="4" t="s">
        <v>51</v>
      </c>
      <c r="BA1" s="4" t="s">
        <v>52</v>
      </c>
      <c r="BB1" s="4" t="s">
        <v>53</v>
      </c>
      <c r="BC1" s="4" t="s">
        <v>54</v>
      </c>
      <c r="BD1" s="4" t="s">
        <v>55</v>
      </c>
      <c r="BE1" s="4" t="s">
        <v>56</v>
      </c>
      <c r="BF1" s="4" t="s">
        <v>57</v>
      </c>
      <c r="BG1" s="4" t="s">
        <v>58</v>
      </c>
      <c r="BH1" s="4" t="s">
        <v>59</v>
      </c>
      <c r="BI1" s="4" t="s">
        <v>60</v>
      </c>
      <c r="BJ1" s="4" t="s">
        <v>61</v>
      </c>
      <c r="BK1" s="4" t="s">
        <v>62</v>
      </c>
      <c r="BL1" s="4" t="s">
        <v>63</v>
      </c>
      <c r="BM1" s="120" t="s">
        <v>64</v>
      </c>
      <c r="BN1" s="6" t="s">
        <v>65</v>
      </c>
      <c r="BO1" s="1" t="s">
        <v>66</v>
      </c>
      <c r="BP1" s="1" t="s">
        <v>67</v>
      </c>
      <c r="BQ1" s="1" t="s">
        <v>68</v>
      </c>
      <c r="BR1" s="1" t="s">
        <v>69</v>
      </c>
      <c r="BS1" s="1" t="s">
        <v>70</v>
      </c>
      <c r="BT1" s="1" t="s">
        <v>71</v>
      </c>
      <c r="BU1" s="1" t="s">
        <v>72</v>
      </c>
      <c r="BV1" s="1" t="s">
        <v>73</v>
      </c>
      <c r="BW1" s="1" t="s">
        <v>74</v>
      </c>
      <c r="BX1" s="7" t="s">
        <v>75</v>
      </c>
      <c r="BY1" s="1" t="s">
        <v>76</v>
      </c>
      <c r="BZ1" s="8" t="s">
        <v>77</v>
      </c>
      <c r="CA1" s="1" t="s">
        <v>78</v>
      </c>
      <c r="CB1" s="1" t="s">
        <v>79</v>
      </c>
      <c r="CC1" s="1" t="s">
        <v>80</v>
      </c>
      <c r="CD1" s="1" t="s">
        <v>81</v>
      </c>
      <c r="CE1" s="1" t="s">
        <v>82</v>
      </c>
      <c r="CF1" s="8" t="s">
        <v>83</v>
      </c>
      <c r="CG1" s="1" t="s">
        <v>84</v>
      </c>
      <c r="CH1" s="1" t="s">
        <v>85</v>
      </c>
      <c r="CI1" s="1" t="s">
        <v>86</v>
      </c>
      <c r="CJ1" s="1"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9" t="s">
        <v>103</v>
      </c>
      <c r="DA1" s="9" t="s">
        <v>104</v>
      </c>
      <c r="DB1" s="9" t="s">
        <v>105</v>
      </c>
      <c r="DC1" s="2" t="s">
        <v>106</v>
      </c>
      <c r="DD1" s="2" t="s">
        <v>107</v>
      </c>
      <c r="DE1" s="2" t="s">
        <v>108</v>
      </c>
      <c r="DF1" s="2" t="s">
        <v>109</v>
      </c>
      <c r="DG1" s="2" t="s">
        <v>110</v>
      </c>
      <c r="DH1" s="1" t="s">
        <v>111</v>
      </c>
      <c r="DI1" s="1" t="s">
        <v>112</v>
      </c>
      <c r="DJ1" s="121" t="s">
        <v>113</v>
      </c>
      <c r="DK1" s="121" t="s">
        <v>114</v>
      </c>
      <c r="DL1" s="122" t="s">
        <v>115</v>
      </c>
      <c r="DM1" s="121" t="s">
        <v>116</v>
      </c>
      <c r="DN1" s="121" t="s">
        <v>117</v>
      </c>
      <c r="DO1" s="121" t="s">
        <v>118</v>
      </c>
      <c r="DP1" s="121" t="s">
        <v>119</v>
      </c>
      <c r="DQ1" s="121" t="s">
        <v>120</v>
      </c>
      <c r="DR1" s="121" t="s">
        <v>121</v>
      </c>
      <c r="DS1" s="122" t="s">
        <v>122</v>
      </c>
      <c r="DT1" s="122" t="s">
        <v>123</v>
      </c>
      <c r="DU1" s="122" t="s">
        <v>124</v>
      </c>
      <c r="DV1" s="122" t="s">
        <v>125</v>
      </c>
      <c r="DW1" s="121" t="s">
        <v>126</v>
      </c>
      <c r="DX1" s="121" t="s">
        <v>127</v>
      </c>
      <c r="DY1" s="122" t="s">
        <v>128</v>
      </c>
      <c r="DZ1" s="121" t="s">
        <v>129</v>
      </c>
      <c r="EA1" s="121" t="s">
        <v>130</v>
      </c>
      <c r="EB1" s="122" t="s">
        <v>131</v>
      </c>
      <c r="EC1" s="122" t="s">
        <v>132</v>
      </c>
      <c r="ED1" s="122" t="s">
        <v>133</v>
      </c>
      <c r="EE1" s="123" t="s">
        <v>134</v>
      </c>
      <c r="EF1" s="123" t="s">
        <v>135</v>
      </c>
      <c r="EG1" s="123" t="s">
        <v>136</v>
      </c>
      <c r="EH1" s="123" t="s">
        <v>137</v>
      </c>
      <c r="EI1" s="124" t="s">
        <v>138</v>
      </c>
      <c r="EJ1" s="123" t="s">
        <v>139</v>
      </c>
      <c r="EK1" s="123" t="s">
        <v>140</v>
      </c>
      <c r="EL1" s="123" t="s">
        <v>141</v>
      </c>
      <c r="EM1" s="124" t="s">
        <v>142</v>
      </c>
      <c r="EN1" s="123" t="s">
        <v>143</v>
      </c>
      <c r="EO1" s="123" t="s">
        <v>144</v>
      </c>
      <c r="EP1" s="123" t="s">
        <v>145</v>
      </c>
      <c r="EQ1" s="124" t="s">
        <v>146</v>
      </c>
      <c r="ER1" s="123" t="s">
        <v>147</v>
      </c>
      <c r="ES1" s="123" t="s">
        <v>148</v>
      </c>
      <c r="ET1" s="123" t="s">
        <v>149</v>
      </c>
      <c r="EU1" s="125" t="s">
        <v>150</v>
      </c>
      <c r="EV1" s="125" t="s">
        <v>151</v>
      </c>
      <c r="EW1" s="126" t="s">
        <v>152</v>
      </c>
      <c r="EX1" s="126" t="s">
        <v>153</v>
      </c>
      <c r="EY1" s="127" t="s">
        <v>154</v>
      </c>
      <c r="EZ1" s="126" t="s">
        <v>155</v>
      </c>
      <c r="FA1" s="127" t="s">
        <v>156</v>
      </c>
      <c r="FB1" s="127" t="s">
        <v>157</v>
      </c>
      <c r="FC1" s="127" t="s">
        <v>158</v>
      </c>
      <c r="FD1" s="127" t="s">
        <v>159</v>
      </c>
      <c r="FE1" s="127" t="s">
        <v>160</v>
      </c>
      <c r="FF1" s="127" t="s">
        <v>161</v>
      </c>
      <c r="FG1" s="121"/>
      <c r="FH1" s="121"/>
      <c r="FI1" s="121"/>
    </row>
    <row r="2" spans="1:165" x14ac:dyDescent="0.35">
      <c r="A2">
        <v>2026</v>
      </c>
      <c r="B2" t="s">
        <v>162</v>
      </c>
      <c r="C2" s="112" t="s">
        <v>163</v>
      </c>
      <c r="D2" t="s">
        <v>164</v>
      </c>
      <c r="E2" t="s">
        <v>165</v>
      </c>
      <c r="F2">
        <v>5</v>
      </c>
      <c r="G2" s="113">
        <v>5.2</v>
      </c>
      <c r="H2">
        <v>12</v>
      </c>
      <c r="I2" t="s">
        <v>166</v>
      </c>
      <c r="J2">
        <v>13</v>
      </c>
      <c r="K2">
        <v>21</v>
      </c>
      <c r="L2">
        <v>16</v>
      </c>
      <c r="M2">
        <v>16.409400000000002</v>
      </c>
      <c r="N2">
        <v>28.855399999999999</v>
      </c>
      <c r="O2">
        <v>20.361499999999999</v>
      </c>
      <c r="P2">
        <v>13.3711</v>
      </c>
      <c r="Q2">
        <v>20.810500000000001</v>
      </c>
      <c r="R2">
        <v>15.9344</v>
      </c>
      <c r="S2" t="s">
        <v>167</v>
      </c>
      <c r="T2" t="s">
        <v>168</v>
      </c>
      <c r="U2" t="s">
        <v>169</v>
      </c>
      <c r="V2" t="s">
        <v>170</v>
      </c>
      <c r="W2" t="s">
        <v>171</v>
      </c>
      <c r="Y2">
        <v>8</v>
      </c>
      <c r="Z2" t="s">
        <v>172</v>
      </c>
      <c r="AA2" t="s">
        <v>173</v>
      </c>
      <c r="AB2" t="s">
        <v>174</v>
      </c>
      <c r="AC2" t="s">
        <v>175</v>
      </c>
      <c r="AD2">
        <v>10</v>
      </c>
      <c r="AG2" t="s">
        <v>176</v>
      </c>
      <c r="AH2" t="s">
        <v>177</v>
      </c>
      <c r="AI2" t="s">
        <v>178</v>
      </c>
      <c r="AJ2" t="s">
        <v>179</v>
      </c>
      <c r="AK2" t="s">
        <v>173</v>
      </c>
      <c r="AL2" t="s">
        <v>180</v>
      </c>
      <c r="AS2">
        <v>3900</v>
      </c>
      <c r="AT2">
        <v>3900</v>
      </c>
      <c r="BN2" s="114"/>
      <c r="BO2">
        <v>2</v>
      </c>
      <c r="BP2">
        <v>2</v>
      </c>
      <c r="BQ2">
        <v>1</v>
      </c>
      <c r="BR2" t="s">
        <v>181</v>
      </c>
      <c r="BS2" t="s">
        <v>182</v>
      </c>
      <c r="BT2" t="s">
        <v>183</v>
      </c>
      <c r="BU2" s="115">
        <v>45814</v>
      </c>
      <c r="BV2">
        <v>37041</v>
      </c>
      <c r="BW2" s="116"/>
      <c r="BX2" t="s">
        <v>173</v>
      </c>
      <c r="BY2" t="s">
        <v>173</v>
      </c>
      <c r="CB2" t="s">
        <v>173</v>
      </c>
      <c r="CC2" t="s">
        <v>173</v>
      </c>
      <c r="CD2" t="s">
        <v>184</v>
      </c>
      <c r="CE2" t="s">
        <v>173</v>
      </c>
      <c r="CG2" t="s">
        <v>172</v>
      </c>
      <c r="CH2" t="s">
        <v>185</v>
      </c>
      <c r="CI2" t="s">
        <v>173</v>
      </c>
      <c r="DJ2" t="s">
        <v>186</v>
      </c>
      <c r="DK2" t="s">
        <v>187</v>
      </c>
      <c r="DL2" t="s">
        <v>173</v>
      </c>
      <c r="DN2" t="s">
        <v>173</v>
      </c>
      <c r="DO2" t="s">
        <v>188</v>
      </c>
      <c r="DP2" t="s">
        <v>173</v>
      </c>
      <c r="DQ2" t="s">
        <v>189</v>
      </c>
      <c r="DR2" t="s">
        <v>164</v>
      </c>
      <c r="DY2">
        <v>20.5</v>
      </c>
      <c r="EA2" s="117"/>
      <c r="EB2">
        <v>3</v>
      </c>
      <c r="EC2">
        <v>3</v>
      </c>
      <c r="EE2" t="s">
        <v>190</v>
      </c>
      <c r="EF2">
        <v>2</v>
      </c>
      <c r="EV2">
        <v>11000</v>
      </c>
      <c r="EW2">
        <v>671</v>
      </c>
      <c r="EX2">
        <v>431</v>
      </c>
      <c r="EY2">
        <v>563</v>
      </c>
    </row>
    <row r="3" spans="1:165" x14ac:dyDescent="0.35">
      <c r="A3">
        <v>2026</v>
      </c>
      <c r="B3" t="s">
        <v>162</v>
      </c>
      <c r="C3" s="112" t="s">
        <v>163</v>
      </c>
      <c r="D3" t="s">
        <v>191</v>
      </c>
      <c r="E3" t="s">
        <v>165</v>
      </c>
      <c r="F3">
        <v>6</v>
      </c>
      <c r="G3" s="113">
        <v>5.2</v>
      </c>
      <c r="H3">
        <v>12</v>
      </c>
      <c r="I3" t="s">
        <v>166</v>
      </c>
      <c r="J3">
        <v>13</v>
      </c>
      <c r="K3">
        <v>20</v>
      </c>
      <c r="L3">
        <v>16</v>
      </c>
      <c r="M3">
        <v>16.320900000000002</v>
      </c>
      <c r="N3">
        <v>27.741</v>
      </c>
      <c r="O3">
        <v>20.0318</v>
      </c>
      <c r="P3">
        <v>13.302899999999999</v>
      </c>
      <c r="Q3">
        <v>20.058299999999999</v>
      </c>
      <c r="R3">
        <v>15.6791</v>
      </c>
      <c r="S3" t="s">
        <v>167</v>
      </c>
      <c r="T3" t="s">
        <v>168</v>
      </c>
      <c r="U3" t="s">
        <v>169</v>
      </c>
      <c r="V3" t="s">
        <v>170</v>
      </c>
      <c r="W3" t="s">
        <v>171</v>
      </c>
      <c r="Y3">
        <v>8</v>
      </c>
      <c r="Z3" t="s">
        <v>172</v>
      </c>
      <c r="AA3" t="s">
        <v>173</v>
      </c>
      <c r="AB3" t="s">
        <v>174</v>
      </c>
      <c r="AC3" t="s">
        <v>175</v>
      </c>
      <c r="AD3">
        <v>10</v>
      </c>
      <c r="AG3" t="s">
        <v>176</v>
      </c>
      <c r="AH3" t="s">
        <v>177</v>
      </c>
      <c r="AI3" t="s">
        <v>178</v>
      </c>
      <c r="AJ3" t="s">
        <v>179</v>
      </c>
      <c r="AK3" t="s">
        <v>173</v>
      </c>
      <c r="AL3" t="s">
        <v>180</v>
      </c>
      <c r="AS3">
        <v>3900</v>
      </c>
      <c r="AT3">
        <v>3900</v>
      </c>
      <c r="BN3" s="114"/>
      <c r="BO3">
        <v>2</v>
      </c>
      <c r="BP3">
        <v>2</v>
      </c>
      <c r="BQ3">
        <v>1</v>
      </c>
      <c r="BR3" t="s">
        <v>181</v>
      </c>
      <c r="BS3" t="s">
        <v>182</v>
      </c>
      <c r="BT3" t="s">
        <v>183</v>
      </c>
      <c r="BU3" s="115">
        <v>45814</v>
      </c>
      <c r="BV3">
        <v>37040</v>
      </c>
      <c r="BW3" s="116"/>
      <c r="BX3" t="s">
        <v>173</v>
      </c>
      <c r="BY3" t="s">
        <v>173</v>
      </c>
      <c r="CB3" t="s">
        <v>173</v>
      </c>
      <c r="CC3" t="s">
        <v>173</v>
      </c>
      <c r="CD3" t="s">
        <v>184</v>
      </c>
      <c r="CE3" t="s">
        <v>173</v>
      </c>
      <c r="CG3" t="s">
        <v>172</v>
      </c>
      <c r="CH3" t="s">
        <v>185</v>
      </c>
      <c r="CI3" t="s">
        <v>173</v>
      </c>
      <c r="DJ3" t="s">
        <v>186</v>
      </c>
      <c r="DK3" t="s">
        <v>187</v>
      </c>
      <c r="DL3" t="s">
        <v>173</v>
      </c>
      <c r="DN3" t="s">
        <v>173</v>
      </c>
      <c r="DO3" t="s">
        <v>188</v>
      </c>
      <c r="DP3" t="s">
        <v>173</v>
      </c>
      <c r="DQ3" t="s">
        <v>189</v>
      </c>
      <c r="DR3" t="s">
        <v>164</v>
      </c>
      <c r="DY3">
        <v>20.5</v>
      </c>
      <c r="EA3" s="117"/>
      <c r="EB3">
        <v>3</v>
      </c>
      <c r="EC3">
        <v>3</v>
      </c>
      <c r="EE3" t="s">
        <v>190</v>
      </c>
      <c r="EF3">
        <v>2</v>
      </c>
      <c r="EV3">
        <v>11000</v>
      </c>
      <c r="EW3">
        <v>669</v>
      </c>
      <c r="EX3">
        <v>444</v>
      </c>
      <c r="EY3">
        <v>567</v>
      </c>
    </row>
    <row r="4" spans="1:165" x14ac:dyDescent="0.35">
      <c r="A4">
        <v>2026</v>
      </c>
      <c r="B4" t="s">
        <v>162</v>
      </c>
      <c r="C4" s="112" t="s">
        <v>163</v>
      </c>
      <c r="D4" t="s">
        <v>1135</v>
      </c>
      <c r="E4" t="s">
        <v>165</v>
      </c>
      <c r="F4">
        <v>2</v>
      </c>
      <c r="G4" s="113">
        <v>4</v>
      </c>
      <c r="H4">
        <v>8</v>
      </c>
      <c r="I4" t="s">
        <v>166</v>
      </c>
      <c r="J4">
        <v>15</v>
      </c>
      <c r="K4">
        <v>22</v>
      </c>
      <c r="L4">
        <v>18</v>
      </c>
      <c r="M4">
        <v>19.0837</v>
      </c>
      <c r="N4">
        <v>31.216799999999999</v>
      </c>
      <c r="O4">
        <v>23.129000000000001</v>
      </c>
      <c r="P4">
        <v>15.412800000000001</v>
      </c>
      <c r="Q4">
        <v>22.3919</v>
      </c>
      <c r="R4">
        <v>17.927199999999999</v>
      </c>
      <c r="T4" t="s">
        <v>168</v>
      </c>
      <c r="U4" t="s">
        <v>169</v>
      </c>
      <c r="V4" t="s">
        <v>170</v>
      </c>
      <c r="W4" t="s">
        <v>171</v>
      </c>
      <c r="Y4">
        <v>8</v>
      </c>
      <c r="Z4" t="s">
        <v>172</v>
      </c>
      <c r="AA4" t="s">
        <v>173</v>
      </c>
      <c r="AB4" t="s">
        <v>174</v>
      </c>
      <c r="AC4" t="s">
        <v>175</v>
      </c>
      <c r="AD4">
        <v>10</v>
      </c>
      <c r="AG4" t="s">
        <v>176</v>
      </c>
      <c r="AH4" t="s">
        <v>177</v>
      </c>
      <c r="AI4" t="s">
        <v>178</v>
      </c>
      <c r="AJ4" t="s">
        <v>179</v>
      </c>
      <c r="AK4" t="s">
        <v>173</v>
      </c>
      <c r="AL4" t="s">
        <v>180</v>
      </c>
      <c r="AS4">
        <v>3450</v>
      </c>
      <c r="AT4">
        <v>3450</v>
      </c>
      <c r="BN4" s="114" t="s">
        <v>198</v>
      </c>
      <c r="BO4">
        <v>2</v>
      </c>
      <c r="BP4">
        <v>2</v>
      </c>
      <c r="BQ4">
        <v>1</v>
      </c>
      <c r="BR4" t="s">
        <v>181</v>
      </c>
      <c r="BS4" t="s">
        <v>182</v>
      </c>
      <c r="BT4" t="s">
        <v>183</v>
      </c>
      <c r="BU4" s="115">
        <v>45814</v>
      </c>
      <c r="BV4">
        <v>37419</v>
      </c>
      <c r="BW4" s="116"/>
      <c r="BX4" t="s">
        <v>173</v>
      </c>
      <c r="BY4" t="s">
        <v>173</v>
      </c>
      <c r="CB4" t="s">
        <v>173</v>
      </c>
      <c r="CC4" t="s">
        <v>173</v>
      </c>
      <c r="CD4" t="s">
        <v>1136</v>
      </c>
      <c r="CE4" t="s">
        <v>173</v>
      </c>
      <c r="CG4" t="s">
        <v>172</v>
      </c>
      <c r="CH4" t="s">
        <v>1137</v>
      </c>
      <c r="CI4" t="s">
        <v>173</v>
      </c>
      <c r="DJ4" t="s">
        <v>201</v>
      </c>
      <c r="DK4" t="s">
        <v>202</v>
      </c>
      <c r="DL4" t="s">
        <v>173</v>
      </c>
      <c r="DN4" t="s">
        <v>173</v>
      </c>
      <c r="DO4" t="s">
        <v>188</v>
      </c>
      <c r="DP4" t="s">
        <v>173</v>
      </c>
      <c r="DQ4" t="s">
        <v>189</v>
      </c>
      <c r="DR4" t="s">
        <v>1135</v>
      </c>
      <c r="DY4">
        <v>23.3</v>
      </c>
      <c r="EA4" s="117"/>
      <c r="EB4">
        <v>3</v>
      </c>
      <c r="EC4">
        <v>3</v>
      </c>
      <c r="EE4" t="s">
        <v>1138</v>
      </c>
      <c r="EF4">
        <v>4</v>
      </c>
      <c r="EV4">
        <v>8750</v>
      </c>
      <c r="EW4">
        <v>579</v>
      </c>
      <c r="EX4">
        <v>399</v>
      </c>
      <c r="EY4">
        <v>498</v>
      </c>
    </row>
    <row r="5" spans="1:165" x14ac:dyDescent="0.35">
      <c r="A5">
        <v>2026</v>
      </c>
      <c r="B5" t="s">
        <v>192</v>
      </c>
      <c r="C5" s="112" t="s">
        <v>192</v>
      </c>
      <c r="D5" t="s">
        <v>193</v>
      </c>
      <c r="E5" t="s">
        <v>194</v>
      </c>
      <c r="F5">
        <v>352</v>
      </c>
      <c r="G5" s="113">
        <v>3</v>
      </c>
      <c r="H5">
        <v>6</v>
      </c>
      <c r="I5" t="s">
        <v>195</v>
      </c>
      <c r="J5">
        <v>23</v>
      </c>
      <c r="K5">
        <v>29</v>
      </c>
      <c r="L5">
        <v>25</v>
      </c>
      <c r="M5">
        <v>29</v>
      </c>
      <c r="N5">
        <v>42.1</v>
      </c>
      <c r="O5">
        <v>33.721899999999998</v>
      </c>
      <c r="P5">
        <v>22.678599999999999</v>
      </c>
      <c r="Q5">
        <v>29.464400000000001</v>
      </c>
      <c r="R5">
        <v>25.300699999999999</v>
      </c>
      <c r="T5" t="s">
        <v>168</v>
      </c>
      <c r="U5" t="s">
        <v>169</v>
      </c>
      <c r="V5" t="s">
        <v>196</v>
      </c>
      <c r="W5" t="s">
        <v>197</v>
      </c>
      <c r="Y5">
        <v>8</v>
      </c>
      <c r="Z5" t="s">
        <v>172</v>
      </c>
      <c r="AA5" t="s">
        <v>173</v>
      </c>
      <c r="AB5" t="s">
        <v>174</v>
      </c>
      <c r="AC5" t="s">
        <v>175</v>
      </c>
      <c r="AD5">
        <v>10</v>
      </c>
      <c r="AG5" t="s">
        <v>176</v>
      </c>
      <c r="AH5" t="s">
        <v>177</v>
      </c>
      <c r="AI5" t="s">
        <v>178</v>
      </c>
      <c r="AJ5" t="s">
        <v>179</v>
      </c>
      <c r="AK5" t="s">
        <v>173</v>
      </c>
      <c r="AL5" t="s">
        <v>180</v>
      </c>
      <c r="AS5">
        <v>2500</v>
      </c>
      <c r="AT5">
        <v>2500</v>
      </c>
      <c r="BN5" s="114" t="s">
        <v>198</v>
      </c>
      <c r="BO5">
        <v>2</v>
      </c>
      <c r="BP5">
        <v>2</v>
      </c>
      <c r="BQ5">
        <v>1</v>
      </c>
      <c r="BR5" t="s">
        <v>181</v>
      </c>
      <c r="BS5" t="s">
        <v>182</v>
      </c>
      <c r="BT5" t="s">
        <v>183</v>
      </c>
      <c r="BU5" s="115">
        <v>45748</v>
      </c>
      <c r="BV5">
        <v>36400</v>
      </c>
      <c r="BW5" s="116"/>
      <c r="BX5" t="s">
        <v>172</v>
      </c>
      <c r="BY5" t="s">
        <v>173</v>
      </c>
      <c r="CB5" t="s">
        <v>173</v>
      </c>
      <c r="CC5" t="s">
        <v>173</v>
      </c>
      <c r="CE5" t="s">
        <v>173</v>
      </c>
      <c r="CG5" t="s">
        <v>172</v>
      </c>
      <c r="CH5" t="s">
        <v>199</v>
      </c>
      <c r="CI5" t="s">
        <v>172</v>
      </c>
      <c r="CJ5" t="s">
        <v>200</v>
      </c>
      <c r="DJ5" t="s">
        <v>201</v>
      </c>
      <c r="DK5" t="s">
        <v>202</v>
      </c>
      <c r="DN5" t="s">
        <v>173</v>
      </c>
      <c r="DO5" t="s">
        <v>203</v>
      </c>
      <c r="DP5" t="s">
        <v>172</v>
      </c>
      <c r="DQ5" t="s">
        <v>204</v>
      </c>
      <c r="DY5">
        <v>34</v>
      </c>
      <c r="EA5" s="117"/>
      <c r="EB5">
        <v>5</v>
      </c>
      <c r="EC5">
        <v>5</v>
      </c>
      <c r="EE5" t="s">
        <v>205</v>
      </c>
      <c r="EF5">
        <v>4</v>
      </c>
      <c r="EV5">
        <v>4000</v>
      </c>
      <c r="EW5">
        <v>386</v>
      </c>
      <c r="EX5">
        <v>297</v>
      </c>
      <c r="EY5">
        <v>346</v>
      </c>
    </row>
    <row r="6" spans="1:165" x14ac:dyDescent="0.35">
      <c r="A6">
        <v>2026</v>
      </c>
      <c r="B6" t="s">
        <v>192</v>
      </c>
      <c r="C6" s="112" t="s">
        <v>192</v>
      </c>
      <c r="D6" t="s">
        <v>193</v>
      </c>
      <c r="E6" t="s">
        <v>194</v>
      </c>
      <c r="F6">
        <v>353</v>
      </c>
      <c r="G6" s="113">
        <v>3</v>
      </c>
      <c r="H6">
        <v>6</v>
      </c>
      <c r="I6" t="s">
        <v>206</v>
      </c>
      <c r="J6">
        <v>19</v>
      </c>
      <c r="K6">
        <v>26</v>
      </c>
      <c r="L6">
        <v>22</v>
      </c>
      <c r="M6">
        <v>23.5</v>
      </c>
      <c r="N6">
        <v>37.4</v>
      </c>
      <c r="O6">
        <v>28.2196</v>
      </c>
      <c r="P6">
        <v>18.706600000000002</v>
      </c>
      <c r="Q6">
        <v>26.4527</v>
      </c>
      <c r="R6">
        <v>21.5458</v>
      </c>
      <c r="T6" t="s">
        <v>168</v>
      </c>
      <c r="U6" t="s">
        <v>169</v>
      </c>
      <c r="V6" t="s">
        <v>207</v>
      </c>
      <c r="W6" t="s">
        <v>208</v>
      </c>
      <c r="Y6">
        <v>6</v>
      </c>
      <c r="Z6" t="s">
        <v>173</v>
      </c>
      <c r="AA6" t="s">
        <v>173</v>
      </c>
      <c r="AB6" t="s">
        <v>174</v>
      </c>
      <c r="AC6" t="s">
        <v>175</v>
      </c>
      <c r="AD6">
        <v>10</v>
      </c>
      <c r="AG6" t="s">
        <v>176</v>
      </c>
      <c r="AH6" t="s">
        <v>177</v>
      </c>
      <c r="AI6" t="s">
        <v>178</v>
      </c>
      <c r="AJ6" t="s">
        <v>179</v>
      </c>
      <c r="AK6" t="s">
        <v>173</v>
      </c>
      <c r="AL6" t="s">
        <v>180</v>
      </c>
      <c r="AS6">
        <v>2850</v>
      </c>
      <c r="AT6">
        <v>2850</v>
      </c>
      <c r="BN6" s="114" t="s">
        <v>198</v>
      </c>
      <c r="BO6">
        <v>2</v>
      </c>
      <c r="BP6">
        <v>2</v>
      </c>
      <c r="BQ6">
        <v>1</v>
      </c>
      <c r="BR6" t="s">
        <v>181</v>
      </c>
      <c r="BS6" t="s">
        <v>182</v>
      </c>
      <c r="BT6" t="s">
        <v>183</v>
      </c>
      <c r="BU6" s="115">
        <v>45748</v>
      </c>
      <c r="BV6">
        <v>36395</v>
      </c>
      <c r="BW6" s="116"/>
      <c r="BX6" t="s">
        <v>173</v>
      </c>
      <c r="BY6" t="s">
        <v>173</v>
      </c>
      <c r="CB6" t="s">
        <v>173</v>
      </c>
      <c r="CC6" t="s">
        <v>173</v>
      </c>
      <c r="CE6" t="s">
        <v>173</v>
      </c>
      <c r="CG6" t="s">
        <v>172</v>
      </c>
      <c r="CH6" t="s">
        <v>199</v>
      </c>
      <c r="CI6" t="s">
        <v>172</v>
      </c>
      <c r="CJ6" t="s">
        <v>200</v>
      </c>
      <c r="DJ6" t="s">
        <v>201</v>
      </c>
      <c r="DK6" t="s">
        <v>202</v>
      </c>
      <c r="DN6" t="s">
        <v>173</v>
      </c>
      <c r="DO6" t="s">
        <v>203</v>
      </c>
      <c r="DP6" t="s">
        <v>172</v>
      </c>
      <c r="DQ6" t="s">
        <v>204</v>
      </c>
      <c r="DY6">
        <v>28.4</v>
      </c>
      <c r="EA6" s="117"/>
      <c r="EB6">
        <v>4</v>
      </c>
      <c r="EC6">
        <v>4</v>
      </c>
      <c r="EE6" t="s">
        <v>205</v>
      </c>
      <c r="EF6">
        <v>4</v>
      </c>
      <c r="EV6">
        <v>5750</v>
      </c>
      <c r="EW6">
        <v>469</v>
      </c>
      <c r="EX6">
        <v>332</v>
      </c>
      <c r="EY6">
        <v>407</v>
      </c>
    </row>
    <row r="7" spans="1:165" x14ac:dyDescent="0.35">
      <c r="A7">
        <v>2026</v>
      </c>
      <c r="B7" t="s">
        <v>192</v>
      </c>
      <c r="C7" s="112" t="s">
        <v>192</v>
      </c>
      <c r="D7" t="s">
        <v>209</v>
      </c>
      <c r="E7" t="s">
        <v>194</v>
      </c>
      <c r="F7">
        <v>350</v>
      </c>
      <c r="G7" s="113">
        <v>2</v>
      </c>
      <c r="H7">
        <v>4</v>
      </c>
      <c r="I7" t="s">
        <v>195</v>
      </c>
      <c r="J7">
        <v>25</v>
      </c>
      <c r="K7">
        <v>33</v>
      </c>
      <c r="L7">
        <v>28</v>
      </c>
      <c r="M7">
        <v>32.299999999999997</v>
      </c>
      <c r="N7">
        <v>47.6</v>
      </c>
      <c r="O7">
        <v>37.762</v>
      </c>
      <c r="P7">
        <v>24.9954</v>
      </c>
      <c r="Q7">
        <v>32.909500000000001</v>
      </c>
      <c r="R7">
        <v>28.028500000000001</v>
      </c>
      <c r="T7" t="s">
        <v>168</v>
      </c>
      <c r="U7" t="s">
        <v>169</v>
      </c>
      <c r="V7" t="s">
        <v>196</v>
      </c>
      <c r="W7" t="s">
        <v>197</v>
      </c>
      <c r="Y7">
        <v>8</v>
      </c>
      <c r="Z7" t="s">
        <v>172</v>
      </c>
      <c r="AA7" t="s">
        <v>173</v>
      </c>
      <c r="AB7" t="s">
        <v>174</v>
      </c>
      <c r="AC7" t="s">
        <v>175</v>
      </c>
      <c r="AD7">
        <v>10</v>
      </c>
      <c r="AG7" t="s">
        <v>176</v>
      </c>
      <c r="AH7" t="s">
        <v>177</v>
      </c>
      <c r="AI7" t="s">
        <v>178</v>
      </c>
      <c r="AJ7" t="s">
        <v>179</v>
      </c>
      <c r="AK7" t="s">
        <v>173</v>
      </c>
      <c r="AL7" t="s">
        <v>180</v>
      </c>
      <c r="AS7">
        <v>2200</v>
      </c>
      <c r="AT7">
        <v>2200</v>
      </c>
      <c r="BN7" s="114" t="s">
        <v>198</v>
      </c>
      <c r="BO7">
        <v>2</v>
      </c>
      <c r="BP7">
        <v>2</v>
      </c>
      <c r="BQ7">
        <v>1</v>
      </c>
      <c r="BR7" t="s">
        <v>181</v>
      </c>
      <c r="BS7" t="s">
        <v>182</v>
      </c>
      <c r="BT7" t="s">
        <v>183</v>
      </c>
      <c r="BU7" s="115">
        <v>45748</v>
      </c>
      <c r="BV7">
        <v>36388</v>
      </c>
      <c r="BW7" s="116"/>
      <c r="BX7" t="s">
        <v>172</v>
      </c>
      <c r="BY7" t="s">
        <v>173</v>
      </c>
      <c r="CB7" t="s">
        <v>173</v>
      </c>
      <c r="CC7" t="s">
        <v>173</v>
      </c>
      <c r="CE7" t="s">
        <v>173</v>
      </c>
      <c r="CG7" t="s">
        <v>172</v>
      </c>
      <c r="CH7" t="s">
        <v>199</v>
      </c>
      <c r="CI7" t="s">
        <v>172</v>
      </c>
      <c r="CJ7" t="s">
        <v>200</v>
      </c>
      <c r="DJ7" t="s">
        <v>201</v>
      </c>
      <c r="DK7" t="s">
        <v>202</v>
      </c>
      <c r="DN7" t="s">
        <v>173</v>
      </c>
      <c r="DO7" t="s">
        <v>203</v>
      </c>
      <c r="DP7" t="s">
        <v>172</v>
      </c>
      <c r="DQ7" t="s">
        <v>204</v>
      </c>
      <c r="DY7">
        <v>38</v>
      </c>
      <c r="EA7" s="117"/>
      <c r="EB7">
        <v>5</v>
      </c>
      <c r="EC7">
        <v>5</v>
      </c>
      <c r="EE7" t="s">
        <v>210</v>
      </c>
      <c r="EF7">
        <v>6</v>
      </c>
      <c r="EV7">
        <v>2500</v>
      </c>
      <c r="EW7">
        <v>351</v>
      </c>
      <c r="EX7">
        <v>266</v>
      </c>
      <c r="EY7">
        <v>312</v>
      </c>
    </row>
    <row r="8" spans="1:165" x14ac:dyDescent="0.35">
      <c r="A8">
        <v>2026</v>
      </c>
      <c r="B8" t="s">
        <v>211</v>
      </c>
      <c r="C8" s="112" t="s">
        <v>212</v>
      </c>
      <c r="D8" t="s">
        <v>213</v>
      </c>
      <c r="E8" t="s">
        <v>214</v>
      </c>
      <c r="F8">
        <v>50</v>
      </c>
      <c r="G8" s="113">
        <v>6.2</v>
      </c>
      <c r="H8">
        <v>8</v>
      </c>
      <c r="I8" t="s">
        <v>195</v>
      </c>
      <c r="J8">
        <v>16</v>
      </c>
      <c r="K8">
        <v>25</v>
      </c>
      <c r="L8">
        <v>19</v>
      </c>
      <c r="M8">
        <v>18.357399999999998</v>
      </c>
      <c r="N8">
        <v>34.1629</v>
      </c>
      <c r="O8">
        <v>23.184200000000001</v>
      </c>
      <c r="P8">
        <v>15.5852</v>
      </c>
      <c r="Q8">
        <v>25</v>
      </c>
      <c r="R8">
        <v>19.282499999999999</v>
      </c>
      <c r="U8" t="s">
        <v>215</v>
      </c>
      <c r="V8" t="s">
        <v>196</v>
      </c>
      <c r="W8" t="s">
        <v>197</v>
      </c>
      <c r="Y8">
        <v>8</v>
      </c>
      <c r="Z8" t="s">
        <v>172</v>
      </c>
      <c r="AA8" t="s">
        <v>173</v>
      </c>
      <c r="AB8" t="s">
        <v>174</v>
      </c>
      <c r="AC8" t="s">
        <v>175</v>
      </c>
      <c r="AD8">
        <v>10</v>
      </c>
      <c r="AG8" t="s">
        <v>216</v>
      </c>
      <c r="AH8" t="s">
        <v>217</v>
      </c>
      <c r="AI8" t="s">
        <v>178</v>
      </c>
      <c r="AJ8" t="s">
        <v>179</v>
      </c>
      <c r="AK8" t="s">
        <v>173</v>
      </c>
      <c r="AL8" t="s">
        <v>180</v>
      </c>
      <c r="AM8">
        <v>51</v>
      </c>
      <c r="AN8">
        <v>0</v>
      </c>
      <c r="AS8">
        <v>3300</v>
      </c>
      <c r="AT8">
        <v>3300</v>
      </c>
      <c r="BN8" s="114" t="s">
        <v>198</v>
      </c>
      <c r="BO8">
        <v>1</v>
      </c>
      <c r="BP8">
        <v>1</v>
      </c>
      <c r="BQ8">
        <v>1</v>
      </c>
      <c r="BR8" t="s">
        <v>181</v>
      </c>
      <c r="BS8" t="s">
        <v>182</v>
      </c>
      <c r="BT8" t="s">
        <v>218</v>
      </c>
      <c r="BU8" s="115">
        <v>45873</v>
      </c>
      <c r="BV8">
        <v>37125</v>
      </c>
      <c r="BW8" s="116"/>
      <c r="BX8" t="s">
        <v>173</v>
      </c>
      <c r="BY8" t="s">
        <v>173</v>
      </c>
      <c r="CB8" t="s">
        <v>173</v>
      </c>
      <c r="CC8" t="s">
        <v>173</v>
      </c>
      <c r="CD8" t="s">
        <v>219</v>
      </c>
      <c r="CE8" t="s">
        <v>172</v>
      </c>
      <c r="CF8" t="s">
        <v>220</v>
      </c>
      <c r="CG8" t="s">
        <v>172</v>
      </c>
      <c r="CH8" t="s">
        <v>221</v>
      </c>
      <c r="CI8" t="s">
        <v>173</v>
      </c>
      <c r="DJ8" t="s">
        <v>201</v>
      </c>
      <c r="DK8" t="s">
        <v>202</v>
      </c>
      <c r="DN8" t="s">
        <v>173</v>
      </c>
      <c r="DO8" t="s">
        <v>188</v>
      </c>
      <c r="DP8" t="s">
        <v>173</v>
      </c>
      <c r="DQ8" t="s">
        <v>189</v>
      </c>
      <c r="DY8">
        <v>23.4</v>
      </c>
      <c r="EA8" s="117"/>
      <c r="EB8">
        <v>4</v>
      </c>
      <c r="EC8">
        <v>4</v>
      </c>
      <c r="EE8" t="s">
        <v>222</v>
      </c>
      <c r="EF8">
        <v>4</v>
      </c>
      <c r="EV8">
        <v>8000</v>
      </c>
      <c r="EW8">
        <v>571</v>
      </c>
      <c r="EX8">
        <v>356</v>
      </c>
      <c r="EY8">
        <v>474</v>
      </c>
    </row>
    <row r="9" spans="1:165" x14ac:dyDescent="0.35">
      <c r="A9">
        <v>2026</v>
      </c>
      <c r="B9" t="s">
        <v>211</v>
      </c>
      <c r="C9" s="112" t="s">
        <v>212</v>
      </c>
      <c r="D9" t="s">
        <v>1139</v>
      </c>
      <c r="E9" t="s">
        <v>214</v>
      </c>
      <c r="F9">
        <v>52</v>
      </c>
      <c r="G9" s="113">
        <v>6.2</v>
      </c>
      <c r="H9">
        <v>8</v>
      </c>
      <c r="I9" t="s">
        <v>195</v>
      </c>
      <c r="J9">
        <v>16</v>
      </c>
      <c r="K9">
        <v>24</v>
      </c>
      <c r="L9">
        <v>19</v>
      </c>
      <c r="M9">
        <v>19.399999999999999</v>
      </c>
      <c r="N9">
        <v>32.200000000000003</v>
      </c>
      <c r="O9">
        <v>23.626300000000001</v>
      </c>
      <c r="P9">
        <v>15.5421</v>
      </c>
      <c r="Q9">
        <v>24.188400000000001</v>
      </c>
      <c r="R9">
        <v>18.5214</v>
      </c>
      <c r="U9" t="s">
        <v>215</v>
      </c>
      <c r="V9" t="s">
        <v>196</v>
      </c>
      <c r="W9" t="s">
        <v>197</v>
      </c>
      <c r="Y9">
        <v>8</v>
      </c>
      <c r="Z9" t="s">
        <v>172</v>
      </c>
      <c r="AA9" t="s">
        <v>173</v>
      </c>
      <c r="AB9" t="s">
        <v>170</v>
      </c>
      <c r="AC9" t="s">
        <v>232</v>
      </c>
      <c r="AD9">
        <v>10</v>
      </c>
      <c r="AG9" t="s">
        <v>216</v>
      </c>
      <c r="AH9" t="s">
        <v>217</v>
      </c>
      <c r="AI9" t="s">
        <v>178</v>
      </c>
      <c r="AJ9" t="s">
        <v>179</v>
      </c>
      <c r="AK9" t="s">
        <v>173</v>
      </c>
      <c r="AL9" t="s">
        <v>180</v>
      </c>
      <c r="AM9">
        <v>51</v>
      </c>
      <c r="AN9">
        <v>0</v>
      </c>
      <c r="AS9">
        <v>3300</v>
      </c>
      <c r="AT9">
        <v>3300</v>
      </c>
      <c r="BN9" s="114" t="s">
        <v>492</v>
      </c>
      <c r="BO9">
        <v>1</v>
      </c>
      <c r="BP9">
        <v>1</v>
      </c>
      <c r="BQ9">
        <v>1</v>
      </c>
      <c r="BR9" t="s">
        <v>181</v>
      </c>
      <c r="BS9" t="s">
        <v>182</v>
      </c>
      <c r="BT9" t="s">
        <v>218</v>
      </c>
      <c r="BU9" s="115">
        <v>45873</v>
      </c>
      <c r="BV9">
        <v>37388</v>
      </c>
      <c r="BW9" s="116"/>
      <c r="BX9" t="s">
        <v>173</v>
      </c>
      <c r="BY9" t="s">
        <v>173</v>
      </c>
      <c r="CB9" t="s">
        <v>173</v>
      </c>
      <c r="CC9" t="s">
        <v>173</v>
      </c>
      <c r="CD9" t="s">
        <v>219</v>
      </c>
      <c r="CE9" t="s">
        <v>172</v>
      </c>
      <c r="CF9" t="s">
        <v>220</v>
      </c>
      <c r="CG9" t="s">
        <v>172</v>
      </c>
      <c r="CH9" t="s">
        <v>221</v>
      </c>
      <c r="CI9" t="s">
        <v>173</v>
      </c>
      <c r="CK9" t="s">
        <v>259</v>
      </c>
      <c r="CM9">
        <v>1</v>
      </c>
      <c r="CN9" t="s">
        <v>260</v>
      </c>
      <c r="CP9">
        <v>335</v>
      </c>
      <c r="CQ9">
        <v>6.6</v>
      </c>
      <c r="CR9">
        <v>40.700000000000003</v>
      </c>
      <c r="CS9" t="s">
        <v>261</v>
      </c>
      <c r="CV9" t="s">
        <v>262</v>
      </c>
      <c r="CX9" t="s">
        <v>493</v>
      </c>
      <c r="CY9" t="s">
        <v>172</v>
      </c>
      <c r="DC9" t="s">
        <v>1140</v>
      </c>
      <c r="DD9">
        <v>2</v>
      </c>
      <c r="DE9" t="s">
        <v>307</v>
      </c>
      <c r="DF9" t="s">
        <v>988</v>
      </c>
      <c r="DG9">
        <v>119</v>
      </c>
      <c r="DJ9" t="s">
        <v>201</v>
      </c>
      <c r="DK9" t="s">
        <v>202</v>
      </c>
      <c r="DL9" t="s">
        <v>173</v>
      </c>
      <c r="DM9" t="s">
        <v>173</v>
      </c>
      <c r="DN9" t="s">
        <v>173</v>
      </c>
      <c r="DO9" t="s">
        <v>188</v>
      </c>
      <c r="DP9" t="s">
        <v>173</v>
      </c>
      <c r="DQ9" t="s">
        <v>189</v>
      </c>
      <c r="DY9">
        <v>23.8</v>
      </c>
      <c r="EA9" s="117"/>
      <c r="EB9">
        <v>4</v>
      </c>
      <c r="EC9">
        <v>4</v>
      </c>
      <c r="EE9" t="s">
        <v>1141</v>
      </c>
      <c r="EF9">
        <v>2</v>
      </c>
      <c r="EV9">
        <v>8000</v>
      </c>
      <c r="EW9">
        <v>566</v>
      </c>
      <c r="EX9">
        <v>368</v>
      </c>
      <c r="EY9">
        <v>477</v>
      </c>
    </row>
    <row r="10" spans="1:165" x14ac:dyDescent="0.35">
      <c r="A10">
        <v>2026</v>
      </c>
      <c r="B10" t="s">
        <v>211</v>
      </c>
      <c r="C10" s="112" t="s">
        <v>212</v>
      </c>
      <c r="D10" t="s">
        <v>223</v>
      </c>
      <c r="E10" t="s">
        <v>214</v>
      </c>
      <c r="F10">
        <v>150</v>
      </c>
      <c r="G10" s="113">
        <v>5.5</v>
      </c>
      <c r="H10">
        <v>8</v>
      </c>
      <c r="I10" t="s">
        <v>195</v>
      </c>
      <c r="J10">
        <v>12</v>
      </c>
      <c r="K10">
        <v>21</v>
      </c>
      <c r="L10">
        <v>15</v>
      </c>
      <c r="M10">
        <v>14.3</v>
      </c>
      <c r="N10">
        <v>25.4</v>
      </c>
      <c r="O10">
        <v>17.8005</v>
      </c>
      <c r="P10">
        <v>12.1541</v>
      </c>
      <c r="Q10">
        <v>20.5777</v>
      </c>
      <c r="R10">
        <v>14.8986</v>
      </c>
      <c r="S10" t="s">
        <v>167</v>
      </c>
      <c r="U10" t="s">
        <v>215</v>
      </c>
      <c r="V10" t="s">
        <v>196</v>
      </c>
      <c r="W10" t="s">
        <v>197</v>
      </c>
      <c r="Y10">
        <v>8</v>
      </c>
      <c r="Z10" t="s">
        <v>173</v>
      </c>
      <c r="AA10" t="s">
        <v>173</v>
      </c>
      <c r="AB10" t="s">
        <v>174</v>
      </c>
      <c r="AC10" t="s">
        <v>175</v>
      </c>
      <c r="AD10">
        <v>10</v>
      </c>
      <c r="AG10" t="s">
        <v>216</v>
      </c>
      <c r="AH10" t="s">
        <v>217</v>
      </c>
      <c r="AI10" t="s">
        <v>178</v>
      </c>
      <c r="AJ10" t="s">
        <v>179</v>
      </c>
      <c r="AK10" t="s">
        <v>173</v>
      </c>
      <c r="AL10" t="s">
        <v>180</v>
      </c>
      <c r="AM10">
        <v>51</v>
      </c>
      <c r="AN10">
        <v>0</v>
      </c>
      <c r="AS10">
        <v>4150</v>
      </c>
      <c r="AT10">
        <v>4150</v>
      </c>
      <c r="BN10" s="114" t="s">
        <v>198</v>
      </c>
      <c r="BO10">
        <v>2</v>
      </c>
      <c r="BP10">
        <v>2</v>
      </c>
      <c r="BQ10">
        <v>1</v>
      </c>
      <c r="BR10" t="s">
        <v>181</v>
      </c>
      <c r="BS10" t="s">
        <v>182</v>
      </c>
      <c r="BT10" t="s">
        <v>218</v>
      </c>
      <c r="BU10" s="115">
        <v>45873</v>
      </c>
      <c r="BV10">
        <v>37104</v>
      </c>
      <c r="BW10" s="116"/>
      <c r="BX10" t="s">
        <v>173</v>
      </c>
      <c r="BY10" t="s">
        <v>173</v>
      </c>
      <c r="CB10" t="s">
        <v>173</v>
      </c>
      <c r="CC10" t="s">
        <v>173</v>
      </c>
      <c r="CE10" t="s">
        <v>173</v>
      </c>
      <c r="CG10" t="s">
        <v>172</v>
      </c>
      <c r="CH10" t="s">
        <v>224</v>
      </c>
      <c r="CI10" t="s">
        <v>173</v>
      </c>
      <c r="DJ10" t="s">
        <v>201</v>
      </c>
      <c r="DK10" t="s">
        <v>202</v>
      </c>
      <c r="DN10" t="s">
        <v>173</v>
      </c>
      <c r="DO10" t="s">
        <v>188</v>
      </c>
      <c r="DP10" t="s">
        <v>173</v>
      </c>
      <c r="DQ10" t="s">
        <v>189</v>
      </c>
      <c r="DY10">
        <v>17.899999999999999</v>
      </c>
      <c r="EA10" s="117"/>
      <c r="EB10">
        <v>2</v>
      </c>
      <c r="EC10">
        <v>2</v>
      </c>
      <c r="EE10" t="s">
        <v>225</v>
      </c>
      <c r="EF10">
        <v>2</v>
      </c>
      <c r="EV10">
        <v>12250</v>
      </c>
      <c r="EW10">
        <v>731</v>
      </c>
      <c r="EX10">
        <v>433</v>
      </c>
      <c r="EY10">
        <v>597</v>
      </c>
    </row>
    <row r="11" spans="1:165" x14ac:dyDescent="0.35">
      <c r="A11">
        <v>2026</v>
      </c>
      <c r="B11" t="s">
        <v>211</v>
      </c>
      <c r="C11" s="112" t="s">
        <v>212</v>
      </c>
      <c r="D11" t="s">
        <v>226</v>
      </c>
      <c r="E11" t="s">
        <v>214</v>
      </c>
      <c r="F11">
        <v>151</v>
      </c>
      <c r="G11" s="113">
        <v>5.5</v>
      </c>
      <c r="H11">
        <v>8</v>
      </c>
      <c r="I11" t="s">
        <v>195</v>
      </c>
      <c r="J11">
        <v>12</v>
      </c>
      <c r="K11">
        <v>19</v>
      </c>
      <c r="L11">
        <v>14</v>
      </c>
      <c r="M11">
        <v>13.8</v>
      </c>
      <c r="N11">
        <v>23.578700000000001</v>
      </c>
      <c r="O11">
        <v>16.9664</v>
      </c>
      <c r="P11">
        <v>11.7636</v>
      </c>
      <c r="Q11">
        <v>18.593</v>
      </c>
      <c r="R11">
        <v>14.093</v>
      </c>
      <c r="S11" t="s">
        <v>167</v>
      </c>
      <c r="U11" t="s">
        <v>215</v>
      </c>
      <c r="V11" t="s">
        <v>196</v>
      </c>
      <c r="W11" t="s">
        <v>197</v>
      </c>
      <c r="Y11">
        <v>8</v>
      </c>
      <c r="Z11" t="s">
        <v>173</v>
      </c>
      <c r="AA11" t="s">
        <v>173</v>
      </c>
      <c r="AB11" t="s">
        <v>174</v>
      </c>
      <c r="AC11" t="s">
        <v>175</v>
      </c>
      <c r="AD11">
        <v>10</v>
      </c>
      <c r="AG11" t="s">
        <v>216</v>
      </c>
      <c r="AH11" t="s">
        <v>217</v>
      </c>
      <c r="AI11" t="s">
        <v>178</v>
      </c>
      <c r="AJ11" t="s">
        <v>179</v>
      </c>
      <c r="AK11" t="s">
        <v>173</v>
      </c>
      <c r="AL11" t="s">
        <v>180</v>
      </c>
      <c r="AM11">
        <v>51</v>
      </c>
      <c r="AN11">
        <v>0</v>
      </c>
      <c r="AS11">
        <v>4450</v>
      </c>
      <c r="AT11">
        <v>4450</v>
      </c>
      <c r="BN11" s="114" t="s">
        <v>198</v>
      </c>
      <c r="BO11">
        <v>2</v>
      </c>
      <c r="BP11">
        <v>2</v>
      </c>
      <c r="BQ11">
        <v>1</v>
      </c>
      <c r="BR11" t="s">
        <v>181</v>
      </c>
      <c r="BS11" t="s">
        <v>182</v>
      </c>
      <c r="BT11" t="s">
        <v>218</v>
      </c>
      <c r="BU11" s="115">
        <v>45873</v>
      </c>
      <c r="BV11">
        <v>37105</v>
      </c>
      <c r="BW11" s="116"/>
      <c r="BX11" t="s">
        <v>172</v>
      </c>
      <c r="BY11" t="s">
        <v>173</v>
      </c>
      <c r="CB11" t="s">
        <v>173</v>
      </c>
      <c r="CC11" t="s">
        <v>173</v>
      </c>
      <c r="CE11" t="s">
        <v>173</v>
      </c>
      <c r="CG11" t="s">
        <v>172</v>
      </c>
      <c r="CH11" t="s">
        <v>224</v>
      </c>
      <c r="CI11" t="s">
        <v>173</v>
      </c>
      <c r="DJ11" t="s">
        <v>201</v>
      </c>
      <c r="DK11" t="s">
        <v>202</v>
      </c>
      <c r="DN11" t="s">
        <v>173</v>
      </c>
      <c r="DO11" t="s">
        <v>188</v>
      </c>
      <c r="DP11" t="s">
        <v>173</v>
      </c>
      <c r="DQ11" t="s">
        <v>189</v>
      </c>
      <c r="DY11">
        <v>17.100000000000001</v>
      </c>
      <c r="EA11" s="117"/>
      <c r="EB11">
        <v>2</v>
      </c>
      <c r="EC11">
        <v>2</v>
      </c>
      <c r="EE11" t="s">
        <v>225</v>
      </c>
      <c r="EF11">
        <v>2</v>
      </c>
      <c r="EV11">
        <v>13750</v>
      </c>
      <c r="EW11">
        <v>755</v>
      </c>
      <c r="EX11">
        <v>479</v>
      </c>
      <c r="EY11">
        <v>631</v>
      </c>
    </row>
    <row r="12" spans="1:165" x14ac:dyDescent="0.35">
      <c r="A12">
        <v>2026</v>
      </c>
      <c r="B12" t="s">
        <v>211</v>
      </c>
      <c r="C12" s="112" t="s">
        <v>212</v>
      </c>
      <c r="D12" t="s">
        <v>227</v>
      </c>
      <c r="E12" t="s">
        <v>214</v>
      </c>
      <c r="F12">
        <v>55</v>
      </c>
      <c r="G12" s="113">
        <v>5.5</v>
      </c>
      <c r="H12">
        <v>8</v>
      </c>
      <c r="I12" t="s">
        <v>195</v>
      </c>
      <c r="J12">
        <v>12</v>
      </c>
      <c r="K12">
        <v>18</v>
      </c>
      <c r="L12">
        <v>14</v>
      </c>
      <c r="M12">
        <v>13.9</v>
      </c>
      <c r="N12">
        <v>23.6</v>
      </c>
      <c r="O12">
        <v>17.054300000000001</v>
      </c>
      <c r="P12">
        <v>12.051600000000001</v>
      </c>
      <c r="Q12">
        <v>18</v>
      </c>
      <c r="R12">
        <v>14.366300000000001</v>
      </c>
      <c r="S12" t="s">
        <v>167</v>
      </c>
      <c r="T12" t="s">
        <v>168</v>
      </c>
      <c r="U12" t="s">
        <v>169</v>
      </c>
      <c r="V12" t="s">
        <v>196</v>
      </c>
      <c r="W12" t="s">
        <v>197</v>
      </c>
      <c r="Y12">
        <v>8</v>
      </c>
      <c r="Z12" t="s">
        <v>172</v>
      </c>
      <c r="AA12" t="s">
        <v>173</v>
      </c>
      <c r="AB12" t="s">
        <v>174</v>
      </c>
      <c r="AC12" t="s">
        <v>175</v>
      </c>
      <c r="AD12">
        <v>10</v>
      </c>
      <c r="AG12" t="s">
        <v>216</v>
      </c>
      <c r="AH12" t="s">
        <v>217</v>
      </c>
      <c r="AI12" t="s">
        <v>178</v>
      </c>
      <c r="AJ12" t="s">
        <v>179</v>
      </c>
      <c r="AK12" t="s">
        <v>173</v>
      </c>
      <c r="AL12" t="s">
        <v>180</v>
      </c>
      <c r="AM12">
        <v>50</v>
      </c>
      <c r="AN12">
        <v>0</v>
      </c>
      <c r="AS12">
        <v>4450</v>
      </c>
      <c r="AT12">
        <v>4450</v>
      </c>
      <c r="BN12" s="114" t="s">
        <v>198</v>
      </c>
      <c r="BO12">
        <v>2</v>
      </c>
      <c r="BP12">
        <v>2</v>
      </c>
      <c r="BQ12">
        <v>1</v>
      </c>
      <c r="BR12" t="s">
        <v>181</v>
      </c>
      <c r="BS12" t="s">
        <v>182</v>
      </c>
      <c r="BT12" t="s">
        <v>218</v>
      </c>
      <c r="BU12" s="115">
        <v>45873</v>
      </c>
      <c r="BV12">
        <v>37106</v>
      </c>
      <c r="BW12" s="116"/>
      <c r="BX12" t="s">
        <v>173</v>
      </c>
      <c r="BY12" t="s">
        <v>173</v>
      </c>
      <c r="CB12" t="s">
        <v>173</v>
      </c>
      <c r="CC12" t="s">
        <v>173</v>
      </c>
      <c r="CE12" t="s">
        <v>173</v>
      </c>
      <c r="CG12" t="s">
        <v>172</v>
      </c>
      <c r="CH12" t="s">
        <v>224</v>
      </c>
      <c r="CI12" t="s">
        <v>173</v>
      </c>
      <c r="DJ12" t="s">
        <v>201</v>
      </c>
      <c r="DK12" t="s">
        <v>202</v>
      </c>
      <c r="DN12" t="s">
        <v>173</v>
      </c>
      <c r="DO12" t="s">
        <v>188</v>
      </c>
      <c r="DP12" t="s">
        <v>173</v>
      </c>
      <c r="DQ12" t="s">
        <v>189</v>
      </c>
      <c r="DY12">
        <v>17.2</v>
      </c>
      <c r="EA12" s="117"/>
      <c r="EB12">
        <v>2</v>
      </c>
      <c r="EC12">
        <v>2</v>
      </c>
      <c r="EE12" t="s">
        <v>225</v>
      </c>
      <c r="EF12">
        <v>2</v>
      </c>
      <c r="EV12">
        <v>13750</v>
      </c>
      <c r="EW12">
        <v>738</v>
      </c>
      <c r="EX12">
        <v>495</v>
      </c>
      <c r="EY12">
        <v>629</v>
      </c>
    </row>
    <row r="13" spans="1:165" x14ac:dyDescent="0.35">
      <c r="A13">
        <v>2026</v>
      </c>
      <c r="B13" t="s">
        <v>2112</v>
      </c>
      <c r="C13" s="112" t="s">
        <v>2113</v>
      </c>
      <c r="D13" t="s">
        <v>2114</v>
      </c>
      <c r="E13" t="s">
        <v>2115</v>
      </c>
      <c r="F13">
        <v>167</v>
      </c>
      <c r="G13" s="113">
        <v>6.5</v>
      </c>
      <c r="H13">
        <v>12</v>
      </c>
      <c r="I13" t="s">
        <v>428</v>
      </c>
      <c r="J13">
        <v>12</v>
      </c>
      <c r="K13">
        <v>19</v>
      </c>
      <c r="L13">
        <v>14</v>
      </c>
      <c r="M13">
        <v>14.632099999999999</v>
      </c>
      <c r="N13">
        <v>25.538599999999999</v>
      </c>
      <c r="O13">
        <v>18.113</v>
      </c>
      <c r="P13">
        <v>11.9939</v>
      </c>
      <c r="Q13">
        <v>18.560099999999998</v>
      </c>
      <c r="R13">
        <v>14.264900000000001</v>
      </c>
      <c r="S13" t="s">
        <v>167</v>
      </c>
      <c r="U13" t="s">
        <v>215</v>
      </c>
      <c r="V13" t="s">
        <v>429</v>
      </c>
      <c r="W13" t="s">
        <v>430</v>
      </c>
      <c r="Y13">
        <v>8</v>
      </c>
      <c r="Z13" t="s">
        <v>173</v>
      </c>
      <c r="AA13" t="s">
        <v>173</v>
      </c>
      <c r="AB13" t="s">
        <v>174</v>
      </c>
      <c r="AC13" t="s">
        <v>175</v>
      </c>
      <c r="AD13">
        <v>10</v>
      </c>
      <c r="AG13" t="s">
        <v>216</v>
      </c>
      <c r="AH13" t="s">
        <v>217</v>
      </c>
      <c r="AI13" t="s">
        <v>178</v>
      </c>
      <c r="AJ13" t="s">
        <v>179</v>
      </c>
      <c r="AK13" t="s">
        <v>173</v>
      </c>
      <c r="AL13" t="s">
        <v>180</v>
      </c>
      <c r="AM13">
        <v>43</v>
      </c>
      <c r="AN13">
        <v>5</v>
      </c>
      <c r="AS13">
        <v>4450</v>
      </c>
      <c r="AT13">
        <v>4450</v>
      </c>
      <c r="BN13" s="114" t="s">
        <v>198</v>
      </c>
      <c r="BO13">
        <v>2</v>
      </c>
      <c r="BP13">
        <v>2</v>
      </c>
      <c r="BQ13">
        <v>1</v>
      </c>
      <c r="BR13" t="s">
        <v>181</v>
      </c>
      <c r="BS13" t="s">
        <v>182</v>
      </c>
      <c r="BT13" t="s">
        <v>183</v>
      </c>
      <c r="BU13" s="115">
        <v>45930</v>
      </c>
      <c r="BV13">
        <v>37592</v>
      </c>
      <c r="BW13" s="116"/>
      <c r="BX13" t="s">
        <v>172</v>
      </c>
      <c r="BY13" t="s">
        <v>173</v>
      </c>
      <c r="CB13" t="s">
        <v>173</v>
      </c>
      <c r="CC13" t="s">
        <v>173</v>
      </c>
      <c r="CE13" t="s">
        <v>173</v>
      </c>
      <c r="CF13" t="s">
        <v>2117</v>
      </c>
      <c r="CG13" t="s">
        <v>172</v>
      </c>
      <c r="CH13" t="s">
        <v>2118</v>
      </c>
      <c r="CI13" t="s">
        <v>173</v>
      </c>
      <c r="CJ13" t="s">
        <v>2117</v>
      </c>
      <c r="DJ13" t="s">
        <v>201</v>
      </c>
      <c r="DK13" t="s">
        <v>202</v>
      </c>
      <c r="DL13" t="s">
        <v>173</v>
      </c>
      <c r="DN13" t="s">
        <v>173</v>
      </c>
      <c r="DO13" t="s">
        <v>2119</v>
      </c>
      <c r="DP13" t="s">
        <v>172</v>
      </c>
      <c r="DQ13" t="s">
        <v>204</v>
      </c>
      <c r="DR13" t="s">
        <v>2116</v>
      </c>
      <c r="DY13">
        <v>18.2</v>
      </c>
      <c r="EA13" s="117"/>
      <c r="EB13">
        <v>2</v>
      </c>
      <c r="EC13">
        <v>2</v>
      </c>
      <c r="EE13" t="s">
        <v>2120</v>
      </c>
      <c r="EF13">
        <v>5</v>
      </c>
      <c r="EV13">
        <v>13750</v>
      </c>
      <c r="EW13">
        <v>736</v>
      </c>
      <c r="EX13">
        <v>477</v>
      </c>
      <c r="EY13">
        <v>619</v>
      </c>
    </row>
    <row r="14" spans="1:165" x14ac:dyDescent="0.35">
      <c r="A14">
        <v>2026</v>
      </c>
      <c r="B14" t="s">
        <v>2112</v>
      </c>
      <c r="C14" s="112" t="s">
        <v>2113</v>
      </c>
      <c r="D14" t="s">
        <v>2121</v>
      </c>
      <c r="E14" t="s">
        <v>2115</v>
      </c>
      <c r="F14">
        <v>168</v>
      </c>
      <c r="G14" s="113">
        <v>6.5</v>
      </c>
      <c r="H14">
        <v>12</v>
      </c>
      <c r="I14" t="s">
        <v>428</v>
      </c>
      <c r="J14">
        <v>12</v>
      </c>
      <c r="K14">
        <v>17</v>
      </c>
      <c r="L14">
        <v>14</v>
      </c>
      <c r="M14">
        <v>14.675000000000001</v>
      </c>
      <c r="N14">
        <v>23.9026</v>
      </c>
      <c r="O14">
        <v>17.760300000000001</v>
      </c>
      <c r="P14">
        <v>12.0274</v>
      </c>
      <c r="Q14">
        <v>17.4373</v>
      </c>
      <c r="R14">
        <v>13.978999999999999</v>
      </c>
      <c r="S14" t="s">
        <v>167</v>
      </c>
      <c r="U14" t="s">
        <v>215</v>
      </c>
      <c r="V14" t="s">
        <v>429</v>
      </c>
      <c r="W14" t="s">
        <v>430</v>
      </c>
      <c r="Y14">
        <v>8</v>
      </c>
      <c r="Z14" t="s">
        <v>173</v>
      </c>
      <c r="AA14" t="s">
        <v>173</v>
      </c>
      <c r="AB14" t="s">
        <v>174</v>
      </c>
      <c r="AC14" t="s">
        <v>175</v>
      </c>
      <c r="AD14">
        <v>10</v>
      </c>
      <c r="AG14" t="s">
        <v>216</v>
      </c>
      <c r="AH14" t="s">
        <v>217</v>
      </c>
      <c r="AI14" t="s">
        <v>178</v>
      </c>
      <c r="AJ14" t="s">
        <v>179</v>
      </c>
      <c r="AK14" t="s">
        <v>173</v>
      </c>
      <c r="AL14" t="s">
        <v>180</v>
      </c>
      <c r="AM14">
        <v>54</v>
      </c>
      <c r="AN14">
        <v>4</v>
      </c>
      <c r="AS14">
        <v>4450</v>
      </c>
      <c r="AT14">
        <v>4450</v>
      </c>
      <c r="BN14" s="114" t="s">
        <v>198</v>
      </c>
      <c r="BO14">
        <v>2</v>
      </c>
      <c r="BP14">
        <v>2</v>
      </c>
      <c r="BQ14">
        <v>1</v>
      </c>
      <c r="BR14" t="s">
        <v>181</v>
      </c>
      <c r="BS14" t="s">
        <v>182</v>
      </c>
      <c r="BT14" t="s">
        <v>183</v>
      </c>
      <c r="BU14" s="115">
        <v>45930</v>
      </c>
      <c r="BV14">
        <v>37593</v>
      </c>
      <c r="BW14" s="116"/>
      <c r="BX14" t="s">
        <v>172</v>
      </c>
      <c r="BY14" t="s">
        <v>173</v>
      </c>
      <c r="CB14" t="s">
        <v>173</v>
      </c>
      <c r="CC14" t="s">
        <v>173</v>
      </c>
      <c r="CE14" t="s">
        <v>173</v>
      </c>
      <c r="CF14" t="s">
        <v>2117</v>
      </c>
      <c r="CG14" t="s">
        <v>172</v>
      </c>
      <c r="CH14" t="s">
        <v>2118</v>
      </c>
      <c r="CI14" t="s">
        <v>173</v>
      </c>
      <c r="CJ14" t="s">
        <v>2117</v>
      </c>
      <c r="DJ14" t="s">
        <v>201</v>
      </c>
      <c r="DK14" t="s">
        <v>202</v>
      </c>
      <c r="DL14" t="s">
        <v>173</v>
      </c>
      <c r="DN14" t="s">
        <v>173</v>
      </c>
      <c r="DO14" t="s">
        <v>2119</v>
      </c>
      <c r="DP14" t="s">
        <v>172</v>
      </c>
      <c r="DQ14" t="s">
        <v>204</v>
      </c>
      <c r="DR14" t="s">
        <v>2122</v>
      </c>
      <c r="DY14">
        <v>17.899999999999999</v>
      </c>
      <c r="EA14" s="117"/>
      <c r="EB14">
        <v>2</v>
      </c>
      <c r="EC14">
        <v>2</v>
      </c>
      <c r="EE14" t="s">
        <v>2120</v>
      </c>
      <c r="EF14">
        <v>5</v>
      </c>
      <c r="EV14">
        <v>13750</v>
      </c>
      <c r="EW14">
        <v>735</v>
      </c>
      <c r="EX14">
        <v>508</v>
      </c>
      <c r="EY14">
        <v>633</v>
      </c>
    </row>
    <row r="15" spans="1:165" x14ac:dyDescent="0.35">
      <c r="A15">
        <v>2026</v>
      </c>
      <c r="B15" t="s">
        <v>228</v>
      </c>
      <c r="C15" s="112" t="s">
        <v>228</v>
      </c>
      <c r="D15" t="s">
        <v>229</v>
      </c>
      <c r="E15" t="s">
        <v>230</v>
      </c>
      <c r="F15">
        <v>533</v>
      </c>
      <c r="G15" s="113">
        <v>4</v>
      </c>
      <c r="H15">
        <v>8</v>
      </c>
      <c r="I15" t="s">
        <v>231</v>
      </c>
      <c r="J15">
        <v>14</v>
      </c>
      <c r="K15">
        <v>20</v>
      </c>
      <c r="L15">
        <v>16</v>
      </c>
      <c r="M15">
        <v>16.600000000000001</v>
      </c>
      <c r="N15">
        <v>28.2</v>
      </c>
      <c r="O15">
        <v>20.370799999999999</v>
      </c>
      <c r="P15">
        <v>13.517799999999999</v>
      </c>
      <c r="Q15">
        <v>20.368600000000001</v>
      </c>
      <c r="R15">
        <v>15.928699999999999</v>
      </c>
      <c r="S15" t="s">
        <v>167</v>
      </c>
      <c r="T15" t="s">
        <v>168</v>
      </c>
      <c r="U15" t="s">
        <v>169</v>
      </c>
      <c r="V15" t="s">
        <v>170</v>
      </c>
      <c r="W15" t="s">
        <v>171</v>
      </c>
      <c r="Y15">
        <v>9</v>
      </c>
      <c r="Z15" t="s">
        <v>172</v>
      </c>
      <c r="AA15" t="s">
        <v>173</v>
      </c>
      <c r="AB15" t="s">
        <v>170</v>
      </c>
      <c r="AC15" t="s">
        <v>232</v>
      </c>
      <c r="AD15">
        <v>10</v>
      </c>
      <c r="AG15" t="s">
        <v>216</v>
      </c>
      <c r="AH15" t="s">
        <v>217</v>
      </c>
      <c r="AI15" t="s">
        <v>178</v>
      </c>
      <c r="AJ15" t="s">
        <v>179</v>
      </c>
      <c r="AK15" t="s">
        <v>173</v>
      </c>
      <c r="AL15" t="s">
        <v>180</v>
      </c>
      <c r="AS15">
        <v>3900</v>
      </c>
      <c r="AT15">
        <v>3900</v>
      </c>
      <c r="BN15" s="114" t="s">
        <v>198</v>
      </c>
      <c r="BO15">
        <v>2</v>
      </c>
      <c r="BP15">
        <v>2</v>
      </c>
      <c r="BQ15">
        <v>1</v>
      </c>
      <c r="BR15" t="s">
        <v>181</v>
      </c>
      <c r="BS15" t="s">
        <v>182</v>
      </c>
      <c r="BT15" t="s">
        <v>183</v>
      </c>
      <c r="BU15" s="115">
        <v>45871</v>
      </c>
      <c r="BV15">
        <v>37259</v>
      </c>
      <c r="BW15" s="116"/>
      <c r="BY15" t="s">
        <v>173</v>
      </c>
      <c r="CB15" t="s">
        <v>173</v>
      </c>
      <c r="CC15" t="s">
        <v>173</v>
      </c>
      <c r="CD15" t="s">
        <v>233</v>
      </c>
      <c r="CE15" t="s">
        <v>173</v>
      </c>
      <c r="CG15" t="s">
        <v>172</v>
      </c>
      <c r="CH15" t="s">
        <v>234</v>
      </c>
      <c r="CI15" t="s">
        <v>173</v>
      </c>
      <c r="DJ15" t="s">
        <v>201</v>
      </c>
      <c r="DK15" t="s">
        <v>202</v>
      </c>
      <c r="DN15" t="s">
        <v>173</v>
      </c>
      <c r="DO15" t="s">
        <v>235</v>
      </c>
      <c r="DP15" t="s">
        <v>172</v>
      </c>
      <c r="DQ15" t="s">
        <v>204</v>
      </c>
      <c r="DR15" t="s">
        <v>229</v>
      </c>
      <c r="DY15">
        <v>20.5</v>
      </c>
      <c r="EA15" s="117"/>
      <c r="EB15">
        <v>3</v>
      </c>
      <c r="EC15">
        <v>3</v>
      </c>
      <c r="EE15" t="s">
        <v>236</v>
      </c>
      <c r="EF15">
        <v>4</v>
      </c>
      <c r="EV15">
        <v>11000</v>
      </c>
      <c r="EW15">
        <v>657</v>
      </c>
      <c r="EX15">
        <v>436</v>
      </c>
      <c r="EY15">
        <v>558</v>
      </c>
    </row>
    <row r="16" spans="1:165" x14ac:dyDescent="0.35">
      <c r="A16">
        <v>2026</v>
      </c>
      <c r="B16" t="s">
        <v>228</v>
      </c>
      <c r="C16" s="112" t="s">
        <v>228</v>
      </c>
      <c r="D16" t="s">
        <v>237</v>
      </c>
      <c r="E16" t="s">
        <v>230</v>
      </c>
      <c r="F16">
        <v>534</v>
      </c>
      <c r="G16" s="113">
        <v>4</v>
      </c>
      <c r="H16">
        <v>8</v>
      </c>
      <c r="I16" t="s">
        <v>231</v>
      </c>
      <c r="J16">
        <v>14</v>
      </c>
      <c r="K16">
        <v>20</v>
      </c>
      <c r="L16">
        <v>16</v>
      </c>
      <c r="M16">
        <v>16.600000000000001</v>
      </c>
      <c r="N16">
        <v>28.2</v>
      </c>
      <c r="O16">
        <v>20.370799999999999</v>
      </c>
      <c r="P16">
        <v>13.517799999999999</v>
      </c>
      <c r="Q16">
        <v>20.368600000000001</v>
      </c>
      <c r="R16">
        <v>15.928699999999999</v>
      </c>
      <c r="S16" t="s">
        <v>167</v>
      </c>
      <c r="T16" t="s">
        <v>168</v>
      </c>
      <c r="U16" t="s">
        <v>169</v>
      </c>
      <c r="V16" t="s">
        <v>170</v>
      </c>
      <c r="W16" t="s">
        <v>171</v>
      </c>
      <c r="Y16">
        <v>9</v>
      </c>
      <c r="Z16" t="s">
        <v>172</v>
      </c>
      <c r="AA16" t="s">
        <v>173</v>
      </c>
      <c r="AB16" t="s">
        <v>170</v>
      </c>
      <c r="AC16" t="s">
        <v>232</v>
      </c>
      <c r="AD16">
        <v>10</v>
      </c>
      <c r="AG16" t="s">
        <v>216</v>
      </c>
      <c r="AH16" t="s">
        <v>217</v>
      </c>
      <c r="AI16" t="s">
        <v>178</v>
      </c>
      <c r="AJ16" t="s">
        <v>179</v>
      </c>
      <c r="AK16" t="s">
        <v>173</v>
      </c>
      <c r="AL16" t="s">
        <v>180</v>
      </c>
      <c r="AS16">
        <v>3900</v>
      </c>
      <c r="AT16">
        <v>3900</v>
      </c>
      <c r="BN16" s="114" t="s">
        <v>198</v>
      </c>
      <c r="BO16">
        <v>2</v>
      </c>
      <c r="BP16">
        <v>2</v>
      </c>
      <c r="BQ16">
        <v>1</v>
      </c>
      <c r="BR16" t="s">
        <v>181</v>
      </c>
      <c r="BS16" t="s">
        <v>182</v>
      </c>
      <c r="BT16" t="s">
        <v>183</v>
      </c>
      <c r="BU16" s="115">
        <v>45871</v>
      </c>
      <c r="BV16">
        <v>37260</v>
      </c>
      <c r="BW16" s="116"/>
      <c r="BY16" t="s">
        <v>173</v>
      </c>
      <c r="CB16" t="s">
        <v>173</v>
      </c>
      <c r="CC16" t="s">
        <v>173</v>
      </c>
      <c r="CD16" t="s">
        <v>233</v>
      </c>
      <c r="CE16" t="s">
        <v>173</v>
      </c>
      <c r="CG16" t="s">
        <v>172</v>
      </c>
      <c r="CH16" t="s">
        <v>234</v>
      </c>
      <c r="CI16" t="s">
        <v>173</v>
      </c>
      <c r="DJ16" t="s">
        <v>201</v>
      </c>
      <c r="DK16" t="s">
        <v>202</v>
      </c>
      <c r="DN16" t="s">
        <v>173</v>
      </c>
      <c r="DO16" t="s">
        <v>235</v>
      </c>
      <c r="DP16" t="s">
        <v>172</v>
      </c>
      <c r="DQ16" t="s">
        <v>204</v>
      </c>
      <c r="DR16" t="s">
        <v>237</v>
      </c>
      <c r="DY16">
        <v>20.5</v>
      </c>
      <c r="EA16" s="117"/>
      <c r="EB16">
        <v>3</v>
      </c>
      <c r="EC16">
        <v>3</v>
      </c>
      <c r="EE16" t="s">
        <v>236</v>
      </c>
      <c r="EF16">
        <v>4</v>
      </c>
      <c r="EV16">
        <v>11000</v>
      </c>
      <c r="EW16">
        <v>657</v>
      </c>
      <c r="EX16">
        <v>436</v>
      </c>
      <c r="EY16">
        <v>558</v>
      </c>
    </row>
    <row r="17" spans="1:155" x14ac:dyDescent="0.35">
      <c r="A17">
        <v>2026</v>
      </c>
      <c r="B17" t="s">
        <v>228</v>
      </c>
      <c r="C17" s="112" t="s">
        <v>228</v>
      </c>
      <c r="D17" t="s">
        <v>238</v>
      </c>
      <c r="E17" t="s">
        <v>230</v>
      </c>
      <c r="F17">
        <v>535</v>
      </c>
      <c r="G17" s="113">
        <v>4</v>
      </c>
      <c r="H17">
        <v>8</v>
      </c>
      <c r="I17" t="s">
        <v>231</v>
      </c>
      <c r="J17">
        <v>14</v>
      </c>
      <c r="K17">
        <v>20</v>
      </c>
      <c r="L17">
        <v>16</v>
      </c>
      <c r="M17">
        <v>16.600000000000001</v>
      </c>
      <c r="N17">
        <v>28.2</v>
      </c>
      <c r="O17">
        <v>20.370799999999999</v>
      </c>
      <c r="P17">
        <v>13.517799999999999</v>
      </c>
      <c r="Q17">
        <v>20.368600000000001</v>
      </c>
      <c r="R17">
        <v>15.928699999999999</v>
      </c>
      <c r="S17" t="s">
        <v>167</v>
      </c>
      <c r="T17" t="s">
        <v>168</v>
      </c>
      <c r="U17" t="s">
        <v>169</v>
      </c>
      <c r="V17" t="s">
        <v>170</v>
      </c>
      <c r="W17" t="s">
        <v>171</v>
      </c>
      <c r="Y17">
        <v>9</v>
      </c>
      <c r="Z17" t="s">
        <v>172</v>
      </c>
      <c r="AA17" t="s">
        <v>173</v>
      </c>
      <c r="AB17" t="s">
        <v>170</v>
      </c>
      <c r="AC17" t="s">
        <v>232</v>
      </c>
      <c r="AD17">
        <v>10</v>
      </c>
      <c r="AG17" t="s">
        <v>216</v>
      </c>
      <c r="AH17" t="s">
        <v>217</v>
      </c>
      <c r="AI17" t="s">
        <v>178</v>
      </c>
      <c r="AJ17" t="s">
        <v>179</v>
      </c>
      <c r="AK17" t="s">
        <v>173</v>
      </c>
      <c r="AL17" t="s">
        <v>180</v>
      </c>
      <c r="AS17">
        <v>3900</v>
      </c>
      <c r="AT17">
        <v>3900</v>
      </c>
      <c r="BN17" s="114" t="s">
        <v>198</v>
      </c>
      <c r="BO17">
        <v>2</v>
      </c>
      <c r="BP17">
        <v>2</v>
      </c>
      <c r="BQ17">
        <v>1</v>
      </c>
      <c r="BR17" t="s">
        <v>181</v>
      </c>
      <c r="BS17" t="s">
        <v>182</v>
      </c>
      <c r="BT17" t="s">
        <v>183</v>
      </c>
      <c r="BU17" s="115">
        <v>45871</v>
      </c>
      <c r="BV17">
        <v>37261</v>
      </c>
      <c r="BW17" s="116"/>
      <c r="BY17" t="s">
        <v>173</v>
      </c>
      <c r="CB17" t="s">
        <v>173</v>
      </c>
      <c r="CC17" t="s">
        <v>173</v>
      </c>
      <c r="CD17" t="s">
        <v>233</v>
      </c>
      <c r="CE17" t="s">
        <v>173</v>
      </c>
      <c r="CG17" t="s">
        <v>172</v>
      </c>
      <c r="CH17" t="s">
        <v>234</v>
      </c>
      <c r="CI17" t="s">
        <v>173</v>
      </c>
      <c r="DJ17" t="s">
        <v>201</v>
      </c>
      <c r="DK17" t="s">
        <v>202</v>
      </c>
      <c r="DN17" t="s">
        <v>173</v>
      </c>
      <c r="DO17" t="s">
        <v>235</v>
      </c>
      <c r="DP17" t="s">
        <v>172</v>
      </c>
      <c r="DQ17" t="s">
        <v>204</v>
      </c>
      <c r="DR17" t="s">
        <v>238</v>
      </c>
      <c r="DY17">
        <v>20.5</v>
      </c>
      <c r="EA17" s="117"/>
      <c r="EB17">
        <v>3</v>
      </c>
      <c r="EC17">
        <v>3</v>
      </c>
      <c r="EE17" t="s">
        <v>236</v>
      </c>
      <c r="EF17">
        <v>4</v>
      </c>
      <c r="EV17">
        <v>11000</v>
      </c>
      <c r="EW17">
        <v>657</v>
      </c>
      <c r="EX17">
        <v>436</v>
      </c>
      <c r="EY17">
        <v>558</v>
      </c>
    </row>
    <row r="18" spans="1:155" x14ac:dyDescent="0.35">
      <c r="A18">
        <v>2026</v>
      </c>
      <c r="B18" t="s">
        <v>862</v>
      </c>
      <c r="C18" s="112" t="s">
        <v>863</v>
      </c>
      <c r="D18" t="s">
        <v>1142</v>
      </c>
      <c r="E18" t="s">
        <v>865</v>
      </c>
      <c r="F18">
        <v>57</v>
      </c>
      <c r="G18" s="113">
        <v>3</v>
      </c>
      <c r="H18">
        <v>6</v>
      </c>
      <c r="I18" t="s">
        <v>206</v>
      </c>
      <c r="J18">
        <v>18</v>
      </c>
      <c r="K18">
        <v>24</v>
      </c>
      <c r="L18">
        <v>20</v>
      </c>
      <c r="M18">
        <v>22.8</v>
      </c>
      <c r="N18">
        <v>33.875999999999998</v>
      </c>
      <c r="O18">
        <v>26.7333</v>
      </c>
      <c r="P18">
        <v>18.190899999999999</v>
      </c>
      <c r="Q18">
        <v>24.1523</v>
      </c>
      <c r="R18">
        <v>20.463799999999999</v>
      </c>
      <c r="T18" t="s">
        <v>168</v>
      </c>
      <c r="U18" t="s">
        <v>169</v>
      </c>
      <c r="V18" t="s">
        <v>207</v>
      </c>
      <c r="W18" t="s">
        <v>208</v>
      </c>
      <c r="Y18">
        <v>6</v>
      </c>
      <c r="Z18" t="s">
        <v>173</v>
      </c>
      <c r="AA18" t="s">
        <v>173</v>
      </c>
      <c r="AB18" t="s">
        <v>174</v>
      </c>
      <c r="AC18" t="s">
        <v>175</v>
      </c>
      <c r="AD18">
        <v>15</v>
      </c>
      <c r="AG18" t="s">
        <v>216</v>
      </c>
      <c r="AH18" t="s">
        <v>217</v>
      </c>
      <c r="AI18" t="s">
        <v>178</v>
      </c>
      <c r="AJ18" t="s">
        <v>179</v>
      </c>
      <c r="AK18" t="s">
        <v>173</v>
      </c>
      <c r="AL18" t="s">
        <v>180</v>
      </c>
      <c r="AS18">
        <v>3100</v>
      </c>
      <c r="AT18">
        <v>3100</v>
      </c>
      <c r="BN18" s="114" t="s">
        <v>198</v>
      </c>
      <c r="BO18">
        <v>2</v>
      </c>
      <c r="BP18">
        <v>2</v>
      </c>
      <c r="BQ18">
        <v>1</v>
      </c>
      <c r="BR18" t="s">
        <v>181</v>
      </c>
      <c r="BS18" t="s">
        <v>182</v>
      </c>
      <c r="BT18" t="s">
        <v>183</v>
      </c>
      <c r="BU18" s="115">
        <v>45917</v>
      </c>
      <c r="BV18">
        <v>37087</v>
      </c>
      <c r="BW18" s="116"/>
      <c r="BX18" t="s">
        <v>173</v>
      </c>
      <c r="CB18" t="s">
        <v>173</v>
      </c>
      <c r="CC18" t="s">
        <v>173</v>
      </c>
      <c r="CD18" t="s">
        <v>1143</v>
      </c>
      <c r="CE18" t="s">
        <v>173</v>
      </c>
      <c r="CG18" t="s">
        <v>172</v>
      </c>
      <c r="CH18" t="s">
        <v>1144</v>
      </c>
      <c r="CI18" t="s">
        <v>173</v>
      </c>
      <c r="DJ18" t="s">
        <v>201</v>
      </c>
      <c r="DK18" t="s">
        <v>202</v>
      </c>
      <c r="DN18" t="s">
        <v>173</v>
      </c>
      <c r="DO18" t="s">
        <v>585</v>
      </c>
      <c r="DP18" t="s">
        <v>173</v>
      </c>
      <c r="DQ18" t="s">
        <v>189</v>
      </c>
      <c r="DY18">
        <v>26.9</v>
      </c>
      <c r="EA18" s="117"/>
      <c r="EB18">
        <v>4</v>
      </c>
      <c r="EC18">
        <v>4</v>
      </c>
      <c r="EE18" t="s">
        <v>1145</v>
      </c>
      <c r="EF18">
        <v>2</v>
      </c>
      <c r="EV18">
        <v>7000</v>
      </c>
      <c r="EW18">
        <v>489</v>
      </c>
      <c r="EX18">
        <v>368</v>
      </c>
      <c r="EY18">
        <v>435</v>
      </c>
    </row>
    <row r="19" spans="1:155" x14ac:dyDescent="0.35">
      <c r="A19">
        <v>2026</v>
      </c>
      <c r="B19" t="s">
        <v>862</v>
      </c>
      <c r="C19" s="112" t="s">
        <v>863</v>
      </c>
      <c r="D19" t="s">
        <v>1142</v>
      </c>
      <c r="E19" t="s">
        <v>865</v>
      </c>
      <c r="F19">
        <v>58</v>
      </c>
      <c r="G19" s="113">
        <v>3</v>
      </c>
      <c r="H19">
        <v>6</v>
      </c>
      <c r="I19" t="s">
        <v>896</v>
      </c>
      <c r="J19">
        <v>19</v>
      </c>
      <c r="K19">
        <v>28</v>
      </c>
      <c r="L19">
        <v>22</v>
      </c>
      <c r="M19">
        <v>25.0655</v>
      </c>
      <c r="N19">
        <v>39.882899999999999</v>
      </c>
      <c r="O19">
        <v>30.097300000000001</v>
      </c>
      <c r="P19">
        <v>19</v>
      </c>
      <c r="Q19">
        <v>28.0517</v>
      </c>
      <c r="R19">
        <v>22</v>
      </c>
      <c r="T19" t="s">
        <v>168</v>
      </c>
      <c r="U19" t="s">
        <v>169</v>
      </c>
      <c r="V19" t="s">
        <v>196</v>
      </c>
      <c r="W19" t="s">
        <v>197</v>
      </c>
      <c r="Y19">
        <v>9</v>
      </c>
      <c r="Z19" t="s">
        <v>172</v>
      </c>
      <c r="AA19" t="s">
        <v>173</v>
      </c>
      <c r="AB19" t="s">
        <v>174</v>
      </c>
      <c r="AC19" t="s">
        <v>175</v>
      </c>
      <c r="AD19">
        <v>15</v>
      </c>
      <c r="AG19" t="s">
        <v>216</v>
      </c>
      <c r="AH19" t="s">
        <v>217</v>
      </c>
      <c r="AI19" t="s">
        <v>178</v>
      </c>
      <c r="AJ19" t="s">
        <v>179</v>
      </c>
      <c r="AK19" t="s">
        <v>173</v>
      </c>
      <c r="AL19" t="s">
        <v>180</v>
      </c>
      <c r="AS19">
        <v>2850</v>
      </c>
      <c r="AT19">
        <v>2850</v>
      </c>
      <c r="BN19" s="114" t="s">
        <v>198</v>
      </c>
      <c r="BO19">
        <v>2</v>
      </c>
      <c r="BP19">
        <v>2</v>
      </c>
      <c r="BQ19">
        <v>1</v>
      </c>
      <c r="BR19" t="s">
        <v>181</v>
      </c>
      <c r="BS19" t="s">
        <v>182</v>
      </c>
      <c r="BT19" t="s">
        <v>183</v>
      </c>
      <c r="BU19" s="115">
        <v>45917</v>
      </c>
      <c r="BV19">
        <v>37088</v>
      </c>
      <c r="BW19" s="116"/>
      <c r="BX19" t="s">
        <v>173</v>
      </c>
      <c r="CB19" t="s">
        <v>173</v>
      </c>
      <c r="CC19" t="s">
        <v>173</v>
      </c>
      <c r="CD19" t="s">
        <v>1143</v>
      </c>
      <c r="CE19" t="s">
        <v>173</v>
      </c>
      <c r="CG19" t="s">
        <v>172</v>
      </c>
      <c r="CH19" t="s">
        <v>1144</v>
      </c>
      <c r="CI19" t="s">
        <v>173</v>
      </c>
      <c r="DJ19" t="s">
        <v>201</v>
      </c>
      <c r="DK19" t="s">
        <v>202</v>
      </c>
      <c r="DN19" t="s">
        <v>173</v>
      </c>
      <c r="DO19" t="s">
        <v>585</v>
      </c>
      <c r="DP19" t="s">
        <v>173</v>
      </c>
      <c r="DQ19" t="s">
        <v>189</v>
      </c>
      <c r="DY19">
        <v>30.3</v>
      </c>
      <c r="EA19" s="117"/>
      <c r="EB19">
        <v>4</v>
      </c>
      <c r="EC19">
        <v>4</v>
      </c>
      <c r="EE19" t="s">
        <v>1145</v>
      </c>
      <c r="EF19">
        <v>2</v>
      </c>
      <c r="EV19">
        <v>5750</v>
      </c>
      <c r="EW19">
        <v>469</v>
      </c>
      <c r="EX19">
        <v>318</v>
      </c>
      <c r="EY19">
        <v>405</v>
      </c>
    </row>
    <row r="20" spans="1:155" x14ac:dyDescent="0.35">
      <c r="A20">
        <v>2026</v>
      </c>
      <c r="B20" t="s">
        <v>862</v>
      </c>
      <c r="C20" s="112" t="s">
        <v>863</v>
      </c>
      <c r="D20" t="s">
        <v>1146</v>
      </c>
      <c r="E20" t="s">
        <v>865</v>
      </c>
      <c r="F20">
        <v>59</v>
      </c>
      <c r="G20" s="113">
        <v>3</v>
      </c>
      <c r="H20">
        <v>6</v>
      </c>
      <c r="I20" t="s">
        <v>896</v>
      </c>
      <c r="J20">
        <v>17</v>
      </c>
      <c r="K20">
        <v>24</v>
      </c>
      <c r="L20">
        <v>19</v>
      </c>
      <c r="M20">
        <v>23</v>
      </c>
      <c r="N20">
        <v>35.398899999999998</v>
      </c>
      <c r="O20">
        <v>27.3035</v>
      </c>
      <c r="P20">
        <v>17</v>
      </c>
      <c r="Q20">
        <v>24</v>
      </c>
      <c r="R20">
        <v>19</v>
      </c>
      <c r="T20" t="s">
        <v>168</v>
      </c>
      <c r="U20" t="s">
        <v>169</v>
      </c>
      <c r="V20" t="s">
        <v>196</v>
      </c>
      <c r="W20" t="s">
        <v>197</v>
      </c>
      <c r="Y20">
        <v>9</v>
      </c>
      <c r="Z20" t="s">
        <v>172</v>
      </c>
      <c r="AA20" t="s">
        <v>173</v>
      </c>
      <c r="AB20" t="s">
        <v>174</v>
      </c>
      <c r="AC20" t="s">
        <v>175</v>
      </c>
      <c r="AD20">
        <v>15</v>
      </c>
      <c r="AG20" t="s">
        <v>216</v>
      </c>
      <c r="AH20" t="s">
        <v>217</v>
      </c>
      <c r="AI20" t="s">
        <v>178</v>
      </c>
      <c r="AJ20" t="s">
        <v>179</v>
      </c>
      <c r="AK20" t="s">
        <v>173</v>
      </c>
      <c r="AL20" t="s">
        <v>180</v>
      </c>
      <c r="AS20">
        <v>3300</v>
      </c>
      <c r="AT20">
        <v>3300</v>
      </c>
      <c r="BN20" s="114" t="s">
        <v>198</v>
      </c>
      <c r="BO20">
        <v>2</v>
      </c>
      <c r="BP20">
        <v>2</v>
      </c>
      <c r="BQ20">
        <v>1</v>
      </c>
      <c r="BR20" t="s">
        <v>181</v>
      </c>
      <c r="BS20" t="s">
        <v>182</v>
      </c>
      <c r="BT20" t="s">
        <v>183</v>
      </c>
      <c r="BU20" s="115">
        <v>45917</v>
      </c>
      <c r="BV20">
        <v>37089</v>
      </c>
      <c r="BW20" s="116"/>
      <c r="BX20" t="s">
        <v>172</v>
      </c>
      <c r="CB20" t="s">
        <v>173</v>
      </c>
      <c r="CC20" t="s">
        <v>173</v>
      </c>
      <c r="CD20" t="s">
        <v>1147</v>
      </c>
      <c r="CE20" t="s">
        <v>173</v>
      </c>
      <c r="CG20" t="s">
        <v>172</v>
      </c>
      <c r="CH20" t="s">
        <v>1144</v>
      </c>
      <c r="CI20" t="s">
        <v>173</v>
      </c>
      <c r="DJ20" t="s">
        <v>201</v>
      </c>
      <c r="DK20" t="s">
        <v>202</v>
      </c>
      <c r="DN20" t="s">
        <v>173</v>
      </c>
      <c r="DO20" t="s">
        <v>585</v>
      </c>
      <c r="DP20" t="s">
        <v>173</v>
      </c>
      <c r="DQ20" t="s">
        <v>189</v>
      </c>
      <c r="DY20">
        <v>27.5</v>
      </c>
      <c r="EA20" s="117"/>
      <c r="EB20">
        <v>4</v>
      </c>
      <c r="EC20">
        <v>4</v>
      </c>
      <c r="EE20" t="s">
        <v>1145</v>
      </c>
      <c r="EF20">
        <v>2</v>
      </c>
      <c r="EV20">
        <v>8000</v>
      </c>
      <c r="EW20">
        <v>524</v>
      </c>
      <c r="EX20">
        <v>371</v>
      </c>
      <c r="EY20">
        <v>469</v>
      </c>
    </row>
    <row r="21" spans="1:155" x14ac:dyDescent="0.35">
      <c r="A21">
        <v>2026</v>
      </c>
      <c r="B21" t="s">
        <v>192</v>
      </c>
      <c r="C21" s="112" t="s">
        <v>239</v>
      </c>
      <c r="D21" t="s">
        <v>240</v>
      </c>
      <c r="E21" t="s">
        <v>194</v>
      </c>
      <c r="F21">
        <v>20</v>
      </c>
      <c r="G21" s="113">
        <v>2</v>
      </c>
      <c r="H21">
        <v>4</v>
      </c>
      <c r="I21" t="s">
        <v>195</v>
      </c>
      <c r="J21">
        <v>25</v>
      </c>
      <c r="K21">
        <v>31</v>
      </c>
      <c r="L21">
        <v>27</v>
      </c>
      <c r="M21">
        <v>32.594299999999997</v>
      </c>
      <c r="N21">
        <v>43.9</v>
      </c>
      <c r="O21">
        <v>36.866799999999998</v>
      </c>
      <c r="P21">
        <v>25.1996</v>
      </c>
      <c r="Q21">
        <v>30.601199999999999</v>
      </c>
      <c r="R21">
        <v>27.373999999999999</v>
      </c>
      <c r="T21" t="s">
        <v>168</v>
      </c>
      <c r="U21" t="s">
        <v>169</v>
      </c>
      <c r="V21" t="s">
        <v>196</v>
      </c>
      <c r="W21" t="s">
        <v>197</v>
      </c>
      <c r="Y21">
        <v>8</v>
      </c>
      <c r="Z21" t="s">
        <v>172</v>
      </c>
      <c r="AA21" t="s">
        <v>173</v>
      </c>
      <c r="AB21" t="s">
        <v>174</v>
      </c>
      <c r="AC21" t="s">
        <v>175</v>
      </c>
      <c r="AD21">
        <v>10</v>
      </c>
      <c r="AG21" t="s">
        <v>176</v>
      </c>
      <c r="AH21" t="s">
        <v>177</v>
      </c>
      <c r="AI21" t="s">
        <v>178</v>
      </c>
      <c r="AJ21" t="s">
        <v>179</v>
      </c>
      <c r="AK21" t="s">
        <v>173</v>
      </c>
      <c r="AL21" t="s">
        <v>180</v>
      </c>
      <c r="AS21">
        <v>2300</v>
      </c>
      <c r="AT21">
        <v>2300</v>
      </c>
      <c r="BN21" s="114" t="s">
        <v>198</v>
      </c>
      <c r="BO21">
        <v>2</v>
      </c>
      <c r="BP21">
        <v>2</v>
      </c>
      <c r="BQ21">
        <v>1</v>
      </c>
      <c r="BR21" t="s">
        <v>181</v>
      </c>
      <c r="BS21" t="s">
        <v>182</v>
      </c>
      <c r="BT21" t="s">
        <v>183</v>
      </c>
      <c r="BU21" s="115">
        <v>45717</v>
      </c>
      <c r="BV21">
        <v>36361</v>
      </c>
      <c r="BW21" s="116"/>
      <c r="BX21" t="s">
        <v>172</v>
      </c>
      <c r="BY21" t="s">
        <v>173</v>
      </c>
      <c r="CB21" t="s">
        <v>173</v>
      </c>
      <c r="CC21" t="s">
        <v>173</v>
      </c>
      <c r="CE21" t="s">
        <v>173</v>
      </c>
      <c r="CG21" t="s">
        <v>172</v>
      </c>
      <c r="CH21" t="s">
        <v>199</v>
      </c>
      <c r="CI21" t="s">
        <v>172</v>
      </c>
      <c r="CJ21" t="s">
        <v>200</v>
      </c>
      <c r="DJ21" t="s">
        <v>201</v>
      </c>
      <c r="DK21" t="s">
        <v>202</v>
      </c>
      <c r="DN21" t="s">
        <v>173</v>
      </c>
      <c r="DO21" t="s">
        <v>203</v>
      </c>
      <c r="DP21" t="s">
        <v>172</v>
      </c>
      <c r="DQ21" t="s">
        <v>204</v>
      </c>
      <c r="DY21">
        <v>37.1</v>
      </c>
      <c r="EA21" s="117"/>
      <c r="EB21">
        <v>5</v>
      </c>
      <c r="EC21">
        <v>5</v>
      </c>
      <c r="EE21" t="s">
        <v>210</v>
      </c>
      <c r="EF21">
        <v>6</v>
      </c>
      <c r="EV21">
        <v>3000</v>
      </c>
      <c r="EW21">
        <v>350</v>
      </c>
      <c r="EX21">
        <v>288</v>
      </c>
      <c r="EY21">
        <v>322</v>
      </c>
    </row>
    <row r="22" spans="1:155" x14ac:dyDescent="0.35">
      <c r="A22">
        <v>2026</v>
      </c>
      <c r="B22" t="s">
        <v>192</v>
      </c>
      <c r="C22" s="112" t="s">
        <v>239</v>
      </c>
      <c r="D22" t="s">
        <v>241</v>
      </c>
      <c r="E22" t="s">
        <v>194</v>
      </c>
      <c r="F22">
        <v>21</v>
      </c>
      <c r="G22" s="113">
        <v>3</v>
      </c>
      <c r="H22">
        <v>6</v>
      </c>
      <c r="I22" t="s">
        <v>195</v>
      </c>
      <c r="J22">
        <v>22</v>
      </c>
      <c r="K22">
        <v>29</v>
      </c>
      <c r="L22">
        <v>25</v>
      </c>
      <c r="M22">
        <v>28.5</v>
      </c>
      <c r="N22">
        <v>42</v>
      </c>
      <c r="O22">
        <v>33.319400000000002</v>
      </c>
      <c r="P22">
        <v>22.3233</v>
      </c>
      <c r="Q22">
        <v>29.401</v>
      </c>
      <c r="R22">
        <v>25.035299999999999</v>
      </c>
      <c r="T22" t="s">
        <v>168</v>
      </c>
      <c r="U22" t="s">
        <v>169</v>
      </c>
      <c r="V22" t="s">
        <v>196</v>
      </c>
      <c r="W22" t="s">
        <v>197</v>
      </c>
      <c r="Y22">
        <v>8</v>
      </c>
      <c r="Z22" t="s">
        <v>172</v>
      </c>
      <c r="AA22" t="s">
        <v>173</v>
      </c>
      <c r="AB22" t="s">
        <v>174</v>
      </c>
      <c r="AC22" t="s">
        <v>175</v>
      </c>
      <c r="AD22">
        <v>10</v>
      </c>
      <c r="AG22" t="s">
        <v>176</v>
      </c>
      <c r="AH22" t="s">
        <v>177</v>
      </c>
      <c r="AI22" t="s">
        <v>178</v>
      </c>
      <c r="AJ22" t="s">
        <v>179</v>
      </c>
      <c r="AK22" t="s">
        <v>173</v>
      </c>
      <c r="AL22" t="s">
        <v>180</v>
      </c>
      <c r="AS22">
        <v>2500</v>
      </c>
      <c r="AT22">
        <v>2500</v>
      </c>
      <c r="BN22" s="114" t="s">
        <v>198</v>
      </c>
      <c r="BO22">
        <v>2</v>
      </c>
      <c r="BP22">
        <v>2</v>
      </c>
      <c r="BQ22">
        <v>1</v>
      </c>
      <c r="BR22" t="s">
        <v>181</v>
      </c>
      <c r="BS22" t="s">
        <v>182</v>
      </c>
      <c r="BT22" t="s">
        <v>183</v>
      </c>
      <c r="BU22" s="115">
        <v>45717</v>
      </c>
      <c r="BV22">
        <v>36362</v>
      </c>
      <c r="BW22" s="116"/>
      <c r="BX22" t="s">
        <v>173</v>
      </c>
      <c r="BY22" t="s">
        <v>173</v>
      </c>
      <c r="CB22" t="s">
        <v>173</v>
      </c>
      <c r="CC22" t="s">
        <v>173</v>
      </c>
      <c r="CE22" t="s">
        <v>173</v>
      </c>
      <c r="CG22" t="s">
        <v>172</v>
      </c>
      <c r="CH22" t="s">
        <v>199</v>
      </c>
      <c r="CI22" t="s">
        <v>172</v>
      </c>
      <c r="CJ22" t="s">
        <v>200</v>
      </c>
      <c r="DJ22" t="s">
        <v>201</v>
      </c>
      <c r="DK22" t="s">
        <v>202</v>
      </c>
      <c r="DN22" t="s">
        <v>173</v>
      </c>
      <c r="DO22" t="s">
        <v>203</v>
      </c>
      <c r="DP22" t="s">
        <v>172</v>
      </c>
      <c r="DQ22" t="s">
        <v>204</v>
      </c>
      <c r="DY22">
        <v>33.5</v>
      </c>
      <c r="EA22" s="117"/>
      <c r="EB22">
        <v>5</v>
      </c>
      <c r="EC22">
        <v>5</v>
      </c>
      <c r="EE22" t="s">
        <v>205</v>
      </c>
      <c r="EF22">
        <v>4</v>
      </c>
      <c r="EV22">
        <v>4000</v>
      </c>
      <c r="EW22">
        <v>391</v>
      </c>
      <c r="EX22">
        <v>298</v>
      </c>
      <c r="EY22">
        <v>349</v>
      </c>
    </row>
    <row r="23" spans="1:155" x14ac:dyDescent="0.35">
      <c r="A23">
        <v>2026</v>
      </c>
      <c r="B23" t="s">
        <v>192</v>
      </c>
      <c r="C23" s="112" t="s">
        <v>239</v>
      </c>
      <c r="D23" t="s">
        <v>241</v>
      </c>
      <c r="E23" t="s">
        <v>194</v>
      </c>
      <c r="F23">
        <v>22</v>
      </c>
      <c r="G23" s="113">
        <v>3</v>
      </c>
      <c r="H23">
        <v>6</v>
      </c>
      <c r="I23" t="s">
        <v>206</v>
      </c>
      <c r="J23">
        <v>19</v>
      </c>
      <c r="K23">
        <v>26</v>
      </c>
      <c r="L23">
        <v>21</v>
      </c>
      <c r="M23">
        <v>23.5</v>
      </c>
      <c r="N23">
        <v>37</v>
      </c>
      <c r="O23">
        <v>28.116399999999999</v>
      </c>
      <c r="P23">
        <v>18.706600000000002</v>
      </c>
      <c r="Q23">
        <v>26.1934</v>
      </c>
      <c r="R23">
        <v>21.4679</v>
      </c>
      <c r="T23" t="s">
        <v>168</v>
      </c>
      <c r="U23" t="s">
        <v>169</v>
      </c>
      <c r="V23" t="s">
        <v>207</v>
      </c>
      <c r="W23" t="s">
        <v>208</v>
      </c>
      <c r="Y23">
        <v>6</v>
      </c>
      <c r="Z23" t="s">
        <v>173</v>
      </c>
      <c r="AA23" t="s">
        <v>173</v>
      </c>
      <c r="AB23" t="s">
        <v>174</v>
      </c>
      <c r="AC23" t="s">
        <v>175</v>
      </c>
      <c r="AD23">
        <v>10</v>
      </c>
      <c r="AG23" t="s">
        <v>176</v>
      </c>
      <c r="AH23" t="s">
        <v>177</v>
      </c>
      <c r="AI23" t="s">
        <v>178</v>
      </c>
      <c r="AJ23" t="s">
        <v>179</v>
      </c>
      <c r="AK23" t="s">
        <v>173</v>
      </c>
      <c r="AL23" t="s">
        <v>180</v>
      </c>
      <c r="AS23">
        <v>2950</v>
      </c>
      <c r="AT23">
        <v>2950</v>
      </c>
      <c r="BN23" s="114" t="s">
        <v>198</v>
      </c>
      <c r="BO23">
        <v>2</v>
      </c>
      <c r="BP23">
        <v>2</v>
      </c>
      <c r="BQ23">
        <v>1</v>
      </c>
      <c r="BR23" t="s">
        <v>181</v>
      </c>
      <c r="BS23" t="s">
        <v>182</v>
      </c>
      <c r="BT23" t="s">
        <v>183</v>
      </c>
      <c r="BU23" s="115">
        <v>45717</v>
      </c>
      <c r="BV23">
        <v>36363</v>
      </c>
      <c r="BW23" s="116"/>
      <c r="BX23" t="s">
        <v>173</v>
      </c>
      <c r="BY23" t="s">
        <v>173</v>
      </c>
      <c r="CB23" t="s">
        <v>173</v>
      </c>
      <c r="CC23" t="s">
        <v>173</v>
      </c>
      <c r="CE23" t="s">
        <v>173</v>
      </c>
      <c r="CG23" t="s">
        <v>172</v>
      </c>
      <c r="CH23" t="s">
        <v>199</v>
      </c>
      <c r="CI23" t="s">
        <v>172</v>
      </c>
      <c r="CJ23" t="s">
        <v>200</v>
      </c>
      <c r="DJ23" t="s">
        <v>201</v>
      </c>
      <c r="DK23" t="s">
        <v>202</v>
      </c>
      <c r="DN23" t="s">
        <v>173</v>
      </c>
      <c r="DO23" t="s">
        <v>203</v>
      </c>
      <c r="DP23" t="s">
        <v>172</v>
      </c>
      <c r="DQ23" t="s">
        <v>204</v>
      </c>
      <c r="DY23">
        <v>28.3</v>
      </c>
      <c r="EA23" s="117"/>
      <c r="EB23">
        <v>4</v>
      </c>
      <c r="EC23">
        <v>4</v>
      </c>
      <c r="EE23" t="s">
        <v>205</v>
      </c>
      <c r="EF23">
        <v>4</v>
      </c>
      <c r="EV23">
        <v>6250</v>
      </c>
      <c r="EW23">
        <v>468</v>
      </c>
      <c r="EX23">
        <v>334</v>
      </c>
      <c r="EY23">
        <v>408</v>
      </c>
    </row>
    <row r="24" spans="1:155" x14ac:dyDescent="0.35">
      <c r="A24">
        <v>2026</v>
      </c>
      <c r="B24" t="s">
        <v>162</v>
      </c>
      <c r="C24" s="112" t="s">
        <v>163</v>
      </c>
      <c r="D24" t="s">
        <v>1148</v>
      </c>
      <c r="E24" t="s">
        <v>165</v>
      </c>
      <c r="F24">
        <v>1</v>
      </c>
      <c r="G24" s="113">
        <v>4</v>
      </c>
      <c r="H24">
        <v>8</v>
      </c>
      <c r="I24" t="s">
        <v>166</v>
      </c>
      <c r="J24">
        <v>15</v>
      </c>
      <c r="K24">
        <v>22</v>
      </c>
      <c r="L24">
        <v>17</v>
      </c>
      <c r="M24">
        <v>18.263200000000001</v>
      </c>
      <c r="N24">
        <v>31.287299999999998</v>
      </c>
      <c r="O24">
        <v>22.472899999999999</v>
      </c>
      <c r="P24">
        <v>14.7902</v>
      </c>
      <c r="Q24">
        <v>22.438800000000001</v>
      </c>
      <c r="R24">
        <v>17.469899999999999</v>
      </c>
      <c r="T24" t="s">
        <v>168</v>
      </c>
      <c r="U24" t="s">
        <v>169</v>
      </c>
      <c r="V24" t="s">
        <v>170</v>
      </c>
      <c r="W24" t="s">
        <v>171</v>
      </c>
      <c r="Y24">
        <v>8</v>
      </c>
      <c r="Z24" t="s">
        <v>172</v>
      </c>
      <c r="AA24" t="s">
        <v>173</v>
      </c>
      <c r="AB24" t="s">
        <v>174</v>
      </c>
      <c r="AC24" t="s">
        <v>175</v>
      </c>
      <c r="AD24">
        <v>10</v>
      </c>
      <c r="AG24" t="s">
        <v>176</v>
      </c>
      <c r="AH24" t="s">
        <v>177</v>
      </c>
      <c r="AI24" t="s">
        <v>178</v>
      </c>
      <c r="AJ24" t="s">
        <v>179</v>
      </c>
      <c r="AK24" t="s">
        <v>173</v>
      </c>
      <c r="AL24" t="s">
        <v>180</v>
      </c>
      <c r="AM24">
        <v>72</v>
      </c>
      <c r="AN24">
        <v>9</v>
      </c>
      <c r="AS24">
        <v>3650</v>
      </c>
      <c r="AT24">
        <v>3650</v>
      </c>
      <c r="BN24" s="114" t="s">
        <v>198</v>
      </c>
      <c r="BO24">
        <v>2</v>
      </c>
      <c r="BP24">
        <v>2</v>
      </c>
      <c r="BQ24">
        <v>2</v>
      </c>
      <c r="BR24" t="s">
        <v>248</v>
      </c>
      <c r="BS24" t="s">
        <v>182</v>
      </c>
      <c r="BT24" t="s">
        <v>183</v>
      </c>
      <c r="BU24" s="115">
        <v>45814</v>
      </c>
      <c r="BV24">
        <v>37417</v>
      </c>
      <c r="BW24" s="116"/>
      <c r="BX24" t="s">
        <v>173</v>
      </c>
      <c r="BY24" t="s">
        <v>173</v>
      </c>
      <c r="CB24" t="s">
        <v>173</v>
      </c>
      <c r="CC24" t="s">
        <v>173</v>
      </c>
      <c r="CD24" t="s">
        <v>1149</v>
      </c>
      <c r="CE24" t="s">
        <v>173</v>
      </c>
      <c r="CG24" t="s">
        <v>172</v>
      </c>
      <c r="CH24" t="s">
        <v>185</v>
      </c>
      <c r="CI24" t="s">
        <v>173</v>
      </c>
      <c r="DJ24" t="s">
        <v>201</v>
      </c>
      <c r="DK24" t="s">
        <v>202</v>
      </c>
      <c r="DL24" t="s">
        <v>173</v>
      </c>
      <c r="DN24" t="s">
        <v>173</v>
      </c>
      <c r="DO24" t="s">
        <v>188</v>
      </c>
      <c r="DP24" t="s">
        <v>173</v>
      </c>
      <c r="DQ24" t="s">
        <v>189</v>
      </c>
      <c r="DR24" t="s">
        <v>1148</v>
      </c>
      <c r="DY24">
        <v>22.6</v>
      </c>
      <c r="EA24" s="117"/>
      <c r="EB24">
        <v>3</v>
      </c>
      <c r="EC24">
        <v>3</v>
      </c>
      <c r="EE24" t="s">
        <v>1138</v>
      </c>
      <c r="EF24">
        <v>4</v>
      </c>
      <c r="EV24">
        <v>9750</v>
      </c>
      <c r="EW24">
        <v>599</v>
      </c>
      <c r="EX24">
        <v>395</v>
      </c>
      <c r="EY24">
        <v>507</v>
      </c>
    </row>
    <row r="25" spans="1:155" x14ac:dyDescent="0.35">
      <c r="A25">
        <v>2026</v>
      </c>
      <c r="B25" t="s">
        <v>2112</v>
      </c>
      <c r="C25" s="112" t="s">
        <v>2113</v>
      </c>
      <c r="D25" t="s">
        <v>2123</v>
      </c>
      <c r="E25" t="s">
        <v>2115</v>
      </c>
      <c r="F25">
        <v>174</v>
      </c>
      <c r="G25" s="113">
        <v>3.9</v>
      </c>
      <c r="H25">
        <v>8</v>
      </c>
      <c r="I25" t="s">
        <v>428</v>
      </c>
      <c r="J25">
        <v>17</v>
      </c>
      <c r="K25">
        <v>22</v>
      </c>
      <c r="L25">
        <v>19</v>
      </c>
      <c r="M25">
        <v>21.054500000000001</v>
      </c>
      <c r="N25">
        <v>31.146100000000001</v>
      </c>
      <c r="O25">
        <v>26.648299999999999</v>
      </c>
      <c r="P25">
        <v>16.894500000000001</v>
      </c>
      <c r="Q25">
        <v>22.344799999999999</v>
      </c>
      <c r="R25">
        <v>18.977499999999999</v>
      </c>
      <c r="T25" t="s">
        <v>168</v>
      </c>
      <c r="U25" t="s">
        <v>169</v>
      </c>
      <c r="V25" t="s">
        <v>429</v>
      </c>
      <c r="W25" t="s">
        <v>430</v>
      </c>
      <c r="Y25">
        <v>8</v>
      </c>
      <c r="Z25" t="s">
        <v>173</v>
      </c>
      <c r="AA25" t="s">
        <v>173</v>
      </c>
      <c r="AB25" t="s">
        <v>174</v>
      </c>
      <c r="AC25" t="s">
        <v>175</v>
      </c>
      <c r="AD25">
        <v>10</v>
      </c>
      <c r="AG25" t="s">
        <v>216</v>
      </c>
      <c r="AH25" t="s">
        <v>217</v>
      </c>
      <c r="AI25" t="s">
        <v>178</v>
      </c>
      <c r="AJ25" t="s">
        <v>179</v>
      </c>
      <c r="AK25" t="s">
        <v>173</v>
      </c>
      <c r="AL25" t="s">
        <v>180</v>
      </c>
      <c r="AM25">
        <v>78</v>
      </c>
      <c r="AN25">
        <v>6</v>
      </c>
      <c r="AS25">
        <v>3300</v>
      </c>
      <c r="AT25">
        <v>3300</v>
      </c>
      <c r="BN25" s="114" t="s">
        <v>198</v>
      </c>
      <c r="BO25">
        <v>2</v>
      </c>
      <c r="BP25">
        <v>2</v>
      </c>
      <c r="BQ25">
        <v>2</v>
      </c>
      <c r="BR25" t="s">
        <v>248</v>
      </c>
      <c r="BS25" t="s">
        <v>182</v>
      </c>
      <c r="BT25" t="s">
        <v>183</v>
      </c>
      <c r="BU25" s="115">
        <v>45930</v>
      </c>
      <c r="BV25">
        <v>37589</v>
      </c>
      <c r="BW25" s="116"/>
      <c r="BX25" t="s">
        <v>172</v>
      </c>
      <c r="BY25" t="s">
        <v>173</v>
      </c>
      <c r="CB25" t="s">
        <v>173</v>
      </c>
      <c r="CC25" t="s">
        <v>173</v>
      </c>
      <c r="CE25" t="s">
        <v>173</v>
      </c>
      <c r="CF25" t="s">
        <v>2117</v>
      </c>
      <c r="CG25" t="s">
        <v>172</v>
      </c>
      <c r="CH25" t="s">
        <v>2118</v>
      </c>
      <c r="CI25" t="s">
        <v>173</v>
      </c>
      <c r="CJ25" t="s">
        <v>2117</v>
      </c>
      <c r="DJ25" t="s">
        <v>201</v>
      </c>
      <c r="DK25" t="s">
        <v>202</v>
      </c>
      <c r="DL25" t="s">
        <v>173</v>
      </c>
      <c r="DN25" t="s">
        <v>173</v>
      </c>
      <c r="DO25" t="s">
        <v>235</v>
      </c>
      <c r="DP25" t="s">
        <v>172</v>
      </c>
      <c r="DQ25" t="s">
        <v>204</v>
      </c>
      <c r="DR25" t="s">
        <v>2124</v>
      </c>
      <c r="DY25">
        <v>24.8</v>
      </c>
      <c r="EA25" s="117"/>
      <c r="EB25">
        <v>4</v>
      </c>
      <c r="EC25">
        <v>4</v>
      </c>
      <c r="EE25" t="s">
        <v>2125</v>
      </c>
      <c r="EF25">
        <v>5</v>
      </c>
      <c r="EV25">
        <v>8000</v>
      </c>
      <c r="EW25">
        <v>524</v>
      </c>
      <c r="EX25">
        <v>397</v>
      </c>
      <c r="EY25">
        <v>467</v>
      </c>
    </row>
    <row r="26" spans="1:155" x14ac:dyDescent="0.35">
      <c r="A26">
        <v>2026</v>
      </c>
      <c r="B26" t="s">
        <v>242</v>
      </c>
      <c r="C26" s="112" t="s">
        <v>243</v>
      </c>
      <c r="D26" t="s">
        <v>244</v>
      </c>
      <c r="E26" t="s">
        <v>245</v>
      </c>
      <c r="F26">
        <v>114</v>
      </c>
      <c r="G26" s="113">
        <v>5</v>
      </c>
      <c r="H26">
        <v>8</v>
      </c>
      <c r="I26" t="s">
        <v>246</v>
      </c>
      <c r="J26">
        <v>15</v>
      </c>
      <c r="K26">
        <v>25</v>
      </c>
      <c r="L26">
        <v>18</v>
      </c>
      <c r="M26">
        <v>18.2</v>
      </c>
      <c r="N26">
        <v>34.9</v>
      </c>
      <c r="O26">
        <v>23.194400000000002</v>
      </c>
      <c r="P26">
        <v>14.742100000000001</v>
      </c>
      <c r="Q26">
        <v>24.8246</v>
      </c>
      <c r="R26">
        <v>18.039000000000001</v>
      </c>
      <c r="U26" t="s">
        <v>215</v>
      </c>
      <c r="V26" t="s">
        <v>196</v>
      </c>
      <c r="W26" t="s">
        <v>197</v>
      </c>
      <c r="Y26">
        <v>10</v>
      </c>
      <c r="Z26" t="s">
        <v>172</v>
      </c>
      <c r="AA26" t="s">
        <v>173</v>
      </c>
      <c r="AB26" t="s">
        <v>174</v>
      </c>
      <c r="AC26" t="s">
        <v>175</v>
      </c>
      <c r="AD26">
        <v>15</v>
      </c>
      <c r="AG26" t="s">
        <v>216</v>
      </c>
      <c r="AH26" t="s">
        <v>217</v>
      </c>
      <c r="AI26" t="s">
        <v>178</v>
      </c>
      <c r="AJ26" t="s">
        <v>179</v>
      </c>
      <c r="AK26" t="s">
        <v>173</v>
      </c>
      <c r="AL26" t="s">
        <v>180</v>
      </c>
      <c r="AM26">
        <v>75</v>
      </c>
      <c r="AN26">
        <v>3</v>
      </c>
      <c r="AS26">
        <v>3450</v>
      </c>
      <c r="AT26">
        <v>3450</v>
      </c>
      <c r="BN26" s="114" t="s">
        <v>247</v>
      </c>
      <c r="BO26">
        <v>2</v>
      </c>
      <c r="BP26">
        <v>2</v>
      </c>
      <c r="BQ26">
        <v>2</v>
      </c>
      <c r="BR26" t="s">
        <v>248</v>
      </c>
      <c r="BS26" t="s">
        <v>182</v>
      </c>
      <c r="BT26" t="s">
        <v>183</v>
      </c>
      <c r="BU26" s="115">
        <v>45887</v>
      </c>
      <c r="BV26">
        <v>36988</v>
      </c>
      <c r="BW26" s="116"/>
      <c r="BX26" t="s">
        <v>173</v>
      </c>
      <c r="BY26" t="s">
        <v>173</v>
      </c>
      <c r="CB26" t="s">
        <v>173</v>
      </c>
      <c r="CC26" t="s">
        <v>173</v>
      </c>
      <c r="CE26" t="s">
        <v>173</v>
      </c>
      <c r="CG26" t="s">
        <v>172</v>
      </c>
      <c r="CH26" t="s">
        <v>249</v>
      </c>
      <c r="CI26" t="s">
        <v>173</v>
      </c>
      <c r="DJ26" t="s">
        <v>250</v>
      </c>
      <c r="DK26" t="s">
        <v>251</v>
      </c>
      <c r="DN26" t="s">
        <v>173</v>
      </c>
      <c r="DO26" t="s">
        <v>252</v>
      </c>
      <c r="DP26" t="s">
        <v>173</v>
      </c>
      <c r="DQ26" t="s">
        <v>189</v>
      </c>
      <c r="DY26">
        <v>23.5</v>
      </c>
      <c r="EA26" s="117"/>
      <c r="EB26">
        <v>3</v>
      </c>
      <c r="EC26">
        <v>3</v>
      </c>
      <c r="EE26" t="s">
        <v>253</v>
      </c>
      <c r="EF26">
        <v>4</v>
      </c>
      <c r="EV26">
        <v>8750</v>
      </c>
      <c r="EW26">
        <v>598</v>
      </c>
      <c r="EX26">
        <v>356</v>
      </c>
      <c r="EY26">
        <v>489</v>
      </c>
    </row>
    <row r="27" spans="1:155" x14ac:dyDescent="0.35">
      <c r="A27">
        <v>2026</v>
      </c>
      <c r="B27" t="s">
        <v>228</v>
      </c>
      <c r="C27" s="112" t="s">
        <v>228</v>
      </c>
      <c r="D27" t="s">
        <v>255</v>
      </c>
      <c r="E27" t="s">
        <v>230</v>
      </c>
      <c r="F27">
        <v>222</v>
      </c>
      <c r="G27" s="113">
        <v>2</v>
      </c>
      <c r="H27">
        <v>4</v>
      </c>
      <c r="I27" t="s">
        <v>231</v>
      </c>
      <c r="J27">
        <v>19</v>
      </c>
      <c r="K27">
        <v>27</v>
      </c>
      <c r="L27">
        <v>22</v>
      </c>
      <c r="M27">
        <v>24.2</v>
      </c>
      <c r="N27">
        <v>38</v>
      </c>
      <c r="O27">
        <v>28.927299999999999</v>
      </c>
      <c r="P27">
        <v>19.22</v>
      </c>
      <c r="Q27">
        <v>26.840699999999998</v>
      </c>
      <c r="R27">
        <v>22.035399999999999</v>
      </c>
      <c r="T27" t="s">
        <v>168</v>
      </c>
      <c r="U27" t="s">
        <v>169</v>
      </c>
      <c r="V27" t="s">
        <v>170</v>
      </c>
      <c r="W27" t="s">
        <v>171</v>
      </c>
      <c r="Y27">
        <v>9</v>
      </c>
      <c r="Z27" t="s">
        <v>172</v>
      </c>
      <c r="AA27" t="s">
        <v>173</v>
      </c>
      <c r="AB27" t="s">
        <v>174</v>
      </c>
      <c r="AC27" t="s">
        <v>175</v>
      </c>
      <c r="AD27">
        <v>10</v>
      </c>
      <c r="AG27" t="s">
        <v>216</v>
      </c>
      <c r="AH27" t="s">
        <v>217</v>
      </c>
      <c r="AI27" t="s">
        <v>178</v>
      </c>
      <c r="AJ27" t="s">
        <v>179</v>
      </c>
      <c r="AK27" t="s">
        <v>173</v>
      </c>
      <c r="AL27" t="s">
        <v>180</v>
      </c>
      <c r="AM27">
        <v>76</v>
      </c>
      <c r="AN27">
        <v>6</v>
      </c>
      <c r="AS27">
        <v>2850</v>
      </c>
      <c r="AT27">
        <v>2850</v>
      </c>
      <c r="BN27" s="114" t="s">
        <v>256</v>
      </c>
      <c r="BO27">
        <v>2</v>
      </c>
      <c r="BP27">
        <v>2</v>
      </c>
      <c r="BQ27">
        <v>2</v>
      </c>
      <c r="BR27" t="s">
        <v>248</v>
      </c>
      <c r="BS27" t="s">
        <v>182</v>
      </c>
      <c r="BT27" t="s">
        <v>183</v>
      </c>
      <c r="BU27" s="115">
        <v>45868</v>
      </c>
      <c r="BV27">
        <v>37225</v>
      </c>
      <c r="BW27" s="116"/>
      <c r="BY27" t="s">
        <v>173</v>
      </c>
      <c r="CB27" t="s">
        <v>173</v>
      </c>
      <c r="CC27" t="s">
        <v>173</v>
      </c>
      <c r="CD27" t="s">
        <v>257</v>
      </c>
      <c r="CE27" t="s">
        <v>173</v>
      </c>
      <c r="CG27" t="s">
        <v>172</v>
      </c>
      <c r="CH27" t="s">
        <v>234</v>
      </c>
      <c r="CI27" t="s">
        <v>172</v>
      </c>
      <c r="CJ27" t="s">
        <v>258</v>
      </c>
      <c r="CK27" t="s">
        <v>259</v>
      </c>
      <c r="CM27">
        <v>1</v>
      </c>
      <c r="CN27" t="s">
        <v>260</v>
      </c>
      <c r="CP27">
        <v>48</v>
      </c>
      <c r="CQ27">
        <v>11.3</v>
      </c>
      <c r="CR27">
        <v>78.2</v>
      </c>
      <c r="CS27" t="s">
        <v>261</v>
      </c>
      <c r="CV27" t="s">
        <v>262</v>
      </c>
      <c r="CX27" t="s">
        <v>263</v>
      </c>
      <c r="CY27" t="s">
        <v>173</v>
      </c>
      <c r="DC27" t="s">
        <v>264</v>
      </c>
      <c r="DD27">
        <v>1</v>
      </c>
      <c r="DE27" t="s">
        <v>265</v>
      </c>
      <c r="DG27">
        <v>10</v>
      </c>
      <c r="DJ27" t="s">
        <v>201</v>
      </c>
      <c r="DK27" t="s">
        <v>202</v>
      </c>
      <c r="DL27" t="s">
        <v>173</v>
      </c>
      <c r="DM27" t="s">
        <v>173</v>
      </c>
      <c r="DN27" t="s">
        <v>173</v>
      </c>
      <c r="DO27" t="s">
        <v>266</v>
      </c>
      <c r="DP27" t="s">
        <v>172</v>
      </c>
      <c r="DQ27" t="s">
        <v>204</v>
      </c>
      <c r="DR27" t="s">
        <v>255</v>
      </c>
      <c r="DY27">
        <v>29.1</v>
      </c>
      <c r="EA27" s="117"/>
      <c r="EB27">
        <v>4</v>
      </c>
      <c r="EC27">
        <v>4</v>
      </c>
      <c r="EE27" t="s">
        <v>267</v>
      </c>
      <c r="EF27">
        <v>4</v>
      </c>
      <c r="EV27">
        <v>5750</v>
      </c>
      <c r="EW27">
        <v>459</v>
      </c>
      <c r="EX27">
        <v>329</v>
      </c>
      <c r="EY27">
        <v>400</v>
      </c>
    </row>
    <row r="28" spans="1:155" x14ac:dyDescent="0.35">
      <c r="A28">
        <v>2026</v>
      </c>
      <c r="B28" t="s">
        <v>228</v>
      </c>
      <c r="C28" s="112" t="s">
        <v>228</v>
      </c>
      <c r="D28" t="s">
        <v>268</v>
      </c>
      <c r="E28" t="s">
        <v>230</v>
      </c>
      <c r="F28">
        <v>232</v>
      </c>
      <c r="G28" s="113">
        <v>4</v>
      </c>
      <c r="H28">
        <v>8</v>
      </c>
      <c r="I28" t="s">
        <v>231</v>
      </c>
      <c r="J28">
        <v>14</v>
      </c>
      <c r="K28">
        <v>21</v>
      </c>
      <c r="L28">
        <v>16</v>
      </c>
      <c r="M28">
        <v>16.7</v>
      </c>
      <c r="N28">
        <v>28.5</v>
      </c>
      <c r="O28">
        <v>20.523900000000001</v>
      </c>
      <c r="P28">
        <v>13.5947</v>
      </c>
      <c r="Q28">
        <v>20.571000000000002</v>
      </c>
      <c r="R28">
        <v>16.042999999999999</v>
      </c>
      <c r="S28" t="s">
        <v>167</v>
      </c>
      <c r="T28" t="s">
        <v>168</v>
      </c>
      <c r="U28" t="s">
        <v>169</v>
      </c>
      <c r="V28" t="s">
        <v>170</v>
      </c>
      <c r="W28" t="s">
        <v>171</v>
      </c>
      <c r="Y28">
        <v>9</v>
      </c>
      <c r="Z28" t="s">
        <v>172</v>
      </c>
      <c r="AA28" t="s">
        <v>173</v>
      </c>
      <c r="AB28" t="s">
        <v>170</v>
      </c>
      <c r="AC28" t="s">
        <v>232</v>
      </c>
      <c r="AD28">
        <v>10</v>
      </c>
      <c r="AG28" t="s">
        <v>216</v>
      </c>
      <c r="AH28" t="s">
        <v>217</v>
      </c>
      <c r="AI28" t="s">
        <v>178</v>
      </c>
      <c r="AJ28" t="s">
        <v>179</v>
      </c>
      <c r="AK28" t="s">
        <v>173</v>
      </c>
      <c r="AL28" t="s">
        <v>180</v>
      </c>
      <c r="AM28">
        <v>76</v>
      </c>
      <c r="AN28">
        <v>6</v>
      </c>
      <c r="AS28">
        <v>3900</v>
      </c>
      <c r="AT28">
        <v>3900</v>
      </c>
      <c r="BN28" s="114" t="s">
        <v>198</v>
      </c>
      <c r="BO28">
        <v>2</v>
      </c>
      <c r="BP28">
        <v>2</v>
      </c>
      <c r="BQ28">
        <v>2</v>
      </c>
      <c r="BR28" t="s">
        <v>248</v>
      </c>
      <c r="BS28" t="s">
        <v>182</v>
      </c>
      <c r="BT28" t="s">
        <v>183</v>
      </c>
      <c r="BU28" s="115">
        <v>45871</v>
      </c>
      <c r="BV28">
        <v>37258</v>
      </c>
      <c r="BW28" s="116"/>
      <c r="BY28" t="s">
        <v>173</v>
      </c>
      <c r="CB28" t="s">
        <v>173</v>
      </c>
      <c r="CC28" t="s">
        <v>173</v>
      </c>
      <c r="CD28" t="s">
        <v>233</v>
      </c>
      <c r="CE28" t="s">
        <v>173</v>
      </c>
      <c r="CG28" t="s">
        <v>172</v>
      </c>
      <c r="CH28" t="s">
        <v>234</v>
      </c>
      <c r="CI28" t="s">
        <v>173</v>
      </c>
      <c r="DJ28" t="s">
        <v>201</v>
      </c>
      <c r="DK28" t="s">
        <v>202</v>
      </c>
      <c r="DN28" t="s">
        <v>173</v>
      </c>
      <c r="DO28" t="s">
        <v>235</v>
      </c>
      <c r="DP28" t="s">
        <v>172</v>
      </c>
      <c r="DQ28" t="s">
        <v>204</v>
      </c>
      <c r="DR28" t="s">
        <v>268</v>
      </c>
      <c r="DY28">
        <v>20.7</v>
      </c>
      <c r="EA28" s="117"/>
      <c r="EB28">
        <v>3</v>
      </c>
      <c r="EC28">
        <v>3</v>
      </c>
      <c r="EE28" t="s">
        <v>236</v>
      </c>
      <c r="EF28">
        <v>4</v>
      </c>
      <c r="EV28">
        <v>11000</v>
      </c>
      <c r="EW28">
        <v>651</v>
      </c>
      <c r="EX28">
        <v>430</v>
      </c>
      <c r="EY28">
        <v>552</v>
      </c>
    </row>
    <row r="29" spans="1:155" x14ac:dyDescent="0.35">
      <c r="A29">
        <v>2026</v>
      </c>
      <c r="B29" t="s">
        <v>228</v>
      </c>
      <c r="C29" s="112" t="s">
        <v>228</v>
      </c>
      <c r="D29" t="s">
        <v>269</v>
      </c>
      <c r="E29" t="s">
        <v>230</v>
      </c>
      <c r="F29">
        <v>231</v>
      </c>
      <c r="G29" s="113">
        <v>4</v>
      </c>
      <c r="H29">
        <v>8</v>
      </c>
      <c r="I29" t="s">
        <v>231</v>
      </c>
      <c r="J29">
        <v>14</v>
      </c>
      <c r="K29">
        <v>21</v>
      </c>
      <c r="L29">
        <v>16</v>
      </c>
      <c r="M29">
        <v>16.7</v>
      </c>
      <c r="N29">
        <v>28.5</v>
      </c>
      <c r="O29">
        <v>20.523900000000001</v>
      </c>
      <c r="P29">
        <v>13.5947</v>
      </c>
      <c r="Q29">
        <v>20.571000000000002</v>
      </c>
      <c r="R29">
        <v>16.042999999999999</v>
      </c>
      <c r="S29" t="s">
        <v>167</v>
      </c>
      <c r="T29" t="s">
        <v>168</v>
      </c>
      <c r="U29" t="s">
        <v>169</v>
      </c>
      <c r="V29" t="s">
        <v>170</v>
      </c>
      <c r="W29" t="s">
        <v>171</v>
      </c>
      <c r="Y29">
        <v>9</v>
      </c>
      <c r="Z29" t="s">
        <v>172</v>
      </c>
      <c r="AA29" t="s">
        <v>173</v>
      </c>
      <c r="AB29" t="s">
        <v>170</v>
      </c>
      <c r="AC29" t="s">
        <v>232</v>
      </c>
      <c r="AD29">
        <v>10</v>
      </c>
      <c r="AG29" t="s">
        <v>216</v>
      </c>
      <c r="AH29" t="s">
        <v>217</v>
      </c>
      <c r="AI29" t="s">
        <v>178</v>
      </c>
      <c r="AJ29" t="s">
        <v>179</v>
      </c>
      <c r="AK29" t="s">
        <v>173</v>
      </c>
      <c r="AL29" t="s">
        <v>180</v>
      </c>
      <c r="AM29">
        <v>76</v>
      </c>
      <c r="AN29">
        <v>6</v>
      </c>
      <c r="AS29">
        <v>3900</v>
      </c>
      <c r="AT29">
        <v>3900</v>
      </c>
      <c r="BN29" s="114" t="s">
        <v>198</v>
      </c>
      <c r="BO29">
        <v>2</v>
      </c>
      <c r="BP29" t="s">
        <v>270</v>
      </c>
      <c r="BQ29">
        <v>2</v>
      </c>
      <c r="BR29" t="s">
        <v>248</v>
      </c>
      <c r="BS29" t="s">
        <v>182</v>
      </c>
      <c r="BT29" t="s">
        <v>183</v>
      </c>
      <c r="BU29" s="115">
        <v>45871</v>
      </c>
      <c r="BV29">
        <v>37257</v>
      </c>
      <c r="BW29" s="116"/>
      <c r="BY29" t="s">
        <v>173</v>
      </c>
      <c r="CB29" t="s">
        <v>173</v>
      </c>
      <c r="CC29" t="s">
        <v>173</v>
      </c>
      <c r="CD29" t="s">
        <v>233</v>
      </c>
      <c r="CE29" t="s">
        <v>173</v>
      </c>
      <c r="CG29" t="s">
        <v>172</v>
      </c>
      <c r="CH29" t="s">
        <v>234</v>
      </c>
      <c r="CI29" t="s">
        <v>173</v>
      </c>
      <c r="DJ29" t="s">
        <v>201</v>
      </c>
      <c r="DK29" t="s">
        <v>202</v>
      </c>
      <c r="DN29" t="s">
        <v>173</v>
      </c>
      <c r="DO29" t="s">
        <v>235</v>
      </c>
      <c r="DP29" t="s">
        <v>172</v>
      </c>
      <c r="DQ29" t="s">
        <v>204</v>
      </c>
      <c r="DR29" t="s">
        <v>269</v>
      </c>
      <c r="DY29">
        <v>20.7</v>
      </c>
      <c r="EA29" s="117"/>
      <c r="EB29">
        <v>3</v>
      </c>
      <c r="EC29">
        <v>3</v>
      </c>
      <c r="EE29" t="s">
        <v>236</v>
      </c>
      <c r="EF29">
        <v>4</v>
      </c>
      <c r="EV29">
        <v>11000</v>
      </c>
      <c r="EW29">
        <v>651</v>
      </c>
      <c r="EX29">
        <v>430</v>
      </c>
      <c r="EY29">
        <v>552</v>
      </c>
    </row>
    <row r="30" spans="1:155" x14ac:dyDescent="0.35">
      <c r="A30">
        <v>2026</v>
      </c>
      <c r="B30" t="s">
        <v>228</v>
      </c>
      <c r="C30" s="112" t="s">
        <v>228</v>
      </c>
      <c r="D30" t="s">
        <v>271</v>
      </c>
      <c r="E30" t="s">
        <v>230</v>
      </c>
      <c r="F30">
        <v>230</v>
      </c>
      <c r="G30" s="113">
        <v>4</v>
      </c>
      <c r="H30">
        <v>8</v>
      </c>
      <c r="I30" t="s">
        <v>231</v>
      </c>
      <c r="J30">
        <v>13</v>
      </c>
      <c r="K30">
        <v>20</v>
      </c>
      <c r="L30">
        <v>16</v>
      </c>
      <c r="M30">
        <v>16.5</v>
      </c>
      <c r="N30">
        <v>28.3</v>
      </c>
      <c r="O30">
        <v>20.311</v>
      </c>
      <c r="P30">
        <v>13.440799999999999</v>
      </c>
      <c r="Q30">
        <v>20.4361</v>
      </c>
      <c r="R30">
        <v>15.8881</v>
      </c>
      <c r="S30" t="s">
        <v>167</v>
      </c>
      <c r="T30" t="s">
        <v>168</v>
      </c>
      <c r="U30" t="s">
        <v>169</v>
      </c>
      <c r="V30" t="s">
        <v>170</v>
      </c>
      <c r="W30" t="s">
        <v>171</v>
      </c>
      <c r="Y30">
        <v>9</v>
      </c>
      <c r="Z30" t="s">
        <v>172</v>
      </c>
      <c r="AA30" t="s">
        <v>173</v>
      </c>
      <c r="AB30" t="s">
        <v>170</v>
      </c>
      <c r="AC30" t="s">
        <v>232</v>
      </c>
      <c r="AD30">
        <v>10</v>
      </c>
      <c r="AG30" t="s">
        <v>216</v>
      </c>
      <c r="AH30" t="s">
        <v>217</v>
      </c>
      <c r="AI30" t="s">
        <v>178</v>
      </c>
      <c r="AJ30" t="s">
        <v>179</v>
      </c>
      <c r="AK30" t="s">
        <v>173</v>
      </c>
      <c r="AL30" t="s">
        <v>180</v>
      </c>
      <c r="AM30">
        <v>76</v>
      </c>
      <c r="AN30">
        <v>6</v>
      </c>
      <c r="AS30">
        <v>3900</v>
      </c>
      <c r="AT30">
        <v>3900</v>
      </c>
      <c r="BN30" s="114" t="s">
        <v>198</v>
      </c>
      <c r="BO30">
        <v>2</v>
      </c>
      <c r="BP30">
        <v>2</v>
      </c>
      <c r="BQ30">
        <v>2</v>
      </c>
      <c r="BR30" t="s">
        <v>248</v>
      </c>
      <c r="BS30" t="s">
        <v>182</v>
      </c>
      <c r="BT30" t="s">
        <v>183</v>
      </c>
      <c r="BU30" s="115">
        <v>45871</v>
      </c>
      <c r="BV30">
        <v>37256</v>
      </c>
      <c r="BW30" s="116"/>
      <c r="BY30" t="s">
        <v>173</v>
      </c>
      <c r="CB30" t="s">
        <v>173</v>
      </c>
      <c r="CC30" t="s">
        <v>173</v>
      </c>
      <c r="CD30" t="s">
        <v>233</v>
      </c>
      <c r="CE30" t="s">
        <v>173</v>
      </c>
      <c r="CG30" t="s">
        <v>172</v>
      </c>
      <c r="CH30" t="s">
        <v>234</v>
      </c>
      <c r="CI30" t="s">
        <v>173</v>
      </c>
      <c r="DJ30" t="s">
        <v>201</v>
      </c>
      <c r="DK30" t="s">
        <v>202</v>
      </c>
      <c r="DN30" t="s">
        <v>173</v>
      </c>
      <c r="DO30" t="s">
        <v>235</v>
      </c>
      <c r="DP30" t="s">
        <v>172</v>
      </c>
      <c r="DQ30" t="s">
        <v>204</v>
      </c>
      <c r="DR30" t="s">
        <v>271</v>
      </c>
      <c r="DY30">
        <v>20.5</v>
      </c>
      <c r="EA30" s="117"/>
      <c r="EB30">
        <v>3</v>
      </c>
      <c r="EC30">
        <v>3</v>
      </c>
      <c r="EE30" t="s">
        <v>236</v>
      </c>
      <c r="EF30">
        <v>4</v>
      </c>
      <c r="EV30">
        <v>11000</v>
      </c>
      <c r="EW30">
        <v>659</v>
      </c>
      <c r="EX30">
        <v>434</v>
      </c>
      <c r="EY30">
        <v>558</v>
      </c>
    </row>
    <row r="31" spans="1:155" x14ac:dyDescent="0.35">
      <c r="A31">
        <v>2026</v>
      </c>
      <c r="B31" t="s">
        <v>192</v>
      </c>
      <c r="C31" s="112" t="s">
        <v>272</v>
      </c>
      <c r="D31" t="s">
        <v>273</v>
      </c>
      <c r="E31" t="s">
        <v>194</v>
      </c>
      <c r="F31">
        <v>37</v>
      </c>
      <c r="G31" s="113">
        <v>2</v>
      </c>
      <c r="H31">
        <v>4</v>
      </c>
      <c r="I31" t="s">
        <v>274</v>
      </c>
      <c r="J31">
        <v>27</v>
      </c>
      <c r="K31">
        <v>37</v>
      </c>
      <c r="L31">
        <v>30</v>
      </c>
      <c r="M31">
        <v>34.791400000000003</v>
      </c>
      <c r="N31">
        <v>53.778100000000002</v>
      </c>
      <c r="O31">
        <v>41.362900000000003</v>
      </c>
      <c r="P31">
        <v>26.712700000000002</v>
      </c>
      <c r="Q31">
        <v>36.680900000000001</v>
      </c>
      <c r="R31">
        <v>30.4345</v>
      </c>
      <c r="T31" t="s">
        <v>168</v>
      </c>
      <c r="U31" t="s">
        <v>169</v>
      </c>
      <c r="V31" t="s">
        <v>275</v>
      </c>
      <c r="W31" t="s">
        <v>276</v>
      </c>
      <c r="Y31">
        <v>7</v>
      </c>
      <c r="Z31" t="s">
        <v>173</v>
      </c>
      <c r="AA31" t="s">
        <v>173</v>
      </c>
      <c r="AB31" t="s">
        <v>277</v>
      </c>
      <c r="AC31" t="s">
        <v>278</v>
      </c>
      <c r="AD31">
        <v>10</v>
      </c>
      <c r="AG31" t="s">
        <v>176</v>
      </c>
      <c r="AH31" t="s">
        <v>177</v>
      </c>
      <c r="AI31" t="s">
        <v>178</v>
      </c>
      <c r="AJ31" t="s">
        <v>179</v>
      </c>
      <c r="AK31" t="s">
        <v>173</v>
      </c>
      <c r="AL31" t="s">
        <v>180</v>
      </c>
      <c r="AM31">
        <v>77</v>
      </c>
      <c r="AN31">
        <v>5</v>
      </c>
      <c r="AS31">
        <v>2100</v>
      </c>
      <c r="AT31">
        <v>2100</v>
      </c>
      <c r="BN31" s="114" t="s">
        <v>247</v>
      </c>
      <c r="BO31">
        <v>2</v>
      </c>
      <c r="BP31">
        <v>2</v>
      </c>
      <c r="BQ31">
        <v>2</v>
      </c>
      <c r="BR31" t="s">
        <v>248</v>
      </c>
      <c r="BS31" t="s">
        <v>182</v>
      </c>
      <c r="BT31" t="s">
        <v>183</v>
      </c>
      <c r="BU31" s="115">
        <v>45870</v>
      </c>
      <c r="BV31">
        <v>36951</v>
      </c>
      <c r="BW31" s="116"/>
      <c r="BX31" t="s">
        <v>172</v>
      </c>
      <c r="BY31" t="s">
        <v>173</v>
      </c>
      <c r="CB31" t="s">
        <v>173</v>
      </c>
      <c r="CC31" t="s">
        <v>173</v>
      </c>
      <c r="CE31" t="s">
        <v>173</v>
      </c>
      <c r="CG31" t="s">
        <v>172</v>
      </c>
      <c r="CH31" t="s">
        <v>199</v>
      </c>
      <c r="CI31" t="s">
        <v>172</v>
      </c>
      <c r="CJ31" t="s">
        <v>200</v>
      </c>
      <c r="DJ31" t="s">
        <v>250</v>
      </c>
      <c r="DK31" t="s">
        <v>251</v>
      </c>
      <c r="DN31" t="s">
        <v>173</v>
      </c>
      <c r="DO31" t="s">
        <v>203</v>
      </c>
      <c r="DP31" t="s">
        <v>172</v>
      </c>
      <c r="DQ31" t="s">
        <v>204</v>
      </c>
      <c r="DY31">
        <v>41.7</v>
      </c>
      <c r="EA31" s="117"/>
      <c r="EB31">
        <v>6</v>
      </c>
      <c r="EC31">
        <v>6</v>
      </c>
      <c r="EE31" t="s">
        <v>279</v>
      </c>
      <c r="EF31">
        <v>6</v>
      </c>
      <c r="EV31">
        <v>2000</v>
      </c>
      <c r="EW31">
        <v>327</v>
      </c>
      <c r="EX31">
        <v>238</v>
      </c>
      <c r="EY31">
        <v>287</v>
      </c>
    </row>
    <row r="32" spans="1:155" x14ac:dyDescent="0.35">
      <c r="A32">
        <v>2026</v>
      </c>
      <c r="B32" t="s">
        <v>192</v>
      </c>
      <c r="C32" s="112" t="s">
        <v>272</v>
      </c>
      <c r="D32" t="s">
        <v>280</v>
      </c>
      <c r="E32" t="s">
        <v>194</v>
      </c>
      <c r="F32">
        <v>59</v>
      </c>
      <c r="G32" s="113">
        <v>2</v>
      </c>
      <c r="H32">
        <v>4</v>
      </c>
      <c r="I32" t="s">
        <v>274</v>
      </c>
      <c r="J32">
        <v>26</v>
      </c>
      <c r="K32">
        <v>36</v>
      </c>
      <c r="L32">
        <v>30</v>
      </c>
      <c r="M32">
        <v>34.426699999999997</v>
      </c>
      <c r="N32">
        <v>52.200200000000002</v>
      </c>
      <c r="O32">
        <v>40.655900000000003</v>
      </c>
      <c r="P32">
        <v>26.462900000000001</v>
      </c>
      <c r="Q32">
        <v>35.727400000000003</v>
      </c>
      <c r="R32">
        <v>29.9588</v>
      </c>
      <c r="T32" t="s">
        <v>168</v>
      </c>
      <c r="U32" t="s">
        <v>169</v>
      </c>
      <c r="V32" t="s">
        <v>275</v>
      </c>
      <c r="W32" t="s">
        <v>276</v>
      </c>
      <c r="Y32">
        <v>7</v>
      </c>
      <c r="Z32" t="s">
        <v>173</v>
      </c>
      <c r="AA32" t="s">
        <v>173</v>
      </c>
      <c r="AB32" t="s">
        <v>277</v>
      </c>
      <c r="AC32" t="s">
        <v>278</v>
      </c>
      <c r="AD32">
        <v>10</v>
      </c>
      <c r="AG32" t="s">
        <v>176</v>
      </c>
      <c r="AH32" t="s">
        <v>177</v>
      </c>
      <c r="AI32" t="s">
        <v>178</v>
      </c>
      <c r="AJ32" t="s">
        <v>179</v>
      </c>
      <c r="AK32" t="s">
        <v>173</v>
      </c>
      <c r="AL32" t="s">
        <v>180</v>
      </c>
      <c r="AM32">
        <v>77</v>
      </c>
      <c r="AN32">
        <v>5</v>
      </c>
      <c r="AS32">
        <v>2100</v>
      </c>
      <c r="AT32">
        <v>2100</v>
      </c>
      <c r="BN32" s="114" t="s">
        <v>247</v>
      </c>
      <c r="BO32">
        <v>2</v>
      </c>
      <c r="BP32">
        <v>2</v>
      </c>
      <c r="BQ32">
        <v>2</v>
      </c>
      <c r="BR32" t="s">
        <v>248</v>
      </c>
      <c r="BS32" t="s">
        <v>182</v>
      </c>
      <c r="BT32" t="s">
        <v>183</v>
      </c>
      <c r="BU32" s="115">
        <v>45870</v>
      </c>
      <c r="BV32">
        <v>36952</v>
      </c>
      <c r="BW32" s="116"/>
      <c r="BX32" t="s">
        <v>172</v>
      </c>
      <c r="BY32" t="s">
        <v>173</v>
      </c>
      <c r="CB32" t="s">
        <v>173</v>
      </c>
      <c r="CC32" t="s">
        <v>173</v>
      </c>
      <c r="CE32" t="s">
        <v>173</v>
      </c>
      <c r="CG32" t="s">
        <v>172</v>
      </c>
      <c r="CH32" t="s">
        <v>199</v>
      </c>
      <c r="CI32" t="s">
        <v>172</v>
      </c>
      <c r="CJ32" t="s">
        <v>200</v>
      </c>
      <c r="DJ32" t="s">
        <v>250</v>
      </c>
      <c r="DK32" t="s">
        <v>251</v>
      </c>
      <c r="DN32" t="s">
        <v>173</v>
      </c>
      <c r="DO32" t="s">
        <v>203</v>
      </c>
      <c r="DP32" t="s">
        <v>172</v>
      </c>
      <c r="DQ32" t="s">
        <v>204</v>
      </c>
      <c r="DY32">
        <v>40.9</v>
      </c>
      <c r="EA32" s="117"/>
      <c r="EB32">
        <v>6</v>
      </c>
      <c r="EC32">
        <v>6</v>
      </c>
      <c r="EE32" t="s">
        <v>279</v>
      </c>
      <c r="EF32">
        <v>6</v>
      </c>
      <c r="EV32">
        <v>2000</v>
      </c>
      <c r="EW32">
        <v>330</v>
      </c>
      <c r="EX32">
        <v>245</v>
      </c>
      <c r="EY32">
        <v>292</v>
      </c>
    </row>
    <row r="33" spans="1:155" x14ac:dyDescent="0.35">
      <c r="A33">
        <v>2026</v>
      </c>
      <c r="B33" t="s">
        <v>192</v>
      </c>
      <c r="C33" s="112" t="s">
        <v>272</v>
      </c>
      <c r="D33" t="s">
        <v>281</v>
      </c>
      <c r="E33" t="s">
        <v>194</v>
      </c>
      <c r="F33">
        <v>82</v>
      </c>
      <c r="G33" s="113">
        <v>2</v>
      </c>
      <c r="H33">
        <v>4</v>
      </c>
      <c r="I33" t="s">
        <v>274</v>
      </c>
      <c r="J33">
        <v>26</v>
      </c>
      <c r="K33">
        <v>35</v>
      </c>
      <c r="L33">
        <v>30</v>
      </c>
      <c r="M33">
        <v>33.960599999999999</v>
      </c>
      <c r="N33">
        <v>51.7166</v>
      </c>
      <c r="O33">
        <v>40.166200000000003</v>
      </c>
      <c r="P33">
        <v>26.143000000000001</v>
      </c>
      <c r="Q33">
        <v>35.433799999999998</v>
      </c>
      <c r="R33">
        <v>29.6403</v>
      </c>
      <c r="T33" t="s">
        <v>168</v>
      </c>
      <c r="U33" t="s">
        <v>169</v>
      </c>
      <c r="V33" t="s">
        <v>275</v>
      </c>
      <c r="W33" t="s">
        <v>276</v>
      </c>
      <c r="Y33">
        <v>7</v>
      </c>
      <c r="Z33" t="s">
        <v>173</v>
      </c>
      <c r="AA33" t="s">
        <v>173</v>
      </c>
      <c r="AB33" t="s">
        <v>277</v>
      </c>
      <c r="AC33" t="s">
        <v>278</v>
      </c>
      <c r="AD33">
        <v>10</v>
      </c>
      <c r="AG33" t="s">
        <v>176</v>
      </c>
      <c r="AH33" t="s">
        <v>177</v>
      </c>
      <c r="AI33" t="s">
        <v>178</v>
      </c>
      <c r="AJ33" t="s">
        <v>179</v>
      </c>
      <c r="AK33" t="s">
        <v>173</v>
      </c>
      <c r="AL33" t="s">
        <v>180</v>
      </c>
      <c r="AM33">
        <v>77</v>
      </c>
      <c r="AN33">
        <v>5</v>
      </c>
      <c r="AS33">
        <v>2100</v>
      </c>
      <c r="AT33">
        <v>2100</v>
      </c>
      <c r="BN33" s="114" t="s">
        <v>247</v>
      </c>
      <c r="BO33">
        <v>2</v>
      </c>
      <c r="BP33">
        <v>2</v>
      </c>
      <c r="BQ33">
        <v>2</v>
      </c>
      <c r="BR33" t="s">
        <v>248</v>
      </c>
      <c r="BS33" t="s">
        <v>182</v>
      </c>
      <c r="BT33" t="s">
        <v>183</v>
      </c>
      <c r="BU33" s="115">
        <v>45870</v>
      </c>
      <c r="BV33">
        <v>37044</v>
      </c>
      <c r="BW33" s="116"/>
      <c r="BX33" t="s">
        <v>172</v>
      </c>
      <c r="BY33" t="s">
        <v>173</v>
      </c>
      <c r="CB33" t="s">
        <v>173</v>
      </c>
      <c r="CC33" t="s">
        <v>173</v>
      </c>
      <c r="CE33" t="s">
        <v>173</v>
      </c>
      <c r="CG33" t="s">
        <v>172</v>
      </c>
      <c r="CH33" t="s">
        <v>282</v>
      </c>
      <c r="CI33" t="s">
        <v>172</v>
      </c>
      <c r="CJ33" t="s">
        <v>283</v>
      </c>
      <c r="DJ33" t="s">
        <v>250</v>
      </c>
      <c r="DK33" t="s">
        <v>251</v>
      </c>
      <c r="DL33" t="s">
        <v>173</v>
      </c>
      <c r="DM33" t="s">
        <v>173</v>
      </c>
      <c r="DN33" t="s">
        <v>173</v>
      </c>
      <c r="DO33" t="s">
        <v>284</v>
      </c>
      <c r="DP33" t="s">
        <v>172</v>
      </c>
      <c r="DQ33" t="s">
        <v>204</v>
      </c>
      <c r="DY33">
        <v>40.4</v>
      </c>
      <c r="EA33" s="117"/>
      <c r="EB33">
        <v>6</v>
      </c>
      <c r="EC33">
        <v>6</v>
      </c>
      <c r="EE33" t="s">
        <v>285</v>
      </c>
      <c r="EF33">
        <v>7</v>
      </c>
      <c r="EV33">
        <v>2000</v>
      </c>
      <c r="EW33">
        <v>335</v>
      </c>
      <c r="EX33">
        <v>247</v>
      </c>
      <c r="EY33">
        <v>296</v>
      </c>
    </row>
    <row r="34" spans="1:155" x14ac:dyDescent="0.35">
      <c r="A34">
        <v>2026</v>
      </c>
      <c r="B34" t="s">
        <v>286</v>
      </c>
      <c r="C34" s="112" t="s">
        <v>286</v>
      </c>
      <c r="D34" t="s">
        <v>287</v>
      </c>
      <c r="E34" t="s">
        <v>288</v>
      </c>
      <c r="F34">
        <v>102</v>
      </c>
      <c r="G34" s="113">
        <v>3</v>
      </c>
      <c r="H34">
        <v>6</v>
      </c>
      <c r="I34" t="s">
        <v>289</v>
      </c>
      <c r="J34">
        <v>18</v>
      </c>
      <c r="K34">
        <v>25</v>
      </c>
      <c r="L34">
        <v>21</v>
      </c>
      <c r="M34">
        <v>22.8</v>
      </c>
      <c r="N34">
        <v>35.9</v>
      </c>
      <c r="O34">
        <v>27.279499999999999</v>
      </c>
      <c r="P34">
        <v>18.190899999999999</v>
      </c>
      <c r="Q34">
        <v>25.478000000000002</v>
      </c>
      <c r="R34">
        <v>20.878</v>
      </c>
      <c r="T34" t="s">
        <v>168</v>
      </c>
      <c r="U34" t="s">
        <v>169</v>
      </c>
      <c r="V34" t="s">
        <v>275</v>
      </c>
      <c r="W34" t="s">
        <v>276</v>
      </c>
      <c r="Y34">
        <v>8</v>
      </c>
      <c r="Z34" t="s">
        <v>173</v>
      </c>
      <c r="AA34" t="s">
        <v>173</v>
      </c>
      <c r="AB34" t="s">
        <v>174</v>
      </c>
      <c r="AC34" t="s">
        <v>175</v>
      </c>
      <c r="AD34">
        <v>10</v>
      </c>
      <c r="AG34" t="s">
        <v>216</v>
      </c>
      <c r="AH34" t="s">
        <v>217</v>
      </c>
      <c r="AI34" t="s">
        <v>178</v>
      </c>
      <c r="AJ34" t="s">
        <v>179</v>
      </c>
      <c r="AK34" t="s">
        <v>173</v>
      </c>
      <c r="AL34" t="s">
        <v>180</v>
      </c>
      <c r="AM34">
        <v>70</v>
      </c>
      <c r="AN34">
        <v>5</v>
      </c>
      <c r="AS34">
        <v>2950</v>
      </c>
      <c r="AT34">
        <v>2950</v>
      </c>
      <c r="BN34" s="114" t="s">
        <v>198</v>
      </c>
      <c r="BO34">
        <v>2</v>
      </c>
      <c r="BP34">
        <v>2</v>
      </c>
      <c r="BQ34">
        <v>2</v>
      </c>
      <c r="BR34" t="s">
        <v>248</v>
      </c>
      <c r="BS34" t="s">
        <v>182</v>
      </c>
      <c r="BT34" t="s">
        <v>183</v>
      </c>
      <c r="BU34" s="115">
        <v>45887</v>
      </c>
      <c r="BV34">
        <v>37333</v>
      </c>
      <c r="BW34" s="116"/>
      <c r="BY34" t="s">
        <v>173</v>
      </c>
      <c r="CB34" t="s">
        <v>173</v>
      </c>
      <c r="CC34" t="s">
        <v>173</v>
      </c>
      <c r="CD34" t="s">
        <v>290</v>
      </c>
      <c r="CE34" t="s">
        <v>173</v>
      </c>
      <c r="CG34" t="s">
        <v>172</v>
      </c>
      <c r="CH34" t="s">
        <v>291</v>
      </c>
      <c r="CI34" t="s">
        <v>172</v>
      </c>
      <c r="CJ34" t="s">
        <v>291</v>
      </c>
      <c r="DJ34" t="s">
        <v>201</v>
      </c>
      <c r="DK34" t="s">
        <v>202</v>
      </c>
      <c r="DN34" t="s">
        <v>173</v>
      </c>
      <c r="DO34" t="s">
        <v>188</v>
      </c>
      <c r="DP34" t="s">
        <v>172</v>
      </c>
      <c r="DQ34" t="s">
        <v>204</v>
      </c>
      <c r="DY34">
        <v>27.5</v>
      </c>
      <c r="EA34" s="117"/>
      <c r="EB34">
        <v>4</v>
      </c>
      <c r="EC34">
        <v>4</v>
      </c>
      <c r="EE34" t="s">
        <v>292</v>
      </c>
      <c r="EF34">
        <v>4</v>
      </c>
      <c r="EV34">
        <v>6250</v>
      </c>
      <c r="EW34">
        <v>486</v>
      </c>
      <c r="EX34">
        <v>348</v>
      </c>
      <c r="EY34">
        <v>424</v>
      </c>
    </row>
    <row r="35" spans="1:155" x14ac:dyDescent="0.35">
      <c r="A35">
        <v>2026</v>
      </c>
      <c r="B35" t="s">
        <v>286</v>
      </c>
      <c r="C35" s="112" t="s">
        <v>286</v>
      </c>
      <c r="D35" t="s">
        <v>1150</v>
      </c>
      <c r="E35" t="s">
        <v>288</v>
      </c>
      <c r="F35">
        <v>134</v>
      </c>
      <c r="G35" s="113">
        <v>3.6</v>
      </c>
      <c r="H35">
        <v>6</v>
      </c>
      <c r="I35" t="s">
        <v>289</v>
      </c>
      <c r="J35">
        <v>17</v>
      </c>
      <c r="K35">
        <v>23</v>
      </c>
      <c r="L35">
        <v>19</v>
      </c>
      <c r="M35">
        <v>21.9</v>
      </c>
      <c r="N35">
        <v>32.9</v>
      </c>
      <c r="O35">
        <v>25.778500000000001</v>
      </c>
      <c r="P35">
        <v>17</v>
      </c>
      <c r="Q35">
        <v>23</v>
      </c>
      <c r="R35">
        <v>19</v>
      </c>
      <c r="T35" t="s">
        <v>168</v>
      </c>
      <c r="U35" t="s">
        <v>169</v>
      </c>
      <c r="V35" t="s">
        <v>275</v>
      </c>
      <c r="W35" t="s">
        <v>276</v>
      </c>
      <c r="Y35">
        <v>8</v>
      </c>
      <c r="Z35" t="s">
        <v>173</v>
      </c>
      <c r="AA35" t="s">
        <v>173</v>
      </c>
      <c r="AB35" t="s">
        <v>170</v>
      </c>
      <c r="AC35" t="s">
        <v>232</v>
      </c>
      <c r="AD35">
        <v>10</v>
      </c>
      <c r="AG35" t="s">
        <v>216</v>
      </c>
      <c r="AH35" t="s">
        <v>217</v>
      </c>
      <c r="AI35" t="s">
        <v>178</v>
      </c>
      <c r="AJ35" t="s">
        <v>179</v>
      </c>
      <c r="AK35" t="s">
        <v>173</v>
      </c>
      <c r="AL35" t="s">
        <v>180</v>
      </c>
      <c r="AM35">
        <v>70</v>
      </c>
      <c r="AN35">
        <v>5</v>
      </c>
      <c r="AS35">
        <v>3300</v>
      </c>
      <c r="AT35">
        <v>3300</v>
      </c>
      <c r="BN35" s="114" t="s">
        <v>198</v>
      </c>
      <c r="BO35">
        <v>2</v>
      </c>
      <c r="BP35">
        <v>2</v>
      </c>
      <c r="BQ35">
        <v>2</v>
      </c>
      <c r="BR35" t="s">
        <v>248</v>
      </c>
      <c r="BS35" t="s">
        <v>182</v>
      </c>
      <c r="BT35" t="s">
        <v>183</v>
      </c>
      <c r="BU35" s="115">
        <v>45897</v>
      </c>
      <c r="BV35">
        <v>37436</v>
      </c>
      <c r="BW35" s="116"/>
      <c r="BY35" t="s">
        <v>173</v>
      </c>
      <c r="CB35" t="s">
        <v>173</v>
      </c>
      <c r="CC35" t="s">
        <v>173</v>
      </c>
      <c r="CE35" t="s">
        <v>173</v>
      </c>
      <c r="CG35" t="s">
        <v>172</v>
      </c>
      <c r="CH35" t="s">
        <v>1006</v>
      </c>
      <c r="CI35" t="s">
        <v>173</v>
      </c>
      <c r="DJ35" t="s">
        <v>201</v>
      </c>
      <c r="DK35" t="s">
        <v>202</v>
      </c>
      <c r="DN35" t="s">
        <v>173</v>
      </c>
      <c r="DO35" t="s">
        <v>188</v>
      </c>
      <c r="DP35" t="s">
        <v>172</v>
      </c>
      <c r="DQ35" t="s">
        <v>204</v>
      </c>
      <c r="DY35">
        <v>26</v>
      </c>
      <c r="EA35" s="117"/>
      <c r="EB35">
        <v>4</v>
      </c>
      <c r="EC35">
        <v>4</v>
      </c>
      <c r="EE35" t="s">
        <v>1151</v>
      </c>
      <c r="EF35">
        <v>5</v>
      </c>
      <c r="EV35">
        <v>8000</v>
      </c>
      <c r="EW35">
        <v>523</v>
      </c>
      <c r="EX35">
        <v>387</v>
      </c>
      <c r="EY35">
        <v>468</v>
      </c>
    </row>
    <row r="36" spans="1:155" x14ac:dyDescent="0.35">
      <c r="A36">
        <v>2026</v>
      </c>
      <c r="B36" t="s">
        <v>286</v>
      </c>
      <c r="C36" s="112" t="s">
        <v>286</v>
      </c>
      <c r="D36" t="s">
        <v>1152</v>
      </c>
      <c r="E36" t="s">
        <v>288</v>
      </c>
      <c r="F36">
        <v>136</v>
      </c>
      <c r="G36" s="113">
        <v>3.6</v>
      </c>
      <c r="H36">
        <v>6</v>
      </c>
      <c r="I36" t="s">
        <v>289</v>
      </c>
      <c r="J36">
        <v>17</v>
      </c>
      <c r="K36">
        <v>23</v>
      </c>
      <c r="L36">
        <v>19</v>
      </c>
      <c r="M36">
        <v>21.4</v>
      </c>
      <c r="N36">
        <v>32.9</v>
      </c>
      <c r="O36">
        <v>25.394400000000001</v>
      </c>
      <c r="P36">
        <v>17.1523</v>
      </c>
      <c r="Q36">
        <v>23</v>
      </c>
      <c r="R36">
        <v>19</v>
      </c>
      <c r="T36" t="s">
        <v>168</v>
      </c>
      <c r="U36" t="s">
        <v>169</v>
      </c>
      <c r="V36" t="s">
        <v>275</v>
      </c>
      <c r="W36" t="s">
        <v>276</v>
      </c>
      <c r="Y36">
        <v>8</v>
      </c>
      <c r="Z36" t="s">
        <v>173</v>
      </c>
      <c r="AA36" t="s">
        <v>173</v>
      </c>
      <c r="AB36" t="s">
        <v>170</v>
      </c>
      <c r="AC36" t="s">
        <v>232</v>
      </c>
      <c r="AD36">
        <v>10</v>
      </c>
      <c r="AG36" t="s">
        <v>216</v>
      </c>
      <c r="AH36" t="s">
        <v>217</v>
      </c>
      <c r="AI36" t="s">
        <v>178</v>
      </c>
      <c r="AJ36" t="s">
        <v>179</v>
      </c>
      <c r="AK36" t="s">
        <v>173</v>
      </c>
      <c r="AL36" t="s">
        <v>180</v>
      </c>
      <c r="AM36">
        <v>68</v>
      </c>
      <c r="AN36">
        <v>5</v>
      </c>
      <c r="AS36">
        <v>3300</v>
      </c>
      <c r="AT36">
        <v>3300</v>
      </c>
      <c r="BN36" s="114" t="s">
        <v>198</v>
      </c>
      <c r="BO36">
        <v>2</v>
      </c>
      <c r="BP36">
        <v>2</v>
      </c>
      <c r="BQ36">
        <v>2</v>
      </c>
      <c r="BR36" t="s">
        <v>248</v>
      </c>
      <c r="BS36" t="s">
        <v>182</v>
      </c>
      <c r="BT36" t="s">
        <v>183</v>
      </c>
      <c r="BU36" s="115">
        <v>45897</v>
      </c>
      <c r="BV36">
        <v>37434</v>
      </c>
      <c r="BW36" s="116"/>
      <c r="BY36" t="s">
        <v>173</v>
      </c>
      <c r="CB36" t="s">
        <v>173</v>
      </c>
      <c r="CC36" t="s">
        <v>173</v>
      </c>
      <c r="CE36" t="s">
        <v>173</v>
      </c>
      <c r="CG36" t="s">
        <v>172</v>
      </c>
      <c r="CH36" t="s">
        <v>1006</v>
      </c>
      <c r="CI36" t="s">
        <v>173</v>
      </c>
      <c r="DJ36" t="s">
        <v>201</v>
      </c>
      <c r="DK36" t="s">
        <v>202</v>
      </c>
      <c r="DN36" t="s">
        <v>173</v>
      </c>
      <c r="DO36" t="s">
        <v>188</v>
      </c>
      <c r="DP36" t="s">
        <v>172</v>
      </c>
      <c r="DQ36" t="s">
        <v>204</v>
      </c>
      <c r="DY36">
        <v>25.6</v>
      </c>
      <c r="EA36" s="117"/>
      <c r="EB36">
        <v>4</v>
      </c>
      <c r="EC36">
        <v>4</v>
      </c>
      <c r="EE36" t="s">
        <v>1151</v>
      </c>
      <c r="EF36">
        <v>5</v>
      </c>
      <c r="EV36">
        <v>8000</v>
      </c>
      <c r="EW36">
        <v>520</v>
      </c>
      <c r="EX36">
        <v>388</v>
      </c>
      <c r="EY36">
        <v>469</v>
      </c>
    </row>
    <row r="37" spans="1:155" x14ac:dyDescent="0.35">
      <c r="A37">
        <v>2026</v>
      </c>
      <c r="B37" t="s">
        <v>286</v>
      </c>
      <c r="C37" s="112" t="s">
        <v>286</v>
      </c>
      <c r="D37" t="s">
        <v>293</v>
      </c>
      <c r="E37" t="s">
        <v>288</v>
      </c>
      <c r="F37">
        <v>104</v>
      </c>
      <c r="G37" s="113">
        <v>3</v>
      </c>
      <c r="H37">
        <v>6</v>
      </c>
      <c r="I37" t="s">
        <v>289</v>
      </c>
      <c r="J37">
        <v>18</v>
      </c>
      <c r="K37">
        <v>25</v>
      </c>
      <c r="L37">
        <v>21</v>
      </c>
      <c r="M37">
        <v>22.7</v>
      </c>
      <c r="N37">
        <v>36.200000000000003</v>
      </c>
      <c r="O37">
        <v>27.277699999999999</v>
      </c>
      <c r="P37">
        <v>18.117000000000001</v>
      </c>
      <c r="Q37">
        <v>25</v>
      </c>
      <c r="R37">
        <v>20.882899999999999</v>
      </c>
      <c r="T37" t="s">
        <v>168</v>
      </c>
      <c r="U37" t="s">
        <v>169</v>
      </c>
      <c r="V37" t="s">
        <v>275</v>
      </c>
      <c r="W37" t="s">
        <v>276</v>
      </c>
      <c r="Y37">
        <v>8</v>
      </c>
      <c r="Z37" t="s">
        <v>173</v>
      </c>
      <c r="AA37" t="s">
        <v>173</v>
      </c>
      <c r="AB37" t="s">
        <v>174</v>
      </c>
      <c r="AC37" t="s">
        <v>175</v>
      </c>
      <c r="AD37">
        <v>10</v>
      </c>
      <c r="AG37" t="s">
        <v>216</v>
      </c>
      <c r="AH37" t="s">
        <v>217</v>
      </c>
      <c r="AI37" t="s">
        <v>178</v>
      </c>
      <c r="AJ37" t="s">
        <v>179</v>
      </c>
      <c r="AK37" t="s">
        <v>173</v>
      </c>
      <c r="AL37" t="s">
        <v>180</v>
      </c>
      <c r="AM37">
        <v>68</v>
      </c>
      <c r="AN37">
        <v>5</v>
      </c>
      <c r="AS37">
        <v>2950</v>
      </c>
      <c r="AT37">
        <v>2950</v>
      </c>
      <c r="BN37" s="114" t="s">
        <v>198</v>
      </c>
      <c r="BO37">
        <v>2</v>
      </c>
      <c r="BP37">
        <v>2</v>
      </c>
      <c r="BQ37">
        <v>2</v>
      </c>
      <c r="BR37" t="s">
        <v>248</v>
      </c>
      <c r="BS37" t="s">
        <v>182</v>
      </c>
      <c r="BT37" t="s">
        <v>183</v>
      </c>
      <c r="BU37" s="115">
        <v>45884</v>
      </c>
      <c r="BV37">
        <v>37334</v>
      </c>
      <c r="BW37" s="116"/>
      <c r="BY37" t="s">
        <v>173</v>
      </c>
      <c r="CB37" t="s">
        <v>173</v>
      </c>
      <c r="CC37" t="s">
        <v>173</v>
      </c>
      <c r="CD37" t="s">
        <v>290</v>
      </c>
      <c r="CE37" t="s">
        <v>173</v>
      </c>
      <c r="CG37" t="s">
        <v>172</v>
      </c>
      <c r="CH37" t="s">
        <v>291</v>
      </c>
      <c r="CI37" t="s">
        <v>172</v>
      </c>
      <c r="CJ37" t="s">
        <v>291</v>
      </c>
      <c r="DJ37" t="s">
        <v>201</v>
      </c>
      <c r="DK37" t="s">
        <v>202</v>
      </c>
      <c r="DN37" t="s">
        <v>173</v>
      </c>
      <c r="DO37" t="s">
        <v>188</v>
      </c>
      <c r="DP37" t="s">
        <v>172</v>
      </c>
      <c r="DQ37" t="s">
        <v>204</v>
      </c>
      <c r="DY37">
        <v>27.5</v>
      </c>
      <c r="EA37" s="117"/>
      <c r="EB37">
        <v>4</v>
      </c>
      <c r="EC37">
        <v>4</v>
      </c>
      <c r="EE37" t="s">
        <v>292</v>
      </c>
      <c r="EF37">
        <v>4</v>
      </c>
      <c r="EV37">
        <v>6250</v>
      </c>
      <c r="EW37">
        <v>489</v>
      </c>
      <c r="EX37">
        <v>354</v>
      </c>
      <c r="EY37">
        <v>429</v>
      </c>
    </row>
    <row r="38" spans="1:155" x14ac:dyDescent="0.35">
      <c r="A38">
        <v>2026</v>
      </c>
      <c r="B38" t="s">
        <v>286</v>
      </c>
      <c r="C38" s="112" t="s">
        <v>286</v>
      </c>
      <c r="D38" t="s">
        <v>1153</v>
      </c>
      <c r="E38" t="s">
        <v>288</v>
      </c>
      <c r="F38">
        <v>130</v>
      </c>
      <c r="G38" s="113">
        <v>3.6</v>
      </c>
      <c r="H38">
        <v>6</v>
      </c>
      <c r="I38" t="s">
        <v>289</v>
      </c>
      <c r="J38">
        <v>17</v>
      </c>
      <c r="K38">
        <v>24</v>
      </c>
      <c r="L38">
        <v>20</v>
      </c>
      <c r="M38">
        <v>22.3</v>
      </c>
      <c r="N38">
        <v>33.9</v>
      </c>
      <c r="O38">
        <v>26.358799999999999</v>
      </c>
      <c r="P38">
        <v>17</v>
      </c>
      <c r="Q38">
        <v>24.168099999999999</v>
      </c>
      <c r="R38">
        <v>20.209299999999999</v>
      </c>
      <c r="T38" t="s">
        <v>168</v>
      </c>
      <c r="U38" t="s">
        <v>169</v>
      </c>
      <c r="V38" t="s">
        <v>275</v>
      </c>
      <c r="W38" t="s">
        <v>276</v>
      </c>
      <c r="Y38">
        <v>8</v>
      </c>
      <c r="Z38" t="s">
        <v>173</v>
      </c>
      <c r="AA38" t="s">
        <v>173</v>
      </c>
      <c r="AB38" t="s">
        <v>174</v>
      </c>
      <c r="AC38" t="s">
        <v>175</v>
      </c>
      <c r="AD38">
        <v>10</v>
      </c>
      <c r="AG38" t="s">
        <v>216</v>
      </c>
      <c r="AH38" t="s">
        <v>217</v>
      </c>
      <c r="AI38" t="s">
        <v>178</v>
      </c>
      <c r="AJ38" t="s">
        <v>179</v>
      </c>
      <c r="AK38" t="s">
        <v>173</v>
      </c>
      <c r="AL38" t="s">
        <v>180</v>
      </c>
      <c r="AM38">
        <v>70</v>
      </c>
      <c r="AN38">
        <v>5</v>
      </c>
      <c r="AS38">
        <v>3100</v>
      </c>
      <c r="AT38">
        <v>3100</v>
      </c>
      <c r="BN38" s="114" t="s">
        <v>198</v>
      </c>
      <c r="BO38">
        <v>2</v>
      </c>
      <c r="BP38">
        <v>2</v>
      </c>
      <c r="BQ38">
        <v>2</v>
      </c>
      <c r="BR38" t="s">
        <v>248</v>
      </c>
      <c r="BS38" t="s">
        <v>182</v>
      </c>
      <c r="BT38" t="s">
        <v>183</v>
      </c>
      <c r="BU38" s="115">
        <v>45897</v>
      </c>
      <c r="BV38">
        <v>37432</v>
      </c>
      <c r="BW38" s="116"/>
      <c r="BY38" t="s">
        <v>173</v>
      </c>
      <c r="CB38" t="s">
        <v>173</v>
      </c>
      <c r="CC38" t="s">
        <v>173</v>
      </c>
      <c r="CE38" t="s">
        <v>173</v>
      </c>
      <c r="CG38" t="s">
        <v>172</v>
      </c>
      <c r="CH38" t="s">
        <v>1006</v>
      </c>
      <c r="CI38" t="s">
        <v>173</v>
      </c>
      <c r="DJ38" t="s">
        <v>201</v>
      </c>
      <c r="DK38" t="s">
        <v>202</v>
      </c>
      <c r="DN38" t="s">
        <v>173</v>
      </c>
      <c r="DO38" t="s">
        <v>188</v>
      </c>
      <c r="DP38" t="s">
        <v>172</v>
      </c>
      <c r="DQ38" t="s">
        <v>204</v>
      </c>
      <c r="DY38">
        <v>26.6</v>
      </c>
      <c r="EA38" s="117"/>
      <c r="EB38">
        <v>4</v>
      </c>
      <c r="EC38">
        <v>4</v>
      </c>
      <c r="EE38" t="s">
        <v>1151</v>
      </c>
      <c r="EF38">
        <v>5</v>
      </c>
      <c r="EV38">
        <v>7000</v>
      </c>
      <c r="EW38">
        <v>522</v>
      </c>
      <c r="EX38">
        <v>367</v>
      </c>
      <c r="EY38">
        <v>453</v>
      </c>
    </row>
    <row r="39" spans="1:155" x14ac:dyDescent="0.35">
      <c r="A39">
        <v>2026</v>
      </c>
      <c r="B39" t="s">
        <v>286</v>
      </c>
      <c r="C39" s="112" t="s">
        <v>286</v>
      </c>
      <c r="D39" t="s">
        <v>1154</v>
      </c>
      <c r="E39" t="s">
        <v>288</v>
      </c>
      <c r="F39">
        <v>132</v>
      </c>
      <c r="G39" s="113">
        <v>3.6</v>
      </c>
      <c r="H39">
        <v>6</v>
      </c>
      <c r="I39" t="s">
        <v>289</v>
      </c>
      <c r="J39">
        <v>17</v>
      </c>
      <c r="K39">
        <v>23</v>
      </c>
      <c r="L39">
        <v>19</v>
      </c>
      <c r="M39">
        <v>22</v>
      </c>
      <c r="N39">
        <v>33.5</v>
      </c>
      <c r="O39">
        <v>26.019400000000001</v>
      </c>
      <c r="P39">
        <v>17</v>
      </c>
      <c r="Q39">
        <v>23</v>
      </c>
      <c r="R39">
        <v>19</v>
      </c>
      <c r="T39" t="s">
        <v>168</v>
      </c>
      <c r="U39" t="s">
        <v>169</v>
      </c>
      <c r="V39" t="s">
        <v>275</v>
      </c>
      <c r="W39" t="s">
        <v>276</v>
      </c>
      <c r="Y39">
        <v>8</v>
      </c>
      <c r="Z39" t="s">
        <v>173</v>
      </c>
      <c r="AA39" t="s">
        <v>173</v>
      </c>
      <c r="AB39" t="s">
        <v>174</v>
      </c>
      <c r="AC39" t="s">
        <v>175</v>
      </c>
      <c r="AD39">
        <v>10</v>
      </c>
      <c r="AG39" t="s">
        <v>216</v>
      </c>
      <c r="AH39" t="s">
        <v>217</v>
      </c>
      <c r="AI39" t="s">
        <v>178</v>
      </c>
      <c r="AJ39" t="s">
        <v>179</v>
      </c>
      <c r="AK39" t="s">
        <v>173</v>
      </c>
      <c r="AL39" t="s">
        <v>180</v>
      </c>
      <c r="AM39">
        <v>68</v>
      </c>
      <c r="AN39">
        <v>5</v>
      </c>
      <c r="AS39">
        <v>3300</v>
      </c>
      <c r="AT39">
        <v>3300</v>
      </c>
      <c r="BN39" s="114" t="s">
        <v>198</v>
      </c>
      <c r="BO39">
        <v>2</v>
      </c>
      <c r="BP39">
        <v>2</v>
      </c>
      <c r="BQ39">
        <v>2</v>
      </c>
      <c r="BR39" t="s">
        <v>248</v>
      </c>
      <c r="BS39" t="s">
        <v>182</v>
      </c>
      <c r="BT39" t="s">
        <v>183</v>
      </c>
      <c r="BU39" s="115">
        <v>45897</v>
      </c>
      <c r="BV39">
        <v>37433</v>
      </c>
      <c r="BW39" s="116"/>
      <c r="BY39" t="s">
        <v>173</v>
      </c>
      <c r="CB39" t="s">
        <v>173</v>
      </c>
      <c r="CC39" t="s">
        <v>173</v>
      </c>
      <c r="CE39" t="s">
        <v>173</v>
      </c>
      <c r="CG39" t="s">
        <v>172</v>
      </c>
      <c r="CH39" t="s">
        <v>1006</v>
      </c>
      <c r="CI39" t="s">
        <v>173</v>
      </c>
      <c r="DJ39" t="s">
        <v>201</v>
      </c>
      <c r="DK39" t="s">
        <v>202</v>
      </c>
      <c r="DN39" t="s">
        <v>173</v>
      </c>
      <c r="DO39" t="s">
        <v>188</v>
      </c>
      <c r="DP39" t="s">
        <v>172</v>
      </c>
      <c r="DQ39" t="s">
        <v>204</v>
      </c>
      <c r="DY39">
        <v>26.2</v>
      </c>
      <c r="EA39" s="117"/>
      <c r="EB39">
        <v>4</v>
      </c>
      <c r="EC39">
        <v>4</v>
      </c>
      <c r="EE39" t="s">
        <v>1151</v>
      </c>
      <c r="EF39">
        <v>5</v>
      </c>
      <c r="EV39">
        <v>8000</v>
      </c>
      <c r="EW39">
        <v>522</v>
      </c>
      <c r="EX39">
        <v>386</v>
      </c>
      <c r="EY39">
        <v>467</v>
      </c>
    </row>
    <row r="40" spans="1:155" x14ac:dyDescent="0.35">
      <c r="A40">
        <v>2026</v>
      </c>
      <c r="B40" t="s">
        <v>286</v>
      </c>
      <c r="C40" s="112" t="s">
        <v>286</v>
      </c>
      <c r="D40" t="s">
        <v>294</v>
      </c>
      <c r="E40" t="s">
        <v>288</v>
      </c>
      <c r="F40">
        <v>106</v>
      </c>
      <c r="G40" s="113">
        <v>3</v>
      </c>
      <c r="H40">
        <v>6</v>
      </c>
      <c r="I40" t="s">
        <v>289</v>
      </c>
      <c r="J40">
        <v>17</v>
      </c>
      <c r="K40">
        <v>24</v>
      </c>
      <c r="L40">
        <v>20</v>
      </c>
      <c r="M40">
        <v>22.8</v>
      </c>
      <c r="N40">
        <v>34.700000000000003</v>
      </c>
      <c r="O40">
        <v>26.960599999999999</v>
      </c>
      <c r="P40">
        <v>17</v>
      </c>
      <c r="Q40">
        <v>24</v>
      </c>
      <c r="R40">
        <v>20</v>
      </c>
      <c r="T40" t="s">
        <v>168</v>
      </c>
      <c r="U40" t="s">
        <v>169</v>
      </c>
      <c r="V40" t="s">
        <v>275</v>
      </c>
      <c r="W40" t="s">
        <v>276</v>
      </c>
      <c r="Y40">
        <v>8</v>
      </c>
      <c r="Z40" t="s">
        <v>173</v>
      </c>
      <c r="AA40" t="s">
        <v>173</v>
      </c>
      <c r="AB40" t="s">
        <v>174</v>
      </c>
      <c r="AC40" t="s">
        <v>175</v>
      </c>
      <c r="AD40">
        <v>10</v>
      </c>
      <c r="AG40" t="s">
        <v>216</v>
      </c>
      <c r="AH40" t="s">
        <v>217</v>
      </c>
      <c r="AI40" t="s">
        <v>178</v>
      </c>
      <c r="AJ40" t="s">
        <v>179</v>
      </c>
      <c r="AK40" t="s">
        <v>173</v>
      </c>
      <c r="AL40" t="s">
        <v>180</v>
      </c>
      <c r="AM40">
        <v>70</v>
      </c>
      <c r="AN40">
        <v>5</v>
      </c>
      <c r="AS40">
        <v>3100</v>
      </c>
      <c r="AT40">
        <v>3100</v>
      </c>
      <c r="BN40" s="114" t="s">
        <v>198</v>
      </c>
      <c r="BO40">
        <v>2</v>
      </c>
      <c r="BP40">
        <v>2</v>
      </c>
      <c r="BQ40">
        <v>2</v>
      </c>
      <c r="BR40" t="s">
        <v>248</v>
      </c>
      <c r="BS40" t="s">
        <v>182</v>
      </c>
      <c r="BT40" t="s">
        <v>183</v>
      </c>
      <c r="BU40" s="115">
        <v>45884</v>
      </c>
      <c r="BV40">
        <v>37335</v>
      </c>
      <c r="BW40" s="116"/>
      <c r="BY40" t="s">
        <v>173</v>
      </c>
      <c r="CB40" t="s">
        <v>173</v>
      </c>
      <c r="CC40" t="s">
        <v>173</v>
      </c>
      <c r="CD40" t="s">
        <v>295</v>
      </c>
      <c r="CE40" t="s">
        <v>173</v>
      </c>
      <c r="CG40" t="s">
        <v>172</v>
      </c>
      <c r="CH40" t="s">
        <v>291</v>
      </c>
      <c r="CI40" t="s">
        <v>172</v>
      </c>
      <c r="CJ40" t="s">
        <v>291</v>
      </c>
      <c r="DJ40" t="s">
        <v>201</v>
      </c>
      <c r="DK40" t="s">
        <v>202</v>
      </c>
      <c r="DN40" t="s">
        <v>173</v>
      </c>
      <c r="DO40" t="s">
        <v>188</v>
      </c>
      <c r="DP40" t="s">
        <v>172</v>
      </c>
      <c r="DQ40" t="s">
        <v>204</v>
      </c>
      <c r="DY40">
        <v>27.2</v>
      </c>
      <c r="EA40" s="117"/>
      <c r="EB40">
        <v>4</v>
      </c>
      <c r="EC40">
        <v>4</v>
      </c>
      <c r="EE40" t="s">
        <v>292</v>
      </c>
      <c r="EF40">
        <v>4</v>
      </c>
      <c r="EV40">
        <v>7000</v>
      </c>
      <c r="EW40">
        <v>524</v>
      </c>
      <c r="EX40">
        <v>371</v>
      </c>
      <c r="EY40">
        <v>445</v>
      </c>
    </row>
    <row r="41" spans="1:155" x14ac:dyDescent="0.35">
      <c r="A41">
        <v>2026</v>
      </c>
      <c r="B41" t="s">
        <v>286</v>
      </c>
      <c r="C41" s="112" t="s">
        <v>286</v>
      </c>
      <c r="D41" t="s">
        <v>296</v>
      </c>
      <c r="E41" t="s">
        <v>288</v>
      </c>
      <c r="F41">
        <v>108</v>
      </c>
      <c r="G41" s="113">
        <v>3</v>
      </c>
      <c r="H41">
        <v>6</v>
      </c>
      <c r="I41" t="s">
        <v>289</v>
      </c>
      <c r="J41">
        <v>17</v>
      </c>
      <c r="K41">
        <v>24</v>
      </c>
      <c r="L41">
        <v>20</v>
      </c>
      <c r="M41">
        <v>22.3</v>
      </c>
      <c r="N41">
        <v>35.1</v>
      </c>
      <c r="O41">
        <v>26.677900000000001</v>
      </c>
      <c r="P41">
        <v>17</v>
      </c>
      <c r="Q41">
        <v>24</v>
      </c>
      <c r="R41">
        <v>20.452200000000001</v>
      </c>
      <c r="T41" t="s">
        <v>168</v>
      </c>
      <c r="U41" t="s">
        <v>169</v>
      </c>
      <c r="V41" t="s">
        <v>275</v>
      </c>
      <c r="W41" t="s">
        <v>276</v>
      </c>
      <c r="Y41">
        <v>8</v>
      </c>
      <c r="Z41" t="s">
        <v>173</v>
      </c>
      <c r="AA41" t="s">
        <v>173</v>
      </c>
      <c r="AB41" t="s">
        <v>174</v>
      </c>
      <c r="AC41" t="s">
        <v>175</v>
      </c>
      <c r="AD41">
        <v>10</v>
      </c>
      <c r="AG41" t="s">
        <v>216</v>
      </c>
      <c r="AH41" t="s">
        <v>217</v>
      </c>
      <c r="AI41" t="s">
        <v>178</v>
      </c>
      <c r="AJ41" t="s">
        <v>179</v>
      </c>
      <c r="AK41" t="s">
        <v>173</v>
      </c>
      <c r="AL41" t="s">
        <v>180</v>
      </c>
      <c r="AM41">
        <v>68</v>
      </c>
      <c r="AN41">
        <v>5</v>
      </c>
      <c r="AS41">
        <v>3100</v>
      </c>
      <c r="AT41">
        <v>3100</v>
      </c>
      <c r="BN41" s="114" t="s">
        <v>198</v>
      </c>
      <c r="BO41">
        <v>2</v>
      </c>
      <c r="BP41">
        <v>2</v>
      </c>
      <c r="BQ41">
        <v>2</v>
      </c>
      <c r="BR41" t="s">
        <v>248</v>
      </c>
      <c r="BS41" t="s">
        <v>182</v>
      </c>
      <c r="BT41" t="s">
        <v>183</v>
      </c>
      <c r="BU41" s="115">
        <v>45884</v>
      </c>
      <c r="BV41">
        <v>37336</v>
      </c>
      <c r="BW41" s="116"/>
      <c r="BY41" t="s">
        <v>173</v>
      </c>
      <c r="CB41" t="s">
        <v>173</v>
      </c>
      <c r="CC41" t="s">
        <v>173</v>
      </c>
      <c r="CD41" t="s">
        <v>295</v>
      </c>
      <c r="CE41" t="s">
        <v>173</v>
      </c>
      <c r="CG41" t="s">
        <v>172</v>
      </c>
      <c r="CH41" t="s">
        <v>291</v>
      </c>
      <c r="CI41" t="s">
        <v>172</v>
      </c>
      <c r="CJ41" t="s">
        <v>291</v>
      </c>
      <c r="DJ41" t="s">
        <v>201</v>
      </c>
      <c r="DK41" t="s">
        <v>202</v>
      </c>
      <c r="DN41" t="s">
        <v>173</v>
      </c>
      <c r="DO41" t="s">
        <v>188</v>
      </c>
      <c r="DP41" t="s">
        <v>172</v>
      </c>
      <c r="DQ41" t="s">
        <v>204</v>
      </c>
      <c r="DY41">
        <v>26.9</v>
      </c>
      <c r="EA41" s="117"/>
      <c r="EB41">
        <v>4</v>
      </c>
      <c r="EC41">
        <v>4</v>
      </c>
      <c r="EE41" t="s">
        <v>292</v>
      </c>
      <c r="EF41">
        <v>4</v>
      </c>
      <c r="EV41">
        <v>7000</v>
      </c>
      <c r="EW41">
        <v>524</v>
      </c>
      <c r="EX41">
        <v>372</v>
      </c>
      <c r="EY41">
        <v>455</v>
      </c>
    </row>
    <row r="42" spans="1:155" x14ac:dyDescent="0.35">
      <c r="A42">
        <v>2026</v>
      </c>
      <c r="B42" t="s">
        <v>286</v>
      </c>
      <c r="C42" s="112" t="s">
        <v>286</v>
      </c>
      <c r="D42" t="s">
        <v>297</v>
      </c>
      <c r="E42" t="s">
        <v>288</v>
      </c>
      <c r="F42">
        <v>109</v>
      </c>
      <c r="G42" s="113">
        <v>3</v>
      </c>
      <c r="H42">
        <v>6</v>
      </c>
      <c r="I42" t="s">
        <v>206</v>
      </c>
      <c r="J42">
        <v>17</v>
      </c>
      <c r="K42">
        <v>25</v>
      </c>
      <c r="L42">
        <v>20</v>
      </c>
      <c r="M42">
        <v>21.3</v>
      </c>
      <c r="N42">
        <v>35.200000000000003</v>
      </c>
      <c r="O42">
        <v>25.902899999999999</v>
      </c>
      <c r="P42">
        <v>17.0777</v>
      </c>
      <c r="Q42">
        <v>25.020900000000001</v>
      </c>
      <c r="R42">
        <v>19.923999999999999</v>
      </c>
      <c r="T42" t="s">
        <v>168</v>
      </c>
      <c r="U42" t="s">
        <v>169</v>
      </c>
      <c r="V42" t="s">
        <v>207</v>
      </c>
      <c r="W42" t="s">
        <v>208</v>
      </c>
      <c r="Y42">
        <v>6</v>
      </c>
      <c r="Z42" t="s">
        <v>173</v>
      </c>
      <c r="AA42" t="s">
        <v>173</v>
      </c>
      <c r="AB42" t="s">
        <v>174</v>
      </c>
      <c r="AC42" t="s">
        <v>175</v>
      </c>
      <c r="AD42">
        <v>10</v>
      </c>
      <c r="AG42" t="s">
        <v>216</v>
      </c>
      <c r="AH42" t="s">
        <v>217</v>
      </c>
      <c r="AI42" t="s">
        <v>178</v>
      </c>
      <c r="AJ42" t="s">
        <v>179</v>
      </c>
      <c r="AK42" t="s">
        <v>173</v>
      </c>
      <c r="AL42" t="s">
        <v>180</v>
      </c>
      <c r="AM42">
        <v>70</v>
      </c>
      <c r="AN42">
        <v>5</v>
      </c>
      <c r="AS42">
        <v>3100</v>
      </c>
      <c r="AT42">
        <v>3100</v>
      </c>
      <c r="BN42" s="114" t="s">
        <v>198</v>
      </c>
      <c r="BO42">
        <v>2</v>
      </c>
      <c r="BP42">
        <v>2</v>
      </c>
      <c r="BQ42">
        <v>2</v>
      </c>
      <c r="BR42" t="s">
        <v>248</v>
      </c>
      <c r="BS42" t="s">
        <v>182</v>
      </c>
      <c r="BT42" t="s">
        <v>183</v>
      </c>
      <c r="BU42" s="115">
        <v>45884</v>
      </c>
      <c r="BV42">
        <v>37337</v>
      </c>
      <c r="BW42" s="116"/>
      <c r="BY42" t="s">
        <v>173</v>
      </c>
      <c r="CB42" t="s">
        <v>173</v>
      </c>
      <c r="CC42" t="s">
        <v>173</v>
      </c>
      <c r="CD42" t="s">
        <v>290</v>
      </c>
      <c r="CE42" t="s">
        <v>173</v>
      </c>
      <c r="CG42" t="s">
        <v>172</v>
      </c>
      <c r="CH42" t="s">
        <v>291</v>
      </c>
      <c r="CI42" t="s">
        <v>172</v>
      </c>
      <c r="CJ42" t="s">
        <v>291</v>
      </c>
      <c r="DJ42" t="s">
        <v>201</v>
      </c>
      <c r="DK42" t="s">
        <v>202</v>
      </c>
      <c r="DN42" t="s">
        <v>173</v>
      </c>
      <c r="DO42" t="s">
        <v>188</v>
      </c>
      <c r="DP42" t="s">
        <v>172</v>
      </c>
      <c r="DQ42" t="s">
        <v>204</v>
      </c>
      <c r="DY42">
        <v>26.1</v>
      </c>
      <c r="EA42" s="117"/>
      <c r="EB42">
        <v>4</v>
      </c>
      <c r="EC42">
        <v>4</v>
      </c>
      <c r="EE42" t="s">
        <v>292</v>
      </c>
      <c r="EF42">
        <v>4</v>
      </c>
      <c r="EV42">
        <v>7000</v>
      </c>
      <c r="EW42">
        <v>523</v>
      </c>
      <c r="EX42">
        <v>356</v>
      </c>
      <c r="EY42">
        <v>448</v>
      </c>
    </row>
    <row r="43" spans="1:155" x14ac:dyDescent="0.35">
      <c r="A43">
        <v>2026</v>
      </c>
      <c r="B43" t="s">
        <v>286</v>
      </c>
      <c r="C43" s="112" t="s">
        <v>286</v>
      </c>
      <c r="D43" t="s">
        <v>298</v>
      </c>
      <c r="E43" t="s">
        <v>288</v>
      </c>
      <c r="F43">
        <v>111</v>
      </c>
      <c r="G43" s="113">
        <v>3</v>
      </c>
      <c r="H43">
        <v>6</v>
      </c>
      <c r="I43" t="s">
        <v>206</v>
      </c>
      <c r="J43">
        <v>17</v>
      </c>
      <c r="K43">
        <v>25</v>
      </c>
      <c r="L43">
        <v>19</v>
      </c>
      <c r="M43">
        <v>21.1</v>
      </c>
      <c r="N43">
        <v>35.200000000000003</v>
      </c>
      <c r="O43">
        <v>25.739699999999999</v>
      </c>
      <c r="P43">
        <v>16.9285</v>
      </c>
      <c r="Q43">
        <v>25.020900000000001</v>
      </c>
      <c r="R43">
        <v>19</v>
      </c>
      <c r="T43" t="s">
        <v>168</v>
      </c>
      <c r="U43" t="s">
        <v>169</v>
      </c>
      <c r="V43" t="s">
        <v>207</v>
      </c>
      <c r="W43" t="s">
        <v>208</v>
      </c>
      <c r="Y43">
        <v>6</v>
      </c>
      <c r="Z43" t="s">
        <v>173</v>
      </c>
      <c r="AA43" t="s">
        <v>173</v>
      </c>
      <c r="AB43" t="s">
        <v>174</v>
      </c>
      <c r="AC43" t="s">
        <v>175</v>
      </c>
      <c r="AD43">
        <v>10</v>
      </c>
      <c r="AG43" t="s">
        <v>216</v>
      </c>
      <c r="AH43" t="s">
        <v>217</v>
      </c>
      <c r="AI43" t="s">
        <v>178</v>
      </c>
      <c r="AJ43" t="s">
        <v>179</v>
      </c>
      <c r="AK43" t="s">
        <v>173</v>
      </c>
      <c r="AL43" t="s">
        <v>180</v>
      </c>
      <c r="AM43">
        <v>68</v>
      </c>
      <c r="AN43">
        <v>5</v>
      </c>
      <c r="AS43">
        <v>3300</v>
      </c>
      <c r="AT43">
        <v>3300</v>
      </c>
      <c r="BN43" s="114" t="s">
        <v>198</v>
      </c>
      <c r="BO43">
        <v>2</v>
      </c>
      <c r="BP43">
        <v>2</v>
      </c>
      <c r="BQ43">
        <v>2</v>
      </c>
      <c r="BR43" t="s">
        <v>248</v>
      </c>
      <c r="BS43" t="s">
        <v>182</v>
      </c>
      <c r="BT43" t="s">
        <v>183</v>
      </c>
      <c r="BU43" s="115">
        <v>45884</v>
      </c>
      <c r="BV43">
        <v>37338</v>
      </c>
      <c r="BW43" s="116"/>
      <c r="BY43" t="s">
        <v>173</v>
      </c>
      <c r="CB43" t="s">
        <v>173</v>
      </c>
      <c r="CC43" t="s">
        <v>173</v>
      </c>
      <c r="CD43" t="s">
        <v>290</v>
      </c>
      <c r="CE43" t="s">
        <v>173</v>
      </c>
      <c r="CG43" t="s">
        <v>172</v>
      </c>
      <c r="CH43" t="s">
        <v>291</v>
      </c>
      <c r="CI43" t="s">
        <v>172</v>
      </c>
      <c r="CJ43" t="s">
        <v>291</v>
      </c>
      <c r="DJ43" t="s">
        <v>201</v>
      </c>
      <c r="DK43" t="s">
        <v>202</v>
      </c>
      <c r="DN43" t="s">
        <v>173</v>
      </c>
      <c r="DO43" t="s">
        <v>188</v>
      </c>
      <c r="DP43" t="s">
        <v>172</v>
      </c>
      <c r="DQ43" t="s">
        <v>204</v>
      </c>
      <c r="DY43">
        <v>25.9</v>
      </c>
      <c r="EA43" s="117"/>
      <c r="EB43">
        <v>4</v>
      </c>
      <c r="EC43">
        <v>4</v>
      </c>
      <c r="EE43" t="s">
        <v>292</v>
      </c>
      <c r="EF43">
        <v>4</v>
      </c>
      <c r="EV43">
        <v>8000</v>
      </c>
      <c r="EW43">
        <v>526</v>
      </c>
      <c r="EX43">
        <v>356</v>
      </c>
      <c r="EY43">
        <v>469</v>
      </c>
    </row>
    <row r="44" spans="1:155" x14ac:dyDescent="0.35">
      <c r="A44">
        <v>2026</v>
      </c>
      <c r="B44" t="s">
        <v>286</v>
      </c>
      <c r="C44" s="112" t="s">
        <v>286</v>
      </c>
      <c r="D44" t="s">
        <v>1155</v>
      </c>
      <c r="E44" t="s">
        <v>288</v>
      </c>
      <c r="F44">
        <v>138</v>
      </c>
      <c r="G44" s="113">
        <v>3.6</v>
      </c>
      <c r="H44">
        <v>6</v>
      </c>
      <c r="I44" t="s">
        <v>289</v>
      </c>
      <c r="J44">
        <v>17</v>
      </c>
      <c r="K44">
        <v>23</v>
      </c>
      <c r="L44">
        <v>19</v>
      </c>
      <c r="M44">
        <v>22.1</v>
      </c>
      <c r="N44">
        <v>33.299999999999997</v>
      </c>
      <c r="O44">
        <v>26.041399999999999</v>
      </c>
      <c r="P44">
        <v>17</v>
      </c>
      <c r="Q44">
        <v>23</v>
      </c>
      <c r="R44">
        <v>19</v>
      </c>
      <c r="T44" t="s">
        <v>168</v>
      </c>
      <c r="U44" t="s">
        <v>169</v>
      </c>
      <c r="V44" t="s">
        <v>275</v>
      </c>
      <c r="W44" t="s">
        <v>276</v>
      </c>
      <c r="Y44">
        <v>8</v>
      </c>
      <c r="Z44" t="s">
        <v>173</v>
      </c>
      <c r="AA44" t="s">
        <v>173</v>
      </c>
      <c r="AB44" t="s">
        <v>170</v>
      </c>
      <c r="AC44" t="s">
        <v>232</v>
      </c>
      <c r="AD44">
        <v>10</v>
      </c>
      <c r="AG44" t="s">
        <v>216</v>
      </c>
      <c r="AH44" t="s">
        <v>217</v>
      </c>
      <c r="AI44" t="s">
        <v>178</v>
      </c>
      <c r="AJ44" t="s">
        <v>179</v>
      </c>
      <c r="AK44" t="s">
        <v>173</v>
      </c>
      <c r="AL44" t="s">
        <v>180</v>
      </c>
      <c r="AM44">
        <v>70</v>
      </c>
      <c r="AN44">
        <v>5</v>
      </c>
      <c r="AS44">
        <v>3300</v>
      </c>
      <c r="AT44">
        <v>3300</v>
      </c>
      <c r="BN44" s="114" t="s">
        <v>198</v>
      </c>
      <c r="BO44">
        <v>2</v>
      </c>
      <c r="BP44">
        <v>2</v>
      </c>
      <c r="BQ44">
        <v>2</v>
      </c>
      <c r="BR44" t="s">
        <v>248</v>
      </c>
      <c r="BS44" t="s">
        <v>182</v>
      </c>
      <c r="BT44" t="s">
        <v>183</v>
      </c>
      <c r="BU44" s="115">
        <v>45897</v>
      </c>
      <c r="BV44">
        <v>37435</v>
      </c>
      <c r="BW44" s="116"/>
      <c r="BY44" t="s">
        <v>173</v>
      </c>
      <c r="CB44" t="s">
        <v>173</v>
      </c>
      <c r="CC44" t="s">
        <v>173</v>
      </c>
      <c r="CE44" t="s">
        <v>173</v>
      </c>
      <c r="CG44" t="s">
        <v>172</v>
      </c>
      <c r="CH44" t="s">
        <v>1006</v>
      </c>
      <c r="CI44" t="s">
        <v>173</v>
      </c>
      <c r="DJ44" t="s">
        <v>201</v>
      </c>
      <c r="DK44" t="s">
        <v>202</v>
      </c>
      <c r="DN44" t="s">
        <v>173</v>
      </c>
      <c r="DO44" t="s">
        <v>188</v>
      </c>
      <c r="DP44" t="s">
        <v>172</v>
      </c>
      <c r="DQ44" t="s">
        <v>204</v>
      </c>
      <c r="DY44">
        <v>26</v>
      </c>
      <c r="EA44" s="117"/>
      <c r="EB44">
        <v>4</v>
      </c>
      <c r="EC44">
        <v>4</v>
      </c>
      <c r="EE44" t="s">
        <v>1151</v>
      </c>
      <c r="EF44">
        <v>5</v>
      </c>
      <c r="EV44">
        <v>8000</v>
      </c>
      <c r="EW44">
        <v>523</v>
      </c>
      <c r="EX44">
        <v>385</v>
      </c>
      <c r="EY44">
        <v>467</v>
      </c>
    </row>
    <row r="45" spans="1:155" x14ac:dyDescent="0.35">
      <c r="A45">
        <v>2026</v>
      </c>
      <c r="B45" t="s">
        <v>641</v>
      </c>
      <c r="C45" s="112" t="s">
        <v>641</v>
      </c>
      <c r="D45" t="s">
        <v>1156</v>
      </c>
      <c r="E45" t="s">
        <v>643</v>
      </c>
      <c r="F45">
        <v>1</v>
      </c>
      <c r="G45" s="113">
        <v>2.4</v>
      </c>
      <c r="H45">
        <v>4</v>
      </c>
      <c r="I45" t="s">
        <v>206</v>
      </c>
      <c r="J45">
        <v>20</v>
      </c>
      <c r="K45">
        <v>27</v>
      </c>
      <c r="L45">
        <v>22</v>
      </c>
      <c r="M45">
        <v>24.7</v>
      </c>
      <c r="N45">
        <v>37.799999999999997</v>
      </c>
      <c r="O45">
        <v>29.2638</v>
      </c>
      <c r="P45">
        <v>19.5853</v>
      </c>
      <c r="Q45">
        <v>26.711500000000001</v>
      </c>
      <c r="R45">
        <v>22.257400000000001</v>
      </c>
      <c r="U45" t="s">
        <v>215</v>
      </c>
      <c r="V45" t="s">
        <v>207</v>
      </c>
      <c r="W45" t="s">
        <v>208</v>
      </c>
      <c r="Y45">
        <v>6</v>
      </c>
      <c r="Z45" t="s">
        <v>173</v>
      </c>
      <c r="AA45" t="s">
        <v>173</v>
      </c>
      <c r="AB45" t="s">
        <v>174</v>
      </c>
      <c r="AC45" t="s">
        <v>175</v>
      </c>
      <c r="AD45">
        <v>15</v>
      </c>
      <c r="AG45" t="s">
        <v>216</v>
      </c>
      <c r="AH45" t="s">
        <v>217</v>
      </c>
      <c r="AI45" t="s">
        <v>178</v>
      </c>
      <c r="AJ45" t="s">
        <v>179</v>
      </c>
      <c r="AK45" t="s">
        <v>173</v>
      </c>
      <c r="AL45" t="s">
        <v>180</v>
      </c>
      <c r="AM45">
        <v>77</v>
      </c>
      <c r="AN45">
        <v>6</v>
      </c>
      <c r="AS45">
        <v>2850</v>
      </c>
      <c r="AT45">
        <v>2850</v>
      </c>
      <c r="BN45" s="114" t="s">
        <v>247</v>
      </c>
      <c r="BO45">
        <v>2</v>
      </c>
      <c r="BP45">
        <v>2</v>
      </c>
      <c r="BQ45">
        <v>2</v>
      </c>
      <c r="BR45" t="s">
        <v>248</v>
      </c>
      <c r="BS45" t="s">
        <v>182</v>
      </c>
      <c r="BT45" t="s">
        <v>183</v>
      </c>
      <c r="BU45" s="115">
        <v>45901</v>
      </c>
      <c r="BV45">
        <v>37529</v>
      </c>
      <c r="BW45" s="116"/>
      <c r="BX45" t="s">
        <v>173</v>
      </c>
      <c r="BY45" t="s">
        <v>173</v>
      </c>
      <c r="CB45" t="s">
        <v>173</v>
      </c>
      <c r="CC45" t="s">
        <v>173</v>
      </c>
      <c r="CE45" t="s">
        <v>173</v>
      </c>
      <c r="CG45" t="s">
        <v>172</v>
      </c>
      <c r="CH45" t="s">
        <v>645</v>
      </c>
      <c r="CI45" t="s">
        <v>173</v>
      </c>
      <c r="DJ45" t="s">
        <v>250</v>
      </c>
      <c r="DK45" t="s">
        <v>251</v>
      </c>
      <c r="DN45" t="s">
        <v>173</v>
      </c>
      <c r="DO45" t="s">
        <v>1157</v>
      </c>
      <c r="DP45" t="s">
        <v>173</v>
      </c>
      <c r="DQ45" t="s">
        <v>189</v>
      </c>
      <c r="DY45">
        <v>29.3</v>
      </c>
      <c r="EA45" s="117"/>
      <c r="EB45">
        <v>4</v>
      </c>
      <c r="EC45">
        <v>4</v>
      </c>
      <c r="EE45" t="s">
        <v>1158</v>
      </c>
      <c r="EF45">
        <v>2</v>
      </c>
      <c r="EV45">
        <v>5750</v>
      </c>
      <c r="EW45">
        <v>453</v>
      </c>
      <c r="EX45">
        <v>333</v>
      </c>
      <c r="EY45">
        <v>399</v>
      </c>
    </row>
    <row r="46" spans="1:155" x14ac:dyDescent="0.35">
      <c r="A46">
        <v>2026</v>
      </c>
      <c r="B46" t="s">
        <v>641</v>
      </c>
      <c r="C46" s="112" t="s">
        <v>641</v>
      </c>
      <c r="D46" t="s">
        <v>1156</v>
      </c>
      <c r="E46" t="s">
        <v>643</v>
      </c>
      <c r="F46">
        <v>2</v>
      </c>
      <c r="G46" s="113">
        <v>2.4</v>
      </c>
      <c r="H46">
        <v>4</v>
      </c>
      <c r="I46" t="s">
        <v>415</v>
      </c>
      <c r="J46">
        <v>21</v>
      </c>
      <c r="K46">
        <v>30</v>
      </c>
      <c r="L46">
        <v>25</v>
      </c>
      <c r="M46">
        <v>27</v>
      </c>
      <c r="N46">
        <v>43.5</v>
      </c>
      <c r="O46">
        <v>32.557200000000002</v>
      </c>
      <c r="P46">
        <v>21.250499999999999</v>
      </c>
      <c r="Q46">
        <v>30.349399999999999</v>
      </c>
      <c r="R46">
        <v>24.564599999999999</v>
      </c>
      <c r="U46" t="s">
        <v>215</v>
      </c>
      <c r="V46" t="s">
        <v>196</v>
      </c>
      <c r="W46" t="s">
        <v>197</v>
      </c>
      <c r="Y46">
        <v>6</v>
      </c>
      <c r="Z46" t="s">
        <v>172</v>
      </c>
      <c r="AA46" t="s">
        <v>173</v>
      </c>
      <c r="AB46" t="s">
        <v>174</v>
      </c>
      <c r="AC46" t="s">
        <v>175</v>
      </c>
      <c r="AD46">
        <v>15</v>
      </c>
      <c r="AG46" t="s">
        <v>216</v>
      </c>
      <c r="AH46" t="s">
        <v>217</v>
      </c>
      <c r="AI46" t="s">
        <v>178</v>
      </c>
      <c r="AJ46" t="s">
        <v>179</v>
      </c>
      <c r="AK46" t="s">
        <v>173</v>
      </c>
      <c r="AL46" t="s">
        <v>180</v>
      </c>
      <c r="AM46">
        <v>77</v>
      </c>
      <c r="AN46">
        <v>6</v>
      </c>
      <c r="AS46">
        <v>2500</v>
      </c>
      <c r="AT46">
        <v>2500</v>
      </c>
      <c r="BN46" s="114" t="s">
        <v>247</v>
      </c>
      <c r="BO46">
        <v>2</v>
      </c>
      <c r="BP46">
        <v>2</v>
      </c>
      <c r="BQ46">
        <v>2</v>
      </c>
      <c r="BR46" t="s">
        <v>248</v>
      </c>
      <c r="BS46" t="s">
        <v>182</v>
      </c>
      <c r="BT46" t="s">
        <v>183</v>
      </c>
      <c r="BU46" s="115">
        <v>45901</v>
      </c>
      <c r="BV46">
        <v>37530</v>
      </c>
      <c r="BW46" s="116"/>
      <c r="BX46" t="s">
        <v>173</v>
      </c>
      <c r="BY46" t="s">
        <v>173</v>
      </c>
      <c r="CB46" t="s">
        <v>173</v>
      </c>
      <c r="CC46" t="s">
        <v>173</v>
      </c>
      <c r="CE46" t="s">
        <v>173</v>
      </c>
      <c r="CG46" t="s">
        <v>172</v>
      </c>
      <c r="CH46" t="s">
        <v>645</v>
      </c>
      <c r="CI46" t="s">
        <v>173</v>
      </c>
      <c r="DJ46" t="s">
        <v>250</v>
      </c>
      <c r="DK46" t="s">
        <v>251</v>
      </c>
      <c r="DN46" t="s">
        <v>173</v>
      </c>
      <c r="DO46" t="s">
        <v>1157</v>
      </c>
      <c r="DP46" t="s">
        <v>173</v>
      </c>
      <c r="DQ46" t="s">
        <v>189</v>
      </c>
      <c r="DY46">
        <v>32.6</v>
      </c>
      <c r="EA46" s="117"/>
      <c r="EB46">
        <v>5</v>
      </c>
      <c r="EC46">
        <v>5</v>
      </c>
      <c r="EE46" t="s">
        <v>1158</v>
      </c>
      <c r="EF46">
        <v>2</v>
      </c>
      <c r="EV46">
        <v>4000</v>
      </c>
      <c r="EW46">
        <v>419</v>
      </c>
      <c r="EX46">
        <v>292</v>
      </c>
      <c r="EY46">
        <v>362</v>
      </c>
    </row>
    <row r="47" spans="1:155" x14ac:dyDescent="0.35">
      <c r="A47">
        <v>2026</v>
      </c>
      <c r="B47" t="s">
        <v>444</v>
      </c>
      <c r="C47" s="112" t="s">
        <v>458</v>
      </c>
      <c r="D47" t="s">
        <v>1159</v>
      </c>
      <c r="E47" t="s">
        <v>447</v>
      </c>
      <c r="F47">
        <v>22</v>
      </c>
      <c r="G47" s="113">
        <v>2</v>
      </c>
      <c r="H47">
        <v>4</v>
      </c>
      <c r="I47" t="s">
        <v>274</v>
      </c>
      <c r="J47">
        <v>24</v>
      </c>
      <c r="K47">
        <v>34</v>
      </c>
      <c r="L47">
        <v>28</v>
      </c>
      <c r="M47">
        <v>30.9</v>
      </c>
      <c r="N47">
        <v>48.6</v>
      </c>
      <c r="O47">
        <v>36.956800000000001</v>
      </c>
      <c r="P47">
        <v>24.0184</v>
      </c>
      <c r="Q47">
        <v>33.526899999999998</v>
      </c>
      <c r="R47">
        <v>27.5322</v>
      </c>
      <c r="T47" t="s">
        <v>168</v>
      </c>
      <c r="U47" t="s">
        <v>169</v>
      </c>
      <c r="V47" t="s">
        <v>275</v>
      </c>
      <c r="W47" t="s">
        <v>276</v>
      </c>
      <c r="Y47">
        <v>7</v>
      </c>
      <c r="Z47" t="s">
        <v>173</v>
      </c>
      <c r="AA47" t="s">
        <v>173</v>
      </c>
      <c r="AB47" t="s">
        <v>170</v>
      </c>
      <c r="AC47" t="s">
        <v>232</v>
      </c>
      <c r="AD47">
        <v>15</v>
      </c>
      <c r="AG47" t="s">
        <v>176</v>
      </c>
      <c r="AH47" t="s">
        <v>177</v>
      </c>
      <c r="AI47" t="s">
        <v>178</v>
      </c>
      <c r="AJ47" t="s">
        <v>179</v>
      </c>
      <c r="AK47" t="s">
        <v>173</v>
      </c>
      <c r="AL47" t="s">
        <v>180</v>
      </c>
      <c r="AO47">
        <v>87</v>
      </c>
      <c r="AP47">
        <v>8</v>
      </c>
      <c r="AS47">
        <v>2200</v>
      </c>
      <c r="AT47">
        <v>2200</v>
      </c>
      <c r="BN47" s="114" t="s">
        <v>198</v>
      </c>
      <c r="BO47">
        <v>2</v>
      </c>
      <c r="BP47">
        <v>2</v>
      </c>
      <c r="BQ47">
        <v>3</v>
      </c>
      <c r="BR47" t="s">
        <v>300</v>
      </c>
      <c r="BS47" t="s">
        <v>182</v>
      </c>
      <c r="BT47" t="s">
        <v>183</v>
      </c>
      <c r="BU47" s="115">
        <v>45909</v>
      </c>
      <c r="BV47">
        <v>37564</v>
      </c>
      <c r="BW47" s="116"/>
      <c r="BX47" t="s">
        <v>172</v>
      </c>
      <c r="BY47" t="s">
        <v>173</v>
      </c>
      <c r="CB47" t="s">
        <v>173</v>
      </c>
      <c r="CC47" t="s">
        <v>173</v>
      </c>
      <c r="CD47" t="s">
        <v>1160</v>
      </c>
      <c r="CE47" t="s">
        <v>173</v>
      </c>
      <c r="CG47" t="s">
        <v>172</v>
      </c>
      <c r="CH47" t="s">
        <v>1161</v>
      </c>
      <c r="CI47" t="s">
        <v>172</v>
      </c>
      <c r="CJ47" t="s">
        <v>450</v>
      </c>
      <c r="DJ47" t="s">
        <v>201</v>
      </c>
      <c r="DK47" t="s">
        <v>202</v>
      </c>
      <c r="DL47" t="s">
        <v>173</v>
      </c>
      <c r="DM47" t="s">
        <v>173</v>
      </c>
      <c r="DN47" t="s">
        <v>173</v>
      </c>
      <c r="DO47" t="s">
        <v>451</v>
      </c>
      <c r="DP47" t="s">
        <v>172</v>
      </c>
      <c r="DQ47" t="s">
        <v>204</v>
      </c>
      <c r="DY47">
        <v>37.200000000000003</v>
      </c>
      <c r="EA47" s="117"/>
      <c r="EB47">
        <v>5</v>
      </c>
      <c r="EC47">
        <v>5</v>
      </c>
      <c r="EE47" t="s">
        <v>1162</v>
      </c>
      <c r="EF47">
        <v>6</v>
      </c>
      <c r="EV47">
        <v>2500</v>
      </c>
      <c r="EW47">
        <v>370</v>
      </c>
      <c r="EX47">
        <v>265</v>
      </c>
      <c r="EY47">
        <v>323</v>
      </c>
    </row>
    <row r="48" spans="1:155" x14ac:dyDescent="0.35">
      <c r="A48">
        <v>2026</v>
      </c>
      <c r="B48" t="s">
        <v>444</v>
      </c>
      <c r="C48" s="112" t="s">
        <v>458</v>
      </c>
      <c r="D48" t="s">
        <v>1163</v>
      </c>
      <c r="E48" t="s">
        <v>447</v>
      </c>
      <c r="F48">
        <v>26</v>
      </c>
      <c r="G48" s="113">
        <v>2.5</v>
      </c>
      <c r="H48">
        <v>5</v>
      </c>
      <c r="I48" t="s">
        <v>274</v>
      </c>
      <c r="J48">
        <v>20</v>
      </c>
      <c r="K48">
        <v>29</v>
      </c>
      <c r="L48">
        <v>23</v>
      </c>
      <c r="M48">
        <v>24.2</v>
      </c>
      <c r="N48">
        <v>40.6</v>
      </c>
      <c r="O48">
        <v>29.5762</v>
      </c>
      <c r="P48">
        <v>19.717500000000001</v>
      </c>
      <c r="Q48">
        <v>28.6631</v>
      </c>
      <c r="R48">
        <v>22.9391</v>
      </c>
      <c r="T48" t="s">
        <v>168</v>
      </c>
      <c r="U48" t="s">
        <v>169</v>
      </c>
      <c r="V48" t="s">
        <v>275</v>
      </c>
      <c r="W48" t="s">
        <v>276</v>
      </c>
      <c r="Y48">
        <v>7</v>
      </c>
      <c r="Z48" t="s">
        <v>172</v>
      </c>
      <c r="AA48" t="s">
        <v>173</v>
      </c>
      <c r="AB48" t="s">
        <v>170</v>
      </c>
      <c r="AC48" t="s">
        <v>232</v>
      </c>
      <c r="AD48">
        <v>15</v>
      </c>
      <c r="AG48" t="s">
        <v>176</v>
      </c>
      <c r="AH48" t="s">
        <v>177</v>
      </c>
      <c r="AI48" t="s">
        <v>178</v>
      </c>
      <c r="AJ48" t="s">
        <v>179</v>
      </c>
      <c r="AK48" t="s">
        <v>173</v>
      </c>
      <c r="AL48" t="s">
        <v>180</v>
      </c>
      <c r="AO48">
        <v>87</v>
      </c>
      <c r="AP48">
        <v>8</v>
      </c>
      <c r="AS48">
        <v>2700</v>
      </c>
      <c r="AT48">
        <v>2700</v>
      </c>
      <c r="BN48" s="114" t="s">
        <v>198</v>
      </c>
      <c r="BO48">
        <v>2</v>
      </c>
      <c r="BP48">
        <v>2</v>
      </c>
      <c r="BQ48">
        <v>3</v>
      </c>
      <c r="BR48" t="s">
        <v>300</v>
      </c>
      <c r="BS48" t="s">
        <v>182</v>
      </c>
      <c r="BT48" t="s">
        <v>218</v>
      </c>
      <c r="BU48" s="115">
        <v>45911</v>
      </c>
      <c r="BV48">
        <v>37583</v>
      </c>
      <c r="BW48" s="116"/>
      <c r="BX48" t="s">
        <v>172</v>
      </c>
      <c r="BY48" t="s">
        <v>173</v>
      </c>
      <c r="CB48" t="s">
        <v>173</v>
      </c>
      <c r="CC48" t="s">
        <v>173</v>
      </c>
      <c r="CD48" t="s">
        <v>1164</v>
      </c>
      <c r="CE48" t="s">
        <v>173</v>
      </c>
      <c r="CG48" t="s">
        <v>172</v>
      </c>
      <c r="CH48" t="s">
        <v>1161</v>
      </c>
      <c r="CI48" t="s">
        <v>172</v>
      </c>
      <c r="CJ48" t="s">
        <v>450</v>
      </c>
      <c r="DJ48" t="s">
        <v>201</v>
      </c>
      <c r="DK48" t="s">
        <v>202</v>
      </c>
      <c r="DL48" t="s">
        <v>173</v>
      </c>
      <c r="DM48" t="s">
        <v>173</v>
      </c>
      <c r="DN48" t="s">
        <v>173</v>
      </c>
      <c r="DO48" t="s">
        <v>1165</v>
      </c>
      <c r="DP48" t="s">
        <v>173</v>
      </c>
      <c r="DQ48" t="s">
        <v>189</v>
      </c>
      <c r="DY48">
        <v>29.8</v>
      </c>
      <c r="EA48" s="117"/>
      <c r="EB48">
        <v>5</v>
      </c>
      <c r="EC48">
        <v>5</v>
      </c>
      <c r="EE48" t="s">
        <v>1166</v>
      </c>
      <c r="EF48">
        <v>2</v>
      </c>
      <c r="EV48">
        <v>5000</v>
      </c>
      <c r="EW48">
        <v>450</v>
      </c>
      <c r="EX48">
        <v>310</v>
      </c>
      <c r="EY48">
        <v>387</v>
      </c>
    </row>
    <row r="49" spans="1:155" x14ac:dyDescent="0.35">
      <c r="A49">
        <v>2026</v>
      </c>
      <c r="B49" t="s">
        <v>444</v>
      </c>
      <c r="C49" s="112" t="s">
        <v>458</v>
      </c>
      <c r="D49" t="s">
        <v>1167</v>
      </c>
      <c r="E49" t="s">
        <v>447</v>
      </c>
      <c r="F49">
        <v>23</v>
      </c>
      <c r="G49" s="113">
        <v>2</v>
      </c>
      <c r="H49">
        <v>4</v>
      </c>
      <c r="I49" t="s">
        <v>274</v>
      </c>
      <c r="J49">
        <v>23</v>
      </c>
      <c r="K49">
        <v>31</v>
      </c>
      <c r="L49">
        <v>26</v>
      </c>
      <c r="M49">
        <v>27.9</v>
      </c>
      <c r="N49">
        <v>43</v>
      </c>
      <c r="O49">
        <v>33.136299999999999</v>
      </c>
      <c r="P49">
        <v>22.558700000000002</v>
      </c>
      <c r="Q49">
        <v>30.9192</v>
      </c>
      <c r="R49">
        <v>25.683900000000001</v>
      </c>
      <c r="T49" t="s">
        <v>168</v>
      </c>
      <c r="U49" t="s">
        <v>169</v>
      </c>
      <c r="V49" t="s">
        <v>275</v>
      </c>
      <c r="W49" t="s">
        <v>276</v>
      </c>
      <c r="Y49">
        <v>7</v>
      </c>
      <c r="Z49" t="s">
        <v>173</v>
      </c>
      <c r="AA49" t="s">
        <v>173</v>
      </c>
      <c r="AB49" t="s">
        <v>170</v>
      </c>
      <c r="AC49" t="s">
        <v>232</v>
      </c>
      <c r="AD49">
        <v>15</v>
      </c>
      <c r="AG49" t="s">
        <v>176</v>
      </c>
      <c r="AH49" t="s">
        <v>177</v>
      </c>
      <c r="AI49" t="s">
        <v>178</v>
      </c>
      <c r="AJ49" t="s">
        <v>179</v>
      </c>
      <c r="AK49" t="s">
        <v>173</v>
      </c>
      <c r="AL49" t="s">
        <v>180</v>
      </c>
      <c r="AO49">
        <v>87</v>
      </c>
      <c r="AP49">
        <v>8</v>
      </c>
      <c r="AS49">
        <v>2400</v>
      </c>
      <c r="AT49">
        <v>2400</v>
      </c>
      <c r="BN49" s="114" t="s">
        <v>198</v>
      </c>
      <c r="BO49">
        <v>2</v>
      </c>
      <c r="BP49">
        <v>2</v>
      </c>
      <c r="BQ49">
        <v>3</v>
      </c>
      <c r="BR49" t="s">
        <v>300</v>
      </c>
      <c r="BS49" t="s">
        <v>182</v>
      </c>
      <c r="BT49" t="s">
        <v>218</v>
      </c>
      <c r="BU49" s="115">
        <v>45911</v>
      </c>
      <c r="BV49">
        <v>37585</v>
      </c>
      <c r="BW49" s="116"/>
      <c r="BX49" t="s">
        <v>172</v>
      </c>
      <c r="BY49" t="s">
        <v>173</v>
      </c>
      <c r="CB49" t="s">
        <v>173</v>
      </c>
      <c r="CC49" t="s">
        <v>173</v>
      </c>
      <c r="CD49" t="s">
        <v>1168</v>
      </c>
      <c r="CE49" t="s">
        <v>173</v>
      </c>
      <c r="CG49" t="s">
        <v>172</v>
      </c>
      <c r="CH49" t="s">
        <v>1161</v>
      </c>
      <c r="CI49" t="s">
        <v>172</v>
      </c>
      <c r="CJ49" t="s">
        <v>450</v>
      </c>
      <c r="DJ49" t="s">
        <v>201</v>
      </c>
      <c r="DK49" t="s">
        <v>202</v>
      </c>
      <c r="DL49" t="s">
        <v>173</v>
      </c>
      <c r="DM49" t="s">
        <v>173</v>
      </c>
      <c r="DN49" t="s">
        <v>173</v>
      </c>
      <c r="DO49" t="s">
        <v>1165</v>
      </c>
      <c r="DP49" t="s">
        <v>172</v>
      </c>
      <c r="DQ49" t="s">
        <v>204</v>
      </c>
      <c r="DY49">
        <v>33.4</v>
      </c>
      <c r="EA49" s="117"/>
      <c r="EB49">
        <v>5</v>
      </c>
      <c r="EC49">
        <v>5</v>
      </c>
      <c r="EE49" t="s">
        <v>1169</v>
      </c>
      <c r="EF49">
        <v>4</v>
      </c>
      <c r="EV49">
        <v>3500</v>
      </c>
      <c r="EW49">
        <v>394</v>
      </c>
      <c r="EX49">
        <v>288</v>
      </c>
      <c r="EY49">
        <v>346</v>
      </c>
    </row>
    <row r="50" spans="1:155" x14ac:dyDescent="0.35">
      <c r="A50">
        <v>2026</v>
      </c>
      <c r="B50" t="s">
        <v>192</v>
      </c>
      <c r="C50" s="112" t="s">
        <v>192</v>
      </c>
      <c r="D50" t="s">
        <v>299</v>
      </c>
      <c r="E50" t="s">
        <v>194</v>
      </c>
      <c r="F50">
        <v>200</v>
      </c>
      <c r="G50" s="113">
        <v>2</v>
      </c>
      <c r="H50">
        <v>4</v>
      </c>
      <c r="I50" t="s">
        <v>195</v>
      </c>
      <c r="J50">
        <v>26</v>
      </c>
      <c r="K50">
        <v>35</v>
      </c>
      <c r="L50">
        <v>30</v>
      </c>
      <c r="M50">
        <v>34.299999999999997</v>
      </c>
      <c r="N50">
        <v>50.9</v>
      </c>
      <c r="O50">
        <v>40.199599999999997</v>
      </c>
      <c r="P50">
        <v>26.376100000000001</v>
      </c>
      <c r="Q50">
        <v>34.936700000000002</v>
      </c>
      <c r="R50">
        <v>29.6448</v>
      </c>
      <c r="T50" t="s">
        <v>168</v>
      </c>
      <c r="U50" t="s">
        <v>169</v>
      </c>
      <c r="V50" t="s">
        <v>196</v>
      </c>
      <c r="W50" t="s">
        <v>197</v>
      </c>
      <c r="Y50">
        <v>8</v>
      </c>
      <c r="Z50" t="s">
        <v>172</v>
      </c>
      <c r="AA50" t="s">
        <v>173</v>
      </c>
      <c r="AB50" t="s">
        <v>174</v>
      </c>
      <c r="AC50" t="s">
        <v>175</v>
      </c>
      <c r="AD50">
        <v>10</v>
      </c>
      <c r="AG50" t="s">
        <v>176</v>
      </c>
      <c r="AH50" t="s">
        <v>177</v>
      </c>
      <c r="AI50" t="s">
        <v>178</v>
      </c>
      <c r="AJ50" t="s">
        <v>179</v>
      </c>
      <c r="AK50" t="s">
        <v>173</v>
      </c>
      <c r="AL50" t="s">
        <v>180</v>
      </c>
      <c r="AM50">
        <v>88</v>
      </c>
      <c r="AN50">
        <v>10</v>
      </c>
      <c r="AS50">
        <v>2100</v>
      </c>
      <c r="AT50">
        <v>2100</v>
      </c>
      <c r="BN50" s="114" t="s">
        <v>198</v>
      </c>
      <c r="BO50">
        <v>2</v>
      </c>
      <c r="BP50">
        <v>2</v>
      </c>
      <c r="BQ50">
        <v>3</v>
      </c>
      <c r="BR50" t="s">
        <v>300</v>
      </c>
      <c r="BS50" t="s">
        <v>182</v>
      </c>
      <c r="BT50" t="s">
        <v>183</v>
      </c>
      <c r="BU50" s="115">
        <v>45870</v>
      </c>
      <c r="BV50">
        <v>36641</v>
      </c>
      <c r="BW50" s="116"/>
      <c r="BX50" t="s">
        <v>172</v>
      </c>
      <c r="BY50" t="s">
        <v>173</v>
      </c>
      <c r="CB50" t="s">
        <v>173</v>
      </c>
      <c r="CC50" t="s">
        <v>173</v>
      </c>
      <c r="CE50" t="s">
        <v>173</v>
      </c>
      <c r="CG50" t="s">
        <v>172</v>
      </c>
      <c r="CH50" t="s">
        <v>199</v>
      </c>
      <c r="CI50" t="s">
        <v>172</v>
      </c>
      <c r="CJ50" t="s">
        <v>200</v>
      </c>
      <c r="DJ50" t="s">
        <v>201</v>
      </c>
      <c r="DK50" t="s">
        <v>202</v>
      </c>
      <c r="DN50" t="s">
        <v>173</v>
      </c>
      <c r="DO50" t="s">
        <v>203</v>
      </c>
      <c r="DP50" t="s">
        <v>172</v>
      </c>
      <c r="DQ50" t="s">
        <v>204</v>
      </c>
      <c r="DY50">
        <v>40.5</v>
      </c>
      <c r="EA50" s="117"/>
      <c r="EB50">
        <v>6</v>
      </c>
      <c r="EC50">
        <v>6</v>
      </c>
      <c r="EE50" t="s">
        <v>301</v>
      </c>
      <c r="EF50">
        <v>2</v>
      </c>
      <c r="EV50">
        <v>2000</v>
      </c>
      <c r="EW50">
        <v>333</v>
      </c>
      <c r="EX50">
        <v>251</v>
      </c>
      <c r="EY50">
        <v>296</v>
      </c>
    </row>
    <row r="51" spans="1:155" x14ac:dyDescent="0.35">
      <c r="A51">
        <v>2026</v>
      </c>
      <c r="B51" t="s">
        <v>192</v>
      </c>
      <c r="C51" s="112" t="s">
        <v>192</v>
      </c>
      <c r="D51" t="s">
        <v>302</v>
      </c>
      <c r="E51" t="s">
        <v>194</v>
      </c>
      <c r="F51">
        <v>201</v>
      </c>
      <c r="G51" s="113">
        <v>2</v>
      </c>
      <c r="H51">
        <v>4</v>
      </c>
      <c r="I51" t="s">
        <v>195</v>
      </c>
      <c r="J51">
        <v>25</v>
      </c>
      <c r="K51">
        <v>33</v>
      </c>
      <c r="L51">
        <v>28</v>
      </c>
      <c r="M51">
        <v>31.8</v>
      </c>
      <c r="N51">
        <v>48.2</v>
      </c>
      <c r="O51">
        <v>37.549199999999999</v>
      </c>
      <c r="P51">
        <v>24.647500000000001</v>
      </c>
      <c r="Q51">
        <v>33.280299999999997</v>
      </c>
      <c r="R51">
        <v>27.904699999999998</v>
      </c>
      <c r="T51" t="s">
        <v>168</v>
      </c>
      <c r="U51" t="s">
        <v>169</v>
      </c>
      <c r="V51" t="s">
        <v>196</v>
      </c>
      <c r="W51" t="s">
        <v>197</v>
      </c>
      <c r="Y51">
        <v>8</v>
      </c>
      <c r="Z51" t="s">
        <v>172</v>
      </c>
      <c r="AA51" t="s">
        <v>173</v>
      </c>
      <c r="AB51" t="s">
        <v>170</v>
      </c>
      <c r="AC51" t="s">
        <v>232</v>
      </c>
      <c r="AD51">
        <v>10</v>
      </c>
      <c r="AG51" t="s">
        <v>176</v>
      </c>
      <c r="AH51" t="s">
        <v>177</v>
      </c>
      <c r="AI51" t="s">
        <v>178</v>
      </c>
      <c r="AJ51" t="s">
        <v>179</v>
      </c>
      <c r="AK51" t="s">
        <v>173</v>
      </c>
      <c r="AL51" t="s">
        <v>180</v>
      </c>
      <c r="AM51">
        <v>88</v>
      </c>
      <c r="AN51">
        <v>10</v>
      </c>
      <c r="AS51">
        <v>2200</v>
      </c>
      <c r="AT51">
        <v>2200</v>
      </c>
      <c r="BN51" s="114" t="s">
        <v>198</v>
      </c>
      <c r="BO51">
        <v>2</v>
      </c>
      <c r="BP51">
        <v>2</v>
      </c>
      <c r="BQ51">
        <v>3</v>
      </c>
      <c r="BR51" t="s">
        <v>300</v>
      </c>
      <c r="BS51" t="s">
        <v>182</v>
      </c>
      <c r="BT51" t="s">
        <v>183</v>
      </c>
      <c r="BU51" s="115">
        <v>45870</v>
      </c>
      <c r="BV51">
        <v>36643</v>
      </c>
      <c r="BW51" s="116"/>
      <c r="BX51" t="s">
        <v>173</v>
      </c>
      <c r="BY51" t="s">
        <v>173</v>
      </c>
      <c r="CB51" t="s">
        <v>173</v>
      </c>
      <c r="CC51" t="s">
        <v>173</v>
      </c>
      <c r="CE51" t="s">
        <v>173</v>
      </c>
      <c r="CG51" t="s">
        <v>172</v>
      </c>
      <c r="CH51" t="s">
        <v>199</v>
      </c>
      <c r="CI51" t="s">
        <v>172</v>
      </c>
      <c r="CJ51" t="s">
        <v>200</v>
      </c>
      <c r="DJ51" t="s">
        <v>201</v>
      </c>
      <c r="DK51" t="s">
        <v>202</v>
      </c>
      <c r="DN51" t="s">
        <v>173</v>
      </c>
      <c r="DO51" t="s">
        <v>203</v>
      </c>
      <c r="DP51" t="s">
        <v>172</v>
      </c>
      <c r="DQ51" t="s">
        <v>204</v>
      </c>
      <c r="DY51">
        <v>37.799999999999997</v>
      </c>
      <c r="EA51" s="117"/>
      <c r="EB51">
        <v>5</v>
      </c>
      <c r="EC51">
        <v>5</v>
      </c>
      <c r="EE51" t="s">
        <v>301</v>
      </c>
      <c r="EF51">
        <v>2</v>
      </c>
      <c r="EV51">
        <v>2500</v>
      </c>
      <c r="EW51">
        <v>355</v>
      </c>
      <c r="EX51">
        <v>262</v>
      </c>
      <c r="EY51">
        <v>313</v>
      </c>
    </row>
    <row r="52" spans="1:155" x14ac:dyDescent="0.35">
      <c r="A52">
        <v>2026</v>
      </c>
      <c r="B52" t="s">
        <v>192</v>
      </c>
      <c r="C52" s="112" t="s">
        <v>192</v>
      </c>
      <c r="D52" t="s">
        <v>303</v>
      </c>
      <c r="E52" t="s">
        <v>194</v>
      </c>
      <c r="F52">
        <v>404</v>
      </c>
      <c r="G52" s="113">
        <v>2</v>
      </c>
      <c r="H52">
        <v>4</v>
      </c>
      <c r="I52" t="s">
        <v>195</v>
      </c>
      <c r="J52">
        <v>27</v>
      </c>
      <c r="K52">
        <v>35</v>
      </c>
      <c r="L52">
        <v>30</v>
      </c>
      <c r="M52">
        <v>34.532899999999998</v>
      </c>
      <c r="N52">
        <v>50.467100000000002</v>
      </c>
      <c r="O52">
        <v>40.251899999999999</v>
      </c>
      <c r="P52">
        <v>26.535699999999999</v>
      </c>
      <c r="Q52">
        <v>34.672400000000003</v>
      </c>
      <c r="R52">
        <v>29.668800000000001</v>
      </c>
      <c r="T52" t="s">
        <v>168</v>
      </c>
      <c r="U52" t="s">
        <v>169</v>
      </c>
      <c r="V52" t="s">
        <v>196</v>
      </c>
      <c r="W52" t="s">
        <v>197</v>
      </c>
      <c r="Y52">
        <v>8</v>
      </c>
      <c r="Z52" t="s">
        <v>172</v>
      </c>
      <c r="AA52" t="s">
        <v>173</v>
      </c>
      <c r="AB52" t="s">
        <v>174</v>
      </c>
      <c r="AC52" t="s">
        <v>175</v>
      </c>
      <c r="AD52">
        <v>10</v>
      </c>
      <c r="AG52" t="s">
        <v>176</v>
      </c>
      <c r="AH52" t="s">
        <v>177</v>
      </c>
      <c r="AI52" t="s">
        <v>178</v>
      </c>
      <c r="AJ52" t="s">
        <v>179</v>
      </c>
      <c r="AK52" t="s">
        <v>173</v>
      </c>
      <c r="AL52" t="s">
        <v>180</v>
      </c>
      <c r="AM52">
        <v>84</v>
      </c>
      <c r="AN52">
        <v>9</v>
      </c>
      <c r="AS52">
        <v>2100</v>
      </c>
      <c r="AT52">
        <v>2100</v>
      </c>
      <c r="BN52" s="114" t="s">
        <v>304</v>
      </c>
      <c r="BO52">
        <v>2</v>
      </c>
      <c r="BP52">
        <v>2</v>
      </c>
      <c r="BQ52">
        <v>3</v>
      </c>
      <c r="BR52" t="s">
        <v>300</v>
      </c>
      <c r="BS52" t="s">
        <v>182</v>
      </c>
      <c r="BT52" t="s">
        <v>183</v>
      </c>
      <c r="BU52" s="115">
        <v>45748</v>
      </c>
      <c r="BV52">
        <v>36634</v>
      </c>
      <c r="BW52" s="116"/>
      <c r="BX52" t="s">
        <v>172</v>
      </c>
      <c r="BY52" t="s">
        <v>173</v>
      </c>
      <c r="CB52" t="s">
        <v>173</v>
      </c>
      <c r="CC52" t="s">
        <v>173</v>
      </c>
      <c r="CE52" t="s">
        <v>173</v>
      </c>
      <c r="CG52" t="s">
        <v>172</v>
      </c>
      <c r="CH52" t="s">
        <v>282</v>
      </c>
      <c r="CI52" t="s">
        <v>172</v>
      </c>
      <c r="CJ52" t="s">
        <v>305</v>
      </c>
      <c r="CK52" t="s">
        <v>259</v>
      </c>
      <c r="CM52">
        <v>1</v>
      </c>
      <c r="CN52" t="s">
        <v>260</v>
      </c>
      <c r="CP52">
        <v>44</v>
      </c>
      <c r="CQ52">
        <v>10</v>
      </c>
      <c r="CR52">
        <v>40</v>
      </c>
      <c r="CS52" t="s">
        <v>261</v>
      </c>
      <c r="CV52" t="s">
        <v>262</v>
      </c>
      <c r="CX52" t="s">
        <v>263</v>
      </c>
      <c r="CY52" t="s">
        <v>173</v>
      </c>
      <c r="DC52" t="s">
        <v>306</v>
      </c>
      <c r="DD52">
        <v>1</v>
      </c>
      <c r="DE52" t="s">
        <v>307</v>
      </c>
      <c r="DF52" t="s">
        <v>308</v>
      </c>
      <c r="DG52">
        <v>8</v>
      </c>
      <c r="DJ52" t="s">
        <v>250</v>
      </c>
      <c r="DK52" t="s">
        <v>251</v>
      </c>
      <c r="DL52" t="s">
        <v>173</v>
      </c>
      <c r="DM52" t="s">
        <v>173</v>
      </c>
      <c r="DN52" t="s">
        <v>173</v>
      </c>
      <c r="DO52" t="s">
        <v>309</v>
      </c>
      <c r="DP52" t="s">
        <v>172</v>
      </c>
      <c r="DQ52" t="s">
        <v>204</v>
      </c>
      <c r="DY52">
        <v>40.5</v>
      </c>
      <c r="EA52" s="117"/>
      <c r="EB52">
        <v>6</v>
      </c>
      <c r="EC52">
        <v>6</v>
      </c>
      <c r="EE52" t="s">
        <v>310</v>
      </c>
      <c r="EF52">
        <v>7</v>
      </c>
      <c r="EV52">
        <v>2000</v>
      </c>
      <c r="EW52">
        <v>329</v>
      </c>
      <c r="EX52">
        <v>253</v>
      </c>
      <c r="EY52">
        <v>295</v>
      </c>
    </row>
    <row r="53" spans="1:155" x14ac:dyDescent="0.35">
      <c r="A53">
        <v>2026</v>
      </c>
      <c r="B53" t="s">
        <v>192</v>
      </c>
      <c r="C53" s="112" t="s">
        <v>192</v>
      </c>
      <c r="D53" t="s">
        <v>311</v>
      </c>
      <c r="E53" t="s">
        <v>194</v>
      </c>
      <c r="F53">
        <v>400</v>
      </c>
      <c r="G53" s="113">
        <v>2</v>
      </c>
      <c r="H53">
        <v>4</v>
      </c>
      <c r="I53" t="s">
        <v>195</v>
      </c>
      <c r="J53">
        <v>28</v>
      </c>
      <c r="K53">
        <v>36</v>
      </c>
      <c r="L53">
        <v>31</v>
      </c>
      <c r="M53">
        <v>36.305399999999999</v>
      </c>
      <c r="N53">
        <v>52.442700000000002</v>
      </c>
      <c r="O53">
        <v>42.140700000000002</v>
      </c>
      <c r="P53">
        <v>27.743200000000002</v>
      </c>
      <c r="Q53">
        <v>35.874299999999998</v>
      </c>
      <c r="R53">
        <v>30.894200000000001</v>
      </c>
      <c r="T53" t="s">
        <v>168</v>
      </c>
      <c r="U53" t="s">
        <v>169</v>
      </c>
      <c r="V53" t="s">
        <v>196</v>
      </c>
      <c r="W53" t="s">
        <v>197</v>
      </c>
      <c r="Y53">
        <v>8</v>
      </c>
      <c r="Z53" t="s">
        <v>172</v>
      </c>
      <c r="AA53" t="s">
        <v>173</v>
      </c>
      <c r="AB53" t="s">
        <v>174</v>
      </c>
      <c r="AC53" t="s">
        <v>175</v>
      </c>
      <c r="AD53">
        <v>10</v>
      </c>
      <c r="AG53" t="s">
        <v>176</v>
      </c>
      <c r="AH53" t="s">
        <v>177</v>
      </c>
      <c r="AI53" t="s">
        <v>178</v>
      </c>
      <c r="AJ53" t="s">
        <v>179</v>
      </c>
      <c r="AK53" t="s">
        <v>173</v>
      </c>
      <c r="AL53" t="s">
        <v>180</v>
      </c>
      <c r="AM53">
        <v>86</v>
      </c>
      <c r="AN53">
        <v>12</v>
      </c>
      <c r="AS53">
        <v>2000</v>
      </c>
      <c r="AT53">
        <v>2000</v>
      </c>
      <c r="BN53" s="114" t="s">
        <v>304</v>
      </c>
      <c r="BO53">
        <v>2</v>
      </c>
      <c r="BP53">
        <v>2</v>
      </c>
      <c r="BQ53">
        <v>3</v>
      </c>
      <c r="BR53" t="s">
        <v>300</v>
      </c>
      <c r="BS53" t="s">
        <v>182</v>
      </c>
      <c r="BT53" t="s">
        <v>183</v>
      </c>
      <c r="BU53" s="115">
        <v>45748</v>
      </c>
      <c r="BV53">
        <v>36635</v>
      </c>
      <c r="BW53" s="116"/>
      <c r="BX53" t="s">
        <v>172</v>
      </c>
      <c r="BY53" t="s">
        <v>173</v>
      </c>
      <c r="CB53" t="s">
        <v>173</v>
      </c>
      <c r="CC53" t="s">
        <v>173</v>
      </c>
      <c r="CE53" t="s">
        <v>173</v>
      </c>
      <c r="CG53" t="s">
        <v>172</v>
      </c>
      <c r="CH53" t="s">
        <v>282</v>
      </c>
      <c r="CI53" t="s">
        <v>172</v>
      </c>
      <c r="CJ53" t="s">
        <v>305</v>
      </c>
      <c r="CK53" t="s">
        <v>259</v>
      </c>
      <c r="CM53">
        <v>1</v>
      </c>
      <c r="CN53" t="s">
        <v>260</v>
      </c>
      <c r="CP53">
        <v>44</v>
      </c>
      <c r="CQ53">
        <v>10</v>
      </c>
      <c r="CR53">
        <v>40</v>
      </c>
      <c r="CS53" t="s">
        <v>261</v>
      </c>
      <c r="CV53" t="s">
        <v>262</v>
      </c>
      <c r="CX53" t="s">
        <v>263</v>
      </c>
      <c r="CY53" t="s">
        <v>173</v>
      </c>
      <c r="DC53" t="s">
        <v>306</v>
      </c>
      <c r="DD53">
        <v>1</v>
      </c>
      <c r="DE53" t="s">
        <v>307</v>
      </c>
      <c r="DF53" t="s">
        <v>308</v>
      </c>
      <c r="DG53">
        <v>8</v>
      </c>
      <c r="DJ53" t="s">
        <v>250</v>
      </c>
      <c r="DK53" t="s">
        <v>251</v>
      </c>
      <c r="DL53" t="s">
        <v>173</v>
      </c>
      <c r="DM53" t="s">
        <v>173</v>
      </c>
      <c r="DN53" t="s">
        <v>173</v>
      </c>
      <c r="DO53" t="s">
        <v>309</v>
      </c>
      <c r="DP53" t="s">
        <v>172</v>
      </c>
      <c r="DQ53" t="s">
        <v>204</v>
      </c>
      <c r="DY53">
        <v>42.4</v>
      </c>
      <c r="EA53" s="117"/>
      <c r="EB53">
        <v>6</v>
      </c>
      <c r="EC53">
        <v>6</v>
      </c>
      <c r="EE53" t="s">
        <v>310</v>
      </c>
      <c r="EF53">
        <v>7</v>
      </c>
      <c r="EV53">
        <v>1500</v>
      </c>
      <c r="EW53">
        <v>315</v>
      </c>
      <c r="EX53">
        <v>248</v>
      </c>
      <c r="EY53">
        <v>285</v>
      </c>
    </row>
    <row r="54" spans="1:155" x14ac:dyDescent="0.35">
      <c r="A54">
        <v>2026</v>
      </c>
      <c r="B54" t="s">
        <v>192</v>
      </c>
      <c r="C54" s="112" t="s">
        <v>192</v>
      </c>
      <c r="D54" t="s">
        <v>312</v>
      </c>
      <c r="E54" t="s">
        <v>194</v>
      </c>
      <c r="F54">
        <v>405</v>
      </c>
      <c r="G54" s="113">
        <v>2</v>
      </c>
      <c r="H54">
        <v>4</v>
      </c>
      <c r="I54" t="s">
        <v>195</v>
      </c>
      <c r="J54">
        <v>24</v>
      </c>
      <c r="K54">
        <v>33</v>
      </c>
      <c r="L54">
        <v>28</v>
      </c>
      <c r="M54">
        <v>31.443000000000001</v>
      </c>
      <c r="N54">
        <v>47.988300000000002</v>
      </c>
      <c r="O54">
        <v>37.217199999999998</v>
      </c>
      <c r="P54">
        <v>24.398399999999999</v>
      </c>
      <c r="Q54">
        <v>33.149500000000003</v>
      </c>
      <c r="R54">
        <v>27.6875</v>
      </c>
      <c r="T54" t="s">
        <v>168</v>
      </c>
      <c r="U54" t="s">
        <v>169</v>
      </c>
      <c r="V54" t="s">
        <v>196</v>
      </c>
      <c r="W54" t="s">
        <v>197</v>
      </c>
      <c r="Y54">
        <v>8</v>
      </c>
      <c r="Z54" t="s">
        <v>172</v>
      </c>
      <c r="AA54" t="s">
        <v>173</v>
      </c>
      <c r="AB54" t="s">
        <v>170</v>
      </c>
      <c r="AC54" t="s">
        <v>232</v>
      </c>
      <c r="AD54">
        <v>10</v>
      </c>
      <c r="AG54" t="s">
        <v>176</v>
      </c>
      <c r="AH54" t="s">
        <v>177</v>
      </c>
      <c r="AI54" t="s">
        <v>178</v>
      </c>
      <c r="AJ54" t="s">
        <v>179</v>
      </c>
      <c r="AK54" t="s">
        <v>173</v>
      </c>
      <c r="AL54" t="s">
        <v>180</v>
      </c>
      <c r="AM54">
        <v>84</v>
      </c>
      <c r="AN54">
        <v>9</v>
      </c>
      <c r="AS54">
        <v>2200</v>
      </c>
      <c r="AT54">
        <v>2200</v>
      </c>
      <c r="BN54" s="114" t="s">
        <v>304</v>
      </c>
      <c r="BO54">
        <v>2</v>
      </c>
      <c r="BP54">
        <v>2</v>
      </c>
      <c r="BQ54">
        <v>3</v>
      </c>
      <c r="BR54" t="s">
        <v>300</v>
      </c>
      <c r="BS54" t="s">
        <v>182</v>
      </c>
      <c r="BT54" t="s">
        <v>183</v>
      </c>
      <c r="BU54" s="115">
        <v>45748</v>
      </c>
      <c r="BV54">
        <v>36636</v>
      </c>
      <c r="BW54" s="116"/>
      <c r="BX54" t="s">
        <v>173</v>
      </c>
      <c r="BY54" t="s">
        <v>173</v>
      </c>
      <c r="CB54" t="s">
        <v>173</v>
      </c>
      <c r="CC54" t="s">
        <v>173</v>
      </c>
      <c r="CE54" t="s">
        <v>173</v>
      </c>
      <c r="CG54" t="s">
        <v>172</v>
      </c>
      <c r="CH54" t="s">
        <v>282</v>
      </c>
      <c r="CI54" t="s">
        <v>172</v>
      </c>
      <c r="CJ54" t="s">
        <v>305</v>
      </c>
      <c r="CK54" t="s">
        <v>259</v>
      </c>
      <c r="CM54">
        <v>1</v>
      </c>
      <c r="CN54" t="s">
        <v>260</v>
      </c>
      <c r="CP54">
        <v>44</v>
      </c>
      <c r="CQ54">
        <v>10</v>
      </c>
      <c r="CR54">
        <v>40</v>
      </c>
      <c r="CS54" t="s">
        <v>261</v>
      </c>
      <c r="CV54" t="s">
        <v>262</v>
      </c>
      <c r="CX54" t="s">
        <v>263</v>
      </c>
      <c r="CY54" t="s">
        <v>173</v>
      </c>
      <c r="DC54" t="s">
        <v>306</v>
      </c>
      <c r="DD54">
        <v>1</v>
      </c>
      <c r="DE54" t="s">
        <v>307</v>
      </c>
      <c r="DF54" t="s">
        <v>308</v>
      </c>
      <c r="DG54">
        <v>8</v>
      </c>
      <c r="DJ54" t="s">
        <v>250</v>
      </c>
      <c r="DK54" t="s">
        <v>251</v>
      </c>
      <c r="DL54" t="s">
        <v>173</v>
      </c>
      <c r="DM54" t="s">
        <v>173</v>
      </c>
      <c r="DN54" t="s">
        <v>173</v>
      </c>
      <c r="DO54" t="s">
        <v>309</v>
      </c>
      <c r="DP54" t="s">
        <v>172</v>
      </c>
      <c r="DQ54" t="s">
        <v>204</v>
      </c>
      <c r="DY54">
        <v>37.5</v>
      </c>
      <c r="EA54" s="117"/>
      <c r="EB54">
        <v>5</v>
      </c>
      <c r="EC54">
        <v>5</v>
      </c>
      <c r="EE54" t="s">
        <v>310</v>
      </c>
      <c r="EF54">
        <v>7</v>
      </c>
      <c r="EV54">
        <v>2500</v>
      </c>
      <c r="EW54">
        <v>359</v>
      </c>
      <c r="EX54">
        <v>263</v>
      </c>
      <c r="EY54">
        <v>316</v>
      </c>
    </row>
    <row r="55" spans="1:155" x14ac:dyDescent="0.35">
      <c r="A55">
        <v>2026</v>
      </c>
      <c r="B55" t="s">
        <v>192</v>
      </c>
      <c r="C55" s="112" t="s">
        <v>192</v>
      </c>
      <c r="D55" t="s">
        <v>313</v>
      </c>
      <c r="E55" t="s">
        <v>194</v>
      </c>
      <c r="F55">
        <v>402</v>
      </c>
      <c r="G55" s="113">
        <v>2</v>
      </c>
      <c r="H55">
        <v>4</v>
      </c>
      <c r="I55" t="s">
        <v>195</v>
      </c>
      <c r="J55">
        <v>27</v>
      </c>
      <c r="K55">
        <v>34</v>
      </c>
      <c r="L55">
        <v>30</v>
      </c>
      <c r="M55">
        <v>35.148000000000003</v>
      </c>
      <c r="N55">
        <v>49.711799999999997</v>
      </c>
      <c r="O55">
        <v>40.485300000000002</v>
      </c>
      <c r="P55">
        <v>26.956299999999999</v>
      </c>
      <c r="Q55">
        <v>34.210099999999997</v>
      </c>
      <c r="R55">
        <v>29.799700000000001</v>
      </c>
      <c r="T55" t="s">
        <v>168</v>
      </c>
      <c r="U55" t="s">
        <v>169</v>
      </c>
      <c r="V55" t="s">
        <v>196</v>
      </c>
      <c r="W55" t="s">
        <v>197</v>
      </c>
      <c r="Y55">
        <v>8</v>
      </c>
      <c r="Z55" t="s">
        <v>172</v>
      </c>
      <c r="AA55" t="s">
        <v>173</v>
      </c>
      <c r="AB55" t="s">
        <v>170</v>
      </c>
      <c r="AC55" t="s">
        <v>232</v>
      </c>
      <c r="AD55">
        <v>10</v>
      </c>
      <c r="AG55" t="s">
        <v>176</v>
      </c>
      <c r="AH55" t="s">
        <v>177</v>
      </c>
      <c r="AI55" t="s">
        <v>178</v>
      </c>
      <c r="AJ55" t="s">
        <v>179</v>
      </c>
      <c r="AK55" t="s">
        <v>173</v>
      </c>
      <c r="AL55" t="s">
        <v>180</v>
      </c>
      <c r="AM55">
        <v>86</v>
      </c>
      <c r="AN55">
        <v>12</v>
      </c>
      <c r="AS55">
        <v>2100</v>
      </c>
      <c r="AT55">
        <v>2100</v>
      </c>
      <c r="BN55" s="114" t="s">
        <v>304</v>
      </c>
      <c r="BO55">
        <v>2</v>
      </c>
      <c r="BP55">
        <v>2</v>
      </c>
      <c r="BQ55">
        <v>3</v>
      </c>
      <c r="BR55" t="s">
        <v>300</v>
      </c>
      <c r="BS55" t="s">
        <v>182</v>
      </c>
      <c r="BT55" t="s">
        <v>183</v>
      </c>
      <c r="BU55" s="115">
        <v>45748</v>
      </c>
      <c r="BV55">
        <v>36637</v>
      </c>
      <c r="BW55" s="116"/>
      <c r="BX55" t="s">
        <v>172</v>
      </c>
      <c r="BY55" t="s">
        <v>173</v>
      </c>
      <c r="CB55" t="s">
        <v>173</v>
      </c>
      <c r="CC55" t="s">
        <v>173</v>
      </c>
      <c r="CE55" t="s">
        <v>173</v>
      </c>
      <c r="CG55" t="s">
        <v>172</v>
      </c>
      <c r="CH55" t="s">
        <v>282</v>
      </c>
      <c r="CI55" t="s">
        <v>172</v>
      </c>
      <c r="CJ55" t="s">
        <v>305</v>
      </c>
      <c r="CK55" t="s">
        <v>259</v>
      </c>
      <c r="CM55">
        <v>1</v>
      </c>
      <c r="CN55" t="s">
        <v>260</v>
      </c>
      <c r="CP55">
        <v>44</v>
      </c>
      <c r="CQ55">
        <v>10</v>
      </c>
      <c r="CR55">
        <v>40</v>
      </c>
      <c r="CS55" t="s">
        <v>261</v>
      </c>
      <c r="CV55" t="s">
        <v>262</v>
      </c>
      <c r="CX55" t="s">
        <v>263</v>
      </c>
      <c r="CY55" t="s">
        <v>173</v>
      </c>
      <c r="DC55" t="s">
        <v>306</v>
      </c>
      <c r="DD55">
        <v>1</v>
      </c>
      <c r="DE55" t="s">
        <v>307</v>
      </c>
      <c r="DF55" t="s">
        <v>308</v>
      </c>
      <c r="DG55">
        <v>8</v>
      </c>
      <c r="DJ55" t="s">
        <v>250</v>
      </c>
      <c r="DK55" t="s">
        <v>251</v>
      </c>
      <c r="DL55" t="s">
        <v>173</v>
      </c>
      <c r="DM55" t="s">
        <v>173</v>
      </c>
      <c r="DN55" t="s">
        <v>173</v>
      </c>
      <c r="DO55" t="s">
        <v>309</v>
      </c>
      <c r="DP55" t="s">
        <v>172</v>
      </c>
      <c r="DQ55" t="s">
        <v>204</v>
      </c>
      <c r="DY55">
        <v>40.799999999999997</v>
      </c>
      <c r="EA55" s="117"/>
      <c r="EB55">
        <v>6</v>
      </c>
      <c r="EC55">
        <v>6</v>
      </c>
      <c r="EE55" t="s">
        <v>310</v>
      </c>
      <c r="EF55">
        <v>7</v>
      </c>
      <c r="EV55">
        <v>2000</v>
      </c>
      <c r="EW55">
        <v>325</v>
      </c>
      <c r="EX55">
        <v>256</v>
      </c>
      <c r="EY55">
        <v>294</v>
      </c>
    </row>
    <row r="56" spans="1:155" x14ac:dyDescent="0.35">
      <c r="A56">
        <v>2026</v>
      </c>
      <c r="B56" t="s">
        <v>192</v>
      </c>
      <c r="C56" s="112" t="s">
        <v>192</v>
      </c>
      <c r="D56" t="s">
        <v>314</v>
      </c>
      <c r="E56" t="s">
        <v>194</v>
      </c>
      <c r="F56">
        <v>804</v>
      </c>
      <c r="G56" s="113">
        <v>3</v>
      </c>
      <c r="H56">
        <v>6</v>
      </c>
      <c r="I56" t="s">
        <v>195</v>
      </c>
      <c r="J56">
        <v>21</v>
      </c>
      <c r="K56">
        <v>29</v>
      </c>
      <c r="L56">
        <v>24</v>
      </c>
      <c r="M56">
        <v>26.808</v>
      </c>
      <c r="N56">
        <v>41.4574</v>
      </c>
      <c r="O56">
        <v>31.8767</v>
      </c>
      <c r="P56">
        <v>21.112500000000001</v>
      </c>
      <c r="Q56">
        <v>29.0564</v>
      </c>
      <c r="R56">
        <v>24.074300000000001</v>
      </c>
      <c r="T56" t="s">
        <v>168</v>
      </c>
      <c r="U56" t="s">
        <v>169</v>
      </c>
      <c r="V56" t="s">
        <v>196</v>
      </c>
      <c r="W56" t="s">
        <v>197</v>
      </c>
      <c r="Y56">
        <v>8</v>
      </c>
      <c r="Z56" t="s">
        <v>172</v>
      </c>
      <c r="AA56" t="s">
        <v>173</v>
      </c>
      <c r="AB56" t="s">
        <v>174</v>
      </c>
      <c r="AC56" t="s">
        <v>175</v>
      </c>
      <c r="AD56">
        <v>10</v>
      </c>
      <c r="AG56" t="s">
        <v>176</v>
      </c>
      <c r="AH56" t="s">
        <v>177</v>
      </c>
      <c r="AI56" t="s">
        <v>178</v>
      </c>
      <c r="AJ56" t="s">
        <v>179</v>
      </c>
      <c r="AK56" t="s">
        <v>173</v>
      </c>
      <c r="AL56" t="s">
        <v>180</v>
      </c>
      <c r="AM56">
        <v>81</v>
      </c>
      <c r="AN56">
        <v>12</v>
      </c>
      <c r="AS56">
        <v>2600</v>
      </c>
      <c r="AT56">
        <v>2600</v>
      </c>
      <c r="BN56" s="114" t="s">
        <v>198</v>
      </c>
      <c r="BO56">
        <v>2</v>
      </c>
      <c r="BP56">
        <v>2</v>
      </c>
      <c r="BQ56">
        <v>3</v>
      </c>
      <c r="BR56" t="s">
        <v>300</v>
      </c>
      <c r="BS56" t="s">
        <v>182</v>
      </c>
      <c r="BT56" t="s">
        <v>183</v>
      </c>
      <c r="BU56" s="115">
        <v>45748</v>
      </c>
      <c r="BV56">
        <v>36406</v>
      </c>
      <c r="BW56" s="116"/>
      <c r="BX56" t="s">
        <v>173</v>
      </c>
      <c r="BY56" t="s">
        <v>173</v>
      </c>
      <c r="CB56" t="s">
        <v>173</v>
      </c>
      <c r="CC56" t="s">
        <v>173</v>
      </c>
      <c r="CE56" t="s">
        <v>173</v>
      </c>
      <c r="CG56" t="s">
        <v>172</v>
      </c>
      <c r="CH56" t="s">
        <v>282</v>
      </c>
      <c r="CI56" t="s">
        <v>172</v>
      </c>
      <c r="CJ56" t="s">
        <v>283</v>
      </c>
      <c r="DJ56" t="s">
        <v>201</v>
      </c>
      <c r="DK56" t="s">
        <v>202</v>
      </c>
      <c r="DN56" t="s">
        <v>173</v>
      </c>
      <c r="DO56" t="s">
        <v>284</v>
      </c>
      <c r="DP56" t="s">
        <v>172</v>
      </c>
      <c r="DQ56" t="s">
        <v>204</v>
      </c>
      <c r="DY56">
        <v>32.1</v>
      </c>
      <c r="EA56" s="117"/>
      <c r="EB56">
        <v>5</v>
      </c>
      <c r="EC56">
        <v>5</v>
      </c>
      <c r="EE56" t="s">
        <v>315</v>
      </c>
      <c r="EF56">
        <v>2</v>
      </c>
      <c r="EV56">
        <v>4500</v>
      </c>
      <c r="EW56">
        <v>420</v>
      </c>
      <c r="EX56">
        <v>305</v>
      </c>
      <c r="EY56">
        <v>368</v>
      </c>
    </row>
    <row r="57" spans="1:155" x14ac:dyDescent="0.35">
      <c r="A57">
        <v>2026</v>
      </c>
      <c r="B57" t="s">
        <v>192</v>
      </c>
      <c r="C57" s="112" t="s">
        <v>192</v>
      </c>
      <c r="D57" t="s">
        <v>316</v>
      </c>
      <c r="E57" t="s">
        <v>194</v>
      </c>
      <c r="F57">
        <v>800</v>
      </c>
      <c r="G57" s="113">
        <v>3</v>
      </c>
      <c r="H57">
        <v>6</v>
      </c>
      <c r="I57" t="s">
        <v>195</v>
      </c>
      <c r="J57">
        <v>21</v>
      </c>
      <c r="K57">
        <v>29</v>
      </c>
      <c r="L57">
        <v>24</v>
      </c>
      <c r="M57">
        <v>26.808499999999999</v>
      </c>
      <c r="N57">
        <v>41.457999999999998</v>
      </c>
      <c r="O57">
        <v>31.877300000000002</v>
      </c>
      <c r="P57">
        <v>21.1128</v>
      </c>
      <c r="Q57">
        <v>29.056799999999999</v>
      </c>
      <c r="R57">
        <v>24.0747</v>
      </c>
      <c r="T57" t="s">
        <v>168</v>
      </c>
      <c r="U57" t="s">
        <v>169</v>
      </c>
      <c r="V57" t="s">
        <v>196</v>
      </c>
      <c r="W57" t="s">
        <v>197</v>
      </c>
      <c r="Y57">
        <v>8</v>
      </c>
      <c r="Z57" t="s">
        <v>172</v>
      </c>
      <c r="AA57" t="s">
        <v>173</v>
      </c>
      <c r="AB57" t="s">
        <v>174</v>
      </c>
      <c r="AC57" t="s">
        <v>175</v>
      </c>
      <c r="AD57">
        <v>10</v>
      </c>
      <c r="AG57" t="s">
        <v>176</v>
      </c>
      <c r="AH57" t="s">
        <v>177</v>
      </c>
      <c r="AI57" t="s">
        <v>178</v>
      </c>
      <c r="AJ57" t="s">
        <v>179</v>
      </c>
      <c r="AK57" t="s">
        <v>173</v>
      </c>
      <c r="AL57" t="s">
        <v>180</v>
      </c>
      <c r="AM57">
        <v>81</v>
      </c>
      <c r="AN57">
        <v>15</v>
      </c>
      <c r="AS57">
        <v>2600</v>
      </c>
      <c r="AT57">
        <v>2600</v>
      </c>
      <c r="BN57" s="114" t="s">
        <v>198</v>
      </c>
      <c r="BO57">
        <v>2</v>
      </c>
      <c r="BP57">
        <v>2</v>
      </c>
      <c r="BQ57">
        <v>3</v>
      </c>
      <c r="BR57" t="s">
        <v>300</v>
      </c>
      <c r="BS57" t="s">
        <v>182</v>
      </c>
      <c r="BT57" t="s">
        <v>183</v>
      </c>
      <c r="BU57" s="115">
        <v>45748</v>
      </c>
      <c r="BV57">
        <v>36403</v>
      </c>
      <c r="BW57" s="116"/>
      <c r="BX57" t="s">
        <v>172</v>
      </c>
      <c r="BY57" t="s">
        <v>173</v>
      </c>
      <c r="CB57" t="s">
        <v>173</v>
      </c>
      <c r="CC57" t="s">
        <v>173</v>
      </c>
      <c r="CE57" t="s">
        <v>173</v>
      </c>
      <c r="CG57" t="s">
        <v>172</v>
      </c>
      <c r="CH57" t="s">
        <v>282</v>
      </c>
      <c r="CI57" t="s">
        <v>172</v>
      </c>
      <c r="CJ57" t="s">
        <v>283</v>
      </c>
      <c r="DJ57" t="s">
        <v>201</v>
      </c>
      <c r="DK57" t="s">
        <v>202</v>
      </c>
      <c r="DN57" t="s">
        <v>173</v>
      </c>
      <c r="DO57" t="s">
        <v>284</v>
      </c>
      <c r="DP57" t="s">
        <v>172</v>
      </c>
      <c r="DQ57" t="s">
        <v>204</v>
      </c>
      <c r="DY57">
        <v>32.1</v>
      </c>
      <c r="EA57" s="117"/>
      <c r="EB57">
        <v>5</v>
      </c>
      <c r="EC57">
        <v>5</v>
      </c>
      <c r="EE57" t="s">
        <v>315</v>
      </c>
      <c r="EF57">
        <v>2</v>
      </c>
      <c r="EV57">
        <v>4500</v>
      </c>
      <c r="EW57">
        <v>420</v>
      </c>
      <c r="EX57">
        <v>305</v>
      </c>
      <c r="EY57">
        <v>368</v>
      </c>
    </row>
    <row r="58" spans="1:155" x14ac:dyDescent="0.35">
      <c r="A58">
        <v>2026</v>
      </c>
      <c r="B58" t="s">
        <v>192</v>
      </c>
      <c r="C58" s="112" t="s">
        <v>192</v>
      </c>
      <c r="D58" t="s">
        <v>317</v>
      </c>
      <c r="E58" t="s">
        <v>194</v>
      </c>
      <c r="F58">
        <v>806</v>
      </c>
      <c r="G58" s="113">
        <v>3</v>
      </c>
      <c r="H58">
        <v>6</v>
      </c>
      <c r="I58" t="s">
        <v>195</v>
      </c>
      <c r="J58">
        <v>21</v>
      </c>
      <c r="K58">
        <v>29</v>
      </c>
      <c r="L58">
        <v>24</v>
      </c>
      <c r="M58">
        <v>26.273800000000001</v>
      </c>
      <c r="N58">
        <v>40.832799999999999</v>
      </c>
      <c r="O58">
        <v>31.295000000000002</v>
      </c>
      <c r="P58">
        <v>20.727399999999999</v>
      </c>
      <c r="Q58">
        <v>28.6587</v>
      </c>
      <c r="R58">
        <v>23.675999999999998</v>
      </c>
      <c r="T58" t="s">
        <v>168</v>
      </c>
      <c r="U58" t="s">
        <v>169</v>
      </c>
      <c r="V58" t="s">
        <v>196</v>
      </c>
      <c r="W58" t="s">
        <v>197</v>
      </c>
      <c r="Y58">
        <v>8</v>
      </c>
      <c r="Z58" t="s">
        <v>172</v>
      </c>
      <c r="AA58" t="s">
        <v>173</v>
      </c>
      <c r="AB58" t="s">
        <v>170</v>
      </c>
      <c r="AC58" t="s">
        <v>232</v>
      </c>
      <c r="AD58">
        <v>10</v>
      </c>
      <c r="AG58" t="s">
        <v>176</v>
      </c>
      <c r="AH58" t="s">
        <v>177</v>
      </c>
      <c r="AI58" t="s">
        <v>178</v>
      </c>
      <c r="AJ58" t="s">
        <v>179</v>
      </c>
      <c r="AK58" t="s">
        <v>173</v>
      </c>
      <c r="AL58" t="s">
        <v>180</v>
      </c>
      <c r="AM58">
        <v>81</v>
      </c>
      <c r="AN58">
        <v>12</v>
      </c>
      <c r="AS58">
        <v>2600</v>
      </c>
      <c r="AT58">
        <v>2600</v>
      </c>
      <c r="BN58" s="114" t="s">
        <v>198</v>
      </c>
      <c r="BO58">
        <v>2</v>
      </c>
      <c r="BP58">
        <v>2</v>
      </c>
      <c r="BQ58">
        <v>3</v>
      </c>
      <c r="BR58" t="s">
        <v>300</v>
      </c>
      <c r="BS58" t="s">
        <v>182</v>
      </c>
      <c r="BT58" t="s">
        <v>183</v>
      </c>
      <c r="BU58" s="115">
        <v>45748</v>
      </c>
      <c r="BV58">
        <v>36398</v>
      </c>
      <c r="BW58" s="116"/>
      <c r="BX58" t="s">
        <v>173</v>
      </c>
      <c r="BY58" t="s">
        <v>173</v>
      </c>
      <c r="CB58" t="s">
        <v>173</v>
      </c>
      <c r="CC58" t="s">
        <v>173</v>
      </c>
      <c r="CE58" t="s">
        <v>173</v>
      </c>
      <c r="CG58" t="s">
        <v>172</v>
      </c>
      <c r="CH58" t="s">
        <v>282</v>
      </c>
      <c r="CI58" t="s">
        <v>172</v>
      </c>
      <c r="CJ58" t="s">
        <v>283</v>
      </c>
      <c r="DJ58" t="s">
        <v>201</v>
      </c>
      <c r="DK58" t="s">
        <v>202</v>
      </c>
      <c r="DN58" t="s">
        <v>173</v>
      </c>
      <c r="DO58" t="s">
        <v>284</v>
      </c>
      <c r="DP58" t="s">
        <v>172</v>
      </c>
      <c r="DQ58" t="s">
        <v>204</v>
      </c>
      <c r="DY58">
        <v>31.5</v>
      </c>
      <c r="EA58" s="117"/>
      <c r="EB58">
        <v>5</v>
      </c>
      <c r="EC58">
        <v>5</v>
      </c>
      <c r="EE58" t="s">
        <v>315</v>
      </c>
      <c r="EF58">
        <v>2</v>
      </c>
      <c r="EV58">
        <v>4500</v>
      </c>
      <c r="EW58">
        <v>426</v>
      </c>
      <c r="EX58">
        <v>308</v>
      </c>
      <c r="EY58">
        <v>373</v>
      </c>
    </row>
    <row r="59" spans="1:155" x14ac:dyDescent="0.35">
      <c r="A59">
        <v>2026</v>
      </c>
      <c r="B59" t="s">
        <v>192</v>
      </c>
      <c r="C59" s="112" t="s">
        <v>192</v>
      </c>
      <c r="D59" t="s">
        <v>318</v>
      </c>
      <c r="E59" t="s">
        <v>194</v>
      </c>
      <c r="F59">
        <v>802</v>
      </c>
      <c r="G59" s="113">
        <v>3</v>
      </c>
      <c r="H59">
        <v>6</v>
      </c>
      <c r="I59" t="s">
        <v>195</v>
      </c>
      <c r="J59">
        <v>21</v>
      </c>
      <c r="K59">
        <v>29</v>
      </c>
      <c r="L59">
        <v>24</v>
      </c>
      <c r="M59">
        <v>26.274899999999999</v>
      </c>
      <c r="N59">
        <v>40.834200000000003</v>
      </c>
      <c r="O59">
        <v>31.296199999999999</v>
      </c>
      <c r="P59">
        <v>20.728200000000001</v>
      </c>
      <c r="Q59">
        <v>28.659600000000001</v>
      </c>
      <c r="R59">
        <v>23.6768</v>
      </c>
      <c r="T59" t="s">
        <v>168</v>
      </c>
      <c r="U59" t="s">
        <v>169</v>
      </c>
      <c r="V59" t="s">
        <v>196</v>
      </c>
      <c r="W59" t="s">
        <v>197</v>
      </c>
      <c r="Y59">
        <v>8</v>
      </c>
      <c r="Z59" t="s">
        <v>172</v>
      </c>
      <c r="AA59" t="s">
        <v>173</v>
      </c>
      <c r="AB59" t="s">
        <v>170</v>
      </c>
      <c r="AC59" t="s">
        <v>232</v>
      </c>
      <c r="AD59">
        <v>10</v>
      </c>
      <c r="AG59" t="s">
        <v>176</v>
      </c>
      <c r="AH59" t="s">
        <v>177</v>
      </c>
      <c r="AI59" t="s">
        <v>178</v>
      </c>
      <c r="AJ59" t="s">
        <v>179</v>
      </c>
      <c r="AK59" t="s">
        <v>173</v>
      </c>
      <c r="AL59" t="s">
        <v>180</v>
      </c>
      <c r="AM59">
        <v>81</v>
      </c>
      <c r="AN59">
        <v>15</v>
      </c>
      <c r="AS59">
        <v>2600</v>
      </c>
      <c r="AT59">
        <v>2600</v>
      </c>
      <c r="BN59" s="114" t="s">
        <v>198</v>
      </c>
      <c r="BO59">
        <v>2</v>
      </c>
      <c r="BP59">
        <v>2</v>
      </c>
      <c r="BQ59">
        <v>3</v>
      </c>
      <c r="BR59" t="s">
        <v>300</v>
      </c>
      <c r="BS59" t="s">
        <v>182</v>
      </c>
      <c r="BT59" t="s">
        <v>183</v>
      </c>
      <c r="BU59" s="115">
        <v>45748</v>
      </c>
      <c r="BV59">
        <v>36396</v>
      </c>
      <c r="BW59" s="116"/>
      <c r="BX59" t="s">
        <v>172</v>
      </c>
      <c r="BY59" t="s">
        <v>173</v>
      </c>
      <c r="CB59" t="s">
        <v>173</v>
      </c>
      <c r="CC59" t="s">
        <v>173</v>
      </c>
      <c r="CE59" t="s">
        <v>173</v>
      </c>
      <c r="CG59" t="s">
        <v>172</v>
      </c>
      <c r="CH59" t="s">
        <v>282</v>
      </c>
      <c r="CI59" t="s">
        <v>172</v>
      </c>
      <c r="CJ59" t="s">
        <v>283</v>
      </c>
      <c r="DJ59" t="s">
        <v>201</v>
      </c>
      <c r="DK59" t="s">
        <v>202</v>
      </c>
      <c r="DN59" t="s">
        <v>173</v>
      </c>
      <c r="DO59" t="s">
        <v>284</v>
      </c>
      <c r="DP59" t="s">
        <v>172</v>
      </c>
      <c r="DQ59" t="s">
        <v>204</v>
      </c>
      <c r="DY59">
        <v>31.5</v>
      </c>
      <c r="EA59" s="117"/>
      <c r="EB59">
        <v>5</v>
      </c>
      <c r="EC59">
        <v>5</v>
      </c>
      <c r="EE59" t="s">
        <v>315</v>
      </c>
      <c r="EF59">
        <v>2</v>
      </c>
      <c r="EV59">
        <v>4500</v>
      </c>
      <c r="EW59">
        <v>426</v>
      </c>
      <c r="EX59">
        <v>308</v>
      </c>
      <c r="EY59">
        <v>373</v>
      </c>
    </row>
    <row r="60" spans="1:155" x14ac:dyDescent="0.35">
      <c r="A60">
        <v>2026</v>
      </c>
      <c r="B60" t="s">
        <v>192</v>
      </c>
      <c r="C60" s="112" t="s">
        <v>192</v>
      </c>
      <c r="D60" t="s">
        <v>319</v>
      </c>
      <c r="E60" t="s">
        <v>194</v>
      </c>
      <c r="F60">
        <v>280</v>
      </c>
      <c r="G60" s="113">
        <v>3</v>
      </c>
      <c r="H60">
        <v>6</v>
      </c>
      <c r="I60" t="s">
        <v>206</v>
      </c>
      <c r="J60">
        <v>16</v>
      </c>
      <c r="K60">
        <v>23</v>
      </c>
      <c r="L60">
        <v>19</v>
      </c>
      <c r="M60">
        <v>19.8398</v>
      </c>
      <c r="N60">
        <v>32.840800000000002</v>
      </c>
      <c r="O60">
        <v>24.1403</v>
      </c>
      <c r="P60">
        <v>15.983499999999999</v>
      </c>
      <c r="Q60">
        <v>23.4695</v>
      </c>
      <c r="R60">
        <v>18.662199999999999</v>
      </c>
      <c r="T60" t="s">
        <v>168</v>
      </c>
      <c r="U60" t="s">
        <v>169</v>
      </c>
      <c r="V60" t="s">
        <v>207</v>
      </c>
      <c r="W60" t="s">
        <v>208</v>
      </c>
      <c r="Y60">
        <v>6</v>
      </c>
      <c r="Z60" t="s">
        <v>173</v>
      </c>
      <c r="AA60" t="s">
        <v>173</v>
      </c>
      <c r="AB60" t="s">
        <v>174</v>
      </c>
      <c r="AC60" t="s">
        <v>175</v>
      </c>
      <c r="AD60">
        <v>10</v>
      </c>
      <c r="AG60" t="s">
        <v>216</v>
      </c>
      <c r="AH60" t="s">
        <v>217</v>
      </c>
      <c r="AI60" t="s">
        <v>178</v>
      </c>
      <c r="AJ60" t="s">
        <v>179</v>
      </c>
      <c r="AK60" t="s">
        <v>173</v>
      </c>
      <c r="AL60" t="s">
        <v>180</v>
      </c>
      <c r="AM60">
        <v>88</v>
      </c>
      <c r="AN60">
        <v>10</v>
      </c>
      <c r="AS60">
        <v>3300</v>
      </c>
      <c r="AT60">
        <v>3300</v>
      </c>
      <c r="BN60" s="114" t="s">
        <v>198</v>
      </c>
      <c r="BO60">
        <v>2</v>
      </c>
      <c r="BP60">
        <v>2</v>
      </c>
      <c r="BQ60">
        <v>3</v>
      </c>
      <c r="BR60" t="s">
        <v>300</v>
      </c>
      <c r="BS60" t="s">
        <v>182</v>
      </c>
      <c r="BT60" t="s">
        <v>183</v>
      </c>
      <c r="BU60" s="115">
        <v>45870</v>
      </c>
      <c r="BV60">
        <v>36658</v>
      </c>
      <c r="BW60" s="116"/>
      <c r="BX60" t="s">
        <v>172</v>
      </c>
      <c r="BY60" t="s">
        <v>173</v>
      </c>
      <c r="CB60" t="s">
        <v>173</v>
      </c>
      <c r="CC60" t="s">
        <v>173</v>
      </c>
      <c r="CE60" t="s">
        <v>173</v>
      </c>
      <c r="CG60" t="s">
        <v>172</v>
      </c>
      <c r="CH60" t="s">
        <v>199</v>
      </c>
      <c r="CI60" t="s">
        <v>172</v>
      </c>
      <c r="CJ60" t="s">
        <v>320</v>
      </c>
      <c r="DJ60" t="s">
        <v>201</v>
      </c>
      <c r="DK60" t="s">
        <v>202</v>
      </c>
      <c r="DN60" t="s">
        <v>173</v>
      </c>
      <c r="DO60" t="s">
        <v>266</v>
      </c>
      <c r="DP60" t="s">
        <v>172</v>
      </c>
      <c r="DQ60" t="s">
        <v>204</v>
      </c>
      <c r="DY60">
        <v>24.3</v>
      </c>
      <c r="EA60" s="117"/>
      <c r="EB60">
        <v>4</v>
      </c>
      <c r="EC60">
        <v>4</v>
      </c>
      <c r="EE60" t="s">
        <v>321</v>
      </c>
      <c r="EF60">
        <v>4</v>
      </c>
      <c r="EV60">
        <v>8000</v>
      </c>
      <c r="EW60">
        <v>552</v>
      </c>
      <c r="EX60">
        <v>377</v>
      </c>
      <c r="EY60">
        <v>473</v>
      </c>
    </row>
    <row r="61" spans="1:155" x14ac:dyDescent="0.35">
      <c r="A61">
        <v>2026</v>
      </c>
      <c r="B61" t="s">
        <v>192</v>
      </c>
      <c r="C61" s="112" t="s">
        <v>192</v>
      </c>
      <c r="D61" t="s">
        <v>319</v>
      </c>
      <c r="E61" t="s">
        <v>194</v>
      </c>
      <c r="F61">
        <v>281</v>
      </c>
      <c r="G61" s="113">
        <v>3</v>
      </c>
      <c r="H61">
        <v>6</v>
      </c>
      <c r="I61" t="s">
        <v>195</v>
      </c>
      <c r="J61">
        <v>16</v>
      </c>
      <c r="K61">
        <v>23</v>
      </c>
      <c r="L61">
        <v>19</v>
      </c>
      <c r="M61">
        <v>20.321300000000001</v>
      </c>
      <c r="N61">
        <v>31.983000000000001</v>
      </c>
      <c r="O61">
        <v>24.310099999999998</v>
      </c>
      <c r="P61">
        <v>16.345500000000001</v>
      </c>
      <c r="Q61">
        <v>22.901299999999999</v>
      </c>
      <c r="R61">
        <v>18.762499999999999</v>
      </c>
      <c r="T61" t="s">
        <v>168</v>
      </c>
      <c r="U61" t="s">
        <v>169</v>
      </c>
      <c r="V61" t="s">
        <v>196</v>
      </c>
      <c r="W61" t="s">
        <v>197</v>
      </c>
      <c r="Y61">
        <v>8</v>
      </c>
      <c r="Z61" t="s">
        <v>172</v>
      </c>
      <c r="AA61" t="s">
        <v>173</v>
      </c>
      <c r="AB61" t="s">
        <v>174</v>
      </c>
      <c r="AC61" t="s">
        <v>175</v>
      </c>
      <c r="AD61">
        <v>10</v>
      </c>
      <c r="AG61" t="s">
        <v>216</v>
      </c>
      <c r="AH61" t="s">
        <v>217</v>
      </c>
      <c r="AI61" t="s">
        <v>178</v>
      </c>
      <c r="AJ61" t="s">
        <v>179</v>
      </c>
      <c r="AK61" t="s">
        <v>173</v>
      </c>
      <c r="AL61" t="s">
        <v>180</v>
      </c>
      <c r="AM61">
        <v>88</v>
      </c>
      <c r="AN61">
        <v>10</v>
      </c>
      <c r="AS61">
        <v>3300</v>
      </c>
      <c r="AT61">
        <v>3300</v>
      </c>
      <c r="BN61" s="114" t="s">
        <v>198</v>
      </c>
      <c r="BO61">
        <v>2</v>
      </c>
      <c r="BP61">
        <v>2</v>
      </c>
      <c r="BQ61">
        <v>3</v>
      </c>
      <c r="BR61" t="s">
        <v>300</v>
      </c>
      <c r="BS61" t="s">
        <v>182</v>
      </c>
      <c r="BT61" t="s">
        <v>183</v>
      </c>
      <c r="BU61" s="115">
        <v>45870</v>
      </c>
      <c r="BV61">
        <v>36659</v>
      </c>
      <c r="BW61" s="116"/>
      <c r="BX61" t="s">
        <v>172</v>
      </c>
      <c r="BY61" t="s">
        <v>173</v>
      </c>
      <c r="CB61" t="s">
        <v>173</v>
      </c>
      <c r="CC61" t="s">
        <v>173</v>
      </c>
      <c r="CE61" t="s">
        <v>173</v>
      </c>
      <c r="CG61" t="s">
        <v>172</v>
      </c>
      <c r="CH61" t="s">
        <v>199</v>
      </c>
      <c r="CI61" t="s">
        <v>172</v>
      </c>
      <c r="CJ61" t="s">
        <v>320</v>
      </c>
      <c r="DJ61" t="s">
        <v>201</v>
      </c>
      <c r="DK61" t="s">
        <v>202</v>
      </c>
      <c r="DN61" t="s">
        <v>173</v>
      </c>
      <c r="DO61" t="s">
        <v>266</v>
      </c>
      <c r="DP61" t="s">
        <v>172</v>
      </c>
      <c r="DQ61" t="s">
        <v>204</v>
      </c>
      <c r="DY61">
        <v>24.5</v>
      </c>
      <c r="EA61" s="117"/>
      <c r="EB61">
        <v>4</v>
      </c>
      <c r="EC61">
        <v>4</v>
      </c>
      <c r="EE61" t="s">
        <v>321</v>
      </c>
      <c r="EF61">
        <v>4</v>
      </c>
      <c r="EV61">
        <v>8000</v>
      </c>
      <c r="EW61">
        <v>535</v>
      </c>
      <c r="EX61">
        <v>381</v>
      </c>
      <c r="EY61">
        <v>466</v>
      </c>
    </row>
    <row r="62" spans="1:155" x14ac:dyDescent="0.35">
      <c r="A62">
        <v>2026</v>
      </c>
      <c r="B62" t="s">
        <v>192</v>
      </c>
      <c r="C62" s="112" t="s">
        <v>192</v>
      </c>
      <c r="D62" t="s">
        <v>322</v>
      </c>
      <c r="E62" t="s">
        <v>194</v>
      </c>
      <c r="F62">
        <v>295</v>
      </c>
      <c r="G62" s="113">
        <v>3</v>
      </c>
      <c r="H62">
        <v>6</v>
      </c>
      <c r="I62" t="s">
        <v>195</v>
      </c>
      <c r="J62">
        <v>16</v>
      </c>
      <c r="K62">
        <v>23</v>
      </c>
      <c r="L62">
        <v>19</v>
      </c>
      <c r="M62">
        <v>19.8765</v>
      </c>
      <c r="N62">
        <v>32.3005</v>
      </c>
      <c r="O62">
        <v>24.036999999999999</v>
      </c>
      <c r="P62">
        <v>16.011199999999999</v>
      </c>
      <c r="Q62">
        <v>23.111899999999999</v>
      </c>
      <c r="R62">
        <v>18.579899999999999</v>
      </c>
      <c r="T62" t="s">
        <v>168</v>
      </c>
      <c r="U62" t="s">
        <v>169</v>
      </c>
      <c r="V62" t="s">
        <v>196</v>
      </c>
      <c r="W62" t="s">
        <v>197</v>
      </c>
      <c r="Y62">
        <v>8</v>
      </c>
      <c r="Z62" t="s">
        <v>172</v>
      </c>
      <c r="AA62" t="s">
        <v>173</v>
      </c>
      <c r="AB62" t="s">
        <v>174</v>
      </c>
      <c r="AC62" t="s">
        <v>175</v>
      </c>
      <c r="AD62">
        <v>10</v>
      </c>
      <c r="AG62" t="s">
        <v>216</v>
      </c>
      <c r="AH62" t="s">
        <v>217</v>
      </c>
      <c r="AI62" t="s">
        <v>178</v>
      </c>
      <c r="AJ62" t="s">
        <v>179</v>
      </c>
      <c r="AK62" t="s">
        <v>173</v>
      </c>
      <c r="AL62" t="s">
        <v>180</v>
      </c>
      <c r="AM62">
        <v>88</v>
      </c>
      <c r="AN62">
        <v>10</v>
      </c>
      <c r="AS62">
        <v>3300</v>
      </c>
      <c r="AT62">
        <v>3300</v>
      </c>
      <c r="BN62" s="114" t="s">
        <v>198</v>
      </c>
      <c r="BO62">
        <v>2</v>
      </c>
      <c r="BP62">
        <v>2</v>
      </c>
      <c r="BQ62">
        <v>3</v>
      </c>
      <c r="BR62" t="s">
        <v>300</v>
      </c>
      <c r="BS62" t="s">
        <v>182</v>
      </c>
      <c r="BT62" t="s">
        <v>183</v>
      </c>
      <c r="BU62" s="115">
        <v>45870</v>
      </c>
      <c r="BV62">
        <v>37124</v>
      </c>
      <c r="BW62" s="116"/>
      <c r="BX62" t="s">
        <v>172</v>
      </c>
      <c r="BY62" t="s">
        <v>173</v>
      </c>
      <c r="CB62" t="s">
        <v>173</v>
      </c>
      <c r="CC62" t="s">
        <v>173</v>
      </c>
      <c r="CE62" t="s">
        <v>173</v>
      </c>
      <c r="CG62" t="s">
        <v>172</v>
      </c>
      <c r="CH62" t="s">
        <v>199</v>
      </c>
      <c r="CI62" t="s">
        <v>172</v>
      </c>
      <c r="CJ62" t="s">
        <v>320</v>
      </c>
      <c r="DJ62" t="s">
        <v>201</v>
      </c>
      <c r="DK62" t="s">
        <v>202</v>
      </c>
      <c r="DN62" t="s">
        <v>173</v>
      </c>
      <c r="DO62" t="s">
        <v>266</v>
      </c>
      <c r="DP62" t="s">
        <v>172</v>
      </c>
      <c r="DQ62" t="s">
        <v>204</v>
      </c>
      <c r="DY62">
        <v>24.2</v>
      </c>
      <c r="EA62" s="117"/>
      <c r="EB62">
        <v>4</v>
      </c>
      <c r="EC62">
        <v>4</v>
      </c>
      <c r="EE62" t="s">
        <v>321</v>
      </c>
      <c r="EF62">
        <v>4</v>
      </c>
      <c r="EV62">
        <v>8000</v>
      </c>
      <c r="EW62">
        <v>551</v>
      </c>
      <c r="EX62">
        <v>382</v>
      </c>
      <c r="EY62">
        <v>475</v>
      </c>
    </row>
    <row r="63" spans="1:155" x14ac:dyDescent="0.35">
      <c r="A63">
        <v>2026</v>
      </c>
      <c r="B63" t="s">
        <v>192</v>
      </c>
      <c r="C63" s="112" t="s">
        <v>192</v>
      </c>
      <c r="D63" t="s">
        <v>323</v>
      </c>
      <c r="E63" t="s">
        <v>194</v>
      </c>
      <c r="F63">
        <v>236</v>
      </c>
      <c r="G63" s="113">
        <v>3</v>
      </c>
      <c r="H63">
        <v>6</v>
      </c>
      <c r="I63" t="s">
        <v>195</v>
      </c>
      <c r="J63">
        <v>23</v>
      </c>
      <c r="K63">
        <v>32</v>
      </c>
      <c r="L63">
        <v>26</v>
      </c>
      <c r="M63">
        <v>28.845099999999999</v>
      </c>
      <c r="N63">
        <v>46.1111</v>
      </c>
      <c r="O63">
        <v>34.690399999999997</v>
      </c>
      <c r="P63">
        <v>22.5686</v>
      </c>
      <c r="Q63">
        <v>31.985199999999999</v>
      </c>
      <c r="R63">
        <v>26.0152</v>
      </c>
      <c r="T63" t="s">
        <v>168</v>
      </c>
      <c r="U63" t="s">
        <v>169</v>
      </c>
      <c r="V63" t="s">
        <v>196</v>
      </c>
      <c r="W63" t="s">
        <v>197</v>
      </c>
      <c r="Y63">
        <v>8</v>
      </c>
      <c r="Z63" t="s">
        <v>172</v>
      </c>
      <c r="AA63" t="s">
        <v>173</v>
      </c>
      <c r="AB63" t="s">
        <v>174</v>
      </c>
      <c r="AC63" t="s">
        <v>175</v>
      </c>
      <c r="AD63">
        <v>10</v>
      </c>
      <c r="AG63" t="s">
        <v>176</v>
      </c>
      <c r="AH63" t="s">
        <v>177</v>
      </c>
      <c r="AI63" t="s">
        <v>178</v>
      </c>
      <c r="AJ63" t="s">
        <v>179</v>
      </c>
      <c r="AK63" t="s">
        <v>173</v>
      </c>
      <c r="AL63" t="s">
        <v>180</v>
      </c>
      <c r="AM63">
        <v>88</v>
      </c>
      <c r="AN63">
        <v>10</v>
      </c>
      <c r="AS63">
        <v>2400</v>
      </c>
      <c r="AT63">
        <v>2400</v>
      </c>
      <c r="BN63" s="114" t="s">
        <v>198</v>
      </c>
      <c r="BO63">
        <v>2</v>
      </c>
      <c r="BP63">
        <v>2</v>
      </c>
      <c r="BQ63">
        <v>3</v>
      </c>
      <c r="BR63" t="s">
        <v>300</v>
      </c>
      <c r="BS63" t="s">
        <v>182</v>
      </c>
      <c r="BT63" t="s">
        <v>183</v>
      </c>
      <c r="BU63" s="115">
        <v>45870</v>
      </c>
      <c r="BV63">
        <v>36646</v>
      </c>
      <c r="BW63" s="116"/>
      <c r="BX63" t="s">
        <v>172</v>
      </c>
      <c r="BY63" t="s">
        <v>173</v>
      </c>
      <c r="CB63" t="s">
        <v>173</v>
      </c>
      <c r="CC63" t="s">
        <v>173</v>
      </c>
      <c r="CE63" t="s">
        <v>173</v>
      </c>
      <c r="CG63" t="s">
        <v>172</v>
      </c>
      <c r="CH63" t="s">
        <v>199</v>
      </c>
      <c r="CI63" t="s">
        <v>172</v>
      </c>
      <c r="CJ63" t="s">
        <v>200</v>
      </c>
      <c r="DJ63" t="s">
        <v>201</v>
      </c>
      <c r="DK63" t="s">
        <v>202</v>
      </c>
      <c r="DN63" t="s">
        <v>173</v>
      </c>
      <c r="DO63" t="s">
        <v>203</v>
      </c>
      <c r="DP63" t="s">
        <v>172</v>
      </c>
      <c r="DQ63" t="s">
        <v>204</v>
      </c>
      <c r="DY63">
        <v>34.9</v>
      </c>
      <c r="EA63" s="117"/>
      <c r="EB63">
        <v>5</v>
      </c>
      <c r="EC63">
        <v>5</v>
      </c>
      <c r="EE63" t="s">
        <v>205</v>
      </c>
      <c r="EF63">
        <v>4</v>
      </c>
      <c r="EV63">
        <v>3500</v>
      </c>
      <c r="EW63">
        <v>391</v>
      </c>
      <c r="EX63">
        <v>276</v>
      </c>
      <c r="EY63">
        <v>339</v>
      </c>
    </row>
    <row r="64" spans="1:155" x14ac:dyDescent="0.35">
      <c r="A64">
        <v>2026</v>
      </c>
      <c r="B64" t="s">
        <v>192</v>
      </c>
      <c r="C64" s="112" t="s">
        <v>192</v>
      </c>
      <c r="D64" t="s">
        <v>324</v>
      </c>
      <c r="E64" t="s">
        <v>194</v>
      </c>
      <c r="F64">
        <v>237</v>
      </c>
      <c r="G64" s="113">
        <v>3</v>
      </c>
      <c r="H64">
        <v>6</v>
      </c>
      <c r="I64" t="s">
        <v>195</v>
      </c>
      <c r="J64">
        <v>23</v>
      </c>
      <c r="K64">
        <v>32</v>
      </c>
      <c r="L64">
        <v>26</v>
      </c>
      <c r="M64">
        <v>29.1431</v>
      </c>
      <c r="N64">
        <v>46.566299999999998</v>
      </c>
      <c r="O64">
        <v>35.043500000000002</v>
      </c>
      <c r="P64">
        <v>22.780100000000001</v>
      </c>
      <c r="Q64">
        <v>32.2684</v>
      </c>
      <c r="R64">
        <v>26.254000000000001</v>
      </c>
      <c r="T64" t="s">
        <v>168</v>
      </c>
      <c r="U64" t="s">
        <v>169</v>
      </c>
      <c r="V64" t="s">
        <v>196</v>
      </c>
      <c r="W64" t="s">
        <v>197</v>
      </c>
      <c r="Y64">
        <v>8</v>
      </c>
      <c r="Z64" t="s">
        <v>172</v>
      </c>
      <c r="AA64" t="s">
        <v>173</v>
      </c>
      <c r="AB64" t="s">
        <v>170</v>
      </c>
      <c r="AC64" t="s">
        <v>232</v>
      </c>
      <c r="AD64">
        <v>10</v>
      </c>
      <c r="AG64" t="s">
        <v>176</v>
      </c>
      <c r="AH64" t="s">
        <v>177</v>
      </c>
      <c r="AI64" t="s">
        <v>178</v>
      </c>
      <c r="AJ64" t="s">
        <v>179</v>
      </c>
      <c r="AK64" t="s">
        <v>173</v>
      </c>
      <c r="AL64" t="s">
        <v>180</v>
      </c>
      <c r="AM64">
        <v>88</v>
      </c>
      <c r="AN64">
        <v>10</v>
      </c>
      <c r="AS64">
        <v>2400</v>
      </c>
      <c r="AT64">
        <v>2400</v>
      </c>
      <c r="BN64" s="114" t="s">
        <v>198</v>
      </c>
      <c r="BO64">
        <v>2</v>
      </c>
      <c r="BP64">
        <v>2</v>
      </c>
      <c r="BQ64">
        <v>3</v>
      </c>
      <c r="BR64" t="s">
        <v>300</v>
      </c>
      <c r="BS64" t="s">
        <v>182</v>
      </c>
      <c r="BT64" t="s">
        <v>183</v>
      </c>
      <c r="BU64" s="115">
        <v>45870</v>
      </c>
      <c r="BV64">
        <v>36647</v>
      </c>
      <c r="BW64" s="116"/>
      <c r="BX64" t="s">
        <v>172</v>
      </c>
      <c r="BY64" t="s">
        <v>173</v>
      </c>
      <c r="CB64" t="s">
        <v>173</v>
      </c>
      <c r="CC64" t="s">
        <v>173</v>
      </c>
      <c r="CE64" t="s">
        <v>173</v>
      </c>
      <c r="CG64" t="s">
        <v>172</v>
      </c>
      <c r="CH64" t="s">
        <v>199</v>
      </c>
      <c r="CI64" t="s">
        <v>172</v>
      </c>
      <c r="CJ64" t="s">
        <v>200</v>
      </c>
      <c r="DJ64" t="s">
        <v>201</v>
      </c>
      <c r="DK64" t="s">
        <v>202</v>
      </c>
      <c r="DN64" t="s">
        <v>173</v>
      </c>
      <c r="DO64" t="s">
        <v>203</v>
      </c>
      <c r="DP64" t="s">
        <v>172</v>
      </c>
      <c r="DQ64" t="s">
        <v>204</v>
      </c>
      <c r="DY64">
        <v>35.299999999999997</v>
      </c>
      <c r="EA64" s="117"/>
      <c r="EB64">
        <v>5</v>
      </c>
      <c r="EC64">
        <v>5</v>
      </c>
      <c r="EE64" t="s">
        <v>205</v>
      </c>
      <c r="EF64">
        <v>4</v>
      </c>
      <c r="EV64">
        <v>3500</v>
      </c>
      <c r="EW64">
        <v>387</v>
      </c>
      <c r="EX64">
        <v>274</v>
      </c>
      <c r="EY64">
        <v>336</v>
      </c>
    </row>
    <row r="65" spans="1:155" x14ac:dyDescent="0.35">
      <c r="A65">
        <v>2026</v>
      </c>
      <c r="B65" t="s">
        <v>192</v>
      </c>
      <c r="C65" s="112" t="s">
        <v>192</v>
      </c>
      <c r="D65" t="s">
        <v>325</v>
      </c>
      <c r="E65" t="s">
        <v>194</v>
      </c>
      <c r="F65">
        <v>491</v>
      </c>
      <c r="G65" s="113">
        <v>3</v>
      </c>
      <c r="H65">
        <v>6</v>
      </c>
      <c r="I65" t="s">
        <v>195</v>
      </c>
      <c r="J65">
        <v>16</v>
      </c>
      <c r="K65">
        <v>23</v>
      </c>
      <c r="L65">
        <v>19</v>
      </c>
      <c r="M65">
        <v>20.181999999999999</v>
      </c>
      <c r="N65">
        <v>32.061599999999999</v>
      </c>
      <c r="O65">
        <v>24.220400000000001</v>
      </c>
      <c r="P65">
        <v>16.2409</v>
      </c>
      <c r="Q65">
        <v>22.953499999999998</v>
      </c>
      <c r="R65">
        <v>18.702100000000002</v>
      </c>
      <c r="T65" t="s">
        <v>168</v>
      </c>
      <c r="U65" t="s">
        <v>169</v>
      </c>
      <c r="V65" t="s">
        <v>196</v>
      </c>
      <c r="W65" t="s">
        <v>197</v>
      </c>
      <c r="Y65">
        <v>8</v>
      </c>
      <c r="Z65" t="s">
        <v>172</v>
      </c>
      <c r="AA65" t="s">
        <v>173</v>
      </c>
      <c r="AB65" t="s">
        <v>174</v>
      </c>
      <c r="AC65" t="s">
        <v>175</v>
      </c>
      <c r="AD65">
        <v>10</v>
      </c>
      <c r="AG65" t="s">
        <v>216</v>
      </c>
      <c r="AH65" t="s">
        <v>217</v>
      </c>
      <c r="AI65" t="s">
        <v>178</v>
      </c>
      <c r="AJ65" t="s">
        <v>179</v>
      </c>
      <c r="AK65" t="s">
        <v>173</v>
      </c>
      <c r="AL65" t="s">
        <v>180</v>
      </c>
      <c r="AM65">
        <v>87</v>
      </c>
      <c r="AN65">
        <v>12</v>
      </c>
      <c r="AS65">
        <v>3300</v>
      </c>
      <c r="AT65">
        <v>3300</v>
      </c>
      <c r="BN65" s="114" t="s">
        <v>198</v>
      </c>
      <c r="BO65">
        <v>2</v>
      </c>
      <c r="BP65">
        <v>2</v>
      </c>
      <c r="BQ65">
        <v>3</v>
      </c>
      <c r="BR65" t="s">
        <v>300</v>
      </c>
      <c r="BS65" t="s">
        <v>182</v>
      </c>
      <c r="BT65" t="s">
        <v>183</v>
      </c>
      <c r="BU65" s="115">
        <v>45748</v>
      </c>
      <c r="BV65">
        <v>36432</v>
      </c>
      <c r="BW65" s="116"/>
      <c r="BX65" t="s">
        <v>173</v>
      </c>
      <c r="BY65" t="s">
        <v>173</v>
      </c>
      <c r="CB65" t="s">
        <v>173</v>
      </c>
      <c r="CC65" t="s">
        <v>173</v>
      </c>
      <c r="CE65" t="s">
        <v>173</v>
      </c>
      <c r="CG65" t="s">
        <v>172</v>
      </c>
      <c r="CH65" t="s">
        <v>199</v>
      </c>
      <c r="CI65" t="s">
        <v>172</v>
      </c>
      <c r="CJ65" t="s">
        <v>320</v>
      </c>
      <c r="DJ65" t="s">
        <v>201</v>
      </c>
      <c r="DK65" t="s">
        <v>202</v>
      </c>
      <c r="DN65" t="s">
        <v>173</v>
      </c>
      <c r="DO65" t="s">
        <v>266</v>
      </c>
      <c r="DP65" t="s">
        <v>172</v>
      </c>
      <c r="DQ65" t="s">
        <v>204</v>
      </c>
      <c r="DY65">
        <v>24.4</v>
      </c>
      <c r="EA65" s="117"/>
      <c r="EB65">
        <v>4</v>
      </c>
      <c r="EC65">
        <v>4</v>
      </c>
      <c r="EE65" t="s">
        <v>321</v>
      </c>
      <c r="EF65">
        <v>4</v>
      </c>
      <c r="EV65">
        <v>8000</v>
      </c>
      <c r="EW65">
        <v>541</v>
      </c>
      <c r="EX65">
        <v>383</v>
      </c>
      <c r="EY65">
        <v>470</v>
      </c>
    </row>
    <row r="66" spans="1:155" x14ac:dyDescent="0.35">
      <c r="A66">
        <v>2026</v>
      </c>
      <c r="B66" t="s">
        <v>192</v>
      </c>
      <c r="C66" s="112" t="s">
        <v>192</v>
      </c>
      <c r="D66" t="s">
        <v>326</v>
      </c>
      <c r="E66" t="s">
        <v>194</v>
      </c>
      <c r="F66">
        <v>492</v>
      </c>
      <c r="G66" s="113">
        <v>3</v>
      </c>
      <c r="H66">
        <v>6</v>
      </c>
      <c r="I66" t="s">
        <v>195</v>
      </c>
      <c r="J66">
        <v>16</v>
      </c>
      <c r="K66">
        <v>23</v>
      </c>
      <c r="L66">
        <v>18</v>
      </c>
      <c r="M66">
        <v>19.801500000000001</v>
      </c>
      <c r="N66">
        <v>32.062399999999997</v>
      </c>
      <c r="O66">
        <v>23.917300000000001</v>
      </c>
      <c r="P66">
        <v>15.954700000000001</v>
      </c>
      <c r="Q66">
        <v>22.954000000000001</v>
      </c>
      <c r="R66">
        <v>18.492100000000001</v>
      </c>
      <c r="T66" t="s">
        <v>168</v>
      </c>
      <c r="U66" t="s">
        <v>169</v>
      </c>
      <c r="V66" t="s">
        <v>196</v>
      </c>
      <c r="W66" t="s">
        <v>197</v>
      </c>
      <c r="Y66">
        <v>8</v>
      </c>
      <c r="Z66" t="s">
        <v>172</v>
      </c>
      <c r="AA66" t="s">
        <v>173</v>
      </c>
      <c r="AB66" t="s">
        <v>170</v>
      </c>
      <c r="AC66" t="s">
        <v>232</v>
      </c>
      <c r="AD66">
        <v>10</v>
      </c>
      <c r="AG66" t="s">
        <v>216</v>
      </c>
      <c r="AH66" t="s">
        <v>217</v>
      </c>
      <c r="AI66" t="s">
        <v>178</v>
      </c>
      <c r="AJ66" t="s">
        <v>179</v>
      </c>
      <c r="AK66" t="s">
        <v>173</v>
      </c>
      <c r="AL66" t="s">
        <v>180</v>
      </c>
      <c r="AM66">
        <v>87</v>
      </c>
      <c r="AN66">
        <v>12</v>
      </c>
      <c r="AS66">
        <v>3450</v>
      </c>
      <c r="AT66">
        <v>3450</v>
      </c>
      <c r="BN66" s="114" t="s">
        <v>198</v>
      </c>
      <c r="BO66">
        <v>2</v>
      </c>
      <c r="BP66">
        <v>2</v>
      </c>
      <c r="BQ66">
        <v>3</v>
      </c>
      <c r="BR66" t="s">
        <v>300</v>
      </c>
      <c r="BS66" t="s">
        <v>182</v>
      </c>
      <c r="BT66" t="s">
        <v>183</v>
      </c>
      <c r="BU66" s="115">
        <v>45748</v>
      </c>
      <c r="BV66">
        <v>36430</v>
      </c>
      <c r="BW66" s="116"/>
      <c r="BX66" t="s">
        <v>172</v>
      </c>
      <c r="BY66" t="s">
        <v>173</v>
      </c>
      <c r="CB66" t="s">
        <v>173</v>
      </c>
      <c r="CC66" t="s">
        <v>173</v>
      </c>
      <c r="CE66" t="s">
        <v>173</v>
      </c>
      <c r="CG66" t="s">
        <v>172</v>
      </c>
      <c r="CH66" t="s">
        <v>199</v>
      </c>
      <c r="CI66" t="s">
        <v>172</v>
      </c>
      <c r="CJ66" t="s">
        <v>320</v>
      </c>
      <c r="DJ66" t="s">
        <v>201</v>
      </c>
      <c r="DK66" t="s">
        <v>202</v>
      </c>
      <c r="DN66" t="s">
        <v>173</v>
      </c>
      <c r="DO66" t="s">
        <v>266</v>
      </c>
      <c r="DP66" t="s">
        <v>172</v>
      </c>
      <c r="DQ66" t="s">
        <v>204</v>
      </c>
      <c r="DY66">
        <v>24.1</v>
      </c>
      <c r="EA66" s="117"/>
      <c r="EB66">
        <v>3</v>
      </c>
      <c r="EC66">
        <v>3</v>
      </c>
      <c r="EE66" t="s">
        <v>321</v>
      </c>
      <c r="EF66">
        <v>4</v>
      </c>
      <c r="EV66">
        <v>8750</v>
      </c>
      <c r="EW66">
        <v>547</v>
      </c>
      <c r="EX66">
        <v>381</v>
      </c>
      <c r="EY66">
        <v>472</v>
      </c>
    </row>
    <row r="67" spans="1:155" x14ac:dyDescent="0.35">
      <c r="A67">
        <v>2026</v>
      </c>
      <c r="B67" t="s">
        <v>192</v>
      </c>
      <c r="C67" s="112" t="s">
        <v>192</v>
      </c>
      <c r="D67" t="s">
        <v>327</v>
      </c>
      <c r="E67" t="s">
        <v>194</v>
      </c>
      <c r="F67">
        <v>480</v>
      </c>
      <c r="G67" s="113">
        <v>3</v>
      </c>
      <c r="H67">
        <v>6</v>
      </c>
      <c r="I67" t="s">
        <v>206</v>
      </c>
      <c r="J67">
        <v>16</v>
      </c>
      <c r="K67">
        <v>23</v>
      </c>
      <c r="L67">
        <v>19</v>
      </c>
      <c r="M67">
        <v>19.895499999999998</v>
      </c>
      <c r="N67">
        <v>32.497199999999999</v>
      </c>
      <c r="O67">
        <v>24.101199999999999</v>
      </c>
      <c r="P67">
        <v>16.025500000000001</v>
      </c>
      <c r="Q67">
        <v>23.2422</v>
      </c>
      <c r="R67">
        <v>18.628299999999999</v>
      </c>
      <c r="T67" t="s">
        <v>168</v>
      </c>
      <c r="U67" t="s">
        <v>169</v>
      </c>
      <c r="V67" t="s">
        <v>207</v>
      </c>
      <c r="W67" t="s">
        <v>208</v>
      </c>
      <c r="Y67">
        <v>6</v>
      </c>
      <c r="Z67" t="s">
        <v>173</v>
      </c>
      <c r="AA67" t="s">
        <v>173</v>
      </c>
      <c r="AB67" t="s">
        <v>174</v>
      </c>
      <c r="AC67" t="s">
        <v>175</v>
      </c>
      <c r="AD67">
        <v>10</v>
      </c>
      <c r="AG67" t="s">
        <v>216</v>
      </c>
      <c r="AH67" t="s">
        <v>217</v>
      </c>
      <c r="AI67" t="s">
        <v>178</v>
      </c>
      <c r="AJ67" t="s">
        <v>179</v>
      </c>
      <c r="AK67" t="s">
        <v>173</v>
      </c>
      <c r="AL67" t="s">
        <v>180</v>
      </c>
      <c r="AM67">
        <v>87</v>
      </c>
      <c r="AN67">
        <v>12</v>
      </c>
      <c r="AS67">
        <v>3300</v>
      </c>
      <c r="AT67">
        <v>3300</v>
      </c>
      <c r="BN67" s="114" t="s">
        <v>198</v>
      </c>
      <c r="BO67">
        <v>2</v>
      </c>
      <c r="BP67">
        <v>2</v>
      </c>
      <c r="BQ67">
        <v>3</v>
      </c>
      <c r="BR67" t="s">
        <v>300</v>
      </c>
      <c r="BS67" t="s">
        <v>182</v>
      </c>
      <c r="BT67" t="s">
        <v>183</v>
      </c>
      <c r="BU67" s="115">
        <v>45748</v>
      </c>
      <c r="BV67">
        <v>36429</v>
      </c>
      <c r="BW67" s="116"/>
      <c r="BX67" t="s">
        <v>173</v>
      </c>
      <c r="BY67" t="s">
        <v>173</v>
      </c>
      <c r="CB67" t="s">
        <v>173</v>
      </c>
      <c r="CC67" t="s">
        <v>173</v>
      </c>
      <c r="CE67" t="s">
        <v>173</v>
      </c>
      <c r="CG67" t="s">
        <v>172</v>
      </c>
      <c r="CH67" t="s">
        <v>199</v>
      </c>
      <c r="CI67" t="s">
        <v>172</v>
      </c>
      <c r="CJ67" t="s">
        <v>320</v>
      </c>
      <c r="DJ67" t="s">
        <v>201</v>
      </c>
      <c r="DK67" t="s">
        <v>202</v>
      </c>
      <c r="DN67" t="s">
        <v>173</v>
      </c>
      <c r="DO67" t="s">
        <v>266</v>
      </c>
      <c r="DP67" t="s">
        <v>172</v>
      </c>
      <c r="DQ67" t="s">
        <v>204</v>
      </c>
      <c r="DY67">
        <v>24.3</v>
      </c>
      <c r="EA67" s="117"/>
      <c r="EB67">
        <v>4</v>
      </c>
      <c r="EC67">
        <v>4</v>
      </c>
      <c r="EE67" t="s">
        <v>321</v>
      </c>
      <c r="EF67">
        <v>4</v>
      </c>
      <c r="EV67">
        <v>8000</v>
      </c>
      <c r="EW67">
        <v>548</v>
      </c>
      <c r="EX67">
        <v>379</v>
      </c>
      <c r="EY67">
        <v>472</v>
      </c>
    </row>
    <row r="68" spans="1:155" x14ac:dyDescent="0.35">
      <c r="A68">
        <v>2026</v>
      </c>
      <c r="B68" t="s">
        <v>192</v>
      </c>
      <c r="C68" s="112" t="s">
        <v>192</v>
      </c>
      <c r="D68" t="s">
        <v>328</v>
      </c>
      <c r="E68" t="s">
        <v>194</v>
      </c>
      <c r="F68">
        <v>414</v>
      </c>
      <c r="G68" s="113">
        <v>3</v>
      </c>
      <c r="H68">
        <v>6</v>
      </c>
      <c r="I68" t="s">
        <v>195</v>
      </c>
      <c r="J68">
        <v>27</v>
      </c>
      <c r="K68">
        <v>33</v>
      </c>
      <c r="L68">
        <v>29</v>
      </c>
      <c r="M68">
        <v>34.832099999999997</v>
      </c>
      <c r="N68">
        <v>47.623199999999997</v>
      </c>
      <c r="O68">
        <v>39.620899999999999</v>
      </c>
      <c r="P68">
        <v>26.740500000000001</v>
      </c>
      <c r="Q68">
        <v>32.9238</v>
      </c>
      <c r="R68">
        <v>29.209</v>
      </c>
      <c r="T68" t="s">
        <v>168</v>
      </c>
      <c r="U68" t="s">
        <v>169</v>
      </c>
      <c r="V68" t="s">
        <v>196</v>
      </c>
      <c r="W68" t="s">
        <v>197</v>
      </c>
      <c r="Y68">
        <v>8</v>
      </c>
      <c r="Z68" t="s">
        <v>172</v>
      </c>
      <c r="AA68" t="s">
        <v>173</v>
      </c>
      <c r="AB68" t="s">
        <v>174</v>
      </c>
      <c r="AC68" t="s">
        <v>175</v>
      </c>
      <c r="AD68">
        <v>10</v>
      </c>
      <c r="AG68" t="s">
        <v>176</v>
      </c>
      <c r="AH68" t="s">
        <v>177</v>
      </c>
      <c r="AI68" t="s">
        <v>178</v>
      </c>
      <c r="AJ68" t="s">
        <v>179</v>
      </c>
      <c r="AK68" t="s">
        <v>173</v>
      </c>
      <c r="AL68" t="s">
        <v>180</v>
      </c>
      <c r="AM68">
        <v>84</v>
      </c>
      <c r="AN68">
        <v>9</v>
      </c>
      <c r="AS68">
        <v>2150</v>
      </c>
      <c r="AT68">
        <v>2150</v>
      </c>
      <c r="BN68" s="114" t="s">
        <v>304</v>
      </c>
      <c r="BO68">
        <v>2</v>
      </c>
      <c r="BP68">
        <v>2</v>
      </c>
      <c r="BQ68">
        <v>3</v>
      </c>
      <c r="BR68" t="s">
        <v>300</v>
      </c>
      <c r="BS68" t="s">
        <v>182</v>
      </c>
      <c r="BT68" t="s">
        <v>183</v>
      </c>
      <c r="BU68" s="115">
        <v>45748</v>
      </c>
      <c r="BV68">
        <v>36394</v>
      </c>
      <c r="BW68" s="116"/>
      <c r="BX68" t="s">
        <v>172</v>
      </c>
      <c r="BY68" t="s">
        <v>173</v>
      </c>
      <c r="CB68" t="s">
        <v>173</v>
      </c>
      <c r="CC68" t="s">
        <v>173</v>
      </c>
      <c r="CE68" t="s">
        <v>173</v>
      </c>
      <c r="CG68" t="s">
        <v>172</v>
      </c>
      <c r="CH68" t="s">
        <v>282</v>
      </c>
      <c r="CI68" t="s">
        <v>172</v>
      </c>
      <c r="CJ68" t="s">
        <v>305</v>
      </c>
      <c r="CK68" t="s">
        <v>259</v>
      </c>
      <c r="CM68">
        <v>1</v>
      </c>
      <c r="CN68" t="s">
        <v>260</v>
      </c>
      <c r="CP68">
        <v>44</v>
      </c>
      <c r="CQ68">
        <v>10</v>
      </c>
      <c r="CR68">
        <v>38</v>
      </c>
      <c r="CS68" t="s">
        <v>261</v>
      </c>
      <c r="CV68" t="s">
        <v>262</v>
      </c>
      <c r="CX68" t="s">
        <v>263</v>
      </c>
      <c r="CY68" t="s">
        <v>173</v>
      </c>
      <c r="DC68" t="s">
        <v>329</v>
      </c>
      <c r="DD68">
        <v>1</v>
      </c>
      <c r="DE68" t="s">
        <v>307</v>
      </c>
      <c r="DF68" t="s">
        <v>330</v>
      </c>
      <c r="DG68">
        <v>9</v>
      </c>
      <c r="DJ68" t="s">
        <v>250</v>
      </c>
      <c r="DK68" t="s">
        <v>251</v>
      </c>
      <c r="DL68" t="s">
        <v>173</v>
      </c>
      <c r="DM68" t="s">
        <v>173</v>
      </c>
      <c r="DN68" t="s">
        <v>173</v>
      </c>
      <c r="DO68" t="s">
        <v>309</v>
      </c>
      <c r="DP68" t="s">
        <v>172</v>
      </c>
      <c r="DQ68" t="s">
        <v>204</v>
      </c>
      <c r="DY68">
        <v>39.9</v>
      </c>
      <c r="EA68" s="117"/>
      <c r="EB68">
        <v>6</v>
      </c>
      <c r="EC68">
        <v>6</v>
      </c>
      <c r="EE68" t="s">
        <v>331</v>
      </c>
      <c r="EF68">
        <v>6</v>
      </c>
      <c r="EV68">
        <v>2250</v>
      </c>
      <c r="EW68">
        <v>327</v>
      </c>
      <c r="EX68">
        <v>266</v>
      </c>
      <c r="EY68">
        <v>300</v>
      </c>
    </row>
    <row r="69" spans="1:155" x14ac:dyDescent="0.35">
      <c r="A69">
        <v>2026</v>
      </c>
      <c r="B69" t="s">
        <v>192</v>
      </c>
      <c r="C69" s="112" t="s">
        <v>192</v>
      </c>
      <c r="D69" t="s">
        <v>332</v>
      </c>
      <c r="E69" t="s">
        <v>194</v>
      </c>
      <c r="F69">
        <v>410</v>
      </c>
      <c r="G69" s="113">
        <v>3</v>
      </c>
      <c r="H69">
        <v>6</v>
      </c>
      <c r="I69" t="s">
        <v>195</v>
      </c>
      <c r="J69">
        <v>27</v>
      </c>
      <c r="K69">
        <v>34</v>
      </c>
      <c r="L69">
        <v>30</v>
      </c>
      <c r="M69">
        <v>35.3324</v>
      </c>
      <c r="N69">
        <v>49.354999999999997</v>
      </c>
      <c r="O69">
        <v>40.512</v>
      </c>
      <c r="P69">
        <v>27.082000000000001</v>
      </c>
      <c r="Q69">
        <v>33.991199999999999</v>
      </c>
      <c r="R69">
        <v>29.808599999999998</v>
      </c>
      <c r="T69" t="s">
        <v>168</v>
      </c>
      <c r="U69" t="s">
        <v>169</v>
      </c>
      <c r="V69" t="s">
        <v>196</v>
      </c>
      <c r="W69" t="s">
        <v>197</v>
      </c>
      <c r="Y69">
        <v>8</v>
      </c>
      <c r="Z69" t="s">
        <v>172</v>
      </c>
      <c r="AA69" t="s">
        <v>173</v>
      </c>
      <c r="AB69" t="s">
        <v>174</v>
      </c>
      <c r="AC69" t="s">
        <v>175</v>
      </c>
      <c r="AD69">
        <v>10</v>
      </c>
      <c r="AG69" t="s">
        <v>176</v>
      </c>
      <c r="AH69" t="s">
        <v>177</v>
      </c>
      <c r="AI69" t="s">
        <v>178</v>
      </c>
      <c r="AJ69" t="s">
        <v>179</v>
      </c>
      <c r="AK69" t="s">
        <v>173</v>
      </c>
      <c r="AL69" t="s">
        <v>180</v>
      </c>
      <c r="AM69">
        <v>86</v>
      </c>
      <c r="AN69">
        <v>12</v>
      </c>
      <c r="AS69">
        <v>2100</v>
      </c>
      <c r="AT69">
        <v>2100</v>
      </c>
      <c r="BN69" s="114" t="s">
        <v>304</v>
      </c>
      <c r="BO69">
        <v>2</v>
      </c>
      <c r="BP69">
        <v>2</v>
      </c>
      <c r="BQ69">
        <v>3</v>
      </c>
      <c r="BR69" t="s">
        <v>300</v>
      </c>
      <c r="BS69" t="s">
        <v>182</v>
      </c>
      <c r="BT69" t="s">
        <v>183</v>
      </c>
      <c r="BU69" s="115">
        <v>45748</v>
      </c>
      <c r="BV69">
        <v>36393</v>
      </c>
      <c r="BW69" s="116"/>
      <c r="BX69" t="s">
        <v>172</v>
      </c>
      <c r="BY69" t="s">
        <v>173</v>
      </c>
      <c r="CB69" t="s">
        <v>173</v>
      </c>
      <c r="CC69" t="s">
        <v>173</v>
      </c>
      <c r="CE69" t="s">
        <v>173</v>
      </c>
      <c r="CG69" t="s">
        <v>172</v>
      </c>
      <c r="CH69" t="s">
        <v>282</v>
      </c>
      <c r="CI69" t="s">
        <v>172</v>
      </c>
      <c r="CJ69" t="s">
        <v>305</v>
      </c>
      <c r="CK69" t="s">
        <v>259</v>
      </c>
      <c r="CM69">
        <v>1</v>
      </c>
      <c r="CN69" t="s">
        <v>260</v>
      </c>
      <c r="CP69">
        <v>44</v>
      </c>
      <c r="CQ69">
        <v>10</v>
      </c>
      <c r="CR69">
        <v>38</v>
      </c>
      <c r="CS69" t="s">
        <v>261</v>
      </c>
      <c r="CV69" t="s">
        <v>262</v>
      </c>
      <c r="CX69" t="s">
        <v>263</v>
      </c>
      <c r="CY69" t="s">
        <v>173</v>
      </c>
      <c r="DC69" t="s">
        <v>329</v>
      </c>
      <c r="DD69">
        <v>1</v>
      </c>
      <c r="DE69" t="s">
        <v>307</v>
      </c>
      <c r="DF69" t="s">
        <v>330</v>
      </c>
      <c r="DG69">
        <v>9</v>
      </c>
      <c r="DJ69" t="s">
        <v>250</v>
      </c>
      <c r="DK69" t="s">
        <v>251</v>
      </c>
      <c r="DL69" t="s">
        <v>173</v>
      </c>
      <c r="DM69" t="s">
        <v>173</v>
      </c>
      <c r="DN69" t="s">
        <v>173</v>
      </c>
      <c r="DO69" t="s">
        <v>309</v>
      </c>
      <c r="DP69" t="s">
        <v>172</v>
      </c>
      <c r="DQ69" t="s">
        <v>204</v>
      </c>
      <c r="DY69">
        <v>40.799999999999997</v>
      </c>
      <c r="EA69" s="117"/>
      <c r="EB69">
        <v>6</v>
      </c>
      <c r="EC69">
        <v>6</v>
      </c>
      <c r="EE69" t="s">
        <v>331</v>
      </c>
      <c r="EF69">
        <v>6</v>
      </c>
      <c r="EV69">
        <v>2000</v>
      </c>
      <c r="EW69">
        <v>323</v>
      </c>
      <c r="EX69">
        <v>262</v>
      </c>
      <c r="EY69">
        <v>296</v>
      </c>
    </row>
    <row r="70" spans="1:155" x14ac:dyDescent="0.35">
      <c r="A70">
        <v>2026</v>
      </c>
      <c r="B70" t="s">
        <v>192</v>
      </c>
      <c r="C70" s="112" t="s">
        <v>192</v>
      </c>
      <c r="D70" t="s">
        <v>333</v>
      </c>
      <c r="E70" t="s">
        <v>194</v>
      </c>
      <c r="F70">
        <v>415</v>
      </c>
      <c r="G70" s="113">
        <v>3</v>
      </c>
      <c r="H70">
        <v>6</v>
      </c>
      <c r="I70" t="s">
        <v>195</v>
      </c>
      <c r="J70">
        <v>25</v>
      </c>
      <c r="K70">
        <v>32</v>
      </c>
      <c r="L70">
        <v>28</v>
      </c>
      <c r="M70">
        <v>32.966999999999999</v>
      </c>
      <c r="N70">
        <v>46.348999999999997</v>
      </c>
      <c r="O70">
        <v>37.889800000000001</v>
      </c>
      <c r="P70">
        <v>25.457799999999999</v>
      </c>
      <c r="Q70">
        <v>32.133299999999998</v>
      </c>
      <c r="R70">
        <v>28.083100000000002</v>
      </c>
      <c r="T70" t="s">
        <v>168</v>
      </c>
      <c r="U70" t="s">
        <v>169</v>
      </c>
      <c r="V70" t="s">
        <v>196</v>
      </c>
      <c r="W70" t="s">
        <v>197</v>
      </c>
      <c r="Y70">
        <v>8</v>
      </c>
      <c r="Z70" t="s">
        <v>172</v>
      </c>
      <c r="AA70" t="s">
        <v>173</v>
      </c>
      <c r="AB70" t="s">
        <v>170</v>
      </c>
      <c r="AC70" t="s">
        <v>232</v>
      </c>
      <c r="AD70">
        <v>10</v>
      </c>
      <c r="AG70" t="s">
        <v>176</v>
      </c>
      <c r="AH70" t="s">
        <v>177</v>
      </c>
      <c r="AI70" t="s">
        <v>178</v>
      </c>
      <c r="AJ70" t="s">
        <v>179</v>
      </c>
      <c r="AK70" t="s">
        <v>173</v>
      </c>
      <c r="AL70" t="s">
        <v>180</v>
      </c>
      <c r="AM70">
        <v>84</v>
      </c>
      <c r="AN70">
        <v>9</v>
      </c>
      <c r="AS70">
        <v>2200</v>
      </c>
      <c r="AT70">
        <v>2200</v>
      </c>
      <c r="BN70" s="114" t="s">
        <v>304</v>
      </c>
      <c r="BO70">
        <v>2</v>
      </c>
      <c r="BP70">
        <v>2</v>
      </c>
      <c r="BQ70">
        <v>3</v>
      </c>
      <c r="BR70" t="s">
        <v>300</v>
      </c>
      <c r="BS70" t="s">
        <v>182</v>
      </c>
      <c r="BT70" t="s">
        <v>183</v>
      </c>
      <c r="BU70" s="115">
        <v>45748</v>
      </c>
      <c r="BV70">
        <v>36391</v>
      </c>
      <c r="BW70" s="116"/>
      <c r="BX70" t="s">
        <v>172</v>
      </c>
      <c r="BY70" t="s">
        <v>173</v>
      </c>
      <c r="CB70" t="s">
        <v>173</v>
      </c>
      <c r="CC70" t="s">
        <v>173</v>
      </c>
      <c r="CE70" t="s">
        <v>173</v>
      </c>
      <c r="CG70" t="s">
        <v>172</v>
      </c>
      <c r="CH70" t="s">
        <v>282</v>
      </c>
      <c r="CI70" t="s">
        <v>172</v>
      </c>
      <c r="CJ70" t="s">
        <v>305</v>
      </c>
      <c r="CK70" t="s">
        <v>259</v>
      </c>
      <c r="CM70">
        <v>1</v>
      </c>
      <c r="CN70" t="s">
        <v>260</v>
      </c>
      <c r="CP70">
        <v>44</v>
      </c>
      <c r="CQ70">
        <v>10</v>
      </c>
      <c r="CR70">
        <v>38</v>
      </c>
      <c r="CS70" t="s">
        <v>261</v>
      </c>
      <c r="CV70" t="s">
        <v>262</v>
      </c>
      <c r="CX70" t="s">
        <v>263</v>
      </c>
      <c r="CY70" t="s">
        <v>173</v>
      </c>
      <c r="DC70" t="s">
        <v>329</v>
      </c>
      <c r="DD70">
        <v>1</v>
      </c>
      <c r="DE70" t="s">
        <v>307</v>
      </c>
      <c r="DF70" t="s">
        <v>330</v>
      </c>
      <c r="DG70">
        <v>9</v>
      </c>
      <c r="DJ70" t="s">
        <v>250</v>
      </c>
      <c r="DK70" t="s">
        <v>251</v>
      </c>
      <c r="DL70" t="s">
        <v>173</v>
      </c>
      <c r="DM70" t="s">
        <v>173</v>
      </c>
      <c r="DN70" t="s">
        <v>173</v>
      </c>
      <c r="DO70" t="s">
        <v>309</v>
      </c>
      <c r="DP70" t="s">
        <v>172</v>
      </c>
      <c r="DQ70" t="s">
        <v>204</v>
      </c>
      <c r="DY70">
        <v>38.1</v>
      </c>
      <c r="EA70" s="117"/>
      <c r="EB70">
        <v>5</v>
      </c>
      <c r="EC70">
        <v>5</v>
      </c>
      <c r="EE70" t="s">
        <v>331</v>
      </c>
      <c r="EF70">
        <v>6</v>
      </c>
      <c r="EV70">
        <v>2500</v>
      </c>
      <c r="EW70">
        <v>344</v>
      </c>
      <c r="EX70">
        <v>273</v>
      </c>
      <c r="EY70">
        <v>312</v>
      </c>
    </row>
    <row r="71" spans="1:155" x14ac:dyDescent="0.35">
      <c r="A71">
        <v>2026</v>
      </c>
      <c r="B71" t="s">
        <v>192</v>
      </c>
      <c r="C71" s="112" t="s">
        <v>192</v>
      </c>
      <c r="D71" t="s">
        <v>334</v>
      </c>
      <c r="E71" t="s">
        <v>194</v>
      </c>
      <c r="F71">
        <v>412</v>
      </c>
      <c r="G71" s="113">
        <v>3</v>
      </c>
      <c r="H71">
        <v>6</v>
      </c>
      <c r="I71" t="s">
        <v>195</v>
      </c>
      <c r="J71">
        <v>26</v>
      </c>
      <c r="K71">
        <v>33</v>
      </c>
      <c r="L71">
        <v>29</v>
      </c>
      <c r="M71">
        <v>34.321899999999999</v>
      </c>
      <c r="N71">
        <v>48.261499999999998</v>
      </c>
      <c r="O71">
        <v>39.449399999999997</v>
      </c>
      <c r="P71">
        <v>26.391100000000002</v>
      </c>
      <c r="Q71">
        <v>33.318199999999997</v>
      </c>
      <c r="R71">
        <v>29.115100000000002</v>
      </c>
      <c r="T71" t="s">
        <v>168</v>
      </c>
      <c r="U71" t="s">
        <v>169</v>
      </c>
      <c r="V71" t="s">
        <v>196</v>
      </c>
      <c r="W71" t="s">
        <v>197</v>
      </c>
      <c r="Y71">
        <v>8</v>
      </c>
      <c r="Z71" t="s">
        <v>172</v>
      </c>
      <c r="AA71" t="s">
        <v>173</v>
      </c>
      <c r="AB71" t="s">
        <v>170</v>
      </c>
      <c r="AC71" t="s">
        <v>232</v>
      </c>
      <c r="AD71">
        <v>10</v>
      </c>
      <c r="AG71" t="s">
        <v>176</v>
      </c>
      <c r="AH71" t="s">
        <v>177</v>
      </c>
      <c r="AI71" t="s">
        <v>178</v>
      </c>
      <c r="AJ71" t="s">
        <v>179</v>
      </c>
      <c r="AK71" t="s">
        <v>173</v>
      </c>
      <c r="AL71" t="s">
        <v>180</v>
      </c>
      <c r="AM71">
        <v>86</v>
      </c>
      <c r="AN71">
        <v>12</v>
      </c>
      <c r="AS71">
        <v>2150</v>
      </c>
      <c r="AT71">
        <v>2150</v>
      </c>
      <c r="BN71" s="114" t="s">
        <v>304</v>
      </c>
      <c r="BO71">
        <v>2</v>
      </c>
      <c r="BP71">
        <v>2</v>
      </c>
      <c r="BQ71">
        <v>3</v>
      </c>
      <c r="BR71" t="s">
        <v>300</v>
      </c>
      <c r="BS71" t="s">
        <v>182</v>
      </c>
      <c r="BT71" t="s">
        <v>183</v>
      </c>
      <c r="BU71" s="115">
        <v>45748</v>
      </c>
      <c r="BV71">
        <v>36390</v>
      </c>
      <c r="BW71" s="116"/>
      <c r="BX71" t="s">
        <v>172</v>
      </c>
      <c r="BY71" t="s">
        <v>173</v>
      </c>
      <c r="CB71" t="s">
        <v>173</v>
      </c>
      <c r="CC71" t="s">
        <v>173</v>
      </c>
      <c r="CE71" t="s">
        <v>173</v>
      </c>
      <c r="CG71" t="s">
        <v>172</v>
      </c>
      <c r="CH71" t="s">
        <v>282</v>
      </c>
      <c r="CI71" t="s">
        <v>172</v>
      </c>
      <c r="CJ71" t="s">
        <v>305</v>
      </c>
      <c r="CK71" t="s">
        <v>259</v>
      </c>
      <c r="CM71">
        <v>1</v>
      </c>
      <c r="CN71" t="s">
        <v>260</v>
      </c>
      <c r="CP71">
        <v>44</v>
      </c>
      <c r="CQ71">
        <v>10</v>
      </c>
      <c r="CR71">
        <v>38</v>
      </c>
      <c r="CS71" t="s">
        <v>261</v>
      </c>
      <c r="CV71" t="s">
        <v>262</v>
      </c>
      <c r="CX71" t="s">
        <v>263</v>
      </c>
      <c r="CY71" t="s">
        <v>173</v>
      </c>
      <c r="DC71" t="s">
        <v>329</v>
      </c>
      <c r="DD71">
        <v>1</v>
      </c>
      <c r="DE71" t="s">
        <v>307</v>
      </c>
      <c r="DF71" t="s">
        <v>330</v>
      </c>
      <c r="DG71">
        <v>9</v>
      </c>
      <c r="DJ71" t="s">
        <v>250</v>
      </c>
      <c r="DK71" t="s">
        <v>251</v>
      </c>
      <c r="DL71" t="s">
        <v>173</v>
      </c>
      <c r="DM71" t="s">
        <v>173</v>
      </c>
      <c r="DN71" t="s">
        <v>173</v>
      </c>
      <c r="DO71" t="s">
        <v>309</v>
      </c>
      <c r="DP71" t="s">
        <v>172</v>
      </c>
      <c r="DQ71" t="s">
        <v>204</v>
      </c>
      <c r="DY71">
        <v>39.700000000000003</v>
      </c>
      <c r="EA71" s="117"/>
      <c r="EB71">
        <v>6</v>
      </c>
      <c r="EC71">
        <v>6</v>
      </c>
      <c r="EE71" t="s">
        <v>331</v>
      </c>
      <c r="EF71">
        <v>6</v>
      </c>
      <c r="EV71">
        <v>2250</v>
      </c>
      <c r="EW71">
        <v>332</v>
      </c>
      <c r="EX71">
        <v>263</v>
      </c>
      <c r="EY71">
        <v>301</v>
      </c>
    </row>
    <row r="72" spans="1:155" x14ac:dyDescent="0.35">
      <c r="A72">
        <v>2026</v>
      </c>
      <c r="B72" t="s">
        <v>192</v>
      </c>
      <c r="C72" s="112" t="s">
        <v>192</v>
      </c>
      <c r="D72" t="s">
        <v>335</v>
      </c>
      <c r="E72" t="s">
        <v>194</v>
      </c>
      <c r="F72">
        <v>493</v>
      </c>
      <c r="G72" s="113">
        <v>3</v>
      </c>
      <c r="H72">
        <v>6</v>
      </c>
      <c r="I72" t="s">
        <v>195</v>
      </c>
      <c r="J72">
        <v>16</v>
      </c>
      <c r="K72">
        <v>22</v>
      </c>
      <c r="L72">
        <v>18</v>
      </c>
      <c r="M72">
        <v>19.6355</v>
      </c>
      <c r="N72">
        <v>31.376999999999999</v>
      </c>
      <c r="O72">
        <v>23.611499999999999</v>
      </c>
      <c r="P72">
        <v>15.829599999999999</v>
      </c>
      <c r="Q72">
        <v>22.4985</v>
      </c>
      <c r="R72">
        <v>18.266100000000002</v>
      </c>
      <c r="T72" t="s">
        <v>168</v>
      </c>
      <c r="U72" t="s">
        <v>169</v>
      </c>
      <c r="V72" t="s">
        <v>196</v>
      </c>
      <c r="W72" t="s">
        <v>197</v>
      </c>
      <c r="Y72">
        <v>8</v>
      </c>
      <c r="Z72" t="s">
        <v>172</v>
      </c>
      <c r="AA72" t="s">
        <v>173</v>
      </c>
      <c r="AB72" t="s">
        <v>170</v>
      </c>
      <c r="AC72" t="s">
        <v>232</v>
      </c>
      <c r="AD72">
        <v>10</v>
      </c>
      <c r="AG72" t="s">
        <v>216</v>
      </c>
      <c r="AH72" t="s">
        <v>217</v>
      </c>
      <c r="AI72" t="s">
        <v>178</v>
      </c>
      <c r="AJ72" t="s">
        <v>179</v>
      </c>
      <c r="AK72" t="s">
        <v>173</v>
      </c>
      <c r="AL72" t="s">
        <v>180</v>
      </c>
      <c r="AM72">
        <v>84</v>
      </c>
      <c r="AN72">
        <v>9</v>
      </c>
      <c r="AS72">
        <v>3450</v>
      </c>
      <c r="AT72">
        <v>3450</v>
      </c>
      <c r="BN72" s="114" t="s">
        <v>198</v>
      </c>
      <c r="BO72">
        <v>2</v>
      </c>
      <c r="BP72">
        <v>2</v>
      </c>
      <c r="BQ72">
        <v>3</v>
      </c>
      <c r="BR72" t="s">
        <v>300</v>
      </c>
      <c r="BS72" t="s">
        <v>182</v>
      </c>
      <c r="BT72" t="s">
        <v>183</v>
      </c>
      <c r="BU72" s="115">
        <v>45748</v>
      </c>
      <c r="BV72">
        <v>36431</v>
      </c>
      <c r="BW72" s="116"/>
      <c r="BX72" t="s">
        <v>173</v>
      </c>
      <c r="BY72" t="s">
        <v>173</v>
      </c>
      <c r="CB72" t="s">
        <v>173</v>
      </c>
      <c r="CC72" t="s">
        <v>173</v>
      </c>
      <c r="CE72" t="s">
        <v>173</v>
      </c>
      <c r="CG72" t="s">
        <v>172</v>
      </c>
      <c r="CH72" t="s">
        <v>199</v>
      </c>
      <c r="CI72" t="s">
        <v>172</v>
      </c>
      <c r="CJ72" t="s">
        <v>320</v>
      </c>
      <c r="DJ72" t="s">
        <v>201</v>
      </c>
      <c r="DK72" t="s">
        <v>202</v>
      </c>
      <c r="DN72" t="s">
        <v>173</v>
      </c>
      <c r="DO72" t="s">
        <v>266</v>
      </c>
      <c r="DP72" t="s">
        <v>172</v>
      </c>
      <c r="DQ72" t="s">
        <v>204</v>
      </c>
      <c r="DY72">
        <v>23.8</v>
      </c>
      <c r="EA72" s="117"/>
      <c r="EB72">
        <v>3</v>
      </c>
      <c r="EC72">
        <v>3</v>
      </c>
      <c r="EE72" t="s">
        <v>321</v>
      </c>
      <c r="EF72">
        <v>4</v>
      </c>
      <c r="EV72">
        <v>8750</v>
      </c>
      <c r="EW72">
        <v>553</v>
      </c>
      <c r="EX72">
        <v>388</v>
      </c>
      <c r="EY72">
        <v>479</v>
      </c>
    </row>
    <row r="73" spans="1:155" x14ac:dyDescent="0.35">
      <c r="A73">
        <v>2026</v>
      </c>
      <c r="B73" t="s">
        <v>192</v>
      </c>
      <c r="C73" s="112" t="s">
        <v>192</v>
      </c>
      <c r="D73" t="s">
        <v>336</v>
      </c>
      <c r="E73" t="s">
        <v>194</v>
      </c>
      <c r="F73">
        <v>852</v>
      </c>
      <c r="G73" s="113">
        <v>4.4000000000000004</v>
      </c>
      <c r="H73">
        <v>8</v>
      </c>
      <c r="I73" t="s">
        <v>195</v>
      </c>
      <c r="J73">
        <v>17</v>
      </c>
      <c r="K73">
        <v>24</v>
      </c>
      <c r="L73">
        <v>19</v>
      </c>
      <c r="M73">
        <v>20.809899999999999</v>
      </c>
      <c r="N73">
        <v>33.359699999999997</v>
      </c>
      <c r="O73">
        <v>25.050699999999999</v>
      </c>
      <c r="P73">
        <v>16.711600000000001</v>
      </c>
      <c r="Q73">
        <v>23.812200000000001</v>
      </c>
      <c r="R73">
        <v>19.301600000000001</v>
      </c>
      <c r="T73" t="s">
        <v>168</v>
      </c>
      <c r="U73" t="s">
        <v>169</v>
      </c>
      <c r="V73" t="s">
        <v>196</v>
      </c>
      <c r="W73" t="s">
        <v>197</v>
      </c>
      <c r="Y73">
        <v>8</v>
      </c>
      <c r="Z73" t="s">
        <v>172</v>
      </c>
      <c r="AA73" t="s">
        <v>173</v>
      </c>
      <c r="AB73" t="s">
        <v>170</v>
      </c>
      <c r="AC73" t="s">
        <v>232</v>
      </c>
      <c r="AD73">
        <v>10</v>
      </c>
      <c r="AG73" t="s">
        <v>176</v>
      </c>
      <c r="AH73" t="s">
        <v>177</v>
      </c>
      <c r="AI73" t="s">
        <v>178</v>
      </c>
      <c r="AJ73" t="s">
        <v>179</v>
      </c>
      <c r="AK73" t="s">
        <v>173</v>
      </c>
      <c r="AL73" t="s">
        <v>180</v>
      </c>
      <c r="AM73">
        <v>81</v>
      </c>
      <c r="AN73">
        <v>12</v>
      </c>
      <c r="AS73">
        <v>3300</v>
      </c>
      <c r="AT73">
        <v>3300</v>
      </c>
      <c r="BN73" s="114" t="s">
        <v>198</v>
      </c>
      <c r="BO73">
        <v>2</v>
      </c>
      <c r="BP73">
        <v>2</v>
      </c>
      <c r="BQ73">
        <v>3</v>
      </c>
      <c r="BR73" t="s">
        <v>300</v>
      </c>
      <c r="BS73" t="s">
        <v>182</v>
      </c>
      <c r="BT73" t="s">
        <v>183</v>
      </c>
      <c r="BU73" s="115">
        <v>45748</v>
      </c>
      <c r="BV73">
        <v>36414</v>
      </c>
      <c r="BW73" s="116"/>
      <c r="BX73" t="s">
        <v>173</v>
      </c>
      <c r="BY73" t="s">
        <v>173</v>
      </c>
      <c r="CB73" t="s">
        <v>173</v>
      </c>
      <c r="CC73" t="s">
        <v>173</v>
      </c>
      <c r="CE73" t="s">
        <v>173</v>
      </c>
      <c r="CG73" t="s">
        <v>172</v>
      </c>
      <c r="CH73" t="s">
        <v>282</v>
      </c>
      <c r="CI73" t="s">
        <v>172</v>
      </c>
      <c r="CJ73" t="s">
        <v>283</v>
      </c>
      <c r="DJ73" t="s">
        <v>201</v>
      </c>
      <c r="DK73" t="s">
        <v>202</v>
      </c>
      <c r="DN73" t="s">
        <v>173</v>
      </c>
      <c r="DO73" t="s">
        <v>266</v>
      </c>
      <c r="DP73" t="s">
        <v>172</v>
      </c>
      <c r="DQ73" t="s">
        <v>204</v>
      </c>
      <c r="DY73">
        <v>25.2</v>
      </c>
      <c r="EA73" s="117"/>
      <c r="EB73">
        <v>4</v>
      </c>
      <c r="EC73">
        <v>4</v>
      </c>
      <c r="EE73" t="s">
        <v>337</v>
      </c>
      <c r="EF73">
        <v>2</v>
      </c>
      <c r="EV73">
        <v>8000</v>
      </c>
      <c r="EW73">
        <v>526</v>
      </c>
      <c r="EX73">
        <v>371</v>
      </c>
      <c r="EY73">
        <v>456</v>
      </c>
    </row>
    <row r="74" spans="1:155" x14ac:dyDescent="0.35">
      <c r="A74">
        <v>2026</v>
      </c>
      <c r="B74" t="s">
        <v>192</v>
      </c>
      <c r="C74" s="112" t="s">
        <v>192</v>
      </c>
      <c r="D74" t="s">
        <v>338</v>
      </c>
      <c r="E74" t="s">
        <v>194</v>
      </c>
      <c r="F74">
        <v>850</v>
      </c>
      <c r="G74" s="113">
        <v>4.4000000000000004</v>
      </c>
      <c r="H74">
        <v>8</v>
      </c>
      <c r="I74" t="s">
        <v>195</v>
      </c>
      <c r="J74">
        <v>17</v>
      </c>
      <c r="K74">
        <v>24</v>
      </c>
      <c r="L74">
        <v>19</v>
      </c>
      <c r="M74">
        <v>20.81</v>
      </c>
      <c r="N74">
        <v>33.3596</v>
      </c>
      <c r="O74">
        <v>25.050699999999999</v>
      </c>
      <c r="P74">
        <v>16.7117</v>
      </c>
      <c r="Q74">
        <v>23.812100000000001</v>
      </c>
      <c r="R74">
        <v>19.3017</v>
      </c>
      <c r="T74" t="s">
        <v>168</v>
      </c>
      <c r="U74" t="s">
        <v>169</v>
      </c>
      <c r="V74" t="s">
        <v>196</v>
      </c>
      <c r="W74" t="s">
        <v>197</v>
      </c>
      <c r="Y74">
        <v>8</v>
      </c>
      <c r="Z74" t="s">
        <v>172</v>
      </c>
      <c r="AA74" t="s">
        <v>173</v>
      </c>
      <c r="AB74" t="s">
        <v>170</v>
      </c>
      <c r="AC74" t="s">
        <v>232</v>
      </c>
      <c r="AD74">
        <v>10</v>
      </c>
      <c r="AG74" t="s">
        <v>176</v>
      </c>
      <c r="AH74" t="s">
        <v>177</v>
      </c>
      <c r="AI74" t="s">
        <v>178</v>
      </c>
      <c r="AJ74" t="s">
        <v>179</v>
      </c>
      <c r="AK74" t="s">
        <v>173</v>
      </c>
      <c r="AL74" t="s">
        <v>180</v>
      </c>
      <c r="AM74">
        <v>81</v>
      </c>
      <c r="AN74">
        <v>15</v>
      </c>
      <c r="AS74">
        <v>3300</v>
      </c>
      <c r="AT74">
        <v>3300</v>
      </c>
      <c r="BN74" s="114" t="s">
        <v>198</v>
      </c>
      <c r="BO74">
        <v>2</v>
      </c>
      <c r="BP74">
        <v>2</v>
      </c>
      <c r="BQ74">
        <v>3</v>
      </c>
      <c r="BR74" t="s">
        <v>300</v>
      </c>
      <c r="BS74" t="s">
        <v>182</v>
      </c>
      <c r="BT74" t="s">
        <v>183</v>
      </c>
      <c r="BU74" s="115">
        <v>45748</v>
      </c>
      <c r="BV74">
        <v>36413</v>
      </c>
      <c r="BW74" s="116"/>
      <c r="BX74" t="s">
        <v>173</v>
      </c>
      <c r="BY74" t="s">
        <v>173</v>
      </c>
      <c r="CB74" t="s">
        <v>173</v>
      </c>
      <c r="CC74" t="s">
        <v>173</v>
      </c>
      <c r="CE74" t="s">
        <v>173</v>
      </c>
      <c r="CG74" t="s">
        <v>172</v>
      </c>
      <c r="CH74" t="s">
        <v>282</v>
      </c>
      <c r="CI74" t="s">
        <v>172</v>
      </c>
      <c r="CJ74" t="s">
        <v>283</v>
      </c>
      <c r="DJ74" t="s">
        <v>201</v>
      </c>
      <c r="DK74" t="s">
        <v>202</v>
      </c>
      <c r="DN74" t="s">
        <v>173</v>
      </c>
      <c r="DO74" t="s">
        <v>266</v>
      </c>
      <c r="DP74" t="s">
        <v>172</v>
      </c>
      <c r="DQ74" t="s">
        <v>204</v>
      </c>
      <c r="DY74">
        <v>25.2</v>
      </c>
      <c r="EA74" s="117"/>
      <c r="EB74">
        <v>4</v>
      </c>
      <c r="EC74">
        <v>4</v>
      </c>
      <c r="EE74" t="s">
        <v>337</v>
      </c>
      <c r="EF74">
        <v>2</v>
      </c>
      <c r="EV74">
        <v>8000</v>
      </c>
      <c r="EW74">
        <v>526</v>
      </c>
      <c r="EX74">
        <v>371</v>
      </c>
      <c r="EY74">
        <v>456</v>
      </c>
    </row>
    <row r="75" spans="1:155" x14ac:dyDescent="0.35">
      <c r="A75">
        <v>2026</v>
      </c>
      <c r="B75" t="s">
        <v>978</v>
      </c>
      <c r="C75" s="112" t="s">
        <v>1170</v>
      </c>
      <c r="D75" t="s">
        <v>1171</v>
      </c>
      <c r="E75" t="s">
        <v>981</v>
      </c>
      <c r="F75">
        <v>3</v>
      </c>
      <c r="G75" s="113">
        <v>5</v>
      </c>
      <c r="H75">
        <v>8</v>
      </c>
      <c r="I75" t="s">
        <v>246</v>
      </c>
      <c r="J75">
        <v>16</v>
      </c>
      <c r="K75">
        <v>24</v>
      </c>
      <c r="L75">
        <v>19</v>
      </c>
      <c r="M75">
        <v>19.7422</v>
      </c>
      <c r="N75">
        <v>35.930999999999997</v>
      </c>
      <c r="O75">
        <v>24.762799999999999</v>
      </c>
      <c r="P75">
        <v>15.91</v>
      </c>
      <c r="Q75">
        <v>24</v>
      </c>
      <c r="R75">
        <v>19.150600000000001</v>
      </c>
      <c r="U75" t="s">
        <v>215</v>
      </c>
      <c r="V75" t="s">
        <v>196</v>
      </c>
      <c r="W75" t="s">
        <v>197</v>
      </c>
      <c r="Y75">
        <v>10</v>
      </c>
      <c r="Z75" t="s">
        <v>172</v>
      </c>
      <c r="AA75" t="s">
        <v>173</v>
      </c>
      <c r="AB75" t="s">
        <v>174</v>
      </c>
      <c r="AC75" t="s">
        <v>175</v>
      </c>
      <c r="AD75">
        <v>10</v>
      </c>
      <c r="AG75" t="s">
        <v>167</v>
      </c>
      <c r="AH75" t="s">
        <v>416</v>
      </c>
      <c r="AI75" t="s">
        <v>178</v>
      </c>
      <c r="AJ75" t="s">
        <v>179</v>
      </c>
      <c r="AK75" t="s">
        <v>173</v>
      </c>
      <c r="AL75" t="s">
        <v>180</v>
      </c>
      <c r="AM75">
        <v>81</v>
      </c>
      <c r="AN75">
        <v>12</v>
      </c>
      <c r="AS75">
        <v>2600</v>
      </c>
      <c r="AT75">
        <v>2600</v>
      </c>
      <c r="BN75" s="114"/>
      <c r="BO75">
        <v>2</v>
      </c>
      <c r="BP75">
        <v>2</v>
      </c>
      <c r="BQ75">
        <v>3</v>
      </c>
      <c r="BR75" t="s">
        <v>300</v>
      </c>
      <c r="BS75" t="s">
        <v>182</v>
      </c>
      <c r="BT75" t="s">
        <v>183</v>
      </c>
      <c r="BU75" s="115">
        <v>45908</v>
      </c>
      <c r="BV75">
        <v>37743</v>
      </c>
      <c r="BW75" s="116"/>
      <c r="BX75" t="s">
        <v>173</v>
      </c>
      <c r="BY75" t="s">
        <v>173</v>
      </c>
      <c r="CB75" t="s">
        <v>173</v>
      </c>
      <c r="CC75" t="s">
        <v>173</v>
      </c>
      <c r="CD75" t="s">
        <v>1173</v>
      </c>
      <c r="CE75" t="s">
        <v>173</v>
      </c>
      <c r="CG75" t="s">
        <v>172</v>
      </c>
      <c r="CH75" t="s">
        <v>1174</v>
      </c>
      <c r="CI75" t="s">
        <v>173</v>
      </c>
      <c r="DJ75" t="s">
        <v>186</v>
      </c>
      <c r="DK75" t="s">
        <v>187</v>
      </c>
      <c r="DN75" t="s">
        <v>173</v>
      </c>
      <c r="DO75" t="s">
        <v>1175</v>
      </c>
      <c r="DP75" t="s">
        <v>172</v>
      </c>
      <c r="DQ75" t="s">
        <v>204</v>
      </c>
      <c r="DY75">
        <v>24.9</v>
      </c>
      <c r="EA75" s="117"/>
      <c r="EB75">
        <v>4</v>
      </c>
      <c r="EC75">
        <v>4</v>
      </c>
      <c r="EE75" t="s">
        <v>1176</v>
      </c>
      <c r="EF75">
        <v>2</v>
      </c>
      <c r="EV75">
        <v>4500</v>
      </c>
      <c r="EW75">
        <v>558</v>
      </c>
      <c r="EX75">
        <v>370</v>
      </c>
      <c r="EY75">
        <v>468</v>
      </c>
    </row>
    <row r="76" spans="1:155" x14ac:dyDescent="0.35">
      <c r="A76">
        <v>2026</v>
      </c>
      <c r="B76" t="s">
        <v>978</v>
      </c>
      <c r="C76" s="112" t="s">
        <v>1170</v>
      </c>
      <c r="D76" t="s">
        <v>1171</v>
      </c>
      <c r="E76" t="s">
        <v>981</v>
      </c>
      <c r="F76">
        <v>4</v>
      </c>
      <c r="G76" s="113">
        <v>5</v>
      </c>
      <c r="H76">
        <v>8</v>
      </c>
      <c r="I76" t="s">
        <v>206</v>
      </c>
      <c r="J76">
        <v>15</v>
      </c>
      <c r="K76">
        <v>23</v>
      </c>
      <c r="L76">
        <v>18</v>
      </c>
      <c r="M76">
        <v>18.7776</v>
      </c>
      <c r="N76">
        <v>32.953699999999998</v>
      </c>
      <c r="O76">
        <v>23.2852</v>
      </c>
      <c r="P76">
        <v>15.180899999999999</v>
      </c>
      <c r="Q76">
        <v>23</v>
      </c>
      <c r="R76">
        <v>18.069199999999999</v>
      </c>
      <c r="U76" t="s">
        <v>215</v>
      </c>
      <c r="V76" t="s">
        <v>207</v>
      </c>
      <c r="W76" t="s">
        <v>208</v>
      </c>
      <c r="Y76">
        <v>6</v>
      </c>
      <c r="Z76" t="s">
        <v>173</v>
      </c>
      <c r="AA76" t="s">
        <v>173</v>
      </c>
      <c r="AB76" t="s">
        <v>174</v>
      </c>
      <c r="AC76" t="s">
        <v>175</v>
      </c>
      <c r="AD76">
        <v>10</v>
      </c>
      <c r="AG76" t="s">
        <v>167</v>
      </c>
      <c r="AH76" t="s">
        <v>416</v>
      </c>
      <c r="AI76" t="s">
        <v>178</v>
      </c>
      <c r="AJ76" t="s">
        <v>179</v>
      </c>
      <c r="AK76" t="s">
        <v>173</v>
      </c>
      <c r="AL76" t="s">
        <v>180</v>
      </c>
      <c r="AM76">
        <v>81</v>
      </c>
      <c r="AN76">
        <v>12</v>
      </c>
      <c r="AS76">
        <v>2750</v>
      </c>
      <c r="AT76">
        <v>2750</v>
      </c>
      <c r="BN76" s="114"/>
      <c r="BO76">
        <v>2</v>
      </c>
      <c r="BP76">
        <v>2</v>
      </c>
      <c r="BQ76">
        <v>3</v>
      </c>
      <c r="BR76" t="s">
        <v>300</v>
      </c>
      <c r="BS76" t="s">
        <v>182</v>
      </c>
      <c r="BT76" t="s">
        <v>183</v>
      </c>
      <c r="BU76" s="115">
        <v>45908</v>
      </c>
      <c r="BV76">
        <v>37744</v>
      </c>
      <c r="BW76" s="116"/>
      <c r="BX76" t="s">
        <v>173</v>
      </c>
      <c r="BY76" t="s">
        <v>173</v>
      </c>
      <c r="CB76" t="s">
        <v>173</v>
      </c>
      <c r="CC76" t="s">
        <v>173</v>
      </c>
      <c r="CD76" t="s">
        <v>1173</v>
      </c>
      <c r="CE76" t="s">
        <v>173</v>
      </c>
      <c r="CG76" t="s">
        <v>172</v>
      </c>
      <c r="CH76" t="s">
        <v>1174</v>
      </c>
      <c r="CI76" t="s">
        <v>173</v>
      </c>
      <c r="DJ76" t="s">
        <v>186</v>
      </c>
      <c r="DK76" t="s">
        <v>187</v>
      </c>
      <c r="DN76" t="s">
        <v>173</v>
      </c>
      <c r="DO76" t="s">
        <v>1175</v>
      </c>
      <c r="DP76" t="s">
        <v>172</v>
      </c>
      <c r="DQ76" t="s">
        <v>204</v>
      </c>
      <c r="DY76">
        <v>23.5</v>
      </c>
      <c r="EA76" s="117"/>
      <c r="EB76">
        <v>3</v>
      </c>
      <c r="EC76">
        <v>3</v>
      </c>
      <c r="EE76" t="s">
        <v>1176</v>
      </c>
      <c r="EF76">
        <v>2</v>
      </c>
      <c r="EV76">
        <v>5250</v>
      </c>
      <c r="EW76">
        <v>586</v>
      </c>
      <c r="EX76">
        <v>386</v>
      </c>
      <c r="EY76">
        <v>494</v>
      </c>
    </row>
    <row r="77" spans="1:155" x14ac:dyDescent="0.35">
      <c r="A77">
        <v>2026</v>
      </c>
      <c r="B77" t="s">
        <v>978</v>
      </c>
      <c r="C77" s="112" t="s">
        <v>1170</v>
      </c>
      <c r="D77" t="s">
        <v>1171</v>
      </c>
      <c r="E77" t="s">
        <v>981</v>
      </c>
      <c r="F77">
        <v>5</v>
      </c>
      <c r="G77" s="113">
        <v>2.2999999999999998</v>
      </c>
      <c r="H77">
        <v>4</v>
      </c>
      <c r="I77" t="s">
        <v>669</v>
      </c>
      <c r="J77">
        <v>22</v>
      </c>
      <c r="K77">
        <v>33</v>
      </c>
      <c r="L77">
        <v>26</v>
      </c>
      <c r="M77">
        <v>29.2</v>
      </c>
      <c r="N77">
        <v>49.6</v>
      </c>
      <c r="O77">
        <v>35.831800000000001</v>
      </c>
      <c r="P77">
        <v>22</v>
      </c>
      <c r="Q77">
        <v>33</v>
      </c>
      <c r="R77">
        <v>26</v>
      </c>
      <c r="T77" t="s">
        <v>168</v>
      </c>
      <c r="U77" t="s">
        <v>169</v>
      </c>
      <c r="V77" t="s">
        <v>170</v>
      </c>
      <c r="W77" t="s">
        <v>171</v>
      </c>
      <c r="Y77">
        <v>10</v>
      </c>
      <c r="Z77" t="s">
        <v>172</v>
      </c>
      <c r="AA77" t="s">
        <v>173</v>
      </c>
      <c r="AB77" t="s">
        <v>174</v>
      </c>
      <c r="AC77" t="s">
        <v>175</v>
      </c>
      <c r="AD77">
        <v>85</v>
      </c>
      <c r="AG77" t="s">
        <v>167</v>
      </c>
      <c r="AH77" t="s">
        <v>416</v>
      </c>
      <c r="AI77" t="s">
        <v>178</v>
      </c>
      <c r="AJ77" t="s">
        <v>179</v>
      </c>
      <c r="AK77" t="s">
        <v>173</v>
      </c>
      <c r="AL77" t="s">
        <v>180</v>
      </c>
      <c r="AM77">
        <v>81</v>
      </c>
      <c r="AN77">
        <v>12</v>
      </c>
      <c r="AS77">
        <v>1900</v>
      </c>
      <c r="AT77">
        <v>1900</v>
      </c>
      <c r="BN77" s="114" t="s">
        <v>247</v>
      </c>
      <c r="BO77">
        <v>2</v>
      </c>
      <c r="BP77">
        <v>2</v>
      </c>
      <c r="BQ77">
        <v>3</v>
      </c>
      <c r="BR77" t="s">
        <v>300</v>
      </c>
      <c r="BS77" t="s">
        <v>182</v>
      </c>
      <c r="BT77" t="s">
        <v>183</v>
      </c>
      <c r="BU77" s="115">
        <v>45908</v>
      </c>
      <c r="BV77">
        <v>37414</v>
      </c>
      <c r="BW77" s="116"/>
      <c r="BX77" t="s">
        <v>173</v>
      </c>
      <c r="BY77" t="s">
        <v>173</v>
      </c>
      <c r="CB77" t="s">
        <v>173</v>
      </c>
      <c r="CC77" t="s">
        <v>173</v>
      </c>
      <c r="CE77" t="s">
        <v>173</v>
      </c>
      <c r="CG77" t="s">
        <v>173</v>
      </c>
      <c r="CI77" t="s">
        <v>173</v>
      </c>
      <c r="DJ77" t="s">
        <v>250</v>
      </c>
      <c r="DK77" t="s">
        <v>251</v>
      </c>
      <c r="DN77" t="s">
        <v>173</v>
      </c>
      <c r="DO77" t="s">
        <v>983</v>
      </c>
      <c r="DP77" t="s">
        <v>172</v>
      </c>
      <c r="DQ77" t="s">
        <v>204</v>
      </c>
      <c r="DY77">
        <v>36.1</v>
      </c>
      <c r="EA77" s="117"/>
      <c r="EB77">
        <v>5</v>
      </c>
      <c r="EC77">
        <v>5</v>
      </c>
      <c r="EE77" t="s">
        <v>1172</v>
      </c>
      <c r="EF77">
        <v>6</v>
      </c>
      <c r="EV77">
        <v>1000</v>
      </c>
      <c r="EW77">
        <v>404</v>
      </c>
      <c r="EX77">
        <v>269</v>
      </c>
      <c r="EY77">
        <v>341</v>
      </c>
    </row>
    <row r="78" spans="1:155" x14ac:dyDescent="0.35">
      <c r="A78">
        <v>2026</v>
      </c>
      <c r="B78" t="s">
        <v>978</v>
      </c>
      <c r="C78" s="112" t="s">
        <v>1170</v>
      </c>
      <c r="D78" t="s">
        <v>1177</v>
      </c>
      <c r="E78" t="s">
        <v>981</v>
      </c>
      <c r="F78">
        <v>6</v>
      </c>
      <c r="G78" s="113">
        <v>5</v>
      </c>
      <c r="H78">
        <v>8</v>
      </c>
      <c r="I78" t="s">
        <v>246</v>
      </c>
      <c r="J78">
        <v>14</v>
      </c>
      <c r="K78">
        <v>22</v>
      </c>
      <c r="L78">
        <v>17</v>
      </c>
      <c r="M78">
        <v>17.600000000000001</v>
      </c>
      <c r="N78">
        <v>30.018699999999999</v>
      </c>
      <c r="O78">
        <v>21.626000000000001</v>
      </c>
      <c r="P78">
        <v>14.2845</v>
      </c>
      <c r="Q78">
        <v>21.591699999999999</v>
      </c>
      <c r="R78">
        <v>16.8508</v>
      </c>
      <c r="S78" t="s">
        <v>167</v>
      </c>
      <c r="U78" t="s">
        <v>215</v>
      </c>
      <c r="V78" t="s">
        <v>196</v>
      </c>
      <c r="W78" t="s">
        <v>197</v>
      </c>
      <c r="Y78">
        <v>10</v>
      </c>
      <c r="Z78" t="s">
        <v>172</v>
      </c>
      <c r="AA78" t="s">
        <v>173</v>
      </c>
      <c r="AB78" t="s">
        <v>174</v>
      </c>
      <c r="AC78" t="s">
        <v>175</v>
      </c>
      <c r="AD78">
        <v>10</v>
      </c>
      <c r="AG78" t="s">
        <v>167</v>
      </c>
      <c r="AH78" t="s">
        <v>416</v>
      </c>
      <c r="AI78" t="s">
        <v>178</v>
      </c>
      <c r="AJ78" t="s">
        <v>179</v>
      </c>
      <c r="AK78" t="s">
        <v>173</v>
      </c>
      <c r="AL78" t="s">
        <v>180</v>
      </c>
      <c r="AM78">
        <v>81</v>
      </c>
      <c r="AN78">
        <v>12</v>
      </c>
      <c r="AS78">
        <v>2900</v>
      </c>
      <c r="AT78">
        <v>2900</v>
      </c>
      <c r="BN78" s="114"/>
      <c r="BO78">
        <v>2</v>
      </c>
      <c r="BP78">
        <v>2</v>
      </c>
      <c r="BQ78">
        <v>3</v>
      </c>
      <c r="BR78" t="s">
        <v>300</v>
      </c>
      <c r="BS78" t="s">
        <v>182</v>
      </c>
      <c r="BT78" t="s">
        <v>183</v>
      </c>
      <c r="BU78" s="115">
        <v>45908</v>
      </c>
      <c r="BV78">
        <v>37741</v>
      </c>
      <c r="BW78" s="116"/>
      <c r="BX78" t="s">
        <v>173</v>
      </c>
      <c r="BY78" t="s">
        <v>173</v>
      </c>
      <c r="CB78" t="s">
        <v>173</v>
      </c>
      <c r="CC78" t="s">
        <v>173</v>
      </c>
      <c r="CD78" t="s">
        <v>1178</v>
      </c>
      <c r="CE78" t="s">
        <v>173</v>
      </c>
      <c r="CG78" t="s">
        <v>172</v>
      </c>
      <c r="CH78" t="s">
        <v>1174</v>
      </c>
      <c r="CI78" t="s">
        <v>173</v>
      </c>
      <c r="DJ78" t="s">
        <v>186</v>
      </c>
      <c r="DK78" t="s">
        <v>187</v>
      </c>
      <c r="DN78" t="s">
        <v>173</v>
      </c>
      <c r="DO78" t="s">
        <v>1175</v>
      </c>
      <c r="DP78" t="s">
        <v>173</v>
      </c>
      <c r="DQ78" t="s">
        <v>189</v>
      </c>
      <c r="DY78">
        <v>21.8</v>
      </c>
      <c r="EA78" s="117"/>
      <c r="EB78">
        <v>3</v>
      </c>
      <c r="EC78">
        <v>3</v>
      </c>
      <c r="EE78" t="s">
        <v>1176</v>
      </c>
      <c r="EF78">
        <v>2</v>
      </c>
      <c r="EV78">
        <v>6000</v>
      </c>
      <c r="EW78">
        <v>619</v>
      </c>
      <c r="EX78">
        <v>410</v>
      </c>
      <c r="EY78">
        <v>525</v>
      </c>
    </row>
    <row r="79" spans="1:155" x14ac:dyDescent="0.35">
      <c r="A79">
        <v>2026</v>
      </c>
      <c r="B79" t="s">
        <v>978</v>
      </c>
      <c r="C79" s="112" t="s">
        <v>1170</v>
      </c>
      <c r="D79" t="s">
        <v>1177</v>
      </c>
      <c r="E79" t="s">
        <v>981</v>
      </c>
      <c r="F79">
        <v>7</v>
      </c>
      <c r="G79" s="113">
        <v>5</v>
      </c>
      <c r="H79">
        <v>8</v>
      </c>
      <c r="I79" t="s">
        <v>206</v>
      </c>
      <c r="J79">
        <v>14</v>
      </c>
      <c r="K79">
        <v>22</v>
      </c>
      <c r="L79">
        <v>17</v>
      </c>
      <c r="M79">
        <v>17</v>
      </c>
      <c r="N79">
        <v>30.4</v>
      </c>
      <c r="O79">
        <v>21.206399999999999</v>
      </c>
      <c r="P79">
        <v>13.825100000000001</v>
      </c>
      <c r="Q79">
        <v>21.846800000000002</v>
      </c>
      <c r="R79">
        <v>16.561599999999999</v>
      </c>
      <c r="S79" t="s">
        <v>167</v>
      </c>
      <c r="U79" t="s">
        <v>215</v>
      </c>
      <c r="V79" t="s">
        <v>207</v>
      </c>
      <c r="W79" t="s">
        <v>208</v>
      </c>
      <c r="Y79">
        <v>6</v>
      </c>
      <c r="Z79" t="s">
        <v>173</v>
      </c>
      <c r="AA79" t="s">
        <v>173</v>
      </c>
      <c r="AB79" t="s">
        <v>174</v>
      </c>
      <c r="AC79" t="s">
        <v>175</v>
      </c>
      <c r="AD79">
        <v>10</v>
      </c>
      <c r="AG79" t="s">
        <v>167</v>
      </c>
      <c r="AH79" t="s">
        <v>416</v>
      </c>
      <c r="AI79" t="s">
        <v>178</v>
      </c>
      <c r="AJ79" t="s">
        <v>179</v>
      </c>
      <c r="AK79" t="s">
        <v>173</v>
      </c>
      <c r="AL79" t="s">
        <v>180</v>
      </c>
      <c r="AM79">
        <v>81</v>
      </c>
      <c r="AN79">
        <v>12</v>
      </c>
      <c r="AS79">
        <v>2900</v>
      </c>
      <c r="AT79">
        <v>2900</v>
      </c>
      <c r="BN79" s="114"/>
      <c r="BO79">
        <v>2</v>
      </c>
      <c r="BP79">
        <v>2</v>
      </c>
      <c r="BQ79">
        <v>3</v>
      </c>
      <c r="BR79" t="s">
        <v>300</v>
      </c>
      <c r="BS79" t="s">
        <v>182</v>
      </c>
      <c r="BT79" t="s">
        <v>183</v>
      </c>
      <c r="BU79" s="115">
        <v>45908</v>
      </c>
      <c r="BV79">
        <v>37742</v>
      </c>
      <c r="BW79" s="116"/>
      <c r="BX79" t="s">
        <v>173</v>
      </c>
      <c r="BY79" t="s">
        <v>173</v>
      </c>
      <c r="CB79" t="s">
        <v>173</v>
      </c>
      <c r="CC79" t="s">
        <v>173</v>
      </c>
      <c r="CD79" t="s">
        <v>1178</v>
      </c>
      <c r="CE79" t="s">
        <v>173</v>
      </c>
      <c r="CG79" t="s">
        <v>172</v>
      </c>
      <c r="CH79" t="s">
        <v>1174</v>
      </c>
      <c r="CI79" t="s">
        <v>173</v>
      </c>
      <c r="DJ79" t="s">
        <v>186</v>
      </c>
      <c r="DK79" t="s">
        <v>187</v>
      </c>
      <c r="DN79" t="s">
        <v>173</v>
      </c>
      <c r="DO79" t="s">
        <v>1175</v>
      </c>
      <c r="DP79" t="s">
        <v>173</v>
      </c>
      <c r="DQ79" t="s">
        <v>189</v>
      </c>
      <c r="DY79">
        <v>21.4</v>
      </c>
      <c r="EA79" s="117"/>
      <c r="EB79">
        <v>3</v>
      </c>
      <c r="EC79">
        <v>3</v>
      </c>
      <c r="EE79" t="s">
        <v>1176</v>
      </c>
      <c r="EF79">
        <v>2</v>
      </c>
      <c r="EV79">
        <v>6000</v>
      </c>
      <c r="EW79">
        <v>638</v>
      </c>
      <c r="EX79">
        <v>405</v>
      </c>
      <c r="EY79">
        <v>533</v>
      </c>
    </row>
    <row r="80" spans="1:155" x14ac:dyDescent="0.35">
      <c r="A80">
        <v>2026</v>
      </c>
      <c r="B80" t="s">
        <v>242</v>
      </c>
      <c r="C80" s="112" t="s">
        <v>243</v>
      </c>
      <c r="D80" t="s">
        <v>339</v>
      </c>
      <c r="E80" t="s">
        <v>245</v>
      </c>
      <c r="F80">
        <v>115</v>
      </c>
      <c r="G80" s="113">
        <v>5</v>
      </c>
      <c r="H80">
        <v>8</v>
      </c>
      <c r="I80" t="s">
        <v>246</v>
      </c>
      <c r="J80">
        <v>16</v>
      </c>
      <c r="K80">
        <v>24</v>
      </c>
      <c r="L80">
        <v>18</v>
      </c>
      <c r="M80">
        <v>19.2</v>
      </c>
      <c r="N80">
        <v>33.9</v>
      </c>
      <c r="O80">
        <v>23.854900000000001</v>
      </c>
      <c r="P80">
        <v>15.5008</v>
      </c>
      <c r="Q80">
        <v>24.168099999999999</v>
      </c>
      <c r="R80">
        <v>18.483699999999999</v>
      </c>
      <c r="U80" t="s">
        <v>215</v>
      </c>
      <c r="V80" t="s">
        <v>196</v>
      </c>
      <c r="W80" t="s">
        <v>197</v>
      </c>
      <c r="Y80">
        <v>10</v>
      </c>
      <c r="Z80" t="s">
        <v>172</v>
      </c>
      <c r="AA80" t="s">
        <v>173</v>
      </c>
      <c r="AB80" t="s">
        <v>174</v>
      </c>
      <c r="AC80" t="s">
        <v>175</v>
      </c>
      <c r="AD80">
        <v>15</v>
      </c>
      <c r="AG80" t="s">
        <v>216</v>
      </c>
      <c r="AH80" t="s">
        <v>217</v>
      </c>
      <c r="AI80" t="s">
        <v>178</v>
      </c>
      <c r="AJ80" t="s">
        <v>179</v>
      </c>
      <c r="AK80" t="s">
        <v>173</v>
      </c>
      <c r="AL80" t="s">
        <v>180</v>
      </c>
      <c r="AM80">
        <v>86</v>
      </c>
      <c r="AN80">
        <v>5</v>
      </c>
      <c r="AS80">
        <v>3450</v>
      </c>
      <c r="AT80">
        <v>3450</v>
      </c>
      <c r="BN80" s="114" t="s">
        <v>247</v>
      </c>
      <c r="BO80">
        <v>2</v>
      </c>
      <c r="BP80">
        <v>2</v>
      </c>
      <c r="BQ80">
        <v>3</v>
      </c>
      <c r="BR80" t="s">
        <v>300</v>
      </c>
      <c r="BS80" t="s">
        <v>182</v>
      </c>
      <c r="BT80" t="s">
        <v>183</v>
      </c>
      <c r="BU80" s="115">
        <v>45887</v>
      </c>
      <c r="BV80">
        <v>36987</v>
      </c>
      <c r="BW80" s="116"/>
      <c r="BX80" t="s">
        <v>172</v>
      </c>
      <c r="BY80" t="s">
        <v>173</v>
      </c>
      <c r="CB80" t="s">
        <v>173</v>
      </c>
      <c r="CC80" t="s">
        <v>173</v>
      </c>
      <c r="CE80" t="s">
        <v>173</v>
      </c>
      <c r="CG80" t="s">
        <v>172</v>
      </c>
      <c r="CH80" t="s">
        <v>249</v>
      </c>
      <c r="CI80" t="s">
        <v>173</v>
      </c>
      <c r="DJ80" t="s">
        <v>250</v>
      </c>
      <c r="DK80" t="s">
        <v>251</v>
      </c>
      <c r="DN80" t="s">
        <v>173</v>
      </c>
      <c r="DO80" t="s">
        <v>252</v>
      </c>
      <c r="DP80" t="s">
        <v>173</v>
      </c>
      <c r="DQ80" t="s">
        <v>189</v>
      </c>
      <c r="DY80">
        <v>24.1</v>
      </c>
      <c r="EA80" s="117"/>
      <c r="EB80">
        <v>3</v>
      </c>
      <c r="EC80">
        <v>3</v>
      </c>
      <c r="EE80" t="s">
        <v>253</v>
      </c>
      <c r="EF80">
        <v>4</v>
      </c>
      <c r="EV80">
        <v>8750</v>
      </c>
      <c r="EW80">
        <v>573</v>
      </c>
      <c r="EX80">
        <v>368</v>
      </c>
      <c r="EY80">
        <v>481</v>
      </c>
    </row>
    <row r="81" spans="1:155" x14ac:dyDescent="0.35">
      <c r="A81">
        <v>2026</v>
      </c>
      <c r="B81" t="s">
        <v>1179</v>
      </c>
      <c r="C81" s="112" t="s">
        <v>1180</v>
      </c>
      <c r="D81" t="s">
        <v>1181</v>
      </c>
      <c r="E81" t="s">
        <v>1182</v>
      </c>
      <c r="F81">
        <v>77</v>
      </c>
      <c r="G81" s="113">
        <v>3</v>
      </c>
      <c r="H81">
        <v>6</v>
      </c>
      <c r="I81" t="s">
        <v>166</v>
      </c>
      <c r="J81">
        <v>17</v>
      </c>
      <c r="K81">
        <v>26</v>
      </c>
      <c r="L81">
        <v>20</v>
      </c>
      <c r="M81">
        <v>21.3</v>
      </c>
      <c r="N81">
        <v>35.200000000000003</v>
      </c>
      <c r="O81">
        <v>25.902899999999999</v>
      </c>
      <c r="P81">
        <v>17.0777</v>
      </c>
      <c r="Q81">
        <v>26.4878</v>
      </c>
      <c r="R81">
        <v>20.327400000000001</v>
      </c>
      <c r="T81" t="s">
        <v>168</v>
      </c>
      <c r="U81" t="s">
        <v>169</v>
      </c>
      <c r="V81" t="s">
        <v>170</v>
      </c>
      <c r="W81" t="s">
        <v>171</v>
      </c>
      <c r="Y81">
        <v>8</v>
      </c>
      <c r="Z81" t="s">
        <v>172</v>
      </c>
      <c r="AA81" t="s">
        <v>173</v>
      </c>
      <c r="AB81" t="s">
        <v>170</v>
      </c>
      <c r="AC81" t="s">
        <v>232</v>
      </c>
      <c r="AD81">
        <v>10</v>
      </c>
      <c r="AG81" t="s">
        <v>216</v>
      </c>
      <c r="AH81" t="s">
        <v>217</v>
      </c>
      <c r="AI81" t="s">
        <v>178</v>
      </c>
      <c r="AJ81" t="s">
        <v>179</v>
      </c>
      <c r="AK81" t="s">
        <v>173</v>
      </c>
      <c r="AL81" t="s">
        <v>180</v>
      </c>
      <c r="AM81">
        <v>89</v>
      </c>
      <c r="AN81">
        <v>7</v>
      </c>
      <c r="AS81">
        <v>3100</v>
      </c>
      <c r="AT81">
        <v>3100</v>
      </c>
      <c r="BN81" s="114" t="s">
        <v>247</v>
      </c>
      <c r="BO81">
        <v>2</v>
      </c>
      <c r="BP81">
        <v>2</v>
      </c>
      <c r="BQ81">
        <v>3</v>
      </c>
      <c r="BR81" t="s">
        <v>300</v>
      </c>
      <c r="BS81" t="s">
        <v>182</v>
      </c>
      <c r="BT81" t="s">
        <v>613</v>
      </c>
      <c r="BU81" s="115">
        <v>45891</v>
      </c>
      <c r="BV81">
        <v>37639</v>
      </c>
      <c r="BW81" s="116"/>
      <c r="BX81" t="s">
        <v>173</v>
      </c>
      <c r="BY81" t="s">
        <v>173</v>
      </c>
      <c r="CB81" t="s">
        <v>173</v>
      </c>
      <c r="CC81" t="s">
        <v>173</v>
      </c>
      <c r="CE81" t="s">
        <v>172</v>
      </c>
      <c r="CF81" t="s">
        <v>1183</v>
      </c>
      <c r="CG81" t="s">
        <v>172</v>
      </c>
      <c r="CH81" t="s">
        <v>1184</v>
      </c>
      <c r="CI81" t="s">
        <v>173</v>
      </c>
      <c r="DJ81" t="s">
        <v>250</v>
      </c>
      <c r="DK81" t="s">
        <v>251</v>
      </c>
      <c r="DL81" t="s">
        <v>173</v>
      </c>
      <c r="DN81" t="s">
        <v>173</v>
      </c>
      <c r="DO81" t="s">
        <v>1185</v>
      </c>
      <c r="DP81" t="s">
        <v>172</v>
      </c>
      <c r="DQ81" t="s">
        <v>204</v>
      </c>
      <c r="DY81">
        <v>27.3</v>
      </c>
      <c r="EA81" s="117"/>
      <c r="EB81">
        <v>4</v>
      </c>
      <c r="EC81">
        <v>4</v>
      </c>
      <c r="EE81" t="s">
        <v>1186</v>
      </c>
      <c r="EF81">
        <v>4</v>
      </c>
      <c r="EV81">
        <v>7000</v>
      </c>
      <c r="EW81">
        <v>512</v>
      </c>
      <c r="EX81">
        <v>330</v>
      </c>
      <c r="EY81">
        <v>430</v>
      </c>
    </row>
    <row r="82" spans="1:155" x14ac:dyDescent="0.35">
      <c r="A82">
        <v>2026</v>
      </c>
      <c r="B82" t="s">
        <v>1179</v>
      </c>
      <c r="C82" s="112" t="s">
        <v>1180</v>
      </c>
      <c r="D82" t="s">
        <v>1187</v>
      </c>
      <c r="E82" t="s">
        <v>1182</v>
      </c>
      <c r="F82">
        <v>73</v>
      </c>
      <c r="G82" s="113">
        <v>3</v>
      </c>
      <c r="H82">
        <v>6</v>
      </c>
      <c r="I82" t="s">
        <v>166</v>
      </c>
      <c r="J82">
        <v>17</v>
      </c>
      <c r="K82">
        <v>26</v>
      </c>
      <c r="L82">
        <v>20</v>
      </c>
      <c r="M82">
        <v>21.3</v>
      </c>
      <c r="N82">
        <v>35.200000000000003</v>
      </c>
      <c r="O82">
        <v>25.902899999999999</v>
      </c>
      <c r="P82">
        <v>17.0777</v>
      </c>
      <c r="Q82">
        <v>26.4878</v>
      </c>
      <c r="R82">
        <v>20.327400000000001</v>
      </c>
      <c r="T82" t="s">
        <v>168</v>
      </c>
      <c r="U82" t="s">
        <v>169</v>
      </c>
      <c r="V82" t="s">
        <v>170</v>
      </c>
      <c r="W82" t="s">
        <v>171</v>
      </c>
      <c r="Y82">
        <v>8</v>
      </c>
      <c r="Z82" t="s">
        <v>172</v>
      </c>
      <c r="AA82" t="s">
        <v>173</v>
      </c>
      <c r="AB82" t="s">
        <v>170</v>
      </c>
      <c r="AC82" t="s">
        <v>232</v>
      </c>
      <c r="AD82">
        <v>10</v>
      </c>
      <c r="AG82" t="s">
        <v>216</v>
      </c>
      <c r="AH82" t="s">
        <v>217</v>
      </c>
      <c r="AI82" t="s">
        <v>178</v>
      </c>
      <c r="AJ82" t="s">
        <v>179</v>
      </c>
      <c r="AK82" t="s">
        <v>173</v>
      </c>
      <c r="AL82" t="s">
        <v>180</v>
      </c>
      <c r="AM82">
        <v>89</v>
      </c>
      <c r="AN82">
        <v>7</v>
      </c>
      <c r="AS82">
        <v>3100</v>
      </c>
      <c r="AT82">
        <v>3100</v>
      </c>
      <c r="BN82" s="114" t="s">
        <v>247</v>
      </c>
      <c r="BO82">
        <v>2</v>
      </c>
      <c r="BP82">
        <v>2</v>
      </c>
      <c r="BQ82">
        <v>3</v>
      </c>
      <c r="BR82" t="s">
        <v>300</v>
      </c>
      <c r="BS82" t="s">
        <v>182</v>
      </c>
      <c r="BT82" t="s">
        <v>613</v>
      </c>
      <c r="BU82" s="115">
        <v>45891</v>
      </c>
      <c r="BV82">
        <v>37638</v>
      </c>
      <c r="BW82" s="116"/>
      <c r="BX82" t="s">
        <v>173</v>
      </c>
      <c r="BY82" t="s">
        <v>173</v>
      </c>
      <c r="CB82" t="s">
        <v>173</v>
      </c>
      <c r="CC82" t="s">
        <v>173</v>
      </c>
      <c r="CE82" t="s">
        <v>172</v>
      </c>
      <c r="CF82" t="s">
        <v>1183</v>
      </c>
      <c r="CG82" t="s">
        <v>172</v>
      </c>
      <c r="CH82" t="s">
        <v>1184</v>
      </c>
      <c r="CI82" t="s">
        <v>173</v>
      </c>
      <c r="DJ82" t="s">
        <v>250</v>
      </c>
      <c r="DK82" t="s">
        <v>251</v>
      </c>
      <c r="DL82" t="s">
        <v>173</v>
      </c>
      <c r="DN82" t="s">
        <v>173</v>
      </c>
      <c r="DO82" t="s">
        <v>1185</v>
      </c>
      <c r="DP82" t="s">
        <v>172</v>
      </c>
      <c r="DQ82" t="s">
        <v>204</v>
      </c>
      <c r="DY82">
        <v>27.3</v>
      </c>
      <c r="EA82" s="117"/>
      <c r="EB82">
        <v>4</v>
      </c>
      <c r="EC82">
        <v>4</v>
      </c>
      <c r="EE82" t="s">
        <v>1186</v>
      </c>
      <c r="EF82">
        <v>4</v>
      </c>
      <c r="EV82">
        <v>7000</v>
      </c>
      <c r="EW82">
        <v>512</v>
      </c>
      <c r="EX82">
        <v>330</v>
      </c>
      <c r="EY82">
        <v>430</v>
      </c>
    </row>
    <row r="83" spans="1:155" x14ac:dyDescent="0.35">
      <c r="A83">
        <v>2026</v>
      </c>
      <c r="B83" t="s">
        <v>1179</v>
      </c>
      <c r="C83" s="112" t="s">
        <v>1180</v>
      </c>
      <c r="D83" t="s">
        <v>1188</v>
      </c>
      <c r="E83" t="s">
        <v>1182</v>
      </c>
      <c r="F83">
        <v>76</v>
      </c>
      <c r="G83" s="113">
        <v>3</v>
      </c>
      <c r="H83">
        <v>6</v>
      </c>
      <c r="I83" t="s">
        <v>166</v>
      </c>
      <c r="J83">
        <v>18</v>
      </c>
      <c r="K83">
        <v>27</v>
      </c>
      <c r="L83">
        <v>21</v>
      </c>
      <c r="M83">
        <v>22.459800000000001</v>
      </c>
      <c r="N83">
        <v>36.265999999999998</v>
      </c>
      <c r="O83">
        <v>27.102799999999998</v>
      </c>
      <c r="P83">
        <v>17.939399999999999</v>
      </c>
      <c r="Q83">
        <v>27.466899999999999</v>
      </c>
      <c r="R83">
        <v>21.2575</v>
      </c>
      <c r="T83" t="s">
        <v>168</v>
      </c>
      <c r="U83" t="s">
        <v>169</v>
      </c>
      <c r="V83" t="s">
        <v>170</v>
      </c>
      <c r="W83" t="s">
        <v>171</v>
      </c>
      <c r="Y83">
        <v>8</v>
      </c>
      <c r="Z83" t="s">
        <v>172</v>
      </c>
      <c r="AA83" t="s">
        <v>173</v>
      </c>
      <c r="AB83" t="s">
        <v>170</v>
      </c>
      <c r="AC83" t="s">
        <v>232</v>
      </c>
      <c r="AD83">
        <v>10</v>
      </c>
      <c r="AG83" t="s">
        <v>216</v>
      </c>
      <c r="AH83" t="s">
        <v>217</v>
      </c>
      <c r="AI83" t="s">
        <v>178</v>
      </c>
      <c r="AJ83" t="s">
        <v>179</v>
      </c>
      <c r="AK83" t="s">
        <v>173</v>
      </c>
      <c r="AL83" t="s">
        <v>180</v>
      </c>
      <c r="AM83">
        <v>89</v>
      </c>
      <c r="AN83">
        <v>9</v>
      </c>
      <c r="AS83">
        <v>2950</v>
      </c>
      <c r="AT83">
        <v>2950</v>
      </c>
      <c r="BN83" s="114" t="s">
        <v>247</v>
      </c>
      <c r="BO83">
        <v>2</v>
      </c>
      <c r="BP83">
        <v>2</v>
      </c>
      <c r="BQ83">
        <v>3</v>
      </c>
      <c r="BR83" t="s">
        <v>300</v>
      </c>
      <c r="BS83" t="s">
        <v>182</v>
      </c>
      <c r="BT83" t="s">
        <v>613</v>
      </c>
      <c r="BU83" s="115">
        <v>45891</v>
      </c>
      <c r="BV83">
        <v>37637</v>
      </c>
      <c r="BW83" s="116"/>
      <c r="BX83" t="s">
        <v>173</v>
      </c>
      <c r="BY83" t="s">
        <v>173</v>
      </c>
      <c r="CB83" t="s">
        <v>173</v>
      </c>
      <c r="CC83" t="s">
        <v>173</v>
      </c>
      <c r="CE83" t="s">
        <v>172</v>
      </c>
      <c r="CF83" t="s">
        <v>1183</v>
      </c>
      <c r="CG83" t="s">
        <v>172</v>
      </c>
      <c r="CH83" t="s">
        <v>1184</v>
      </c>
      <c r="CI83" t="s">
        <v>173</v>
      </c>
      <c r="DJ83" t="s">
        <v>250</v>
      </c>
      <c r="DK83" t="s">
        <v>251</v>
      </c>
      <c r="DL83" t="s">
        <v>173</v>
      </c>
      <c r="DN83" t="s">
        <v>173</v>
      </c>
      <c r="DO83" t="s">
        <v>1185</v>
      </c>
      <c r="DP83" t="s">
        <v>172</v>
      </c>
      <c r="DQ83" t="s">
        <v>204</v>
      </c>
      <c r="DY83">
        <v>27.3</v>
      </c>
      <c r="EA83" s="117"/>
      <c r="EB83">
        <v>4</v>
      </c>
      <c r="EC83">
        <v>4</v>
      </c>
      <c r="EE83" t="s">
        <v>1186</v>
      </c>
      <c r="EF83">
        <v>4</v>
      </c>
      <c r="EV83">
        <v>6250</v>
      </c>
      <c r="EW83">
        <v>489</v>
      </c>
      <c r="EX83">
        <v>318</v>
      </c>
      <c r="EY83">
        <v>412</v>
      </c>
    </row>
    <row r="84" spans="1:155" x14ac:dyDescent="0.35">
      <c r="A84">
        <v>2026</v>
      </c>
      <c r="B84" t="s">
        <v>1179</v>
      </c>
      <c r="C84" s="112" t="s">
        <v>1180</v>
      </c>
      <c r="D84" t="s">
        <v>1189</v>
      </c>
      <c r="E84" t="s">
        <v>1182</v>
      </c>
      <c r="F84">
        <v>70</v>
      </c>
      <c r="G84" s="113">
        <v>3</v>
      </c>
      <c r="H84">
        <v>6</v>
      </c>
      <c r="I84" t="s">
        <v>166</v>
      </c>
      <c r="J84">
        <v>18</v>
      </c>
      <c r="K84">
        <v>27</v>
      </c>
      <c r="L84">
        <v>21</v>
      </c>
      <c r="M84">
        <v>22.459800000000001</v>
      </c>
      <c r="N84">
        <v>36.265999999999998</v>
      </c>
      <c r="O84">
        <v>27.102799999999998</v>
      </c>
      <c r="P84">
        <v>17.939399999999999</v>
      </c>
      <c r="Q84">
        <v>27.466899999999999</v>
      </c>
      <c r="R84">
        <v>21.2575</v>
      </c>
      <c r="T84" t="s">
        <v>168</v>
      </c>
      <c r="U84" t="s">
        <v>169</v>
      </c>
      <c r="V84" t="s">
        <v>170</v>
      </c>
      <c r="W84" t="s">
        <v>171</v>
      </c>
      <c r="Y84">
        <v>8</v>
      </c>
      <c r="Z84" t="s">
        <v>172</v>
      </c>
      <c r="AA84" t="s">
        <v>173</v>
      </c>
      <c r="AB84" t="s">
        <v>170</v>
      </c>
      <c r="AC84" t="s">
        <v>232</v>
      </c>
      <c r="AD84">
        <v>10</v>
      </c>
      <c r="AG84" t="s">
        <v>216</v>
      </c>
      <c r="AH84" t="s">
        <v>217</v>
      </c>
      <c r="AI84" t="s">
        <v>178</v>
      </c>
      <c r="AJ84" t="s">
        <v>179</v>
      </c>
      <c r="AK84" t="s">
        <v>173</v>
      </c>
      <c r="AL84" t="s">
        <v>180</v>
      </c>
      <c r="AM84">
        <v>89</v>
      </c>
      <c r="AN84">
        <v>9</v>
      </c>
      <c r="AS84">
        <v>2950</v>
      </c>
      <c r="AT84">
        <v>2950</v>
      </c>
      <c r="BN84" s="114" t="s">
        <v>247</v>
      </c>
      <c r="BO84">
        <v>2</v>
      </c>
      <c r="BP84">
        <v>2</v>
      </c>
      <c r="BQ84">
        <v>3</v>
      </c>
      <c r="BR84" t="s">
        <v>300</v>
      </c>
      <c r="BS84" t="s">
        <v>182</v>
      </c>
      <c r="BT84" t="s">
        <v>613</v>
      </c>
      <c r="BU84" s="115">
        <v>45891</v>
      </c>
      <c r="BV84">
        <v>37636</v>
      </c>
      <c r="BW84" s="116"/>
      <c r="BX84" t="s">
        <v>173</v>
      </c>
      <c r="BY84" t="s">
        <v>173</v>
      </c>
      <c r="CB84" t="s">
        <v>173</v>
      </c>
      <c r="CC84" t="s">
        <v>173</v>
      </c>
      <c r="CE84" t="s">
        <v>172</v>
      </c>
      <c r="CF84" t="s">
        <v>1183</v>
      </c>
      <c r="CG84" t="s">
        <v>172</v>
      </c>
      <c r="CH84" t="s">
        <v>1184</v>
      </c>
      <c r="CI84" t="s">
        <v>173</v>
      </c>
      <c r="DJ84" t="s">
        <v>250</v>
      </c>
      <c r="DK84" t="s">
        <v>251</v>
      </c>
      <c r="DL84" t="s">
        <v>173</v>
      </c>
      <c r="DN84" t="s">
        <v>173</v>
      </c>
      <c r="DO84" t="s">
        <v>1185</v>
      </c>
      <c r="DP84" t="s">
        <v>172</v>
      </c>
      <c r="DQ84" t="s">
        <v>204</v>
      </c>
      <c r="DY84">
        <v>27.3</v>
      </c>
      <c r="EA84" s="117"/>
      <c r="EB84">
        <v>4</v>
      </c>
      <c r="EC84">
        <v>4</v>
      </c>
      <c r="EE84" t="s">
        <v>1186</v>
      </c>
      <c r="EF84">
        <v>4</v>
      </c>
      <c r="EV84">
        <v>6250</v>
      </c>
      <c r="EW84">
        <v>489</v>
      </c>
      <c r="EX84">
        <v>318</v>
      </c>
      <c r="EY84">
        <v>412</v>
      </c>
    </row>
    <row r="85" spans="1:155" x14ac:dyDescent="0.35">
      <c r="A85">
        <v>2026</v>
      </c>
      <c r="B85" t="s">
        <v>228</v>
      </c>
      <c r="C85" s="112" t="s">
        <v>228</v>
      </c>
      <c r="D85" t="s">
        <v>340</v>
      </c>
      <c r="E85" t="s">
        <v>230</v>
      </c>
      <c r="F85">
        <v>344</v>
      </c>
      <c r="G85" s="113">
        <v>3</v>
      </c>
      <c r="H85">
        <v>6</v>
      </c>
      <c r="I85" t="s">
        <v>231</v>
      </c>
      <c r="J85">
        <v>19</v>
      </c>
      <c r="K85">
        <v>26</v>
      </c>
      <c r="L85">
        <v>22</v>
      </c>
      <c r="M85">
        <v>24.4</v>
      </c>
      <c r="N85">
        <v>36.200000000000003</v>
      </c>
      <c r="O85">
        <v>28.5944</v>
      </c>
      <c r="P85">
        <v>19.366299999999999</v>
      </c>
      <c r="Q85">
        <v>25.673500000000001</v>
      </c>
      <c r="R85">
        <v>21.773399999999999</v>
      </c>
      <c r="T85" t="s">
        <v>341</v>
      </c>
      <c r="U85" t="s">
        <v>342</v>
      </c>
      <c r="V85" t="s">
        <v>170</v>
      </c>
      <c r="W85" t="s">
        <v>171</v>
      </c>
      <c r="Y85">
        <v>9</v>
      </c>
      <c r="Z85" t="s">
        <v>172</v>
      </c>
      <c r="AA85" t="s">
        <v>173</v>
      </c>
      <c r="AB85" t="s">
        <v>170</v>
      </c>
      <c r="AC85" t="s">
        <v>232</v>
      </c>
      <c r="AD85">
        <v>10</v>
      </c>
      <c r="AG85" t="s">
        <v>216</v>
      </c>
      <c r="AH85" t="s">
        <v>217</v>
      </c>
      <c r="AI85" t="s">
        <v>178</v>
      </c>
      <c r="AJ85" t="s">
        <v>179</v>
      </c>
      <c r="AK85" t="s">
        <v>173</v>
      </c>
      <c r="AL85" t="s">
        <v>180</v>
      </c>
      <c r="AM85">
        <v>86</v>
      </c>
      <c r="AN85">
        <v>10</v>
      </c>
      <c r="AS85">
        <v>2850</v>
      </c>
      <c r="AT85">
        <v>2850</v>
      </c>
      <c r="BN85" s="114" t="s">
        <v>256</v>
      </c>
      <c r="BO85">
        <v>2</v>
      </c>
      <c r="BP85">
        <v>2</v>
      </c>
      <c r="BQ85">
        <v>3</v>
      </c>
      <c r="BR85" t="s">
        <v>300</v>
      </c>
      <c r="BS85" t="s">
        <v>182</v>
      </c>
      <c r="BT85" t="s">
        <v>183</v>
      </c>
      <c r="BU85" s="115">
        <v>45863</v>
      </c>
      <c r="BV85">
        <v>37138</v>
      </c>
      <c r="BW85" s="116"/>
      <c r="BY85" t="s">
        <v>173</v>
      </c>
      <c r="CB85" t="s">
        <v>173</v>
      </c>
      <c r="CC85" t="s">
        <v>173</v>
      </c>
      <c r="CD85" t="s">
        <v>343</v>
      </c>
      <c r="CE85" t="s">
        <v>173</v>
      </c>
      <c r="CG85" t="s">
        <v>172</v>
      </c>
      <c r="CH85" t="s">
        <v>234</v>
      </c>
      <c r="CI85" t="s">
        <v>172</v>
      </c>
      <c r="CJ85" t="s">
        <v>344</v>
      </c>
      <c r="CK85" t="s">
        <v>259</v>
      </c>
      <c r="CM85">
        <v>1</v>
      </c>
      <c r="CN85" t="s">
        <v>260</v>
      </c>
      <c r="CP85">
        <v>48</v>
      </c>
      <c r="CQ85">
        <v>20</v>
      </c>
      <c r="CR85">
        <v>80</v>
      </c>
      <c r="CS85" t="s">
        <v>261</v>
      </c>
      <c r="CV85" t="s">
        <v>262</v>
      </c>
      <c r="CX85" t="s">
        <v>263</v>
      </c>
      <c r="CY85" t="s">
        <v>173</v>
      </c>
      <c r="DC85" t="s">
        <v>345</v>
      </c>
      <c r="DD85">
        <v>1</v>
      </c>
      <c r="DE85" t="s">
        <v>307</v>
      </c>
      <c r="DF85" t="s">
        <v>346</v>
      </c>
      <c r="DG85">
        <v>15</v>
      </c>
      <c r="DJ85" t="s">
        <v>201</v>
      </c>
      <c r="DK85" t="s">
        <v>202</v>
      </c>
      <c r="DL85" t="s">
        <v>173</v>
      </c>
      <c r="DM85" t="s">
        <v>173</v>
      </c>
      <c r="DN85" t="s">
        <v>173</v>
      </c>
      <c r="DO85" t="s">
        <v>347</v>
      </c>
      <c r="DP85" t="s">
        <v>172</v>
      </c>
      <c r="DQ85" t="s">
        <v>204</v>
      </c>
      <c r="DR85" t="s">
        <v>348</v>
      </c>
      <c r="DY85">
        <v>28.8</v>
      </c>
      <c r="EA85" s="117"/>
      <c r="EB85">
        <v>4</v>
      </c>
      <c r="EC85">
        <v>4</v>
      </c>
      <c r="EE85" t="s">
        <v>349</v>
      </c>
      <c r="EF85">
        <v>6</v>
      </c>
      <c r="EV85">
        <v>5750</v>
      </c>
      <c r="EW85">
        <v>459</v>
      </c>
      <c r="EX85">
        <v>346</v>
      </c>
      <c r="EY85">
        <v>408</v>
      </c>
    </row>
    <row r="86" spans="1:155" x14ac:dyDescent="0.35">
      <c r="A86">
        <v>2026</v>
      </c>
      <c r="B86" t="s">
        <v>228</v>
      </c>
      <c r="C86" s="112" t="s">
        <v>228</v>
      </c>
      <c r="D86" t="s">
        <v>350</v>
      </c>
      <c r="E86" t="s">
        <v>230</v>
      </c>
      <c r="F86">
        <v>345</v>
      </c>
      <c r="G86" s="113">
        <v>3</v>
      </c>
      <c r="H86">
        <v>6</v>
      </c>
      <c r="I86" t="s">
        <v>231</v>
      </c>
      <c r="J86">
        <v>20</v>
      </c>
      <c r="K86">
        <v>27</v>
      </c>
      <c r="L86">
        <v>23</v>
      </c>
      <c r="M86">
        <v>25.3</v>
      </c>
      <c r="N86">
        <v>38.4</v>
      </c>
      <c r="O86">
        <v>29.888300000000001</v>
      </c>
      <c r="P86">
        <v>20.022099999999998</v>
      </c>
      <c r="Q86">
        <v>27.098800000000001</v>
      </c>
      <c r="R86">
        <v>22.688300000000002</v>
      </c>
      <c r="T86" t="s">
        <v>341</v>
      </c>
      <c r="U86" t="s">
        <v>342</v>
      </c>
      <c r="V86" t="s">
        <v>170</v>
      </c>
      <c r="W86" t="s">
        <v>171</v>
      </c>
      <c r="Y86">
        <v>9</v>
      </c>
      <c r="Z86" t="s">
        <v>172</v>
      </c>
      <c r="AA86" t="s">
        <v>173</v>
      </c>
      <c r="AB86" t="s">
        <v>170</v>
      </c>
      <c r="AC86" t="s">
        <v>232</v>
      </c>
      <c r="AD86">
        <v>10</v>
      </c>
      <c r="AG86" t="s">
        <v>216</v>
      </c>
      <c r="AH86" t="s">
        <v>217</v>
      </c>
      <c r="AI86" t="s">
        <v>178</v>
      </c>
      <c r="AJ86" t="s">
        <v>179</v>
      </c>
      <c r="AK86" t="s">
        <v>173</v>
      </c>
      <c r="AL86" t="s">
        <v>180</v>
      </c>
      <c r="AM86">
        <v>88</v>
      </c>
      <c r="AN86">
        <v>11</v>
      </c>
      <c r="AS86">
        <v>2700</v>
      </c>
      <c r="AT86">
        <v>2700</v>
      </c>
      <c r="BN86" s="114" t="s">
        <v>256</v>
      </c>
      <c r="BO86">
        <v>2</v>
      </c>
      <c r="BP86">
        <v>2</v>
      </c>
      <c r="BQ86">
        <v>3</v>
      </c>
      <c r="BR86" t="s">
        <v>300</v>
      </c>
      <c r="BS86" t="s">
        <v>182</v>
      </c>
      <c r="BT86" t="s">
        <v>183</v>
      </c>
      <c r="BU86" s="115">
        <v>45863</v>
      </c>
      <c r="BV86">
        <v>37137</v>
      </c>
      <c r="BW86" s="116"/>
      <c r="BY86" t="s">
        <v>173</v>
      </c>
      <c r="CB86" t="s">
        <v>173</v>
      </c>
      <c r="CC86" t="s">
        <v>173</v>
      </c>
      <c r="CD86" t="s">
        <v>343</v>
      </c>
      <c r="CE86" t="s">
        <v>173</v>
      </c>
      <c r="CG86" t="s">
        <v>172</v>
      </c>
      <c r="CH86" t="s">
        <v>234</v>
      </c>
      <c r="CI86" t="s">
        <v>172</v>
      </c>
      <c r="CJ86" t="s">
        <v>344</v>
      </c>
      <c r="CK86" t="s">
        <v>259</v>
      </c>
      <c r="CM86">
        <v>1</v>
      </c>
      <c r="CN86" t="s">
        <v>260</v>
      </c>
      <c r="CP86">
        <v>48</v>
      </c>
      <c r="CQ86">
        <v>20</v>
      </c>
      <c r="CR86">
        <v>80</v>
      </c>
      <c r="CS86" t="s">
        <v>261</v>
      </c>
      <c r="CV86" t="s">
        <v>262</v>
      </c>
      <c r="CX86" t="s">
        <v>263</v>
      </c>
      <c r="CY86" t="s">
        <v>173</v>
      </c>
      <c r="DC86" t="s">
        <v>345</v>
      </c>
      <c r="DD86">
        <v>1</v>
      </c>
      <c r="DE86" t="s">
        <v>307</v>
      </c>
      <c r="DF86" t="s">
        <v>346</v>
      </c>
      <c r="DG86">
        <v>15</v>
      </c>
      <c r="DJ86" t="s">
        <v>201</v>
      </c>
      <c r="DK86" t="s">
        <v>202</v>
      </c>
      <c r="DL86" t="s">
        <v>173</v>
      </c>
      <c r="DM86" t="s">
        <v>173</v>
      </c>
      <c r="DN86" t="s">
        <v>173</v>
      </c>
      <c r="DO86" t="s">
        <v>347</v>
      </c>
      <c r="DP86" t="s">
        <v>172</v>
      </c>
      <c r="DQ86" t="s">
        <v>204</v>
      </c>
      <c r="DR86" t="s">
        <v>350</v>
      </c>
      <c r="DY86">
        <v>30.1</v>
      </c>
      <c r="EA86" s="117"/>
      <c r="EB86">
        <v>5</v>
      </c>
      <c r="EC86">
        <v>5</v>
      </c>
      <c r="EE86" t="s">
        <v>349</v>
      </c>
      <c r="EF86">
        <v>6</v>
      </c>
      <c r="EV86">
        <v>5000</v>
      </c>
      <c r="EW86">
        <v>444</v>
      </c>
      <c r="EX86">
        <v>327</v>
      </c>
      <c r="EY86">
        <v>391</v>
      </c>
    </row>
    <row r="87" spans="1:155" x14ac:dyDescent="0.35">
      <c r="A87">
        <v>2026</v>
      </c>
      <c r="B87" t="s">
        <v>228</v>
      </c>
      <c r="C87" s="112" t="s">
        <v>228</v>
      </c>
      <c r="D87" t="s">
        <v>351</v>
      </c>
      <c r="E87" t="s">
        <v>230</v>
      </c>
      <c r="F87">
        <v>537</v>
      </c>
      <c r="G87" s="113">
        <v>2</v>
      </c>
      <c r="H87">
        <v>4</v>
      </c>
      <c r="I87" t="s">
        <v>231</v>
      </c>
      <c r="J87">
        <v>19</v>
      </c>
      <c r="K87">
        <v>27</v>
      </c>
      <c r="L87">
        <v>22</v>
      </c>
      <c r="M87">
        <v>23.9</v>
      </c>
      <c r="N87">
        <v>37.6</v>
      </c>
      <c r="O87">
        <v>28.587199999999999</v>
      </c>
      <c r="P87">
        <v>19.000299999999999</v>
      </c>
      <c r="Q87">
        <v>26.5822</v>
      </c>
      <c r="R87">
        <v>21.798100000000002</v>
      </c>
      <c r="T87" t="s">
        <v>168</v>
      </c>
      <c r="U87" t="s">
        <v>169</v>
      </c>
      <c r="V87" t="s">
        <v>170</v>
      </c>
      <c r="W87" t="s">
        <v>171</v>
      </c>
      <c r="Y87">
        <v>9</v>
      </c>
      <c r="Z87" t="s">
        <v>172</v>
      </c>
      <c r="AA87" t="s">
        <v>173</v>
      </c>
      <c r="AB87" t="s">
        <v>174</v>
      </c>
      <c r="AC87" t="s">
        <v>175</v>
      </c>
      <c r="AD87">
        <v>10</v>
      </c>
      <c r="AG87" t="s">
        <v>216</v>
      </c>
      <c r="AH87" t="s">
        <v>217</v>
      </c>
      <c r="AI87" t="s">
        <v>178</v>
      </c>
      <c r="AJ87" t="s">
        <v>179</v>
      </c>
      <c r="AK87" t="s">
        <v>173</v>
      </c>
      <c r="AL87" t="s">
        <v>180</v>
      </c>
      <c r="AM87">
        <v>81</v>
      </c>
      <c r="AN87">
        <v>16</v>
      </c>
      <c r="AS87">
        <v>2850</v>
      </c>
      <c r="AT87">
        <v>2850</v>
      </c>
      <c r="BN87" s="114" t="s">
        <v>256</v>
      </c>
      <c r="BO87">
        <v>2</v>
      </c>
      <c r="BP87">
        <v>2</v>
      </c>
      <c r="BQ87">
        <v>3</v>
      </c>
      <c r="BR87" t="s">
        <v>300</v>
      </c>
      <c r="BS87" t="s">
        <v>182</v>
      </c>
      <c r="BT87" t="s">
        <v>183</v>
      </c>
      <c r="BU87" s="115">
        <v>45868</v>
      </c>
      <c r="BV87">
        <v>37228</v>
      </c>
      <c r="BW87" s="116"/>
      <c r="BY87" t="s">
        <v>173</v>
      </c>
      <c r="CB87" t="s">
        <v>173</v>
      </c>
      <c r="CC87" t="s">
        <v>173</v>
      </c>
      <c r="CD87" t="s">
        <v>257</v>
      </c>
      <c r="CE87" t="s">
        <v>173</v>
      </c>
      <c r="CG87" t="s">
        <v>172</v>
      </c>
      <c r="CH87" t="s">
        <v>234</v>
      </c>
      <c r="CI87" t="s">
        <v>172</v>
      </c>
      <c r="CJ87" t="s">
        <v>258</v>
      </c>
      <c r="CK87" t="s">
        <v>259</v>
      </c>
      <c r="CM87">
        <v>1</v>
      </c>
      <c r="CN87" t="s">
        <v>260</v>
      </c>
      <c r="CP87">
        <v>48</v>
      </c>
      <c r="CQ87">
        <v>11.3</v>
      </c>
      <c r="CR87">
        <v>78.2</v>
      </c>
      <c r="CS87" t="s">
        <v>261</v>
      </c>
      <c r="CV87" t="s">
        <v>262</v>
      </c>
      <c r="CX87" t="s">
        <v>263</v>
      </c>
      <c r="CY87" t="s">
        <v>173</v>
      </c>
      <c r="DC87" t="s">
        <v>264</v>
      </c>
      <c r="DD87">
        <v>1</v>
      </c>
      <c r="DE87" t="s">
        <v>265</v>
      </c>
      <c r="DG87">
        <v>10</v>
      </c>
      <c r="DJ87" t="s">
        <v>201</v>
      </c>
      <c r="DK87" t="s">
        <v>202</v>
      </c>
      <c r="DL87" t="s">
        <v>173</v>
      </c>
      <c r="DM87" t="s">
        <v>173</v>
      </c>
      <c r="DN87" t="s">
        <v>173</v>
      </c>
      <c r="DO87" t="s">
        <v>266</v>
      </c>
      <c r="DP87" t="s">
        <v>172</v>
      </c>
      <c r="DQ87" t="s">
        <v>204</v>
      </c>
      <c r="DR87" t="s">
        <v>351</v>
      </c>
      <c r="DY87">
        <v>28.8</v>
      </c>
      <c r="EA87" s="117"/>
      <c r="EB87">
        <v>4</v>
      </c>
      <c r="EC87">
        <v>4</v>
      </c>
      <c r="EE87" t="s">
        <v>267</v>
      </c>
      <c r="EF87">
        <v>4</v>
      </c>
      <c r="EV87">
        <v>5750</v>
      </c>
      <c r="EW87">
        <v>464</v>
      </c>
      <c r="EX87">
        <v>333</v>
      </c>
      <c r="EY87">
        <v>405</v>
      </c>
    </row>
    <row r="88" spans="1:155" x14ac:dyDescent="0.35">
      <c r="A88">
        <v>2026</v>
      </c>
      <c r="B88" t="s">
        <v>228</v>
      </c>
      <c r="C88" s="112" t="s">
        <v>228</v>
      </c>
      <c r="D88" t="s">
        <v>352</v>
      </c>
      <c r="E88" t="s">
        <v>230</v>
      </c>
      <c r="F88">
        <v>340</v>
      </c>
      <c r="G88" s="113">
        <v>2</v>
      </c>
      <c r="H88">
        <v>4</v>
      </c>
      <c r="I88" t="s">
        <v>231</v>
      </c>
      <c r="J88">
        <v>23</v>
      </c>
      <c r="K88">
        <v>32</v>
      </c>
      <c r="L88">
        <v>26</v>
      </c>
      <c r="M88">
        <v>29</v>
      </c>
      <c r="N88">
        <v>45.5</v>
      </c>
      <c r="O88">
        <v>34.655299999999997</v>
      </c>
      <c r="P88">
        <v>22.678599999999999</v>
      </c>
      <c r="Q88">
        <v>31.603999999999999</v>
      </c>
      <c r="R88">
        <v>25.9803</v>
      </c>
      <c r="T88" t="s">
        <v>168</v>
      </c>
      <c r="U88" t="s">
        <v>169</v>
      </c>
      <c r="V88" t="s">
        <v>170</v>
      </c>
      <c r="W88" t="s">
        <v>171</v>
      </c>
      <c r="Y88">
        <v>9</v>
      </c>
      <c r="Z88" t="s">
        <v>172</v>
      </c>
      <c r="AA88" t="s">
        <v>173</v>
      </c>
      <c r="AB88" t="s">
        <v>170</v>
      </c>
      <c r="AC88" t="s">
        <v>232</v>
      </c>
      <c r="AD88">
        <v>10</v>
      </c>
      <c r="AG88" t="s">
        <v>216</v>
      </c>
      <c r="AH88" t="s">
        <v>217</v>
      </c>
      <c r="AI88" t="s">
        <v>178</v>
      </c>
      <c r="AJ88" t="s">
        <v>179</v>
      </c>
      <c r="AK88" t="s">
        <v>173</v>
      </c>
      <c r="AL88" t="s">
        <v>180</v>
      </c>
      <c r="AM88">
        <v>86</v>
      </c>
      <c r="AN88">
        <v>10</v>
      </c>
      <c r="AS88">
        <v>2400</v>
      </c>
      <c r="AT88">
        <v>2400</v>
      </c>
      <c r="BN88" s="114" t="s">
        <v>256</v>
      </c>
      <c r="BO88">
        <v>2</v>
      </c>
      <c r="BP88">
        <v>2</v>
      </c>
      <c r="BQ88">
        <v>3</v>
      </c>
      <c r="BR88" t="s">
        <v>300</v>
      </c>
      <c r="BS88" t="s">
        <v>182</v>
      </c>
      <c r="BT88" t="s">
        <v>183</v>
      </c>
      <c r="BU88" s="115">
        <v>45860</v>
      </c>
      <c r="BV88">
        <v>37094</v>
      </c>
      <c r="BW88" s="116"/>
      <c r="BY88" t="s">
        <v>173</v>
      </c>
      <c r="CB88" t="s">
        <v>173</v>
      </c>
      <c r="CC88" t="s">
        <v>173</v>
      </c>
      <c r="CD88" t="s">
        <v>353</v>
      </c>
      <c r="CE88" t="s">
        <v>173</v>
      </c>
      <c r="CG88" t="s">
        <v>172</v>
      </c>
      <c r="CH88" t="s">
        <v>234</v>
      </c>
      <c r="CI88" t="s">
        <v>172</v>
      </c>
      <c r="CJ88" t="s">
        <v>354</v>
      </c>
      <c r="CK88" t="s">
        <v>259</v>
      </c>
      <c r="CM88">
        <v>1</v>
      </c>
      <c r="CN88" t="s">
        <v>260</v>
      </c>
      <c r="CP88">
        <v>48</v>
      </c>
      <c r="CQ88">
        <v>17.5</v>
      </c>
      <c r="CR88">
        <v>78.2</v>
      </c>
      <c r="CS88" t="s">
        <v>261</v>
      </c>
      <c r="CV88" t="s">
        <v>262</v>
      </c>
      <c r="CX88" t="s">
        <v>263</v>
      </c>
      <c r="CY88" t="s">
        <v>173</v>
      </c>
      <c r="DC88" t="s">
        <v>355</v>
      </c>
      <c r="DD88">
        <v>1</v>
      </c>
      <c r="DE88" t="s">
        <v>307</v>
      </c>
      <c r="DF88" t="s">
        <v>356</v>
      </c>
      <c r="DG88">
        <v>17</v>
      </c>
      <c r="DJ88" t="s">
        <v>201</v>
      </c>
      <c r="DK88" t="s">
        <v>202</v>
      </c>
      <c r="DL88" t="s">
        <v>173</v>
      </c>
      <c r="DM88" t="s">
        <v>173</v>
      </c>
      <c r="DN88" t="s">
        <v>173</v>
      </c>
      <c r="DO88" t="s">
        <v>266</v>
      </c>
      <c r="DP88" t="s">
        <v>172</v>
      </c>
      <c r="DQ88" t="s">
        <v>204</v>
      </c>
      <c r="DR88" t="s">
        <v>352</v>
      </c>
      <c r="DY88">
        <v>34.9</v>
      </c>
      <c r="EA88" s="117"/>
      <c r="EB88">
        <v>5</v>
      </c>
      <c r="EC88">
        <v>5</v>
      </c>
      <c r="EE88" t="s">
        <v>357</v>
      </c>
      <c r="EF88">
        <v>7</v>
      </c>
      <c r="EV88">
        <v>3500</v>
      </c>
      <c r="EW88">
        <v>389</v>
      </c>
      <c r="EX88">
        <v>279</v>
      </c>
      <c r="EY88">
        <v>340</v>
      </c>
    </row>
    <row r="89" spans="1:155" x14ac:dyDescent="0.35">
      <c r="A89">
        <v>2026</v>
      </c>
      <c r="B89" t="s">
        <v>228</v>
      </c>
      <c r="C89" s="112" t="s">
        <v>228</v>
      </c>
      <c r="D89" t="s">
        <v>358</v>
      </c>
      <c r="E89" t="s">
        <v>230</v>
      </c>
      <c r="F89">
        <v>341</v>
      </c>
      <c r="G89" s="113">
        <v>2</v>
      </c>
      <c r="H89">
        <v>4</v>
      </c>
      <c r="I89" t="s">
        <v>231</v>
      </c>
      <c r="J89">
        <v>24</v>
      </c>
      <c r="K89">
        <v>33</v>
      </c>
      <c r="L89">
        <v>27</v>
      </c>
      <c r="M89">
        <v>30.8</v>
      </c>
      <c r="N89">
        <v>47.7</v>
      </c>
      <c r="O89">
        <v>36.642000000000003</v>
      </c>
      <c r="P89">
        <v>23.9483</v>
      </c>
      <c r="Q89">
        <v>32.971299999999999</v>
      </c>
      <c r="R89">
        <v>27.311699999999998</v>
      </c>
      <c r="T89" t="s">
        <v>168</v>
      </c>
      <c r="U89" t="s">
        <v>169</v>
      </c>
      <c r="V89" t="s">
        <v>170</v>
      </c>
      <c r="W89" t="s">
        <v>171</v>
      </c>
      <c r="Y89">
        <v>9</v>
      </c>
      <c r="Z89" t="s">
        <v>172</v>
      </c>
      <c r="AA89" t="s">
        <v>173</v>
      </c>
      <c r="AB89" t="s">
        <v>170</v>
      </c>
      <c r="AC89" t="s">
        <v>232</v>
      </c>
      <c r="AD89">
        <v>10</v>
      </c>
      <c r="AG89" t="s">
        <v>216</v>
      </c>
      <c r="AH89" t="s">
        <v>217</v>
      </c>
      <c r="AI89" t="s">
        <v>178</v>
      </c>
      <c r="AJ89" t="s">
        <v>179</v>
      </c>
      <c r="AK89" t="s">
        <v>173</v>
      </c>
      <c r="AL89" t="s">
        <v>180</v>
      </c>
      <c r="AM89">
        <v>88</v>
      </c>
      <c r="AN89">
        <v>11</v>
      </c>
      <c r="AS89">
        <v>2300</v>
      </c>
      <c r="AT89">
        <v>2300</v>
      </c>
      <c r="BN89" s="114" t="s">
        <v>256</v>
      </c>
      <c r="BO89">
        <v>2</v>
      </c>
      <c r="BP89">
        <v>2</v>
      </c>
      <c r="BQ89">
        <v>3</v>
      </c>
      <c r="BR89" t="s">
        <v>300</v>
      </c>
      <c r="BS89" t="s">
        <v>182</v>
      </c>
      <c r="BT89" t="s">
        <v>183</v>
      </c>
      <c r="BU89" s="115">
        <v>45860</v>
      </c>
      <c r="BV89">
        <v>37095</v>
      </c>
      <c r="BW89" s="116"/>
      <c r="BY89" t="s">
        <v>173</v>
      </c>
      <c r="CB89" t="s">
        <v>173</v>
      </c>
      <c r="CC89" t="s">
        <v>173</v>
      </c>
      <c r="CD89" t="s">
        <v>353</v>
      </c>
      <c r="CE89" t="s">
        <v>173</v>
      </c>
      <c r="CG89" t="s">
        <v>172</v>
      </c>
      <c r="CH89" t="s">
        <v>234</v>
      </c>
      <c r="CI89" t="s">
        <v>172</v>
      </c>
      <c r="CJ89" t="s">
        <v>354</v>
      </c>
      <c r="CK89" t="s">
        <v>259</v>
      </c>
      <c r="CM89">
        <v>1</v>
      </c>
      <c r="CN89" t="s">
        <v>260</v>
      </c>
      <c r="CP89">
        <v>48</v>
      </c>
      <c r="CQ89">
        <v>17.5</v>
      </c>
      <c r="CR89">
        <v>78.2</v>
      </c>
      <c r="CS89" t="s">
        <v>261</v>
      </c>
      <c r="CV89" t="s">
        <v>262</v>
      </c>
      <c r="CX89" t="s">
        <v>263</v>
      </c>
      <c r="CY89" t="s">
        <v>173</v>
      </c>
      <c r="DC89" t="s">
        <v>355</v>
      </c>
      <c r="DD89">
        <v>1</v>
      </c>
      <c r="DE89" t="s">
        <v>307</v>
      </c>
      <c r="DF89" t="s">
        <v>356</v>
      </c>
      <c r="DG89">
        <v>17</v>
      </c>
      <c r="DJ89" t="s">
        <v>201</v>
      </c>
      <c r="DK89" t="s">
        <v>202</v>
      </c>
      <c r="DL89" t="s">
        <v>173</v>
      </c>
      <c r="DM89" t="s">
        <v>173</v>
      </c>
      <c r="DN89" t="s">
        <v>173</v>
      </c>
      <c r="DO89" t="s">
        <v>266</v>
      </c>
      <c r="DP89" t="s">
        <v>172</v>
      </c>
      <c r="DQ89" t="s">
        <v>204</v>
      </c>
      <c r="DR89" t="s">
        <v>359</v>
      </c>
      <c r="DY89">
        <v>36.9</v>
      </c>
      <c r="EA89" s="117"/>
      <c r="EB89">
        <v>5</v>
      </c>
      <c r="EC89">
        <v>5</v>
      </c>
      <c r="EE89" t="s">
        <v>357</v>
      </c>
      <c r="EF89">
        <v>7</v>
      </c>
      <c r="EV89">
        <v>3000</v>
      </c>
      <c r="EW89">
        <v>368</v>
      </c>
      <c r="EX89">
        <v>268</v>
      </c>
      <c r="EY89">
        <v>323</v>
      </c>
    </row>
    <row r="90" spans="1:155" x14ac:dyDescent="0.35">
      <c r="A90">
        <v>2026</v>
      </c>
      <c r="B90" t="s">
        <v>228</v>
      </c>
      <c r="C90" s="112" t="s">
        <v>228</v>
      </c>
      <c r="D90" t="s">
        <v>360</v>
      </c>
      <c r="E90" t="s">
        <v>230</v>
      </c>
      <c r="F90">
        <v>342</v>
      </c>
      <c r="G90" s="113">
        <v>3</v>
      </c>
      <c r="H90">
        <v>6</v>
      </c>
      <c r="I90" t="s">
        <v>231</v>
      </c>
      <c r="J90">
        <v>23</v>
      </c>
      <c r="K90">
        <v>32</v>
      </c>
      <c r="L90">
        <v>26</v>
      </c>
      <c r="M90">
        <v>29.6</v>
      </c>
      <c r="N90">
        <v>46</v>
      </c>
      <c r="O90">
        <v>35.256300000000003</v>
      </c>
      <c r="P90">
        <v>23.1035</v>
      </c>
      <c r="Q90">
        <v>31.915900000000001</v>
      </c>
      <c r="R90">
        <v>26.381399999999999</v>
      </c>
      <c r="T90" t="s">
        <v>341</v>
      </c>
      <c r="U90" t="s">
        <v>342</v>
      </c>
      <c r="V90" t="s">
        <v>170</v>
      </c>
      <c r="W90" t="s">
        <v>171</v>
      </c>
      <c r="Y90">
        <v>9</v>
      </c>
      <c r="Z90" t="s">
        <v>172</v>
      </c>
      <c r="AA90" t="s">
        <v>173</v>
      </c>
      <c r="AB90" t="s">
        <v>170</v>
      </c>
      <c r="AC90" t="s">
        <v>232</v>
      </c>
      <c r="AD90">
        <v>10</v>
      </c>
      <c r="AG90" t="s">
        <v>216</v>
      </c>
      <c r="AH90" t="s">
        <v>217</v>
      </c>
      <c r="AI90" t="s">
        <v>178</v>
      </c>
      <c r="AJ90" t="s">
        <v>179</v>
      </c>
      <c r="AK90" t="s">
        <v>173</v>
      </c>
      <c r="AL90" t="s">
        <v>180</v>
      </c>
      <c r="AM90">
        <v>86</v>
      </c>
      <c r="AN90">
        <v>10</v>
      </c>
      <c r="AS90">
        <v>2400</v>
      </c>
      <c r="AT90">
        <v>2400</v>
      </c>
      <c r="BN90" s="114" t="s">
        <v>256</v>
      </c>
      <c r="BO90">
        <v>2</v>
      </c>
      <c r="BP90">
        <v>2</v>
      </c>
      <c r="BQ90">
        <v>3</v>
      </c>
      <c r="BR90" t="s">
        <v>300</v>
      </c>
      <c r="BS90" t="s">
        <v>182</v>
      </c>
      <c r="BT90" t="s">
        <v>183</v>
      </c>
      <c r="BU90" s="115">
        <v>45870</v>
      </c>
      <c r="BV90">
        <v>37131</v>
      </c>
      <c r="BW90" s="116"/>
      <c r="BY90" t="s">
        <v>173</v>
      </c>
      <c r="CB90" t="s">
        <v>173</v>
      </c>
      <c r="CC90" t="s">
        <v>173</v>
      </c>
      <c r="CD90" t="s">
        <v>361</v>
      </c>
      <c r="CE90" t="s">
        <v>173</v>
      </c>
      <c r="CG90" t="s">
        <v>172</v>
      </c>
      <c r="CH90" t="s">
        <v>362</v>
      </c>
      <c r="CI90" t="s">
        <v>172</v>
      </c>
      <c r="CJ90" t="s">
        <v>363</v>
      </c>
      <c r="CK90" t="s">
        <v>259</v>
      </c>
      <c r="CM90">
        <v>1</v>
      </c>
      <c r="CN90" t="s">
        <v>260</v>
      </c>
      <c r="CP90">
        <v>48</v>
      </c>
      <c r="CQ90">
        <v>17.5</v>
      </c>
      <c r="CR90">
        <v>78.2</v>
      </c>
      <c r="CS90" t="s">
        <v>261</v>
      </c>
      <c r="CV90" t="s">
        <v>262</v>
      </c>
      <c r="CX90" t="s">
        <v>263</v>
      </c>
      <c r="CY90" t="s">
        <v>173</v>
      </c>
      <c r="DC90" t="s">
        <v>364</v>
      </c>
      <c r="DD90">
        <v>1</v>
      </c>
      <c r="DE90" t="s">
        <v>307</v>
      </c>
      <c r="DF90" t="s">
        <v>356</v>
      </c>
      <c r="DG90">
        <v>17</v>
      </c>
      <c r="DJ90" t="s">
        <v>201</v>
      </c>
      <c r="DK90" t="s">
        <v>202</v>
      </c>
      <c r="DL90" t="s">
        <v>173</v>
      </c>
      <c r="DM90" t="s">
        <v>173</v>
      </c>
      <c r="DN90" t="s">
        <v>173</v>
      </c>
      <c r="DO90" t="s">
        <v>347</v>
      </c>
      <c r="DP90" t="s">
        <v>172</v>
      </c>
      <c r="DQ90" t="s">
        <v>204</v>
      </c>
      <c r="DR90" t="s">
        <v>365</v>
      </c>
      <c r="DY90">
        <v>35.5</v>
      </c>
      <c r="EA90" s="117"/>
      <c r="EB90">
        <v>5</v>
      </c>
      <c r="EC90">
        <v>5</v>
      </c>
      <c r="EE90" t="s">
        <v>366</v>
      </c>
      <c r="EF90">
        <v>6</v>
      </c>
      <c r="EV90">
        <v>3500</v>
      </c>
      <c r="EW90">
        <v>386</v>
      </c>
      <c r="EX90">
        <v>279</v>
      </c>
      <c r="EY90">
        <v>338</v>
      </c>
    </row>
    <row r="91" spans="1:155" x14ac:dyDescent="0.35">
      <c r="A91">
        <v>2026</v>
      </c>
      <c r="B91" t="s">
        <v>228</v>
      </c>
      <c r="C91" s="112" t="s">
        <v>228</v>
      </c>
      <c r="D91" t="s">
        <v>367</v>
      </c>
      <c r="E91" t="s">
        <v>230</v>
      </c>
      <c r="F91">
        <v>343</v>
      </c>
      <c r="G91" s="113">
        <v>3</v>
      </c>
      <c r="H91">
        <v>6</v>
      </c>
      <c r="I91" t="s">
        <v>231</v>
      </c>
      <c r="J91">
        <v>23</v>
      </c>
      <c r="K91">
        <v>33</v>
      </c>
      <c r="L91">
        <v>26</v>
      </c>
      <c r="M91">
        <v>28.7986</v>
      </c>
      <c r="N91">
        <v>47.582999999999998</v>
      </c>
      <c r="O91">
        <v>35.019799999999996</v>
      </c>
      <c r="P91">
        <v>22.535599999999999</v>
      </c>
      <c r="Q91">
        <v>32.899000000000001</v>
      </c>
      <c r="R91">
        <v>26.2577</v>
      </c>
      <c r="T91" t="s">
        <v>341</v>
      </c>
      <c r="U91" t="s">
        <v>342</v>
      </c>
      <c r="V91" t="s">
        <v>170</v>
      </c>
      <c r="W91" t="s">
        <v>171</v>
      </c>
      <c r="Y91">
        <v>9</v>
      </c>
      <c r="Z91" t="s">
        <v>172</v>
      </c>
      <c r="AA91" t="s">
        <v>173</v>
      </c>
      <c r="AB91" t="s">
        <v>170</v>
      </c>
      <c r="AC91" t="s">
        <v>232</v>
      </c>
      <c r="AD91">
        <v>10</v>
      </c>
      <c r="AG91" t="s">
        <v>216</v>
      </c>
      <c r="AH91" t="s">
        <v>217</v>
      </c>
      <c r="AI91" t="s">
        <v>178</v>
      </c>
      <c r="AJ91" t="s">
        <v>179</v>
      </c>
      <c r="AK91" t="s">
        <v>173</v>
      </c>
      <c r="AL91" t="s">
        <v>180</v>
      </c>
      <c r="AM91">
        <v>88</v>
      </c>
      <c r="AN91">
        <v>11</v>
      </c>
      <c r="AS91">
        <v>2400</v>
      </c>
      <c r="AT91">
        <v>2400</v>
      </c>
      <c r="BN91" s="114" t="s">
        <v>256</v>
      </c>
      <c r="BO91">
        <v>2</v>
      </c>
      <c r="BP91">
        <v>2</v>
      </c>
      <c r="BQ91">
        <v>3</v>
      </c>
      <c r="BR91" t="s">
        <v>300</v>
      </c>
      <c r="BS91" t="s">
        <v>182</v>
      </c>
      <c r="BT91" t="s">
        <v>183</v>
      </c>
      <c r="BU91" s="115">
        <v>45870</v>
      </c>
      <c r="BV91">
        <v>37133</v>
      </c>
      <c r="BW91" s="116"/>
      <c r="BY91" t="s">
        <v>173</v>
      </c>
      <c r="CB91" t="s">
        <v>173</v>
      </c>
      <c r="CC91" t="s">
        <v>173</v>
      </c>
      <c r="CD91" t="s">
        <v>361</v>
      </c>
      <c r="CE91" t="s">
        <v>173</v>
      </c>
      <c r="CG91" t="s">
        <v>172</v>
      </c>
      <c r="CH91" t="s">
        <v>362</v>
      </c>
      <c r="CI91" t="s">
        <v>172</v>
      </c>
      <c r="CJ91" t="s">
        <v>363</v>
      </c>
      <c r="CK91" t="s">
        <v>259</v>
      </c>
      <c r="CM91">
        <v>1</v>
      </c>
      <c r="CN91" t="s">
        <v>260</v>
      </c>
      <c r="CP91">
        <v>48</v>
      </c>
      <c r="CQ91">
        <v>17.5</v>
      </c>
      <c r="CR91">
        <v>78.2</v>
      </c>
      <c r="CS91" t="s">
        <v>261</v>
      </c>
      <c r="CV91" t="s">
        <v>262</v>
      </c>
      <c r="CX91" t="s">
        <v>263</v>
      </c>
      <c r="CY91" t="s">
        <v>173</v>
      </c>
      <c r="DC91" t="s">
        <v>364</v>
      </c>
      <c r="DD91">
        <v>1</v>
      </c>
      <c r="DE91" t="s">
        <v>307</v>
      </c>
      <c r="DF91" t="s">
        <v>356</v>
      </c>
      <c r="DG91">
        <v>17</v>
      </c>
      <c r="DJ91" t="s">
        <v>201</v>
      </c>
      <c r="DK91" t="s">
        <v>202</v>
      </c>
      <c r="DL91" t="s">
        <v>173</v>
      </c>
      <c r="DM91" t="s">
        <v>173</v>
      </c>
      <c r="DN91" t="s">
        <v>173</v>
      </c>
      <c r="DO91" t="s">
        <v>347</v>
      </c>
      <c r="DP91" t="s">
        <v>172</v>
      </c>
      <c r="DQ91" t="s">
        <v>204</v>
      </c>
      <c r="DR91" t="s">
        <v>368</v>
      </c>
      <c r="DY91">
        <v>35.299999999999997</v>
      </c>
      <c r="EA91" s="117"/>
      <c r="EB91">
        <v>5</v>
      </c>
      <c r="EC91">
        <v>5</v>
      </c>
      <c r="EE91" t="s">
        <v>366</v>
      </c>
      <c r="EF91">
        <v>6</v>
      </c>
      <c r="EV91">
        <v>3500</v>
      </c>
      <c r="EW91">
        <v>394</v>
      </c>
      <c r="EX91">
        <v>271</v>
      </c>
      <c r="EY91">
        <v>339</v>
      </c>
    </row>
    <row r="92" spans="1:155" x14ac:dyDescent="0.35">
      <c r="A92">
        <v>2026</v>
      </c>
      <c r="B92" t="s">
        <v>192</v>
      </c>
      <c r="C92" s="112" t="s">
        <v>272</v>
      </c>
      <c r="D92" t="s">
        <v>369</v>
      </c>
      <c r="E92" t="s">
        <v>194</v>
      </c>
      <c r="F92">
        <v>33</v>
      </c>
      <c r="G92" s="113">
        <v>2</v>
      </c>
      <c r="H92">
        <v>4</v>
      </c>
      <c r="I92" t="s">
        <v>274</v>
      </c>
      <c r="J92">
        <v>27</v>
      </c>
      <c r="K92">
        <v>39</v>
      </c>
      <c r="L92">
        <v>32</v>
      </c>
      <c r="M92">
        <v>35.895699999999998</v>
      </c>
      <c r="N92">
        <v>57.468899999999998</v>
      </c>
      <c r="O92">
        <v>43.191899999999997</v>
      </c>
      <c r="P92">
        <v>27.465299999999999</v>
      </c>
      <c r="Q92">
        <v>38.886000000000003</v>
      </c>
      <c r="R92">
        <v>31.648</v>
      </c>
      <c r="T92" t="s">
        <v>168</v>
      </c>
      <c r="U92" t="s">
        <v>169</v>
      </c>
      <c r="V92" t="s">
        <v>275</v>
      </c>
      <c r="W92" t="s">
        <v>276</v>
      </c>
      <c r="Y92">
        <v>7</v>
      </c>
      <c r="Z92" t="s">
        <v>173</v>
      </c>
      <c r="AA92" t="s">
        <v>173</v>
      </c>
      <c r="AB92" t="s">
        <v>277</v>
      </c>
      <c r="AC92" t="s">
        <v>278</v>
      </c>
      <c r="AD92">
        <v>10</v>
      </c>
      <c r="AG92" t="s">
        <v>176</v>
      </c>
      <c r="AH92" t="s">
        <v>177</v>
      </c>
      <c r="AI92" t="s">
        <v>178</v>
      </c>
      <c r="AJ92" t="s">
        <v>179</v>
      </c>
      <c r="AK92" t="s">
        <v>173</v>
      </c>
      <c r="AL92" t="s">
        <v>180</v>
      </c>
      <c r="AQ92">
        <v>81</v>
      </c>
      <c r="AR92">
        <v>13</v>
      </c>
      <c r="AS92">
        <v>1950</v>
      </c>
      <c r="AT92">
        <v>1950</v>
      </c>
      <c r="BN92" s="114" t="s">
        <v>247</v>
      </c>
      <c r="BO92">
        <v>2</v>
      </c>
      <c r="BP92">
        <v>2</v>
      </c>
      <c r="BQ92">
        <v>3</v>
      </c>
      <c r="BR92" t="s">
        <v>300</v>
      </c>
      <c r="BS92" t="s">
        <v>182</v>
      </c>
      <c r="BT92" t="s">
        <v>183</v>
      </c>
      <c r="BU92" s="115">
        <v>45870</v>
      </c>
      <c r="BV92">
        <v>37038</v>
      </c>
      <c r="BW92" s="116"/>
      <c r="BX92" t="s">
        <v>172</v>
      </c>
      <c r="BY92" t="s">
        <v>173</v>
      </c>
      <c r="CB92" t="s">
        <v>173</v>
      </c>
      <c r="CC92" t="s">
        <v>173</v>
      </c>
      <c r="CE92" t="s">
        <v>173</v>
      </c>
      <c r="CG92" t="s">
        <v>172</v>
      </c>
      <c r="CH92" t="s">
        <v>199</v>
      </c>
      <c r="CI92" t="s">
        <v>172</v>
      </c>
      <c r="CJ92" t="s">
        <v>200</v>
      </c>
      <c r="DJ92" t="s">
        <v>250</v>
      </c>
      <c r="DK92" t="s">
        <v>251</v>
      </c>
      <c r="DN92" t="s">
        <v>173</v>
      </c>
      <c r="DO92" t="s">
        <v>203</v>
      </c>
      <c r="DP92" t="s">
        <v>172</v>
      </c>
      <c r="DQ92" t="s">
        <v>204</v>
      </c>
      <c r="DY92">
        <v>43.5</v>
      </c>
      <c r="EA92" s="117"/>
      <c r="EB92">
        <v>6</v>
      </c>
      <c r="EC92">
        <v>6</v>
      </c>
      <c r="EE92" t="s">
        <v>279</v>
      </c>
      <c r="EF92">
        <v>6</v>
      </c>
      <c r="EV92">
        <v>1250</v>
      </c>
      <c r="EW92">
        <v>320</v>
      </c>
      <c r="EX92">
        <v>227</v>
      </c>
      <c r="EY92">
        <v>278</v>
      </c>
    </row>
    <row r="93" spans="1:155" x14ac:dyDescent="0.35">
      <c r="A93">
        <v>2026</v>
      </c>
      <c r="B93" t="s">
        <v>192</v>
      </c>
      <c r="C93" s="112" t="s">
        <v>272</v>
      </c>
      <c r="D93" t="s">
        <v>370</v>
      </c>
      <c r="E93" t="s">
        <v>194</v>
      </c>
      <c r="F93">
        <v>55</v>
      </c>
      <c r="G93" s="113">
        <v>2</v>
      </c>
      <c r="H93">
        <v>4</v>
      </c>
      <c r="I93" t="s">
        <v>274</v>
      </c>
      <c r="J93">
        <v>28</v>
      </c>
      <c r="K93">
        <v>39</v>
      </c>
      <c r="L93">
        <v>32</v>
      </c>
      <c r="M93">
        <v>36.2273</v>
      </c>
      <c r="N93">
        <v>57.269599999999997</v>
      </c>
      <c r="O93">
        <v>43.403700000000001</v>
      </c>
      <c r="P93">
        <v>27.690200000000001</v>
      </c>
      <c r="Q93">
        <v>38.767800000000001</v>
      </c>
      <c r="R93">
        <v>31.7761</v>
      </c>
      <c r="T93" t="s">
        <v>168</v>
      </c>
      <c r="U93" t="s">
        <v>169</v>
      </c>
      <c r="V93" t="s">
        <v>275</v>
      </c>
      <c r="W93" t="s">
        <v>276</v>
      </c>
      <c r="Y93">
        <v>7</v>
      </c>
      <c r="Z93" t="s">
        <v>173</v>
      </c>
      <c r="AA93" t="s">
        <v>173</v>
      </c>
      <c r="AB93" t="s">
        <v>277</v>
      </c>
      <c r="AC93" t="s">
        <v>278</v>
      </c>
      <c r="AD93">
        <v>10</v>
      </c>
      <c r="AG93" t="s">
        <v>176</v>
      </c>
      <c r="AH93" t="s">
        <v>177</v>
      </c>
      <c r="AI93" t="s">
        <v>178</v>
      </c>
      <c r="AJ93" t="s">
        <v>179</v>
      </c>
      <c r="AK93" t="s">
        <v>173</v>
      </c>
      <c r="AL93" t="s">
        <v>180</v>
      </c>
      <c r="AQ93">
        <v>81</v>
      </c>
      <c r="AR93">
        <v>13</v>
      </c>
      <c r="AS93">
        <v>1950</v>
      </c>
      <c r="AT93">
        <v>1950</v>
      </c>
      <c r="BN93" s="114" t="s">
        <v>247</v>
      </c>
      <c r="BO93">
        <v>2</v>
      </c>
      <c r="BP93">
        <v>2</v>
      </c>
      <c r="BQ93">
        <v>3</v>
      </c>
      <c r="BR93" t="s">
        <v>300</v>
      </c>
      <c r="BS93" t="s">
        <v>182</v>
      </c>
      <c r="BT93" t="s">
        <v>183</v>
      </c>
      <c r="BU93" s="115">
        <v>45870</v>
      </c>
      <c r="BV93">
        <v>37037</v>
      </c>
      <c r="BW93" s="116"/>
      <c r="BX93" t="s">
        <v>172</v>
      </c>
      <c r="BY93" t="s">
        <v>173</v>
      </c>
      <c r="CB93" t="s">
        <v>173</v>
      </c>
      <c r="CC93" t="s">
        <v>173</v>
      </c>
      <c r="CE93" t="s">
        <v>173</v>
      </c>
      <c r="CG93" t="s">
        <v>172</v>
      </c>
      <c r="CH93" t="s">
        <v>199</v>
      </c>
      <c r="CI93" t="s">
        <v>172</v>
      </c>
      <c r="CJ93" t="s">
        <v>200</v>
      </c>
      <c r="DJ93" t="s">
        <v>250</v>
      </c>
      <c r="DK93" t="s">
        <v>251</v>
      </c>
      <c r="DN93" t="s">
        <v>173</v>
      </c>
      <c r="DO93" t="s">
        <v>203</v>
      </c>
      <c r="DP93" t="s">
        <v>172</v>
      </c>
      <c r="DQ93" t="s">
        <v>204</v>
      </c>
      <c r="DY93">
        <v>43.7</v>
      </c>
      <c r="EA93" s="117"/>
      <c r="EB93">
        <v>6</v>
      </c>
      <c r="EC93">
        <v>6</v>
      </c>
      <c r="EE93" t="s">
        <v>279</v>
      </c>
      <c r="EF93">
        <v>6</v>
      </c>
      <c r="EV93">
        <v>1250</v>
      </c>
      <c r="EW93">
        <v>315</v>
      </c>
      <c r="EX93">
        <v>225</v>
      </c>
      <c r="EY93">
        <v>275</v>
      </c>
    </row>
    <row r="94" spans="1:155" x14ac:dyDescent="0.35">
      <c r="A94">
        <v>2026</v>
      </c>
      <c r="B94" t="s">
        <v>192</v>
      </c>
      <c r="C94" s="112" t="s">
        <v>272</v>
      </c>
      <c r="D94" t="s">
        <v>371</v>
      </c>
      <c r="E94" t="s">
        <v>194</v>
      </c>
      <c r="F94">
        <v>85</v>
      </c>
      <c r="G94" s="113">
        <v>2</v>
      </c>
      <c r="H94">
        <v>4</v>
      </c>
      <c r="I94" t="s">
        <v>274</v>
      </c>
      <c r="J94">
        <v>27</v>
      </c>
      <c r="K94">
        <v>37</v>
      </c>
      <c r="L94">
        <v>30</v>
      </c>
      <c r="M94">
        <v>34.688099999999999</v>
      </c>
      <c r="N94">
        <v>54.014200000000002</v>
      </c>
      <c r="O94">
        <v>41.344999999999999</v>
      </c>
      <c r="P94">
        <v>26.641999999999999</v>
      </c>
      <c r="Q94">
        <v>36.823</v>
      </c>
      <c r="R94">
        <v>30.427800000000001</v>
      </c>
      <c r="T94" t="s">
        <v>168</v>
      </c>
      <c r="U94" t="s">
        <v>169</v>
      </c>
      <c r="V94" t="s">
        <v>275</v>
      </c>
      <c r="W94" t="s">
        <v>276</v>
      </c>
      <c r="Y94">
        <v>7</v>
      </c>
      <c r="Z94" t="s">
        <v>173</v>
      </c>
      <c r="AA94" t="s">
        <v>173</v>
      </c>
      <c r="AB94" t="s">
        <v>277</v>
      </c>
      <c r="AC94" t="s">
        <v>278</v>
      </c>
      <c r="AD94">
        <v>10</v>
      </c>
      <c r="AG94" t="s">
        <v>176</v>
      </c>
      <c r="AH94" t="s">
        <v>177</v>
      </c>
      <c r="AI94" t="s">
        <v>178</v>
      </c>
      <c r="AJ94" t="s">
        <v>179</v>
      </c>
      <c r="AK94" t="s">
        <v>173</v>
      </c>
      <c r="AL94" t="s">
        <v>180</v>
      </c>
      <c r="AQ94">
        <v>81</v>
      </c>
      <c r="AR94">
        <v>13</v>
      </c>
      <c r="AS94">
        <v>2100</v>
      </c>
      <c r="AT94">
        <v>2100</v>
      </c>
      <c r="BN94" s="114" t="s">
        <v>247</v>
      </c>
      <c r="BO94">
        <v>2</v>
      </c>
      <c r="BP94">
        <v>2</v>
      </c>
      <c r="BQ94">
        <v>3</v>
      </c>
      <c r="BR94" t="s">
        <v>300</v>
      </c>
      <c r="BS94" t="s">
        <v>182</v>
      </c>
      <c r="BT94" t="s">
        <v>183</v>
      </c>
      <c r="BU94" s="115">
        <v>45870</v>
      </c>
      <c r="BV94">
        <v>37043</v>
      </c>
      <c r="BW94" s="116"/>
      <c r="BX94" t="s">
        <v>172</v>
      </c>
      <c r="BY94" t="s">
        <v>173</v>
      </c>
      <c r="CB94" t="s">
        <v>173</v>
      </c>
      <c r="CC94" t="s">
        <v>173</v>
      </c>
      <c r="CE94" t="s">
        <v>173</v>
      </c>
      <c r="CG94" t="s">
        <v>172</v>
      </c>
      <c r="CH94" t="s">
        <v>282</v>
      </c>
      <c r="CI94" t="s">
        <v>172</v>
      </c>
      <c r="CJ94" t="s">
        <v>283</v>
      </c>
      <c r="DJ94" t="s">
        <v>250</v>
      </c>
      <c r="DK94" t="s">
        <v>251</v>
      </c>
      <c r="DL94" t="s">
        <v>173</v>
      </c>
      <c r="DM94" t="s">
        <v>173</v>
      </c>
      <c r="DN94" t="s">
        <v>173</v>
      </c>
      <c r="DO94" t="s">
        <v>284</v>
      </c>
      <c r="DP94" t="s">
        <v>172</v>
      </c>
      <c r="DQ94" t="s">
        <v>204</v>
      </c>
      <c r="DY94">
        <v>41.6</v>
      </c>
      <c r="EA94" s="117"/>
      <c r="EB94">
        <v>6</v>
      </c>
      <c r="EC94">
        <v>6</v>
      </c>
      <c r="EE94" t="s">
        <v>285</v>
      </c>
      <c r="EF94">
        <v>7</v>
      </c>
      <c r="EV94">
        <v>2000</v>
      </c>
      <c r="EW94">
        <v>328</v>
      </c>
      <c r="EX94">
        <v>238</v>
      </c>
      <c r="EY94">
        <v>288</v>
      </c>
    </row>
    <row r="95" spans="1:155" x14ac:dyDescent="0.35">
      <c r="A95">
        <v>2026</v>
      </c>
      <c r="B95" t="s">
        <v>192</v>
      </c>
      <c r="C95" s="112" t="s">
        <v>192</v>
      </c>
      <c r="D95" t="s">
        <v>372</v>
      </c>
      <c r="E95" t="s">
        <v>194</v>
      </c>
      <c r="F95">
        <v>211</v>
      </c>
      <c r="G95" s="113">
        <v>2</v>
      </c>
      <c r="H95">
        <v>4</v>
      </c>
      <c r="I95" t="s">
        <v>274</v>
      </c>
      <c r="J95">
        <v>27</v>
      </c>
      <c r="K95">
        <v>39</v>
      </c>
      <c r="L95">
        <v>31</v>
      </c>
      <c r="M95">
        <v>35.401800000000001</v>
      </c>
      <c r="N95">
        <v>57.654200000000003</v>
      </c>
      <c r="O95">
        <v>42.8429</v>
      </c>
      <c r="P95">
        <v>27.129300000000001</v>
      </c>
      <c r="Q95">
        <v>38.995699999999999</v>
      </c>
      <c r="R95">
        <v>31.433700000000002</v>
      </c>
      <c r="T95" t="s">
        <v>168</v>
      </c>
      <c r="U95" t="s">
        <v>169</v>
      </c>
      <c r="V95" t="s">
        <v>275</v>
      </c>
      <c r="W95" t="s">
        <v>276</v>
      </c>
      <c r="Y95">
        <v>7</v>
      </c>
      <c r="Z95" t="s">
        <v>173</v>
      </c>
      <c r="AA95" t="s">
        <v>173</v>
      </c>
      <c r="AB95" t="s">
        <v>277</v>
      </c>
      <c r="AC95" t="s">
        <v>278</v>
      </c>
      <c r="AD95">
        <v>10</v>
      </c>
      <c r="AG95" t="s">
        <v>176</v>
      </c>
      <c r="AH95" t="s">
        <v>177</v>
      </c>
      <c r="AI95" t="s">
        <v>178</v>
      </c>
      <c r="AJ95" t="s">
        <v>179</v>
      </c>
      <c r="AK95" t="s">
        <v>173</v>
      </c>
      <c r="AL95" t="s">
        <v>180</v>
      </c>
      <c r="AO95">
        <v>91</v>
      </c>
      <c r="AP95">
        <v>12</v>
      </c>
      <c r="AS95">
        <v>2000</v>
      </c>
      <c r="AT95">
        <v>2000</v>
      </c>
      <c r="BN95" s="114" t="s">
        <v>247</v>
      </c>
      <c r="BO95">
        <v>2</v>
      </c>
      <c r="BP95">
        <v>2</v>
      </c>
      <c r="BQ95">
        <v>4</v>
      </c>
      <c r="BR95" t="s">
        <v>373</v>
      </c>
      <c r="BS95" t="s">
        <v>182</v>
      </c>
      <c r="BT95" t="s">
        <v>183</v>
      </c>
      <c r="BU95" s="115">
        <v>45748</v>
      </c>
      <c r="BV95">
        <v>36389</v>
      </c>
      <c r="BW95" s="116"/>
      <c r="BX95" t="s">
        <v>172</v>
      </c>
      <c r="BY95" t="s">
        <v>173</v>
      </c>
      <c r="CB95" t="s">
        <v>173</v>
      </c>
      <c r="CC95" t="s">
        <v>173</v>
      </c>
      <c r="CE95" t="s">
        <v>173</v>
      </c>
      <c r="CG95" t="s">
        <v>172</v>
      </c>
      <c r="CH95" t="s">
        <v>282</v>
      </c>
      <c r="CI95" t="s">
        <v>172</v>
      </c>
      <c r="CJ95" t="s">
        <v>283</v>
      </c>
      <c r="DJ95" t="s">
        <v>250</v>
      </c>
      <c r="DK95" t="s">
        <v>251</v>
      </c>
      <c r="DL95" t="s">
        <v>173</v>
      </c>
      <c r="DM95" t="s">
        <v>173</v>
      </c>
      <c r="DN95" t="s">
        <v>173</v>
      </c>
      <c r="DO95" t="s">
        <v>284</v>
      </c>
      <c r="DP95" t="s">
        <v>172</v>
      </c>
      <c r="DQ95" t="s">
        <v>204</v>
      </c>
      <c r="DY95">
        <v>43.1</v>
      </c>
      <c r="EA95" s="117"/>
      <c r="EB95">
        <v>6</v>
      </c>
      <c r="EC95">
        <v>6</v>
      </c>
      <c r="EE95" t="s">
        <v>285</v>
      </c>
      <c r="EF95">
        <v>7</v>
      </c>
      <c r="EV95">
        <v>1500</v>
      </c>
      <c r="EW95">
        <v>323</v>
      </c>
      <c r="EX95">
        <v>225</v>
      </c>
      <c r="EY95">
        <v>279</v>
      </c>
    </row>
    <row r="96" spans="1:155" x14ac:dyDescent="0.35">
      <c r="A96">
        <v>2026</v>
      </c>
      <c r="B96" t="s">
        <v>192</v>
      </c>
      <c r="C96" s="112" t="s">
        <v>192</v>
      </c>
      <c r="D96" t="s">
        <v>374</v>
      </c>
      <c r="E96" t="s">
        <v>194</v>
      </c>
      <c r="F96">
        <v>210</v>
      </c>
      <c r="G96" s="113">
        <v>2</v>
      </c>
      <c r="H96">
        <v>4</v>
      </c>
      <c r="I96" t="s">
        <v>274</v>
      </c>
      <c r="J96">
        <v>26</v>
      </c>
      <c r="K96">
        <v>38</v>
      </c>
      <c r="L96">
        <v>30</v>
      </c>
      <c r="M96">
        <v>34.113100000000003</v>
      </c>
      <c r="N96">
        <v>55.2577</v>
      </c>
      <c r="O96">
        <v>41.209099999999999</v>
      </c>
      <c r="P96">
        <v>26.247800000000002</v>
      </c>
      <c r="Q96">
        <v>37.569099999999999</v>
      </c>
      <c r="R96">
        <v>30.365500000000001</v>
      </c>
      <c r="T96" t="s">
        <v>168</v>
      </c>
      <c r="U96" t="s">
        <v>169</v>
      </c>
      <c r="V96" t="s">
        <v>275</v>
      </c>
      <c r="W96" t="s">
        <v>276</v>
      </c>
      <c r="Y96">
        <v>7</v>
      </c>
      <c r="Z96" t="s">
        <v>173</v>
      </c>
      <c r="AA96" t="s">
        <v>173</v>
      </c>
      <c r="AB96" t="s">
        <v>170</v>
      </c>
      <c r="AC96" t="s">
        <v>232</v>
      </c>
      <c r="AD96">
        <v>10</v>
      </c>
      <c r="AG96" t="s">
        <v>176</v>
      </c>
      <c r="AH96" t="s">
        <v>177</v>
      </c>
      <c r="AI96" t="s">
        <v>178</v>
      </c>
      <c r="AJ96" t="s">
        <v>179</v>
      </c>
      <c r="AK96" t="s">
        <v>173</v>
      </c>
      <c r="AL96" t="s">
        <v>180</v>
      </c>
      <c r="AO96">
        <v>91</v>
      </c>
      <c r="AP96">
        <v>12</v>
      </c>
      <c r="AS96">
        <v>2100</v>
      </c>
      <c r="AT96">
        <v>2100</v>
      </c>
      <c r="BN96" s="114" t="s">
        <v>247</v>
      </c>
      <c r="BO96">
        <v>2</v>
      </c>
      <c r="BP96">
        <v>2</v>
      </c>
      <c r="BQ96">
        <v>4</v>
      </c>
      <c r="BR96" t="s">
        <v>373</v>
      </c>
      <c r="BS96" t="s">
        <v>182</v>
      </c>
      <c r="BT96" t="s">
        <v>183</v>
      </c>
      <c r="BU96" s="115">
        <v>45870</v>
      </c>
      <c r="BV96">
        <v>37099</v>
      </c>
      <c r="BW96" s="116"/>
      <c r="BX96" t="s">
        <v>172</v>
      </c>
      <c r="BY96" t="s">
        <v>173</v>
      </c>
      <c r="CB96" t="s">
        <v>173</v>
      </c>
      <c r="CC96" t="s">
        <v>173</v>
      </c>
      <c r="CE96" t="s">
        <v>173</v>
      </c>
      <c r="CG96" t="s">
        <v>172</v>
      </c>
      <c r="CH96" t="s">
        <v>282</v>
      </c>
      <c r="CI96" t="s">
        <v>172</v>
      </c>
      <c r="CJ96" t="s">
        <v>283</v>
      </c>
      <c r="DJ96" t="s">
        <v>250</v>
      </c>
      <c r="DK96" t="s">
        <v>251</v>
      </c>
      <c r="DL96" t="s">
        <v>173</v>
      </c>
      <c r="DM96" t="s">
        <v>173</v>
      </c>
      <c r="DN96" t="s">
        <v>173</v>
      </c>
      <c r="DO96" t="s">
        <v>284</v>
      </c>
      <c r="DP96" t="s">
        <v>172</v>
      </c>
      <c r="DQ96" t="s">
        <v>204</v>
      </c>
      <c r="DY96">
        <v>41.5</v>
      </c>
      <c r="EA96" s="117"/>
      <c r="EB96">
        <v>6</v>
      </c>
      <c r="EC96">
        <v>6</v>
      </c>
      <c r="EE96" t="s">
        <v>285</v>
      </c>
      <c r="EF96">
        <v>7</v>
      </c>
      <c r="EV96">
        <v>2000</v>
      </c>
      <c r="EW96">
        <v>333</v>
      </c>
      <c r="EX96">
        <v>233</v>
      </c>
      <c r="EY96">
        <v>288</v>
      </c>
    </row>
    <row r="97" spans="1:155" x14ac:dyDescent="0.35">
      <c r="A97">
        <v>2026</v>
      </c>
      <c r="B97" t="s">
        <v>192</v>
      </c>
      <c r="C97" s="112" t="s">
        <v>192</v>
      </c>
      <c r="D97" t="s">
        <v>375</v>
      </c>
      <c r="E97" t="s">
        <v>194</v>
      </c>
      <c r="F97">
        <v>300</v>
      </c>
      <c r="G97" s="113">
        <v>2</v>
      </c>
      <c r="H97">
        <v>4</v>
      </c>
      <c r="I97" t="s">
        <v>195</v>
      </c>
      <c r="J97">
        <v>28</v>
      </c>
      <c r="K97">
        <v>35</v>
      </c>
      <c r="L97">
        <v>31</v>
      </c>
      <c r="M97">
        <v>36.066200000000002</v>
      </c>
      <c r="N97">
        <v>51.360599999999998</v>
      </c>
      <c r="O97">
        <v>41.647100000000002</v>
      </c>
      <c r="P97">
        <v>27.581</v>
      </c>
      <c r="Q97">
        <v>35.217300000000002</v>
      </c>
      <c r="R97">
        <v>30.563199999999998</v>
      </c>
      <c r="T97" t="s">
        <v>168</v>
      </c>
      <c r="U97" t="s">
        <v>169</v>
      </c>
      <c r="V97" t="s">
        <v>196</v>
      </c>
      <c r="W97" t="s">
        <v>197</v>
      </c>
      <c r="Y97">
        <v>8</v>
      </c>
      <c r="Z97" t="s">
        <v>172</v>
      </c>
      <c r="AA97" t="s">
        <v>173</v>
      </c>
      <c r="AB97" t="s">
        <v>174</v>
      </c>
      <c r="AC97" t="s">
        <v>175</v>
      </c>
      <c r="AD97">
        <v>10</v>
      </c>
      <c r="AG97" t="s">
        <v>176</v>
      </c>
      <c r="AH97" t="s">
        <v>177</v>
      </c>
      <c r="AI97" t="s">
        <v>178</v>
      </c>
      <c r="AJ97" t="s">
        <v>179</v>
      </c>
      <c r="AK97" t="s">
        <v>173</v>
      </c>
      <c r="AL97" t="s">
        <v>180</v>
      </c>
      <c r="AO97">
        <v>94</v>
      </c>
      <c r="AP97">
        <v>13</v>
      </c>
      <c r="AS97">
        <v>2000</v>
      </c>
      <c r="AT97">
        <v>2000</v>
      </c>
      <c r="BN97" s="114" t="s">
        <v>304</v>
      </c>
      <c r="BO97">
        <v>2</v>
      </c>
      <c r="BP97">
        <v>2</v>
      </c>
      <c r="BQ97">
        <v>4</v>
      </c>
      <c r="BR97" t="s">
        <v>373</v>
      </c>
      <c r="BS97" t="s">
        <v>182</v>
      </c>
      <c r="BT97" t="s">
        <v>183</v>
      </c>
      <c r="BU97" s="115">
        <v>45870</v>
      </c>
      <c r="BV97">
        <v>36725</v>
      </c>
      <c r="BW97" s="116"/>
      <c r="BX97" t="s">
        <v>172</v>
      </c>
      <c r="BY97" t="s">
        <v>173</v>
      </c>
      <c r="CB97" t="s">
        <v>173</v>
      </c>
      <c r="CC97" t="s">
        <v>173</v>
      </c>
      <c r="CE97" t="s">
        <v>173</v>
      </c>
      <c r="CG97" t="s">
        <v>172</v>
      </c>
      <c r="CH97" t="s">
        <v>282</v>
      </c>
      <c r="CI97" t="s">
        <v>172</v>
      </c>
      <c r="CJ97" t="s">
        <v>305</v>
      </c>
      <c r="CK97" t="s">
        <v>259</v>
      </c>
      <c r="CM97">
        <v>1</v>
      </c>
      <c r="CN97" t="s">
        <v>260</v>
      </c>
      <c r="CP97">
        <v>44</v>
      </c>
      <c r="CQ97">
        <v>10</v>
      </c>
      <c r="CR97">
        <v>40</v>
      </c>
      <c r="CS97" t="s">
        <v>261</v>
      </c>
      <c r="CV97" t="s">
        <v>262</v>
      </c>
      <c r="CX97" t="s">
        <v>263</v>
      </c>
      <c r="CY97" t="s">
        <v>173</v>
      </c>
      <c r="DC97" t="s">
        <v>306</v>
      </c>
      <c r="DD97">
        <v>1</v>
      </c>
      <c r="DE97" t="s">
        <v>307</v>
      </c>
      <c r="DF97" t="s">
        <v>308</v>
      </c>
      <c r="DG97">
        <v>8</v>
      </c>
      <c r="DJ97" t="s">
        <v>250</v>
      </c>
      <c r="DK97" t="s">
        <v>251</v>
      </c>
      <c r="DL97" t="s">
        <v>173</v>
      </c>
      <c r="DM97" t="s">
        <v>173</v>
      </c>
      <c r="DN97" t="s">
        <v>173</v>
      </c>
      <c r="DO97" t="s">
        <v>309</v>
      </c>
      <c r="DP97" t="s">
        <v>172</v>
      </c>
      <c r="DQ97" t="s">
        <v>204</v>
      </c>
      <c r="DY97">
        <v>41.9</v>
      </c>
      <c r="EA97" s="117"/>
      <c r="EB97">
        <v>6</v>
      </c>
      <c r="EC97">
        <v>6</v>
      </c>
      <c r="EE97" t="s">
        <v>310</v>
      </c>
      <c r="EF97">
        <v>7</v>
      </c>
      <c r="EV97">
        <v>1500</v>
      </c>
      <c r="EW97">
        <v>317</v>
      </c>
      <c r="EX97">
        <v>248</v>
      </c>
      <c r="EY97">
        <v>286</v>
      </c>
    </row>
    <row r="98" spans="1:155" x14ac:dyDescent="0.35">
      <c r="A98">
        <v>2026</v>
      </c>
      <c r="B98" t="s">
        <v>192</v>
      </c>
      <c r="C98" s="112" t="s">
        <v>192</v>
      </c>
      <c r="D98" t="s">
        <v>376</v>
      </c>
      <c r="E98" t="s">
        <v>194</v>
      </c>
      <c r="F98">
        <v>304</v>
      </c>
      <c r="G98" s="113">
        <v>2</v>
      </c>
      <c r="H98">
        <v>4</v>
      </c>
      <c r="I98" t="s">
        <v>195</v>
      </c>
      <c r="J98">
        <v>26</v>
      </c>
      <c r="K98">
        <v>34</v>
      </c>
      <c r="L98">
        <v>29</v>
      </c>
      <c r="M98">
        <v>34.171399999999998</v>
      </c>
      <c r="N98">
        <v>49.729599999999998</v>
      </c>
      <c r="O98">
        <v>39.770400000000002</v>
      </c>
      <c r="P98">
        <v>26.287800000000001</v>
      </c>
      <c r="Q98">
        <v>34.2211</v>
      </c>
      <c r="R98">
        <v>29.349599999999999</v>
      </c>
      <c r="T98" t="s">
        <v>168</v>
      </c>
      <c r="U98" t="s">
        <v>169</v>
      </c>
      <c r="V98" t="s">
        <v>196</v>
      </c>
      <c r="W98" t="s">
        <v>197</v>
      </c>
      <c r="Y98">
        <v>8</v>
      </c>
      <c r="Z98" t="s">
        <v>172</v>
      </c>
      <c r="AA98" t="s">
        <v>173</v>
      </c>
      <c r="AB98" t="s">
        <v>170</v>
      </c>
      <c r="AC98" t="s">
        <v>232</v>
      </c>
      <c r="AD98">
        <v>10</v>
      </c>
      <c r="AG98" t="s">
        <v>176</v>
      </c>
      <c r="AH98" t="s">
        <v>177</v>
      </c>
      <c r="AI98" t="s">
        <v>178</v>
      </c>
      <c r="AJ98" t="s">
        <v>179</v>
      </c>
      <c r="AK98" t="s">
        <v>173</v>
      </c>
      <c r="AL98" t="s">
        <v>180</v>
      </c>
      <c r="AO98">
        <v>94</v>
      </c>
      <c r="AP98">
        <v>13</v>
      </c>
      <c r="AS98">
        <v>2150</v>
      </c>
      <c r="AT98">
        <v>2150</v>
      </c>
      <c r="BN98" s="114" t="s">
        <v>304</v>
      </c>
      <c r="BO98">
        <v>2</v>
      </c>
      <c r="BP98">
        <v>2</v>
      </c>
      <c r="BQ98">
        <v>4</v>
      </c>
      <c r="BR98" t="s">
        <v>373</v>
      </c>
      <c r="BS98" t="s">
        <v>182</v>
      </c>
      <c r="BT98" t="s">
        <v>183</v>
      </c>
      <c r="BU98" s="115">
        <v>45870</v>
      </c>
      <c r="BV98">
        <v>36687</v>
      </c>
      <c r="BW98" s="116"/>
      <c r="BX98" t="s">
        <v>172</v>
      </c>
      <c r="BY98" t="s">
        <v>173</v>
      </c>
      <c r="CB98" t="s">
        <v>173</v>
      </c>
      <c r="CC98" t="s">
        <v>173</v>
      </c>
      <c r="CE98" t="s">
        <v>173</v>
      </c>
      <c r="CG98" t="s">
        <v>172</v>
      </c>
      <c r="CH98" t="s">
        <v>282</v>
      </c>
      <c r="CI98" t="s">
        <v>172</v>
      </c>
      <c r="CJ98" t="s">
        <v>305</v>
      </c>
      <c r="CK98" t="s">
        <v>259</v>
      </c>
      <c r="CM98">
        <v>1</v>
      </c>
      <c r="CN98" t="s">
        <v>260</v>
      </c>
      <c r="CP98">
        <v>44</v>
      </c>
      <c r="CQ98">
        <v>10</v>
      </c>
      <c r="CR98">
        <v>40</v>
      </c>
      <c r="CS98" t="s">
        <v>261</v>
      </c>
      <c r="CV98" t="s">
        <v>262</v>
      </c>
      <c r="CX98" t="s">
        <v>263</v>
      </c>
      <c r="CY98" t="s">
        <v>173</v>
      </c>
      <c r="DC98" t="s">
        <v>306</v>
      </c>
      <c r="DD98">
        <v>1</v>
      </c>
      <c r="DE98" t="s">
        <v>307</v>
      </c>
      <c r="DF98" t="s">
        <v>308</v>
      </c>
      <c r="DG98">
        <v>8</v>
      </c>
      <c r="DJ98" t="s">
        <v>250</v>
      </c>
      <c r="DK98" t="s">
        <v>251</v>
      </c>
      <c r="DL98" t="s">
        <v>173</v>
      </c>
      <c r="DM98" t="s">
        <v>173</v>
      </c>
      <c r="DN98" t="s">
        <v>173</v>
      </c>
      <c r="DO98" t="s">
        <v>309</v>
      </c>
      <c r="DP98" t="s">
        <v>172</v>
      </c>
      <c r="DQ98" t="s">
        <v>204</v>
      </c>
      <c r="DY98">
        <v>40</v>
      </c>
      <c r="EA98" s="117"/>
      <c r="EB98">
        <v>6</v>
      </c>
      <c r="EC98">
        <v>6</v>
      </c>
      <c r="EE98" t="s">
        <v>310</v>
      </c>
      <c r="EF98">
        <v>7</v>
      </c>
      <c r="EV98">
        <v>2250</v>
      </c>
      <c r="EW98">
        <v>332</v>
      </c>
      <c r="EX98">
        <v>256</v>
      </c>
      <c r="EY98">
        <v>298</v>
      </c>
    </row>
    <row r="99" spans="1:155" x14ac:dyDescent="0.35">
      <c r="A99">
        <v>2026</v>
      </c>
      <c r="B99" t="s">
        <v>192</v>
      </c>
      <c r="C99" s="112" t="s">
        <v>192</v>
      </c>
      <c r="D99" t="s">
        <v>377</v>
      </c>
      <c r="E99" t="s">
        <v>194</v>
      </c>
      <c r="F99">
        <v>406</v>
      </c>
      <c r="G99" s="113">
        <v>2</v>
      </c>
      <c r="H99">
        <v>4</v>
      </c>
      <c r="I99" t="s">
        <v>195</v>
      </c>
      <c r="J99">
        <v>27</v>
      </c>
      <c r="K99">
        <v>35</v>
      </c>
      <c r="L99">
        <v>30</v>
      </c>
      <c r="M99">
        <v>35.561300000000003</v>
      </c>
      <c r="N99">
        <v>50.695099999999996</v>
      </c>
      <c r="O99">
        <v>41.079799999999999</v>
      </c>
      <c r="P99">
        <v>27.2379</v>
      </c>
      <c r="Q99">
        <v>34.811700000000002</v>
      </c>
      <c r="R99">
        <v>30.193999999999999</v>
      </c>
      <c r="T99" t="s">
        <v>168</v>
      </c>
      <c r="U99" t="s">
        <v>169</v>
      </c>
      <c r="V99" t="s">
        <v>196</v>
      </c>
      <c r="W99" t="s">
        <v>197</v>
      </c>
      <c r="Y99">
        <v>8</v>
      </c>
      <c r="Z99" t="s">
        <v>172</v>
      </c>
      <c r="AA99" t="s">
        <v>173</v>
      </c>
      <c r="AB99" t="s">
        <v>174</v>
      </c>
      <c r="AC99" t="s">
        <v>175</v>
      </c>
      <c r="AD99">
        <v>10</v>
      </c>
      <c r="AG99" t="s">
        <v>176</v>
      </c>
      <c r="AH99" t="s">
        <v>177</v>
      </c>
      <c r="AI99" t="s">
        <v>178</v>
      </c>
      <c r="AJ99" t="s">
        <v>179</v>
      </c>
      <c r="AK99" t="s">
        <v>173</v>
      </c>
      <c r="AL99" t="s">
        <v>180</v>
      </c>
      <c r="AO99">
        <v>91</v>
      </c>
      <c r="AP99">
        <v>12</v>
      </c>
      <c r="AS99">
        <v>2100</v>
      </c>
      <c r="AT99">
        <v>2100</v>
      </c>
      <c r="BN99" s="114" t="s">
        <v>304</v>
      </c>
      <c r="BO99">
        <v>2</v>
      </c>
      <c r="BP99">
        <v>2</v>
      </c>
      <c r="BQ99">
        <v>4</v>
      </c>
      <c r="BR99" t="s">
        <v>373</v>
      </c>
      <c r="BS99" t="s">
        <v>182</v>
      </c>
      <c r="BT99" t="s">
        <v>183</v>
      </c>
      <c r="BU99" s="115">
        <v>45870</v>
      </c>
      <c r="BV99">
        <v>36724</v>
      </c>
      <c r="BW99" s="116"/>
      <c r="BX99" t="s">
        <v>172</v>
      </c>
      <c r="BY99" t="s">
        <v>173</v>
      </c>
      <c r="CB99" t="s">
        <v>173</v>
      </c>
      <c r="CC99" t="s">
        <v>173</v>
      </c>
      <c r="CE99" t="s">
        <v>173</v>
      </c>
      <c r="CG99" t="s">
        <v>172</v>
      </c>
      <c r="CH99" t="s">
        <v>282</v>
      </c>
      <c r="CI99" t="s">
        <v>172</v>
      </c>
      <c r="CJ99" t="s">
        <v>305</v>
      </c>
      <c r="CK99" t="s">
        <v>259</v>
      </c>
      <c r="CM99">
        <v>1</v>
      </c>
      <c r="CN99" t="s">
        <v>260</v>
      </c>
      <c r="CP99">
        <v>44</v>
      </c>
      <c r="CQ99">
        <v>10</v>
      </c>
      <c r="CR99">
        <v>40</v>
      </c>
      <c r="CS99" t="s">
        <v>261</v>
      </c>
      <c r="CV99" t="s">
        <v>262</v>
      </c>
      <c r="CX99" t="s">
        <v>263</v>
      </c>
      <c r="CY99" t="s">
        <v>173</v>
      </c>
      <c r="DC99" t="s">
        <v>306</v>
      </c>
      <c r="DD99">
        <v>1</v>
      </c>
      <c r="DE99" t="s">
        <v>307</v>
      </c>
      <c r="DF99" t="s">
        <v>308</v>
      </c>
      <c r="DG99">
        <v>8</v>
      </c>
      <c r="DJ99" t="s">
        <v>250</v>
      </c>
      <c r="DK99" t="s">
        <v>251</v>
      </c>
      <c r="DL99" t="s">
        <v>173</v>
      </c>
      <c r="DM99" t="s">
        <v>173</v>
      </c>
      <c r="DN99" t="s">
        <v>173</v>
      </c>
      <c r="DO99" t="s">
        <v>309</v>
      </c>
      <c r="DP99" t="s">
        <v>172</v>
      </c>
      <c r="DQ99" t="s">
        <v>204</v>
      </c>
      <c r="DY99">
        <v>41.4</v>
      </c>
      <c r="EA99" s="117"/>
      <c r="EB99">
        <v>6</v>
      </c>
      <c r="EC99">
        <v>6</v>
      </c>
      <c r="EE99" t="s">
        <v>310</v>
      </c>
      <c r="EF99">
        <v>7</v>
      </c>
      <c r="EV99">
        <v>2000</v>
      </c>
      <c r="EW99">
        <v>320</v>
      </c>
      <c r="EX99">
        <v>252</v>
      </c>
      <c r="EY99">
        <v>290</v>
      </c>
    </row>
    <row r="100" spans="1:155" x14ac:dyDescent="0.35">
      <c r="A100">
        <v>2026</v>
      </c>
      <c r="B100" t="s">
        <v>192</v>
      </c>
      <c r="C100" s="112" t="s">
        <v>192</v>
      </c>
      <c r="D100" t="s">
        <v>378</v>
      </c>
      <c r="E100" t="s">
        <v>194</v>
      </c>
      <c r="F100">
        <v>407</v>
      </c>
      <c r="G100" s="113">
        <v>2</v>
      </c>
      <c r="H100">
        <v>4</v>
      </c>
      <c r="I100" t="s">
        <v>195</v>
      </c>
      <c r="J100">
        <v>25</v>
      </c>
      <c r="K100">
        <v>34</v>
      </c>
      <c r="L100">
        <v>29</v>
      </c>
      <c r="M100">
        <v>32.832900000000002</v>
      </c>
      <c r="N100">
        <v>49.180399999999999</v>
      </c>
      <c r="O100">
        <v>38.607799999999997</v>
      </c>
      <c r="P100">
        <v>25.364999999999998</v>
      </c>
      <c r="Q100">
        <v>33.884</v>
      </c>
      <c r="R100">
        <v>28.6008</v>
      </c>
      <c r="T100" t="s">
        <v>168</v>
      </c>
      <c r="U100" t="s">
        <v>169</v>
      </c>
      <c r="V100" t="s">
        <v>196</v>
      </c>
      <c r="W100" t="s">
        <v>197</v>
      </c>
      <c r="Y100">
        <v>8</v>
      </c>
      <c r="Z100" t="s">
        <v>172</v>
      </c>
      <c r="AA100" t="s">
        <v>173</v>
      </c>
      <c r="AB100" t="s">
        <v>170</v>
      </c>
      <c r="AC100" t="s">
        <v>232</v>
      </c>
      <c r="AD100">
        <v>10</v>
      </c>
      <c r="AG100" t="s">
        <v>176</v>
      </c>
      <c r="AH100" t="s">
        <v>177</v>
      </c>
      <c r="AI100" t="s">
        <v>178</v>
      </c>
      <c r="AJ100" t="s">
        <v>179</v>
      </c>
      <c r="AK100" t="s">
        <v>173</v>
      </c>
      <c r="AL100" t="s">
        <v>180</v>
      </c>
      <c r="AO100">
        <v>91</v>
      </c>
      <c r="AP100">
        <v>12</v>
      </c>
      <c r="AS100">
        <v>2150</v>
      </c>
      <c r="AT100">
        <v>2150</v>
      </c>
      <c r="BN100" s="114" t="s">
        <v>304</v>
      </c>
      <c r="BO100">
        <v>2</v>
      </c>
      <c r="BP100">
        <v>2</v>
      </c>
      <c r="BQ100">
        <v>4</v>
      </c>
      <c r="BR100" t="s">
        <v>373</v>
      </c>
      <c r="BS100" t="s">
        <v>182</v>
      </c>
      <c r="BT100" t="s">
        <v>183</v>
      </c>
      <c r="BU100" s="115">
        <v>45870</v>
      </c>
      <c r="BV100">
        <v>36723</v>
      </c>
      <c r="BW100" s="116"/>
      <c r="BX100" t="s">
        <v>172</v>
      </c>
      <c r="BY100" t="s">
        <v>173</v>
      </c>
      <c r="CB100" t="s">
        <v>173</v>
      </c>
      <c r="CC100" t="s">
        <v>173</v>
      </c>
      <c r="CE100" t="s">
        <v>173</v>
      </c>
      <c r="CG100" t="s">
        <v>172</v>
      </c>
      <c r="CH100" t="s">
        <v>282</v>
      </c>
      <c r="CI100" t="s">
        <v>172</v>
      </c>
      <c r="CJ100" t="s">
        <v>305</v>
      </c>
      <c r="CK100" t="s">
        <v>259</v>
      </c>
      <c r="CM100">
        <v>1</v>
      </c>
      <c r="CN100" t="s">
        <v>260</v>
      </c>
      <c r="CP100">
        <v>44</v>
      </c>
      <c r="CQ100">
        <v>10</v>
      </c>
      <c r="CR100">
        <v>40</v>
      </c>
      <c r="CS100" t="s">
        <v>261</v>
      </c>
      <c r="CV100" t="s">
        <v>262</v>
      </c>
      <c r="CX100" t="s">
        <v>263</v>
      </c>
      <c r="CY100" t="s">
        <v>173</v>
      </c>
      <c r="DC100" t="s">
        <v>306</v>
      </c>
      <c r="DD100">
        <v>1</v>
      </c>
      <c r="DE100" t="s">
        <v>307</v>
      </c>
      <c r="DF100" t="s">
        <v>308</v>
      </c>
      <c r="DG100">
        <v>8</v>
      </c>
      <c r="DJ100" t="s">
        <v>250</v>
      </c>
      <c r="DK100" t="s">
        <v>251</v>
      </c>
      <c r="DL100" t="s">
        <v>173</v>
      </c>
      <c r="DM100" t="s">
        <v>173</v>
      </c>
      <c r="DN100" t="s">
        <v>173</v>
      </c>
      <c r="DO100" t="s">
        <v>309</v>
      </c>
      <c r="DP100" t="s">
        <v>172</v>
      </c>
      <c r="DQ100" t="s">
        <v>204</v>
      </c>
      <c r="DY100">
        <v>38.9</v>
      </c>
      <c r="EA100" s="117"/>
      <c r="EB100">
        <v>6</v>
      </c>
      <c r="EC100">
        <v>6</v>
      </c>
      <c r="EE100" t="s">
        <v>310</v>
      </c>
      <c r="EF100">
        <v>7</v>
      </c>
      <c r="EV100">
        <v>2250</v>
      </c>
      <c r="EW100">
        <v>345</v>
      </c>
      <c r="EX100">
        <v>257</v>
      </c>
      <c r="EY100">
        <v>305</v>
      </c>
    </row>
    <row r="101" spans="1:155" x14ac:dyDescent="0.35">
      <c r="A101">
        <v>2026</v>
      </c>
      <c r="B101" t="s">
        <v>192</v>
      </c>
      <c r="C101" s="112" t="s">
        <v>192</v>
      </c>
      <c r="D101" t="s">
        <v>379</v>
      </c>
      <c r="E101" t="s">
        <v>194</v>
      </c>
      <c r="F101">
        <v>212</v>
      </c>
      <c r="G101" s="113">
        <v>2</v>
      </c>
      <c r="H101">
        <v>4</v>
      </c>
      <c r="I101" t="s">
        <v>274</v>
      </c>
      <c r="J101">
        <v>24</v>
      </c>
      <c r="K101">
        <v>33</v>
      </c>
      <c r="L101">
        <v>27</v>
      </c>
      <c r="M101">
        <v>30.521799999999999</v>
      </c>
      <c r="N101">
        <v>47.985599999999998</v>
      </c>
      <c r="O101">
        <v>36.499400000000001</v>
      </c>
      <c r="P101">
        <v>23.753</v>
      </c>
      <c r="Q101">
        <v>33.1479</v>
      </c>
      <c r="R101">
        <v>27.2254</v>
      </c>
      <c r="T101" t="s">
        <v>168</v>
      </c>
      <c r="U101" t="s">
        <v>169</v>
      </c>
      <c r="V101" t="s">
        <v>275</v>
      </c>
      <c r="W101" t="s">
        <v>276</v>
      </c>
      <c r="Y101">
        <v>7</v>
      </c>
      <c r="Z101" t="s">
        <v>173</v>
      </c>
      <c r="AA101" t="s">
        <v>173</v>
      </c>
      <c r="AB101" t="s">
        <v>170</v>
      </c>
      <c r="AC101" t="s">
        <v>232</v>
      </c>
      <c r="AD101">
        <v>10</v>
      </c>
      <c r="AG101" t="s">
        <v>176</v>
      </c>
      <c r="AH101" t="s">
        <v>177</v>
      </c>
      <c r="AI101" t="s">
        <v>178</v>
      </c>
      <c r="AJ101" t="s">
        <v>179</v>
      </c>
      <c r="AK101" t="s">
        <v>173</v>
      </c>
      <c r="AL101" t="s">
        <v>180</v>
      </c>
      <c r="AO101">
        <v>91</v>
      </c>
      <c r="AP101">
        <v>12</v>
      </c>
      <c r="AS101">
        <v>2300</v>
      </c>
      <c r="AT101">
        <v>2300</v>
      </c>
      <c r="BN101" s="114" t="s">
        <v>247</v>
      </c>
      <c r="BO101">
        <v>2</v>
      </c>
      <c r="BP101">
        <v>2</v>
      </c>
      <c r="BQ101">
        <v>4</v>
      </c>
      <c r="BR101" t="s">
        <v>373</v>
      </c>
      <c r="BS101" t="s">
        <v>182</v>
      </c>
      <c r="BT101" t="s">
        <v>183</v>
      </c>
      <c r="BU101" s="115">
        <v>45870</v>
      </c>
      <c r="BV101">
        <v>37107</v>
      </c>
      <c r="BW101" s="116"/>
      <c r="BX101" t="s">
        <v>172</v>
      </c>
      <c r="BY101" t="s">
        <v>173</v>
      </c>
      <c r="CB101" t="s">
        <v>173</v>
      </c>
      <c r="CC101" t="s">
        <v>173</v>
      </c>
      <c r="CE101" t="s">
        <v>173</v>
      </c>
      <c r="CG101" t="s">
        <v>172</v>
      </c>
      <c r="CH101" t="s">
        <v>282</v>
      </c>
      <c r="CI101" t="s">
        <v>172</v>
      </c>
      <c r="CJ101" t="s">
        <v>283</v>
      </c>
      <c r="DJ101" t="s">
        <v>250</v>
      </c>
      <c r="DK101" t="s">
        <v>251</v>
      </c>
      <c r="DN101" t="s">
        <v>173</v>
      </c>
      <c r="DO101" t="s">
        <v>284</v>
      </c>
      <c r="DP101" t="s">
        <v>172</v>
      </c>
      <c r="DQ101" t="s">
        <v>204</v>
      </c>
      <c r="DY101">
        <v>36.799999999999997</v>
      </c>
      <c r="EA101" s="117"/>
      <c r="EB101">
        <v>5</v>
      </c>
      <c r="EC101">
        <v>5</v>
      </c>
      <c r="EE101" t="s">
        <v>380</v>
      </c>
      <c r="EF101">
        <v>5</v>
      </c>
      <c r="EV101">
        <v>3000</v>
      </c>
      <c r="EW101">
        <v>368</v>
      </c>
      <c r="EX101">
        <v>264</v>
      </c>
      <c r="EY101">
        <v>321</v>
      </c>
    </row>
    <row r="102" spans="1:155" x14ac:dyDescent="0.35">
      <c r="A102">
        <v>2026</v>
      </c>
      <c r="B102" t="s">
        <v>192</v>
      </c>
      <c r="C102" s="112" t="s">
        <v>192</v>
      </c>
      <c r="D102" t="s">
        <v>381</v>
      </c>
      <c r="E102" t="s">
        <v>194</v>
      </c>
      <c r="F102">
        <v>392</v>
      </c>
      <c r="G102" s="113">
        <v>3</v>
      </c>
      <c r="H102">
        <v>6</v>
      </c>
      <c r="I102" t="s">
        <v>195</v>
      </c>
      <c r="J102">
        <v>16</v>
      </c>
      <c r="K102">
        <v>23</v>
      </c>
      <c r="L102">
        <v>18</v>
      </c>
      <c r="M102">
        <v>19.519500000000001</v>
      </c>
      <c r="N102">
        <v>32.043300000000002</v>
      </c>
      <c r="O102">
        <v>23.685199999999998</v>
      </c>
      <c r="P102">
        <v>15.742100000000001</v>
      </c>
      <c r="Q102">
        <v>22.941299999999998</v>
      </c>
      <c r="R102">
        <v>18.3307</v>
      </c>
      <c r="T102" t="s">
        <v>168</v>
      </c>
      <c r="U102" t="s">
        <v>169</v>
      </c>
      <c r="V102" t="s">
        <v>196</v>
      </c>
      <c r="W102" t="s">
        <v>197</v>
      </c>
      <c r="Y102">
        <v>8</v>
      </c>
      <c r="Z102" t="s">
        <v>172</v>
      </c>
      <c r="AA102" t="s">
        <v>173</v>
      </c>
      <c r="AB102" t="s">
        <v>170</v>
      </c>
      <c r="AC102" t="s">
        <v>232</v>
      </c>
      <c r="AD102">
        <v>10</v>
      </c>
      <c r="AG102" t="s">
        <v>216</v>
      </c>
      <c r="AH102" t="s">
        <v>217</v>
      </c>
      <c r="AI102" t="s">
        <v>178</v>
      </c>
      <c r="AJ102" t="s">
        <v>179</v>
      </c>
      <c r="AK102" t="s">
        <v>173</v>
      </c>
      <c r="AL102" t="s">
        <v>180</v>
      </c>
      <c r="AO102">
        <v>95</v>
      </c>
      <c r="AP102">
        <v>13</v>
      </c>
      <c r="AS102">
        <v>3450</v>
      </c>
      <c r="AT102">
        <v>3450</v>
      </c>
      <c r="BN102" s="114" t="s">
        <v>198</v>
      </c>
      <c r="BO102">
        <v>2</v>
      </c>
      <c r="BP102">
        <v>2</v>
      </c>
      <c r="BQ102">
        <v>4</v>
      </c>
      <c r="BR102" t="s">
        <v>373</v>
      </c>
      <c r="BS102" t="s">
        <v>182</v>
      </c>
      <c r="BT102" t="s">
        <v>183</v>
      </c>
      <c r="BU102" s="115">
        <v>45870</v>
      </c>
      <c r="BV102">
        <v>36655</v>
      </c>
      <c r="BW102" s="116"/>
      <c r="BX102" t="s">
        <v>172</v>
      </c>
      <c r="BY102" t="s">
        <v>173</v>
      </c>
      <c r="CB102" t="s">
        <v>173</v>
      </c>
      <c r="CC102" t="s">
        <v>173</v>
      </c>
      <c r="CE102" t="s">
        <v>173</v>
      </c>
      <c r="CG102" t="s">
        <v>172</v>
      </c>
      <c r="CH102" t="s">
        <v>199</v>
      </c>
      <c r="CI102" t="s">
        <v>172</v>
      </c>
      <c r="CJ102" t="s">
        <v>320</v>
      </c>
      <c r="DJ102" t="s">
        <v>201</v>
      </c>
      <c r="DK102" t="s">
        <v>202</v>
      </c>
      <c r="DN102" t="s">
        <v>173</v>
      </c>
      <c r="DO102" t="s">
        <v>266</v>
      </c>
      <c r="DP102" t="s">
        <v>172</v>
      </c>
      <c r="DQ102" t="s">
        <v>204</v>
      </c>
      <c r="DY102">
        <v>24.1</v>
      </c>
      <c r="EA102" s="117"/>
      <c r="EB102">
        <v>3</v>
      </c>
      <c r="EC102">
        <v>3</v>
      </c>
      <c r="EE102" t="s">
        <v>321</v>
      </c>
      <c r="EF102">
        <v>4</v>
      </c>
      <c r="EV102">
        <v>8750</v>
      </c>
      <c r="EW102">
        <v>556</v>
      </c>
      <c r="EX102">
        <v>381</v>
      </c>
      <c r="EY102">
        <v>477</v>
      </c>
    </row>
    <row r="103" spans="1:155" x14ac:dyDescent="0.35">
      <c r="A103">
        <v>2026</v>
      </c>
      <c r="B103" t="s">
        <v>192</v>
      </c>
      <c r="C103" s="112" t="s">
        <v>192</v>
      </c>
      <c r="D103" t="s">
        <v>382</v>
      </c>
      <c r="E103" t="s">
        <v>194</v>
      </c>
      <c r="F103">
        <v>391</v>
      </c>
      <c r="G103" s="113">
        <v>3</v>
      </c>
      <c r="H103">
        <v>6</v>
      </c>
      <c r="I103" t="s">
        <v>195</v>
      </c>
      <c r="J103">
        <v>16</v>
      </c>
      <c r="K103">
        <v>23</v>
      </c>
      <c r="L103">
        <v>19</v>
      </c>
      <c r="M103">
        <v>20.181999999999999</v>
      </c>
      <c r="N103">
        <v>32.061599999999999</v>
      </c>
      <c r="O103">
        <v>24.220400000000001</v>
      </c>
      <c r="P103">
        <v>16.2409</v>
      </c>
      <c r="Q103">
        <v>22.953499999999998</v>
      </c>
      <c r="R103">
        <v>18.702100000000002</v>
      </c>
      <c r="T103" t="s">
        <v>168</v>
      </c>
      <c r="U103" t="s">
        <v>169</v>
      </c>
      <c r="V103" t="s">
        <v>196</v>
      </c>
      <c r="W103" t="s">
        <v>197</v>
      </c>
      <c r="Y103">
        <v>8</v>
      </c>
      <c r="Z103" t="s">
        <v>172</v>
      </c>
      <c r="AA103" t="s">
        <v>173</v>
      </c>
      <c r="AB103" t="s">
        <v>174</v>
      </c>
      <c r="AC103" t="s">
        <v>175</v>
      </c>
      <c r="AD103">
        <v>10</v>
      </c>
      <c r="AG103" t="s">
        <v>216</v>
      </c>
      <c r="AH103" t="s">
        <v>217</v>
      </c>
      <c r="AI103" t="s">
        <v>178</v>
      </c>
      <c r="AJ103" t="s">
        <v>179</v>
      </c>
      <c r="AK103" t="s">
        <v>173</v>
      </c>
      <c r="AL103" t="s">
        <v>180</v>
      </c>
      <c r="AO103">
        <v>95</v>
      </c>
      <c r="AP103">
        <v>13</v>
      </c>
      <c r="AS103">
        <v>3300</v>
      </c>
      <c r="AT103">
        <v>3300</v>
      </c>
      <c r="BN103" s="114" t="s">
        <v>198</v>
      </c>
      <c r="BO103">
        <v>2</v>
      </c>
      <c r="BP103">
        <v>2</v>
      </c>
      <c r="BQ103">
        <v>4</v>
      </c>
      <c r="BR103" t="s">
        <v>373</v>
      </c>
      <c r="BS103" t="s">
        <v>182</v>
      </c>
      <c r="BT103" t="s">
        <v>183</v>
      </c>
      <c r="BU103" s="115">
        <v>45870</v>
      </c>
      <c r="BV103">
        <v>36656</v>
      </c>
      <c r="BW103" s="116"/>
      <c r="BX103" t="s">
        <v>172</v>
      </c>
      <c r="BY103" t="s">
        <v>173</v>
      </c>
      <c r="CB103" t="s">
        <v>173</v>
      </c>
      <c r="CC103" t="s">
        <v>173</v>
      </c>
      <c r="CE103" t="s">
        <v>173</v>
      </c>
      <c r="CG103" t="s">
        <v>172</v>
      </c>
      <c r="CH103" t="s">
        <v>199</v>
      </c>
      <c r="CI103" t="s">
        <v>172</v>
      </c>
      <c r="CJ103" t="s">
        <v>320</v>
      </c>
      <c r="DJ103" t="s">
        <v>201</v>
      </c>
      <c r="DK103" t="s">
        <v>202</v>
      </c>
      <c r="DN103" t="s">
        <v>173</v>
      </c>
      <c r="DO103" t="s">
        <v>266</v>
      </c>
      <c r="DP103" t="s">
        <v>172</v>
      </c>
      <c r="DQ103" t="s">
        <v>204</v>
      </c>
      <c r="DY103">
        <v>24.4</v>
      </c>
      <c r="EA103" s="117"/>
      <c r="EB103">
        <v>4</v>
      </c>
      <c r="EC103">
        <v>4</v>
      </c>
      <c r="EE103" t="s">
        <v>321</v>
      </c>
      <c r="EF103">
        <v>4</v>
      </c>
      <c r="EV103">
        <v>8000</v>
      </c>
      <c r="EW103">
        <v>541</v>
      </c>
      <c r="EX103">
        <v>383</v>
      </c>
      <c r="EY103">
        <v>470</v>
      </c>
    </row>
    <row r="104" spans="1:155" x14ac:dyDescent="0.35">
      <c r="A104">
        <v>2026</v>
      </c>
      <c r="B104" t="s">
        <v>192</v>
      </c>
      <c r="C104" s="112" t="s">
        <v>192</v>
      </c>
      <c r="D104" t="s">
        <v>383</v>
      </c>
      <c r="E104" t="s">
        <v>194</v>
      </c>
      <c r="F104">
        <v>380</v>
      </c>
      <c r="G104" s="113">
        <v>3</v>
      </c>
      <c r="H104">
        <v>6</v>
      </c>
      <c r="I104" t="s">
        <v>206</v>
      </c>
      <c r="J104">
        <v>16</v>
      </c>
      <c r="K104">
        <v>23</v>
      </c>
      <c r="L104">
        <v>19</v>
      </c>
      <c r="M104">
        <v>19.895499999999998</v>
      </c>
      <c r="N104">
        <v>32.497199999999999</v>
      </c>
      <c r="O104">
        <v>24.101199999999999</v>
      </c>
      <c r="P104">
        <v>16.025500000000001</v>
      </c>
      <c r="Q104">
        <v>23.2422</v>
      </c>
      <c r="R104">
        <v>18.628299999999999</v>
      </c>
      <c r="T104" t="s">
        <v>168</v>
      </c>
      <c r="U104" t="s">
        <v>169</v>
      </c>
      <c r="V104" t="s">
        <v>207</v>
      </c>
      <c r="W104" t="s">
        <v>208</v>
      </c>
      <c r="Y104">
        <v>6</v>
      </c>
      <c r="Z104" t="s">
        <v>173</v>
      </c>
      <c r="AA104" t="s">
        <v>173</v>
      </c>
      <c r="AB104" t="s">
        <v>174</v>
      </c>
      <c r="AC104" t="s">
        <v>175</v>
      </c>
      <c r="AD104">
        <v>10</v>
      </c>
      <c r="AG104" t="s">
        <v>216</v>
      </c>
      <c r="AH104" t="s">
        <v>217</v>
      </c>
      <c r="AI104" t="s">
        <v>178</v>
      </c>
      <c r="AJ104" t="s">
        <v>179</v>
      </c>
      <c r="AK104" t="s">
        <v>173</v>
      </c>
      <c r="AL104" t="s">
        <v>180</v>
      </c>
      <c r="AO104">
        <v>95</v>
      </c>
      <c r="AP104">
        <v>13</v>
      </c>
      <c r="AS104">
        <v>3300</v>
      </c>
      <c r="AT104">
        <v>3300</v>
      </c>
      <c r="BN104" s="114" t="s">
        <v>198</v>
      </c>
      <c r="BO104">
        <v>2</v>
      </c>
      <c r="BP104">
        <v>2</v>
      </c>
      <c r="BQ104">
        <v>4</v>
      </c>
      <c r="BR104" t="s">
        <v>373</v>
      </c>
      <c r="BS104" t="s">
        <v>182</v>
      </c>
      <c r="BT104" t="s">
        <v>183</v>
      </c>
      <c r="BU104" s="115">
        <v>45870</v>
      </c>
      <c r="BV104">
        <v>36657</v>
      </c>
      <c r="BW104" s="116"/>
      <c r="BX104" t="s">
        <v>172</v>
      </c>
      <c r="BY104" t="s">
        <v>173</v>
      </c>
      <c r="CB104" t="s">
        <v>173</v>
      </c>
      <c r="CC104" t="s">
        <v>173</v>
      </c>
      <c r="CE104" t="s">
        <v>173</v>
      </c>
      <c r="CG104" t="s">
        <v>172</v>
      </c>
      <c r="CH104" t="s">
        <v>199</v>
      </c>
      <c r="CI104" t="s">
        <v>172</v>
      </c>
      <c r="CJ104" t="s">
        <v>320</v>
      </c>
      <c r="DJ104" t="s">
        <v>201</v>
      </c>
      <c r="DK104" t="s">
        <v>202</v>
      </c>
      <c r="DN104" t="s">
        <v>173</v>
      </c>
      <c r="DO104" t="s">
        <v>266</v>
      </c>
      <c r="DP104" t="s">
        <v>172</v>
      </c>
      <c r="DQ104" t="s">
        <v>204</v>
      </c>
      <c r="DY104">
        <v>24.3</v>
      </c>
      <c r="EA104" s="117"/>
      <c r="EB104">
        <v>4</v>
      </c>
      <c r="EC104">
        <v>4</v>
      </c>
      <c r="EE104" t="s">
        <v>321</v>
      </c>
      <c r="EF104">
        <v>4</v>
      </c>
      <c r="EV104">
        <v>8000</v>
      </c>
      <c r="EW104">
        <v>548</v>
      </c>
      <c r="EX104">
        <v>379</v>
      </c>
      <c r="EY104">
        <v>472</v>
      </c>
    </row>
    <row r="105" spans="1:155" x14ac:dyDescent="0.35">
      <c r="A105">
        <v>2026</v>
      </c>
      <c r="B105" t="s">
        <v>192</v>
      </c>
      <c r="C105" s="112" t="s">
        <v>192</v>
      </c>
      <c r="D105" t="s">
        <v>384</v>
      </c>
      <c r="E105" t="s">
        <v>194</v>
      </c>
      <c r="F105">
        <v>340</v>
      </c>
      <c r="G105" s="113">
        <v>3</v>
      </c>
      <c r="H105">
        <v>6</v>
      </c>
      <c r="I105" t="s">
        <v>195</v>
      </c>
      <c r="J105">
        <v>27</v>
      </c>
      <c r="K105">
        <v>33</v>
      </c>
      <c r="L105">
        <v>29</v>
      </c>
      <c r="M105">
        <v>34.839199999999998</v>
      </c>
      <c r="N105">
        <v>47.814100000000003</v>
      </c>
      <c r="O105">
        <v>39.685200000000002</v>
      </c>
      <c r="P105">
        <v>26.7453</v>
      </c>
      <c r="Q105">
        <v>33.041899999999998</v>
      </c>
      <c r="R105">
        <v>29.254000000000001</v>
      </c>
      <c r="T105" t="s">
        <v>168</v>
      </c>
      <c r="U105" t="s">
        <v>169</v>
      </c>
      <c r="V105" t="s">
        <v>196</v>
      </c>
      <c r="W105" t="s">
        <v>197</v>
      </c>
      <c r="Y105">
        <v>8</v>
      </c>
      <c r="Z105" t="s">
        <v>172</v>
      </c>
      <c r="AA105" t="s">
        <v>173</v>
      </c>
      <c r="AB105" t="s">
        <v>174</v>
      </c>
      <c r="AC105" t="s">
        <v>175</v>
      </c>
      <c r="AD105">
        <v>10</v>
      </c>
      <c r="AG105" t="s">
        <v>176</v>
      </c>
      <c r="AH105" t="s">
        <v>177</v>
      </c>
      <c r="AI105" t="s">
        <v>178</v>
      </c>
      <c r="AJ105" t="s">
        <v>179</v>
      </c>
      <c r="AK105" t="s">
        <v>173</v>
      </c>
      <c r="AL105" t="s">
        <v>180</v>
      </c>
      <c r="AO105">
        <v>94</v>
      </c>
      <c r="AP105">
        <v>13</v>
      </c>
      <c r="AS105">
        <v>2150</v>
      </c>
      <c r="AT105">
        <v>2150</v>
      </c>
      <c r="BN105" s="114" t="s">
        <v>304</v>
      </c>
      <c r="BO105">
        <v>2</v>
      </c>
      <c r="BP105">
        <v>2</v>
      </c>
      <c r="BQ105">
        <v>4</v>
      </c>
      <c r="BR105" t="s">
        <v>373</v>
      </c>
      <c r="BS105" t="s">
        <v>182</v>
      </c>
      <c r="BT105" t="s">
        <v>183</v>
      </c>
      <c r="BU105" s="115">
        <v>45870</v>
      </c>
      <c r="BV105">
        <v>36783</v>
      </c>
      <c r="BW105" s="116"/>
      <c r="BX105" t="s">
        <v>172</v>
      </c>
      <c r="BY105" t="s">
        <v>173</v>
      </c>
      <c r="CB105" t="s">
        <v>173</v>
      </c>
      <c r="CC105" t="s">
        <v>173</v>
      </c>
      <c r="CE105" t="s">
        <v>173</v>
      </c>
      <c r="CG105" t="s">
        <v>172</v>
      </c>
      <c r="CH105" t="s">
        <v>282</v>
      </c>
      <c r="CI105" t="s">
        <v>172</v>
      </c>
      <c r="CJ105" t="s">
        <v>305</v>
      </c>
      <c r="CK105" t="s">
        <v>259</v>
      </c>
      <c r="CM105">
        <v>1</v>
      </c>
      <c r="CN105" t="s">
        <v>260</v>
      </c>
      <c r="CP105">
        <v>44</v>
      </c>
      <c r="CQ105">
        <v>10</v>
      </c>
      <c r="CR105">
        <v>38</v>
      </c>
      <c r="CS105" t="s">
        <v>261</v>
      </c>
      <c r="CV105" t="s">
        <v>262</v>
      </c>
      <c r="CX105" t="s">
        <v>263</v>
      </c>
      <c r="CY105" t="s">
        <v>173</v>
      </c>
      <c r="DC105" t="s">
        <v>329</v>
      </c>
      <c r="DD105">
        <v>1</v>
      </c>
      <c r="DE105" t="s">
        <v>307</v>
      </c>
      <c r="DF105" t="s">
        <v>330</v>
      </c>
      <c r="DG105">
        <v>9</v>
      </c>
      <c r="DJ105" t="s">
        <v>250</v>
      </c>
      <c r="DK105" t="s">
        <v>251</v>
      </c>
      <c r="DL105" t="s">
        <v>173</v>
      </c>
      <c r="DM105" t="s">
        <v>173</v>
      </c>
      <c r="DN105" t="s">
        <v>173</v>
      </c>
      <c r="DO105" t="s">
        <v>309</v>
      </c>
      <c r="DP105" t="s">
        <v>172</v>
      </c>
      <c r="DQ105" t="s">
        <v>204</v>
      </c>
      <c r="DY105">
        <v>39.9</v>
      </c>
      <c r="EA105" s="117"/>
      <c r="EB105">
        <v>6</v>
      </c>
      <c r="EC105">
        <v>6</v>
      </c>
      <c r="EE105" t="s">
        <v>331</v>
      </c>
      <c r="EF105">
        <v>6</v>
      </c>
      <c r="EV105">
        <v>2250</v>
      </c>
      <c r="EW105">
        <v>326</v>
      </c>
      <c r="EX105">
        <v>265</v>
      </c>
      <c r="EY105">
        <v>299</v>
      </c>
    </row>
    <row r="106" spans="1:155" x14ac:dyDescent="0.35">
      <c r="A106">
        <v>2026</v>
      </c>
      <c r="B106" t="s">
        <v>192</v>
      </c>
      <c r="C106" s="112" t="s">
        <v>192</v>
      </c>
      <c r="D106" t="s">
        <v>385</v>
      </c>
      <c r="E106" t="s">
        <v>194</v>
      </c>
      <c r="F106">
        <v>341</v>
      </c>
      <c r="G106" s="113">
        <v>3</v>
      </c>
      <c r="H106">
        <v>6</v>
      </c>
      <c r="I106" t="s">
        <v>195</v>
      </c>
      <c r="J106">
        <v>26</v>
      </c>
      <c r="K106">
        <v>33</v>
      </c>
      <c r="L106">
        <v>29</v>
      </c>
      <c r="M106">
        <v>33.821800000000003</v>
      </c>
      <c r="N106">
        <v>47.836599999999997</v>
      </c>
      <c r="O106">
        <v>38.957900000000002</v>
      </c>
      <c r="P106">
        <v>26.047499999999999</v>
      </c>
      <c r="Q106">
        <v>33.055799999999998</v>
      </c>
      <c r="R106">
        <v>28.794699999999999</v>
      </c>
      <c r="T106" t="s">
        <v>168</v>
      </c>
      <c r="U106" t="s">
        <v>169</v>
      </c>
      <c r="V106" t="s">
        <v>196</v>
      </c>
      <c r="W106" t="s">
        <v>197</v>
      </c>
      <c r="Y106">
        <v>8</v>
      </c>
      <c r="Z106" t="s">
        <v>172</v>
      </c>
      <c r="AA106" t="s">
        <v>173</v>
      </c>
      <c r="AB106" t="s">
        <v>170</v>
      </c>
      <c r="AC106" t="s">
        <v>232</v>
      </c>
      <c r="AD106">
        <v>10</v>
      </c>
      <c r="AG106" t="s">
        <v>176</v>
      </c>
      <c r="AH106" t="s">
        <v>177</v>
      </c>
      <c r="AI106" t="s">
        <v>178</v>
      </c>
      <c r="AJ106" t="s">
        <v>179</v>
      </c>
      <c r="AK106" t="s">
        <v>173</v>
      </c>
      <c r="AL106" t="s">
        <v>180</v>
      </c>
      <c r="AO106">
        <v>94</v>
      </c>
      <c r="AP106">
        <v>13</v>
      </c>
      <c r="AS106">
        <v>2150</v>
      </c>
      <c r="AT106">
        <v>2150</v>
      </c>
      <c r="BN106" s="114" t="s">
        <v>304</v>
      </c>
      <c r="BO106">
        <v>2</v>
      </c>
      <c r="BP106">
        <v>2</v>
      </c>
      <c r="BQ106">
        <v>4</v>
      </c>
      <c r="BR106" t="s">
        <v>373</v>
      </c>
      <c r="BS106" t="s">
        <v>182</v>
      </c>
      <c r="BT106" t="s">
        <v>183</v>
      </c>
      <c r="BU106" s="115">
        <v>45870</v>
      </c>
      <c r="BV106">
        <v>36779</v>
      </c>
      <c r="BW106" s="116"/>
      <c r="BX106" t="s">
        <v>172</v>
      </c>
      <c r="BY106" t="s">
        <v>173</v>
      </c>
      <c r="CB106" t="s">
        <v>173</v>
      </c>
      <c r="CC106" t="s">
        <v>173</v>
      </c>
      <c r="CE106" t="s">
        <v>173</v>
      </c>
      <c r="CG106" t="s">
        <v>172</v>
      </c>
      <c r="CH106" t="s">
        <v>282</v>
      </c>
      <c r="CI106" t="s">
        <v>172</v>
      </c>
      <c r="CJ106" t="s">
        <v>305</v>
      </c>
      <c r="CK106" t="s">
        <v>259</v>
      </c>
      <c r="CM106">
        <v>1</v>
      </c>
      <c r="CN106" t="s">
        <v>260</v>
      </c>
      <c r="CP106">
        <v>44</v>
      </c>
      <c r="CQ106">
        <v>10</v>
      </c>
      <c r="CR106">
        <v>38</v>
      </c>
      <c r="CS106" t="s">
        <v>261</v>
      </c>
      <c r="CV106" t="s">
        <v>262</v>
      </c>
      <c r="CX106" t="s">
        <v>263</v>
      </c>
      <c r="CY106" t="s">
        <v>173</v>
      </c>
      <c r="DC106" t="s">
        <v>329</v>
      </c>
      <c r="DD106">
        <v>1</v>
      </c>
      <c r="DE106" t="s">
        <v>307</v>
      </c>
      <c r="DF106" t="s">
        <v>330</v>
      </c>
      <c r="DG106">
        <v>9</v>
      </c>
      <c r="DJ106" t="s">
        <v>250</v>
      </c>
      <c r="DK106" t="s">
        <v>251</v>
      </c>
      <c r="DL106" t="s">
        <v>173</v>
      </c>
      <c r="DM106" t="s">
        <v>173</v>
      </c>
      <c r="DN106" t="s">
        <v>173</v>
      </c>
      <c r="DO106" t="s">
        <v>309</v>
      </c>
      <c r="DP106" t="s">
        <v>172</v>
      </c>
      <c r="DQ106" t="s">
        <v>204</v>
      </c>
      <c r="DY106">
        <v>39.200000000000003</v>
      </c>
      <c r="EA106" s="117"/>
      <c r="EB106">
        <v>6</v>
      </c>
      <c r="EC106">
        <v>6</v>
      </c>
      <c r="EE106" t="s">
        <v>331</v>
      </c>
      <c r="EF106">
        <v>6</v>
      </c>
      <c r="EV106">
        <v>2250</v>
      </c>
      <c r="EW106">
        <v>336</v>
      </c>
      <c r="EX106">
        <v>264</v>
      </c>
      <c r="EY106">
        <v>304</v>
      </c>
    </row>
    <row r="107" spans="1:155" x14ac:dyDescent="0.35">
      <c r="A107">
        <v>2026</v>
      </c>
      <c r="B107" t="s">
        <v>192</v>
      </c>
      <c r="C107" s="112" t="s">
        <v>192</v>
      </c>
      <c r="D107" t="s">
        <v>386</v>
      </c>
      <c r="E107" t="s">
        <v>194</v>
      </c>
      <c r="F107">
        <v>416</v>
      </c>
      <c r="G107" s="113">
        <v>3</v>
      </c>
      <c r="H107">
        <v>6</v>
      </c>
      <c r="I107" t="s">
        <v>195</v>
      </c>
      <c r="J107">
        <v>26</v>
      </c>
      <c r="K107">
        <v>32</v>
      </c>
      <c r="L107">
        <v>28</v>
      </c>
      <c r="M107">
        <v>33.1</v>
      </c>
      <c r="N107">
        <v>45.7</v>
      </c>
      <c r="O107">
        <v>37.788400000000003</v>
      </c>
      <c r="P107">
        <v>25.549700000000001</v>
      </c>
      <c r="Q107">
        <v>31.728899999999999</v>
      </c>
      <c r="R107">
        <v>28.003900000000002</v>
      </c>
      <c r="T107" t="s">
        <v>168</v>
      </c>
      <c r="U107" t="s">
        <v>169</v>
      </c>
      <c r="V107" t="s">
        <v>196</v>
      </c>
      <c r="W107" t="s">
        <v>197</v>
      </c>
      <c r="Y107">
        <v>8</v>
      </c>
      <c r="Z107" t="s">
        <v>172</v>
      </c>
      <c r="AA107" t="s">
        <v>173</v>
      </c>
      <c r="AB107" t="s">
        <v>174</v>
      </c>
      <c r="AC107" t="s">
        <v>175</v>
      </c>
      <c r="AD107">
        <v>10</v>
      </c>
      <c r="AG107" t="s">
        <v>176</v>
      </c>
      <c r="AH107" t="s">
        <v>177</v>
      </c>
      <c r="AI107" t="s">
        <v>178</v>
      </c>
      <c r="AJ107" t="s">
        <v>179</v>
      </c>
      <c r="AK107" t="s">
        <v>173</v>
      </c>
      <c r="AL107" t="s">
        <v>180</v>
      </c>
      <c r="AO107">
        <v>91</v>
      </c>
      <c r="AP107">
        <v>12</v>
      </c>
      <c r="AS107">
        <v>2200</v>
      </c>
      <c r="AT107">
        <v>2200</v>
      </c>
      <c r="BN107" s="114" t="s">
        <v>304</v>
      </c>
      <c r="BO107">
        <v>2</v>
      </c>
      <c r="BP107">
        <v>2</v>
      </c>
      <c r="BQ107">
        <v>4</v>
      </c>
      <c r="BR107" t="s">
        <v>373</v>
      </c>
      <c r="BS107" t="s">
        <v>182</v>
      </c>
      <c r="BT107" t="s">
        <v>183</v>
      </c>
      <c r="BU107" s="115">
        <v>45870</v>
      </c>
      <c r="BV107">
        <v>36784</v>
      </c>
      <c r="BW107" s="116"/>
      <c r="BX107" t="s">
        <v>172</v>
      </c>
      <c r="BY107" t="s">
        <v>173</v>
      </c>
      <c r="CB107" t="s">
        <v>173</v>
      </c>
      <c r="CC107" t="s">
        <v>173</v>
      </c>
      <c r="CE107" t="s">
        <v>173</v>
      </c>
      <c r="CG107" t="s">
        <v>172</v>
      </c>
      <c r="CH107" t="s">
        <v>282</v>
      </c>
      <c r="CI107" t="s">
        <v>172</v>
      </c>
      <c r="CJ107" t="s">
        <v>305</v>
      </c>
      <c r="CK107" t="s">
        <v>259</v>
      </c>
      <c r="CM107">
        <v>1</v>
      </c>
      <c r="CN107" t="s">
        <v>260</v>
      </c>
      <c r="CP107">
        <v>44</v>
      </c>
      <c r="CQ107">
        <v>10</v>
      </c>
      <c r="CR107">
        <v>38</v>
      </c>
      <c r="CS107" t="s">
        <v>261</v>
      </c>
      <c r="CV107" t="s">
        <v>262</v>
      </c>
      <c r="CX107" t="s">
        <v>263</v>
      </c>
      <c r="CY107" t="s">
        <v>173</v>
      </c>
      <c r="DC107" t="s">
        <v>329</v>
      </c>
      <c r="DD107">
        <v>1</v>
      </c>
      <c r="DE107" t="s">
        <v>307</v>
      </c>
      <c r="DF107" t="s">
        <v>330</v>
      </c>
      <c r="DG107">
        <v>9</v>
      </c>
      <c r="DJ107" t="s">
        <v>250</v>
      </c>
      <c r="DK107" t="s">
        <v>251</v>
      </c>
      <c r="DL107" t="s">
        <v>173</v>
      </c>
      <c r="DM107" t="s">
        <v>173</v>
      </c>
      <c r="DN107" t="s">
        <v>173</v>
      </c>
      <c r="DO107" t="s">
        <v>309</v>
      </c>
      <c r="DP107" t="s">
        <v>172</v>
      </c>
      <c r="DQ107" t="s">
        <v>204</v>
      </c>
      <c r="DY107">
        <v>38</v>
      </c>
      <c r="EA107" s="117"/>
      <c r="EB107">
        <v>5</v>
      </c>
      <c r="EC107">
        <v>5</v>
      </c>
      <c r="EE107" t="s">
        <v>331</v>
      </c>
      <c r="EF107">
        <v>6</v>
      </c>
      <c r="EV107">
        <v>2500</v>
      </c>
      <c r="EW107">
        <v>342</v>
      </c>
      <c r="EX107">
        <v>275</v>
      </c>
      <c r="EY107">
        <v>312</v>
      </c>
    </row>
    <row r="108" spans="1:155" x14ac:dyDescent="0.35">
      <c r="A108">
        <v>2026</v>
      </c>
      <c r="B108" t="s">
        <v>192</v>
      </c>
      <c r="C108" s="112" t="s">
        <v>192</v>
      </c>
      <c r="D108" t="s">
        <v>387</v>
      </c>
      <c r="E108" t="s">
        <v>194</v>
      </c>
      <c r="F108">
        <v>417</v>
      </c>
      <c r="G108" s="113">
        <v>3</v>
      </c>
      <c r="H108">
        <v>6</v>
      </c>
      <c r="I108" t="s">
        <v>195</v>
      </c>
      <c r="J108">
        <v>25</v>
      </c>
      <c r="K108">
        <v>31</v>
      </c>
      <c r="L108">
        <v>27</v>
      </c>
      <c r="M108">
        <v>32.200000000000003</v>
      </c>
      <c r="N108">
        <v>44.143099999999997</v>
      </c>
      <c r="O108">
        <v>36.663800000000002</v>
      </c>
      <c r="P108">
        <v>24.925899999999999</v>
      </c>
      <c r="Q108">
        <v>30.754000000000001</v>
      </c>
      <c r="R108">
        <v>27.249700000000001</v>
      </c>
      <c r="T108" t="s">
        <v>168</v>
      </c>
      <c r="U108" t="s">
        <v>169</v>
      </c>
      <c r="V108" t="s">
        <v>196</v>
      </c>
      <c r="W108" t="s">
        <v>197</v>
      </c>
      <c r="Y108">
        <v>8</v>
      </c>
      <c r="Z108" t="s">
        <v>172</v>
      </c>
      <c r="AA108" t="s">
        <v>173</v>
      </c>
      <c r="AB108" t="s">
        <v>170</v>
      </c>
      <c r="AC108" t="s">
        <v>232</v>
      </c>
      <c r="AD108">
        <v>10</v>
      </c>
      <c r="AG108" t="s">
        <v>176</v>
      </c>
      <c r="AH108" t="s">
        <v>177</v>
      </c>
      <c r="AI108" t="s">
        <v>178</v>
      </c>
      <c r="AJ108" t="s">
        <v>179</v>
      </c>
      <c r="AK108" t="s">
        <v>173</v>
      </c>
      <c r="AL108" t="s">
        <v>180</v>
      </c>
      <c r="AO108">
        <v>91</v>
      </c>
      <c r="AP108">
        <v>12</v>
      </c>
      <c r="AS108">
        <v>2300</v>
      </c>
      <c r="AT108">
        <v>2300</v>
      </c>
      <c r="BN108" s="114" t="s">
        <v>304</v>
      </c>
      <c r="BO108">
        <v>2</v>
      </c>
      <c r="BP108">
        <v>2</v>
      </c>
      <c r="BQ108">
        <v>4</v>
      </c>
      <c r="BR108" t="s">
        <v>373</v>
      </c>
      <c r="BS108" t="s">
        <v>182</v>
      </c>
      <c r="BT108" t="s">
        <v>183</v>
      </c>
      <c r="BU108" s="115">
        <v>45870</v>
      </c>
      <c r="BV108">
        <v>36780</v>
      </c>
      <c r="BW108" s="116"/>
      <c r="BX108" t="s">
        <v>172</v>
      </c>
      <c r="BY108" t="s">
        <v>173</v>
      </c>
      <c r="CB108" t="s">
        <v>173</v>
      </c>
      <c r="CC108" t="s">
        <v>173</v>
      </c>
      <c r="CE108" t="s">
        <v>173</v>
      </c>
      <c r="CG108" t="s">
        <v>172</v>
      </c>
      <c r="CH108" t="s">
        <v>282</v>
      </c>
      <c r="CI108" t="s">
        <v>172</v>
      </c>
      <c r="CJ108" t="s">
        <v>305</v>
      </c>
      <c r="CK108" t="s">
        <v>259</v>
      </c>
      <c r="CM108">
        <v>1</v>
      </c>
      <c r="CN108" t="s">
        <v>260</v>
      </c>
      <c r="CP108">
        <v>44</v>
      </c>
      <c r="CQ108">
        <v>10</v>
      </c>
      <c r="CR108">
        <v>38</v>
      </c>
      <c r="CS108" t="s">
        <v>261</v>
      </c>
      <c r="CV108" t="s">
        <v>262</v>
      </c>
      <c r="CX108" t="s">
        <v>263</v>
      </c>
      <c r="CY108" t="s">
        <v>173</v>
      </c>
      <c r="DC108" t="s">
        <v>329</v>
      </c>
      <c r="DD108">
        <v>1</v>
      </c>
      <c r="DE108" t="s">
        <v>307</v>
      </c>
      <c r="DF108" t="s">
        <v>330</v>
      </c>
      <c r="DG108">
        <v>9</v>
      </c>
      <c r="DJ108" t="s">
        <v>250</v>
      </c>
      <c r="DK108" t="s">
        <v>251</v>
      </c>
      <c r="DL108" t="s">
        <v>173</v>
      </c>
      <c r="DM108" t="s">
        <v>173</v>
      </c>
      <c r="DN108" t="s">
        <v>173</v>
      </c>
      <c r="DO108" t="s">
        <v>309</v>
      </c>
      <c r="DP108" t="s">
        <v>172</v>
      </c>
      <c r="DQ108" t="s">
        <v>204</v>
      </c>
      <c r="DY108">
        <v>36.9</v>
      </c>
      <c r="EA108" s="117"/>
      <c r="EB108">
        <v>5</v>
      </c>
      <c r="EC108">
        <v>5</v>
      </c>
      <c r="EE108" t="s">
        <v>331</v>
      </c>
      <c r="EF108">
        <v>6</v>
      </c>
      <c r="EV108">
        <v>3000</v>
      </c>
      <c r="EW108">
        <v>350</v>
      </c>
      <c r="EX108">
        <v>284</v>
      </c>
      <c r="EY108">
        <v>320</v>
      </c>
    </row>
    <row r="109" spans="1:155" x14ac:dyDescent="0.35">
      <c r="A109">
        <v>2026</v>
      </c>
      <c r="B109" t="s">
        <v>211</v>
      </c>
      <c r="C109" s="112" t="s">
        <v>388</v>
      </c>
      <c r="D109" t="s">
        <v>389</v>
      </c>
      <c r="E109" t="s">
        <v>214</v>
      </c>
      <c r="F109">
        <v>300</v>
      </c>
      <c r="G109" s="113">
        <v>2.7</v>
      </c>
      <c r="H109">
        <v>4</v>
      </c>
      <c r="I109" t="s">
        <v>246</v>
      </c>
      <c r="J109">
        <v>21</v>
      </c>
      <c r="K109">
        <v>31</v>
      </c>
      <c r="L109">
        <v>25</v>
      </c>
      <c r="M109">
        <v>27.2</v>
      </c>
      <c r="N109">
        <v>44.2</v>
      </c>
      <c r="O109">
        <v>32.893000000000001</v>
      </c>
      <c r="P109">
        <v>21.394200000000001</v>
      </c>
      <c r="Q109">
        <v>30.7898</v>
      </c>
      <c r="R109">
        <v>24.799700000000001</v>
      </c>
      <c r="T109" t="s">
        <v>168</v>
      </c>
      <c r="U109" t="s">
        <v>169</v>
      </c>
      <c r="V109" t="s">
        <v>196</v>
      </c>
      <c r="W109" t="s">
        <v>197</v>
      </c>
      <c r="Y109">
        <v>10</v>
      </c>
      <c r="Z109" t="s">
        <v>172</v>
      </c>
      <c r="AA109" t="s">
        <v>173</v>
      </c>
      <c r="AB109" t="s">
        <v>174</v>
      </c>
      <c r="AC109" t="s">
        <v>175</v>
      </c>
      <c r="AD109">
        <v>10</v>
      </c>
      <c r="AG109" t="s">
        <v>216</v>
      </c>
      <c r="AH109" t="s">
        <v>217</v>
      </c>
      <c r="AI109" t="s">
        <v>178</v>
      </c>
      <c r="AJ109" t="s">
        <v>179</v>
      </c>
      <c r="AK109" t="s">
        <v>173</v>
      </c>
      <c r="AL109" t="s">
        <v>180</v>
      </c>
      <c r="AO109">
        <v>90</v>
      </c>
      <c r="AP109">
        <v>11</v>
      </c>
      <c r="AS109">
        <v>2500</v>
      </c>
      <c r="AT109">
        <v>2500</v>
      </c>
      <c r="BN109" s="114" t="s">
        <v>198</v>
      </c>
      <c r="BO109">
        <v>2</v>
      </c>
      <c r="BP109">
        <v>2</v>
      </c>
      <c r="BQ109">
        <v>4</v>
      </c>
      <c r="BR109" t="s">
        <v>373</v>
      </c>
      <c r="BS109" t="s">
        <v>182</v>
      </c>
      <c r="BT109" t="s">
        <v>183</v>
      </c>
      <c r="BU109" s="115">
        <v>45810</v>
      </c>
      <c r="BV109">
        <v>36591</v>
      </c>
      <c r="BW109" s="116"/>
      <c r="BX109" t="s">
        <v>173</v>
      </c>
      <c r="BY109" t="s">
        <v>173</v>
      </c>
      <c r="CB109" t="s">
        <v>173</v>
      </c>
      <c r="CC109" t="s">
        <v>173</v>
      </c>
      <c r="CD109" t="s">
        <v>392</v>
      </c>
      <c r="CE109" t="s">
        <v>172</v>
      </c>
      <c r="CF109" t="s">
        <v>220</v>
      </c>
      <c r="CG109" t="s">
        <v>172</v>
      </c>
      <c r="CH109" t="s">
        <v>224</v>
      </c>
      <c r="CI109" t="s">
        <v>172</v>
      </c>
      <c r="CJ109" t="s">
        <v>390</v>
      </c>
      <c r="DJ109" t="s">
        <v>201</v>
      </c>
      <c r="DK109" t="s">
        <v>202</v>
      </c>
      <c r="DN109" t="s">
        <v>173</v>
      </c>
      <c r="DO109" t="s">
        <v>203</v>
      </c>
      <c r="DP109" t="s">
        <v>172</v>
      </c>
      <c r="DQ109" t="s">
        <v>204</v>
      </c>
      <c r="DY109">
        <v>33.1</v>
      </c>
      <c r="EA109" s="117"/>
      <c r="EB109">
        <v>5</v>
      </c>
      <c r="EC109">
        <v>5</v>
      </c>
      <c r="EE109" t="s">
        <v>393</v>
      </c>
      <c r="EF109">
        <v>5</v>
      </c>
      <c r="EV109">
        <v>4000</v>
      </c>
      <c r="EW109">
        <v>412</v>
      </c>
      <c r="EX109">
        <v>287</v>
      </c>
      <c r="EY109">
        <v>356</v>
      </c>
    </row>
    <row r="110" spans="1:155" x14ac:dyDescent="0.35">
      <c r="A110">
        <v>2026</v>
      </c>
      <c r="B110" t="s">
        <v>211</v>
      </c>
      <c r="C110" s="112" t="s">
        <v>388</v>
      </c>
      <c r="D110" t="s">
        <v>389</v>
      </c>
      <c r="E110" t="s">
        <v>214</v>
      </c>
      <c r="F110">
        <v>312</v>
      </c>
      <c r="G110" s="113">
        <v>2</v>
      </c>
      <c r="H110">
        <v>4</v>
      </c>
      <c r="I110" t="s">
        <v>195</v>
      </c>
      <c r="J110">
        <v>22</v>
      </c>
      <c r="K110">
        <v>32</v>
      </c>
      <c r="L110">
        <v>26</v>
      </c>
      <c r="M110">
        <v>28.3</v>
      </c>
      <c r="N110">
        <v>46.4998</v>
      </c>
      <c r="O110">
        <v>34.35</v>
      </c>
      <c r="P110">
        <v>22.180900000000001</v>
      </c>
      <c r="Q110">
        <v>32.2271</v>
      </c>
      <c r="R110">
        <v>25.8001</v>
      </c>
      <c r="T110" t="s">
        <v>168</v>
      </c>
      <c r="U110" t="s">
        <v>169</v>
      </c>
      <c r="V110" t="s">
        <v>196</v>
      </c>
      <c r="W110" t="s">
        <v>197</v>
      </c>
      <c r="Y110">
        <v>8</v>
      </c>
      <c r="Z110" t="s">
        <v>172</v>
      </c>
      <c r="AA110" t="s">
        <v>173</v>
      </c>
      <c r="AB110" t="s">
        <v>174</v>
      </c>
      <c r="AC110" t="s">
        <v>175</v>
      </c>
      <c r="AD110">
        <v>10</v>
      </c>
      <c r="AG110" t="s">
        <v>216</v>
      </c>
      <c r="AH110" t="s">
        <v>217</v>
      </c>
      <c r="AI110" t="s">
        <v>178</v>
      </c>
      <c r="AJ110" t="s">
        <v>179</v>
      </c>
      <c r="AK110" t="s">
        <v>173</v>
      </c>
      <c r="AL110" t="s">
        <v>180</v>
      </c>
      <c r="AO110">
        <v>90</v>
      </c>
      <c r="AP110">
        <v>11</v>
      </c>
      <c r="AS110">
        <v>2400</v>
      </c>
      <c r="AT110">
        <v>2400</v>
      </c>
      <c r="BN110" s="114" t="s">
        <v>198</v>
      </c>
      <c r="BO110">
        <v>2</v>
      </c>
      <c r="BP110">
        <v>2</v>
      </c>
      <c r="BQ110">
        <v>4</v>
      </c>
      <c r="BR110" t="s">
        <v>373</v>
      </c>
      <c r="BS110" t="s">
        <v>182</v>
      </c>
      <c r="BT110" t="s">
        <v>183</v>
      </c>
      <c r="BU110" s="115">
        <v>45810</v>
      </c>
      <c r="BV110">
        <v>36601</v>
      </c>
      <c r="BW110" s="116"/>
      <c r="BX110" t="s">
        <v>173</v>
      </c>
      <c r="BY110" t="s">
        <v>173</v>
      </c>
      <c r="CB110" t="s">
        <v>173</v>
      </c>
      <c r="CC110" t="s">
        <v>173</v>
      </c>
      <c r="CE110" t="s">
        <v>172</v>
      </c>
      <c r="CF110" t="s">
        <v>220</v>
      </c>
      <c r="CG110" t="s">
        <v>172</v>
      </c>
      <c r="CH110" t="s">
        <v>224</v>
      </c>
      <c r="CI110" t="s">
        <v>172</v>
      </c>
      <c r="CJ110" t="s">
        <v>390</v>
      </c>
      <c r="DJ110" t="s">
        <v>201</v>
      </c>
      <c r="DK110" t="s">
        <v>202</v>
      </c>
      <c r="DN110" t="s">
        <v>173</v>
      </c>
      <c r="DO110" t="s">
        <v>203</v>
      </c>
      <c r="DP110" t="s">
        <v>172</v>
      </c>
      <c r="DQ110" t="s">
        <v>204</v>
      </c>
      <c r="DY110">
        <v>34.6</v>
      </c>
      <c r="EA110" s="117"/>
      <c r="EB110">
        <v>5</v>
      </c>
      <c r="EC110">
        <v>5</v>
      </c>
      <c r="EE110" t="s">
        <v>391</v>
      </c>
      <c r="EF110">
        <v>6</v>
      </c>
      <c r="EV110">
        <v>3500</v>
      </c>
      <c r="EW110">
        <v>401</v>
      </c>
      <c r="EX110">
        <v>276</v>
      </c>
      <c r="EY110">
        <v>345</v>
      </c>
    </row>
    <row r="111" spans="1:155" x14ac:dyDescent="0.35">
      <c r="A111">
        <v>2026</v>
      </c>
      <c r="B111" t="s">
        <v>211</v>
      </c>
      <c r="C111" s="112" t="s">
        <v>388</v>
      </c>
      <c r="D111" t="s">
        <v>394</v>
      </c>
      <c r="E111" t="s">
        <v>214</v>
      </c>
      <c r="F111">
        <v>302</v>
      </c>
      <c r="G111" s="113">
        <v>2.7</v>
      </c>
      <c r="H111">
        <v>4</v>
      </c>
      <c r="I111" t="s">
        <v>246</v>
      </c>
      <c r="J111">
        <v>21</v>
      </c>
      <c r="K111">
        <v>29</v>
      </c>
      <c r="L111">
        <v>24</v>
      </c>
      <c r="M111">
        <v>26.4</v>
      </c>
      <c r="N111">
        <v>41.3</v>
      </c>
      <c r="O111">
        <v>31.5167</v>
      </c>
      <c r="P111">
        <v>20.8185</v>
      </c>
      <c r="Q111">
        <v>28.956299999999999</v>
      </c>
      <c r="R111">
        <v>23.8325</v>
      </c>
      <c r="T111" t="s">
        <v>168</v>
      </c>
      <c r="U111" t="s">
        <v>169</v>
      </c>
      <c r="V111" t="s">
        <v>196</v>
      </c>
      <c r="W111" t="s">
        <v>197</v>
      </c>
      <c r="Y111">
        <v>10</v>
      </c>
      <c r="Z111" t="s">
        <v>172</v>
      </c>
      <c r="AA111" t="s">
        <v>173</v>
      </c>
      <c r="AB111" t="s">
        <v>170</v>
      </c>
      <c r="AC111" t="s">
        <v>232</v>
      </c>
      <c r="AD111">
        <v>10</v>
      </c>
      <c r="AG111" t="s">
        <v>216</v>
      </c>
      <c r="AH111" t="s">
        <v>217</v>
      </c>
      <c r="AI111" t="s">
        <v>178</v>
      </c>
      <c r="AJ111" t="s">
        <v>179</v>
      </c>
      <c r="AK111" t="s">
        <v>173</v>
      </c>
      <c r="AL111" t="s">
        <v>180</v>
      </c>
      <c r="AO111">
        <v>90</v>
      </c>
      <c r="AP111">
        <v>11</v>
      </c>
      <c r="AS111">
        <v>2600</v>
      </c>
      <c r="AT111">
        <v>2600</v>
      </c>
      <c r="BN111" s="114" t="s">
        <v>198</v>
      </c>
      <c r="BO111">
        <v>2</v>
      </c>
      <c r="BP111">
        <v>2</v>
      </c>
      <c r="BQ111">
        <v>4</v>
      </c>
      <c r="BR111" t="s">
        <v>373</v>
      </c>
      <c r="BS111" t="s">
        <v>182</v>
      </c>
      <c r="BT111" t="s">
        <v>183</v>
      </c>
      <c r="BU111" s="115">
        <v>45810</v>
      </c>
      <c r="BV111">
        <v>36592</v>
      </c>
      <c r="BW111" s="116"/>
      <c r="BX111" t="s">
        <v>173</v>
      </c>
      <c r="BY111" t="s">
        <v>173</v>
      </c>
      <c r="CB111" t="s">
        <v>173</v>
      </c>
      <c r="CC111" t="s">
        <v>173</v>
      </c>
      <c r="CD111" t="s">
        <v>392</v>
      </c>
      <c r="CE111" t="s">
        <v>172</v>
      </c>
      <c r="CF111" t="s">
        <v>220</v>
      </c>
      <c r="CG111" t="s">
        <v>172</v>
      </c>
      <c r="CH111" t="s">
        <v>224</v>
      </c>
      <c r="CI111" t="s">
        <v>172</v>
      </c>
      <c r="CJ111" t="s">
        <v>390</v>
      </c>
      <c r="DJ111" t="s">
        <v>201</v>
      </c>
      <c r="DK111" t="s">
        <v>202</v>
      </c>
      <c r="DN111" t="s">
        <v>173</v>
      </c>
      <c r="DO111" t="s">
        <v>203</v>
      </c>
      <c r="DP111" t="s">
        <v>172</v>
      </c>
      <c r="DQ111" t="s">
        <v>204</v>
      </c>
      <c r="DY111">
        <v>31.7</v>
      </c>
      <c r="EA111" s="117"/>
      <c r="EB111">
        <v>5</v>
      </c>
      <c r="EC111">
        <v>5</v>
      </c>
      <c r="EE111" t="s">
        <v>393</v>
      </c>
      <c r="EF111">
        <v>5</v>
      </c>
      <c r="EV111">
        <v>4500</v>
      </c>
      <c r="EW111">
        <v>425</v>
      </c>
      <c r="EX111">
        <v>305</v>
      </c>
      <c r="EY111">
        <v>371</v>
      </c>
    </row>
    <row r="112" spans="1:155" x14ac:dyDescent="0.35">
      <c r="A112">
        <v>2026</v>
      </c>
      <c r="B112" t="s">
        <v>211</v>
      </c>
      <c r="C112" s="112" t="s">
        <v>388</v>
      </c>
      <c r="D112" t="s">
        <v>395</v>
      </c>
      <c r="E112" t="s">
        <v>214</v>
      </c>
      <c r="F112">
        <v>313</v>
      </c>
      <c r="G112" s="113">
        <v>2</v>
      </c>
      <c r="H112">
        <v>4</v>
      </c>
      <c r="I112" t="s">
        <v>195</v>
      </c>
      <c r="J112">
        <v>21</v>
      </c>
      <c r="K112">
        <v>31</v>
      </c>
      <c r="L112">
        <v>25</v>
      </c>
      <c r="M112">
        <v>27.3</v>
      </c>
      <c r="N112">
        <v>45.9</v>
      </c>
      <c r="O112">
        <v>33.388500000000001</v>
      </c>
      <c r="P112">
        <v>21.465900000000001</v>
      </c>
      <c r="Q112">
        <v>31</v>
      </c>
      <c r="R112">
        <v>25.157800000000002</v>
      </c>
      <c r="T112" t="s">
        <v>168</v>
      </c>
      <c r="U112" t="s">
        <v>169</v>
      </c>
      <c r="V112" t="s">
        <v>196</v>
      </c>
      <c r="W112" t="s">
        <v>197</v>
      </c>
      <c r="Y112">
        <v>8</v>
      </c>
      <c r="Z112" t="s">
        <v>172</v>
      </c>
      <c r="AA112" t="s">
        <v>173</v>
      </c>
      <c r="AB112" t="s">
        <v>170</v>
      </c>
      <c r="AC112" t="s">
        <v>232</v>
      </c>
      <c r="AD112">
        <v>10</v>
      </c>
      <c r="AG112" t="s">
        <v>216</v>
      </c>
      <c r="AH112" t="s">
        <v>217</v>
      </c>
      <c r="AI112" t="s">
        <v>178</v>
      </c>
      <c r="AJ112" t="s">
        <v>179</v>
      </c>
      <c r="AK112" t="s">
        <v>173</v>
      </c>
      <c r="AL112" t="s">
        <v>180</v>
      </c>
      <c r="AO112">
        <v>90</v>
      </c>
      <c r="AP112">
        <v>11</v>
      </c>
      <c r="AS112">
        <v>2500</v>
      </c>
      <c r="AT112">
        <v>2500</v>
      </c>
      <c r="BN112" s="114" t="s">
        <v>198</v>
      </c>
      <c r="BO112">
        <v>2</v>
      </c>
      <c r="BP112">
        <v>2</v>
      </c>
      <c r="BQ112">
        <v>4</v>
      </c>
      <c r="BR112" t="s">
        <v>373</v>
      </c>
      <c r="BS112" t="s">
        <v>182</v>
      </c>
      <c r="BT112" t="s">
        <v>183</v>
      </c>
      <c r="BU112" s="115">
        <v>45810</v>
      </c>
      <c r="BV112">
        <v>36602</v>
      </c>
      <c r="BW112" s="116"/>
      <c r="BX112" t="s">
        <v>173</v>
      </c>
      <c r="BY112" t="s">
        <v>173</v>
      </c>
      <c r="CB112" t="s">
        <v>173</v>
      </c>
      <c r="CC112" t="s">
        <v>173</v>
      </c>
      <c r="CE112" t="s">
        <v>172</v>
      </c>
      <c r="CF112" t="s">
        <v>220</v>
      </c>
      <c r="CG112" t="s">
        <v>172</v>
      </c>
      <c r="CH112" t="s">
        <v>224</v>
      </c>
      <c r="CI112" t="s">
        <v>172</v>
      </c>
      <c r="CJ112" t="s">
        <v>390</v>
      </c>
      <c r="DJ112" t="s">
        <v>201</v>
      </c>
      <c r="DK112" t="s">
        <v>202</v>
      </c>
      <c r="DN112" t="s">
        <v>173</v>
      </c>
      <c r="DO112" t="s">
        <v>203</v>
      </c>
      <c r="DP112" t="s">
        <v>172</v>
      </c>
      <c r="DQ112" t="s">
        <v>204</v>
      </c>
      <c r="DY112">
        <v>33.6</v>
      </c>
      <c r="EA112" s="117"/>
      <c r="EB112">
        <v>5</v>
      </c>
      <c r="EC112">
        <v>5</v>
      </c>
      <c r="EE112" t="s">
        <v>391</v>
      </c>
      <c r="EF112">
        <v>6</v>
      </c>
      <c r="EV112">
        <v>4000</v>
      </c>
      <c r="EW112">
        <v>415</v>
      </c>
      <c r="EX112">
        <v>287</v>
      </c>
      <c r="EY112">
        <v>357</v>
      </c>
    </row>
    <row r="113" spans="1:155" x14ac:dyDescent="0.35">
      <c r="A113">
        <v>2026</v>
      </c>
      <c r="B113" t="s">
        <v>211</v>
      </c>
      <c r="C113" s="112" t="s">
        <v>388</v>
      </c>
      <c r="D113" t="s">
        <v>396</v>
      </c>
      <c r="E113" t="s">
        <v>214</v>
      </c>
      <c r="F113">
        <v>301</v>
      </c>
      <c r="G113" s="113">
        <v>2.7</v>
      </c>
      <c r="H113">
        <v>4</v>
      </c>
      <c r="I113" t="s">
        <v>246</v>
      </c>
      <c r="J113">
        <v>20</v>
      </c>
      <c r="K113">
        <v>29</v>
      </c>
      <c r="L113">
        <v>23</v>
      </c>
      <c r="M113">
        <v>25.2987</v>
      </c>
      <c r="N113">
        <v>40.787700000000001</v>
      </c>
      <c r="O113">
        <v>30.512899999999998</v>
      </c>
      <c r="P113">
        <v>20.0212</v>
      </c>
      <c r="Q113">
        <v>28.629899999999999</v>
      </c>
      <c r="R113">
        <v>23.154199999999999</v>
      </c>
      <c r="T113" t="s">
        <v>168</v>
      </c>
      <c r="U113" t="s">
        <v>169</v>
      </c>
      <c r="V113" t="s">
        <v>196</v>
      </c>
      <c r="W113" t="s">
        <v>197</v>
      </c>
      <c r="Y113">
        <v>10</v>
      </c>
      <c r="Z113" t="s">
        <v>172</v>
      </c>
      <c r="AA113" t="s">
        <v>173</v>
      </c>
      <c r="AB113" t="s">
        <v>174</v>
      </c>
      <c r="AC113" t="s">
        <v>175</v>
      </c>
      <c r="AD113">
        <v>10</v>
      </c>
      <c r="AG113" t="s">
        <v>216</v>
      </c>
      <c r="AH113" t="s">
        <v>217</v>
      </c>
      <c r="AI113" t="s">
        <v>178</v>
      </c>
      <c r="AJ113" t="s">
        <v>179</v>
      </c>
      <c r="AK113" t="s">
        <v>173</v>
      </c>
      <c r="AL113" t="s">
        <v>180</v>
      </c>
      <c r="AO113">
        <v>90</v>
      </c>
      <c r="AP113">
        <v>11</v>
      </c>
      <c r="AS113">
        <v>2700</v>
      </c>
      <c r="AT113">
        <v>2700</v>
      </c>
      <c r="BN113" s="114" t="s">
        <v>198</v>
      </c>
      <c r="BO113">
        <v>2</v>
      </c>
      <c r="BP113">
        <v>2</v>
      </c>
      <c r="BQ113">
        <v>4</v>
      </c>
      <c r="BR113" t="s">
        <v>373</v>
      </c>
      <c r="BS113" t="s">
        <v>182</v>
      </c>
      <c r="BT113" t="s">
        <v>183</v>
      </c>
      <c r="BU113" s="115">
        <v>45810</v>
      </c>
      <c r="BV113">
        <v>36594</v>
      </c>
      <c r="BW113" s="116"/>
      <c r="BX113" t="s">
        <v>173</v>
      </c>
      <c r="BY113" t="s">
        <v>173</v>
      </c>
      <c r="CB113" t="s">
        <v>173</v>
      </c>
      <c r="CC113" t="s">
        <v>173</v>
      </c>
      <c r="CD113" t="s">
        <v>392</v>
      </c>
      <c r="CE113" t="s">
        <v>172</v>
      </c>
      <c r="CF113" t="s">
        <v>220</v>
      </c>
      <c r="CG113" t="s">
        <v>172</v>
      </c>
      <c r="CH113" t="s">
        <v>224</v>
      </c>
      <c r="CI113" t="s">
        <v>172</v>
      </c>
      <c r="CJ113" t="s">
        <v>390</v>
      </c>
      <c r="DJ113" t="s">
        <v>201</v>
      </c>
      <c r="DK113" t="s">
        <v>202</v>
      </c>
      <c r="DN113" t="s">
        <v>173</v>
      </c>
      <c r="DO113" t="s">
        <v>203</v>
      </c>
      <c r="DP113" t="s">
        <v>172</v>
      </c>
      <c r="DQ113" t="s">
        <v>204</v>
      </c>
      <c r="DY113">
        <v>30.7</v>
      </c>
      <c r="EA113" s="117"/>
      <c r="EB113">
        <v>5</v>
      </c>
      <c r="EC113">
        <v>5</v>
      </c>
      <c r="EE113" t="s">
        <v>393</v>
      </c>
      <c r="EF113">
        <v>5</v>
      </c>
      <c r="EV113">
        <v>5000</v>
      </c>
      <c r="EW113">
        <v>443</v>
      </c>
      <c r="EX113">
        <v>309</v>
      </c>
      <c r="EY113">
        <v>383</v>
      </c>
    </row>
    <row r="114" spans="1:155" x14ac:dyDescent="0.35">
      <c r="A114">
        <v>2026</v>
      </c>
      <c r="B114" t="s">
        <v>211</v>
      </c>
      <c r="C114" s="112" t="s">
        <v>388</v>
      </c>
      <c r="D114" t="s">
        <v>396</v>
      </c>
      <c r="E114" t="s">
        <v>214</v>
      </c>
      <c r="F114">
        <v>308</v>
      </c>
      <c r="G114" s="113">
        <v>3.6</v>
      </c>
      <c r="H114">
        <v>6</v>
      </c>
      <c r="I114" t="s">
        <v>246</v>
      </c>
      <c r="J114">
        <v>16</v>
      </c>
      <c r="K114">
        <v>24</v>
      </c>
      <c r="L114">
        <v>19</v>
      </c>
      <c r="M114">
        <v>19.399999999999999</v>
      </c>
      <c r="N114">
        <v>33.9</v>
      </c>
      <c r="O114">
        <v>24.024100000000001</v>
      </c>
      <c r="P114">
        <v>15.651899999999999</v>
      </c>
      <c r="Q114">
        <v>24.168099999999999</v>
      </c>
      <c r="R114">
        <v>18.601500000000001</v>
      </c>
      <c r="T114" t="s">
        <v>168</v>
      </c>
      <c r="U114" t="s">
        <v>169</v>
      </c>
      <c r="V114" t="s">
        <v>196</v>
      </c>
      <c r="W114" t="s">
        <v>197</v>
      </c>
      <c r="Y114">
        <v>10</v>
      </c>
      <c r="Z114" t="s">
        <v>172</v>
      </c>
      <c r="AA114" t="s">
        <v>173</v>
      </c>
      <c r="AB114" t="s">
        <v>174</v>
      </c>
      <c r="AC114" t="s">
        <v>175</v>
      </c>
      <c r="AD114">
        <v>10</v>
      </c>
      <c r="AG114" t="s">
        <v>216</v>
      </c>
      <c r="AH114" t="s">
        <v>217</v>
      </c>
      <c r="AI114" t="s">
        <v>178</v>
      </c>
      <c r="AJ114" t="s">
        <v>179</v>
      </c>
      <c r="AK114" t="s">
        <v>173</v>
      </c>
      <c r="AL114" t="s">
        <v>180</v>
      </c>
      <c r="AO114">
        <v>90</v>
      </c>
      <c r="AP114">
        <v>11</v>
      </c>
      <c r="AS114">
        <v>3300</v>
      </c>
      <c r="AT114">
        <v>3300</v>
      </c>
      <c r="BN114" s="114" t="s">
        <v>198</v>
      </c>
      <c r="BO114">
        <v>2</v>
      </c>
      <c r="BP114">
        <v>2</v>
      </c>
      <c r="BQ114">
        <v>4</v>
      </c>
      <c r="BR114" t="s">
        <v>373</v>
      </c>
      <c r="BS114" t="s">
        <v>182</v>
      </c>
      <c r="BT114" t="s">
        <v>183</v>
      </c>
      <c r="BU114" s="115">
        <v>45810</v>
      </c>
      <c r="BV114">
        <v>36587</v>
      </c>
      <c r="BW114" s="116"/>
      <c r="BX114" t="s">
        <v>173</v>
      </c>
      <c r="BY114" t="s">
        <v>173</v>
      </c>
      <c r="CB114" t="s">
        <v>173</v>
      </c>
      <c r="CC114" t="s">
        <v>173</v>
      </c>
      <c r="CE114" t="s">
        <v>173</v>
      </c>
      <c r="CG114" t="s">
        <v>172</v>
      </c>
      <c r="CH114" t="s">
        <v>397</v>
      </c>
      <c r="CI114" t="s">
        <v>173</v>
      </c>
      <c r="DJ114" t="s">
        <v>201</v>
      </c>
      <c r="DK114" t="s">
        <v>202</v>
      </c>
      <c r="DN114" t="s">
        <v>173</v>
      </c>
      <c r="DO114" t="s">
        <v>347</v>
      </c>
      <c r="DP114" t="s">
        <v>173</v>
      </c>
      <c r="DQ114" t="s">
        <v>189</v>
      </c>
      <c r="DY114">
        <v>24.2</v>
      </c>
      <c r="EA114" s="117"/>
      <c r="EB114">
        <v>4</v>
      </c>
      <c r="EC114">
        <v>4</v>
      </c>
      <c r="EE114" t="s">
        <v>398</v>
      </c>
      <c r="EF114">
        <v>4</v>
      </c>
      <c r="EV114">
        <v>8000</v>
      </c>
      <c r="EW114">
        <v>568</v>
      </c>
      <c r="EX114">
        <v>368</v>
      </c>
      <c r="EY114">
        <v>478</v>
      </c>
    </row>
    <row r="115" spans="1:155" x14ac:dyDescent="0.35">
      <c r="A115">
        <v>2026</v>
      </c>
      <c r="B115" t="s">
        <v>211</v>
      </c>
      <c r="C115" s="112" t="s">
        <v>388</v>
      </c>
      <c r="D115" t="s">
        <v>396</v>
      </c>
      <c r="E115" t="s">
        <v>214</v>
      </c>
      <c r="F115">
        <v>309</v>
      </c>
      <c r="G115" s="113">
        <v>3.6</v>
      </c>
      <c r="H115">
        <v>6</v>
      </c>
      <c r="I115" t="s">
        <v>206</v>
      </c>
      <c r="J115">
        <v>15</v>
      </c>
      <c r="K115">
        <v>23</v>
      </c>
      <c r="L115">
        <v>18</v>
      </c>
      <c r="M115">
        <v>18.710699999999999</v>
      </c>
      <c r="N115">
        <v>30.3733</v>
      </c>
      <c r="O115">
        <v>22.619</v>
      </c>
      <c r="P115">
        <v>15</v>
      </c>
      <c r="Q115">
        <v>22.952300000000001</v>
      </c>
      <c r="R115">
        <v>18.298300000000001</v>
      </c>
      <c r="T115" t="s">
        <v>168</v>
      </c>
      <c r="U115" t="s">
        <v>169</v>
      </c>
      <c r="V115" t="s">
        <v>207</v>
      </c>
      <c r="W115" t="s">
        <v>208</v>
      </c>
      <c r="Y115">
        <v>6</v>
      </c>
      <c r="Z115" t="s">
        <v>173</v>
      </c>
      <c r="AA115" t="s">
        <v>173</v>
      </c>
      <c r="AB115" t="s">
        <v>174</v>
      </c>
      <c r="AC115" t="s">
        <v>175</v>
      </c>
      <c r="AD115">
        <v>10</v>
      </c>
      <c r="AG115" t="s">
        <v>216</v>
      </c>
      <c r="AH115" t="s">
        <v>217</v>
      </c>
      <c r="AI115" t="s">
        <v>178</v>
      </c>
      <c r="AJ115" t="s">
        <v>179</v>
      </c>
      <c r="AK115" t="s">
        <v>173</v>
      </c>
      <c r="AL115" t="s">
        <v>180</v>
      </c>
      <c r="AO115">
        <v>90</v>
      </c>
      <c r="AP115">
        <v>11</v>
      </c>
      <c r="AS115">
        <v>3450</v>
      </c>
      <c r="AT115">
        <v>3450</v>
      </c>
      <c r="BN115" s="114" t="s">
        <v>198</v>
      </c>
      <c r="BO115">
        <v>2</v>
      </c>
      <c r="BP115">
        <v>2</v>
      </c>
      <c r="BQ115">
        <v>4</v>
      </c>
      <c r="BR115" t="s">
        <v>373</v>
      </c>
      <c r="BS115" t="s">
        <v>182</v>
      </c>
      <c r="BT115" t="s">
        <v>218</v>
      </c>
      <c r="BU115" s="115">
        <v>45810</v>
      </c>
      <c r="BV115">
        <v>36585</v>
      </c>
      <c r="BW115" s="116"/>
      <c r="BX115" t="s">
        <v>173</v>
      </c>
      <c r="BY115" t="s">
        <v>173</v>
      </c>
      <c r="CB115" t="s">
        <v>173</v>
      </c>
      <c r="CC115" t="s">
        <v>173</v>
      </c>
      <c r="CE115" t="s">
        <v>173</v>
      </c>
      <c r="CG115" t="s">
        <v>172</v>
      </c>
      <c r="CH115" t="s">
        <v>397</v>
      </c>
      <c r="CI115" t="s">
        <v>173</v>
      </c>
      <c r="DJ115" t="s">
        <v>201</v>
      </c>
      <c r="DK115" t="s">
        <v>202</v>
      </c>
      <c r="DN115" t="s">
        <v>173</v>
      </c>
      <c r="DO115" t="s">
        <v>347</v>
      </c>
      <c r="DP115" t="s">
        <v>173</v>
      </c>
      <c r="DQ115" t="s">
        <v>189</v>
      </c>
      <c r="DY115">
        <v>22.8</v>
      </c>
      <c r="EA115" s="117"/>
      <c r="EB115">
        <v>3</v>
      </c>
      <c r="EC115">
        <v>3</v>
      </c>
      <c r="EE115" t="s">
        <v>398</v>
      </c>
      <c r="EF115">
        <v>4</v>
      </c>
      <c r="EV115">
        <v>8750</v>
      </c>
      <c r="EW115">
        <v>591</v>
      </c>
      <c r="EX115">
        <v>387</v>
      </c>
      <c r="EY115">
        <v>493</v>
      </c>
    </row>
    <row r="116" spans="1:155" x14ac:dyDescent="0.35">
      <c r="A116">
        <v>2026</v>
      </c>
      <c r="B116" t="s">
        <v>211</v>
      </c>
      <c r="C116" s="112" t="s">
        <v>388</v>
      </c>
      <c r="D116" t="s">
        <v>399</v>
      </c>
      <c r="E116" t="s">
        <v>214</v>
      </c>
      <c r="F116">
        <v>303</v>
      </c>
      <c r="G116" s="113">
        <v>2.7</v>
      </c>
      <c r="H116">
        <v>4</v>
      </c>
      <c r="I116" t="s">
        <v>246</v>
      </c>
      <c r="J116">
        <v>20</v>
      </c>
      <c r="K116">
        <v>28</v>
      </c>
      <c r="L116">
        <v>23</v>
      </c>
      <c r="M116">
        <v>26</v>
      </c>
      <c r="N116">
        <v>40.6</v>
      </c>
      <c r="O116">
        <v>31.0197</v>
      </c>
      <c r="P116">
        <v>20</v>
      </c>
      <c r="Q116">
        <v>28</v>
      </c>
      <c r="R116">
        <v>23.488299999999999</v>
      </c>
      <c r="T116" t="s">
        <v>168</v>
      </c>
      <c r="U116" t="s">
        <v>169</v>
      </c>
      <c r="V116" t="s">
        <v>196</v>
      </c>
      <c r="W116" t="s">
        <v>197</v>
      </c>
      <c r="Y116">
        <v>10</v>
      </c>
      <c r="Z116" t="s">
        <v>172</v>
      </c>
      <c r="AA116" t="s">
        <v>173</v>
      </c>
      <c r="AB116" t="s">
        <v>170</v>
      </c>
      <c r="AC116" t="s">
        <v>232</v>
      </c>
      <c r="AD116">
        <v>10</v>
      </c>
      <c r="AG116" t="s">
        <v>216</v>
      </c>
      <c r="AH116" t="s">
        <v>217</v>
      </c>
      <c r="AI116" t="s">
        <v>178</v>
      </c>
      <c r="AJ116" t="s">
        <v>179</v>
      </c>
      <c r="AK116" t="s">
        <v>173</v>
      </c>
      <c r="AL116" t="s">
        <v>180</v>
      </c>
      <c r="AO116">
        <v>90</v>
      </c>
      <c r="AP116">
        <v>11</v>
      </c>
      <c r="AS116">
        <v>2700</v>
      </c>
      <c r="AT116">
        <v>2700</v>
      </c>
      <c r="BN116" s="114" t="s">
        <v>198</v>
      </c>
      <c r="BO116">
        <v>2</v>
      </c>
      <c r="BP116">
        <v>2</v>
      </c>
      <c r="BQ116">
        <v>4</v>
      </c>
      <c r="BR116" t="s">
        <v>373</v>
      </c>
      <c r="BS116" t="s">
        <v>182</v>
      </c>
      <c r="BT116" t="s">
        <v>183</v>
      </c>
      <c r="BU116" s="115">
        <v>45810</v>
      </c>
      <c r="BV116">
        <v>36593</v>
      </c>
      <c r="BW116" s="116"/>
      <c r="BX116" t="s">
        <v>173</v>
      </c>
      <c r="BY116" t="s">
        <v>173</v>
      </c>
      <c r="CB116" t="s">
        <v>173</v>
      </c>
      <c r="CC116" t="s">
        <v>173</v>
      </c>
      <c r="CD116" t="s">
        <v>392</v>
      </c>
      <c r="CE116" t="s">
        <v>172</v>
      </c>
      <c r="CF116" t="s">
        <v>220</v>
      </c>
      <c r="CG116" t="s">
        <v>172</v>
      </c>
      <c r="CH116" t="s">
        <v>224</v>
      </c>
      <c r="CI116" t="s">
        <v>172</v>
      </c>
      <c r="CJ116" t="s">
        <v>390</v>
      </c>
      <c r="DJ116" t="s">
        <v>201</v>
      </c>
      <c r="DK116" t="s">
        <v>202</v>
      </c>
      <c r="DN116" t="s">
        <v>173</v>
      </c>
      <c r="DO116" t="s">
        <v>203</v>
      </c>
      <c r="DP116" t="s">
        <v>172</v>
      </c>
      <c r="DQ116" t="s">
        <v>204</v>
      </c>
      <c r="DY116">
        <v>31.2</v>
      </c>
      <c r="EA116" s="117"/>
      <c r="EB116">
        <v>5</v>
      </c>
      <c r="EC116">
        <v>5</v>
      </c>
      <c r="EE116" t="s">
        <v>393</v>
      </c>
      <c r="EF116">
        <v>5</v>
      </c>
      <c r="EV116">
        <v>5000</v>
      </c>
      <c r="EW116">
        <v>445</v>
      </c>
      <c r="EX116">
        <v>318</v>
      </c>
      <c r="EY116">
        <v>387</v>
      </c>
    </row>
    <row r="117" spans="1:155" x14ac:dyDescent="0.35">
      <c r="A117">
        <v>2026</v>
      </c>
      <c r="B117" t="s">
        <v>2112</v>
      </c>
      <c r="C117" s="112" t="s">
        <v>2113</v>
      </c>
      <c r="D117" t="s">
        <v>2126</v>
      </c>
      <c r="E117" t="s">
        <v>2115</v>
      </c>
      <c r="F117">
        <v>175</v>
      </c>
      <c r="G117" s="113">
        <v>6.5</v>
      </c>
      <c r="H117">
        <v>12</v>
      </c>
      <c r="I117" t="s">
        <v>428</v>
      </c>
      <c r="J117">
        <v>11</v>
      </c>
      <c r="K117">
        <v>15</v>
      </c>
      <c r="L117">
        <v>12</v>
      </c>
      <c r="M117">
        <v>12.975199999999999</v>
      </c>
      <c r="N117">
        <v>20.997299999999999</v>
      </c>
      <c r="O117">
        <v>15.6691</v>
      </c>
      <c r="P117">
        <v>10.6952</v>
      </c>
      <c r="Q117">
        <v>15.4222</v>
      </c>
      <c r="R117">
        <v>12.4064</v>
      </c>
      <c r="S117" t="s">
        <v>167</v>
      </c>
      <c r="U117" t="s">
        <v>215</v>
      </c>
      <c r="V117" t="s">
        <v>429</v>
      </c>
      <c r="W117" t="s">
        <v>430</v>
      </c>
      <c r="Y117">
        <v>8</v>
      </c>
      <c r="Z117" t="s">
        <v>173</v>
      </c>
      <c r="AA117" t="s">
        <v>173</v>
      </c>
      <c r="AB117" t="s">
        <v>170</v>
      </c>
      <c r="AC117" t="s">
        <v>232</v>
      </c>
      <c r="AD117">
        <v>10</v>
      </c>
      <c r="AG117" t="s">
        <v>216</v>
      </c>
      <c r="AH117" t="s">
        <v>217</v>
      </c>
      <c r="AI117" t="s">
        <v>178</v>
      </c>
      <c r="AJ117" t="s">
        <v>179</v>
      </c>
      <c r="AK117" t="s">
        <v>173</v>
      </c>
      <c r="AL117" t="s">
        <v>180</v>
      </c>
      <c r="AQ117">
        <v>97</v>
      </c>
      <c r="AR117">
        <v>9</v>
      </c>
      <c r="AS117">
        <v>5200</v>
      </c>
      <c r="AT117">
        <v>5200</v>
      </c>
      <c r="BN117" s="114" t="s">
        <v>198</v>
      </c>
      <c r="BO117">
        <v>2</v>
      </c>
      <c r="BP117">
        <v>2</v>
      </c>
      <c r="BQ117">
        <v>4</v>
      </c>
      <c r="BR117" t="s">
        <v>373</v>
      </c>
      <c r="BS117" t="s">
        <v>182</v>
      </c>
      <c r="BT117" t="s">
        <v>183</v>
      </c>
      <c r="BU117" s="115">
        <v>45930</v>
      </c>
      <c r="BV117">
        <v>37588</v>
      </c>
      <c r="BW117" s="116"/>
      <c r="BX117" t="s">
        <v>172</v>
      </c>
      <c r="BY117" t="s">
        <v>173</v>
      </c>
      <c r="CB117" t="s">
        <v>173</v>
      </c>
      <c r="CC117" t="s">
        <v>173</v>
      </c>
      <c r="CE117" t="s">
        <v>173</v>
      </c>
      <c r="CF117" t="s">
        <v>2117</v>
      </c>
      <c r="CG117" t="s">
        <v>172</v>
      </c>
      <c r="CH117" t="s">
        <v>2118</v>
      </c>
      <c r="CI117" t="s">
        <v>173</v>
      </c>
      <c r="CJ117" t="s">
        <v>2117</v>
      </c>
      <c r="DJ117" t="s">
        <v>201</v>
      </c>
      <c r="DK117" t="s">
        <v>202</v>
      </c>
      <c r="DL117" t="s">
        <v>173</v>
      </c>
      <c r="DN117" t="s">
        <v>173</v>
      </c>
      <c r="DO117" t="s">
        <v>2119</v>
      </c>
      <c r="DP117" t="s">
        <v>172</v>
      </c>
      <c r="DQ117" t="s">
        <v>204</v>
      </c>
      <c r="DR117" t="s">
        <v>2127</v>
      </c>
      <c r="DY117">
        <v>15.8</v>
      </c>
      <c r="EA117" s="117"/>
      <c r="EB117">
        <v>1</v>
      </c>
      <c r="EC117">
        <v>1</v>
      </c>
      <c r="EE117" t="s">
        <v>2120</v>
      </c>
      <c r="EF117">
        <v>5</v>
      </c>
      <c r="EV117">
        <v>17500</v>
      </c>
      <c r="EW117">
        <v>825</v>
      </c>
      <c r="EX117">
        <v>573</v>
      </c>
      <c r="EY117">
        <v>711</v>
      </c>
    </row>
    <row r="118" spans="1:155" x14ac:dyDescent="0.35">
      <c r="A118">
        <v>2026</v>
      </c>
      <c r="B118" t="s">
        <v>400</v>
      </c>
      <c r="C118" s="112" t="s">
        <v>401</v>
      </c>
      <c r="D118" t="s">
        <v>402</v>
      </c>
      <c r="E118" t="s">
        <v>403</v>
      </c>
      <c r="F118">
        <v>6</v>
      </c>
      <c r="G118" s="113">
        <v>3.3</v>
      </c>
      <c r="H118">
        <v>6</v>
      </c>
      <c r="I118" t="s">
        <v>195</v>
      </c>
      <c r="J118">
        <v>17</v>
      </c>
      <c r="K118">
        <v>23</v>
      </c>
      <c r="L118">
        <v>19</v>
      </c>
      <c r="M118">
        <v>19.774699999999999</v>
      </c>
      <c r="N118">
        <v>30.8904</v>
      </c>
      <c r="O118">
        <v>23.595500000000001</v>
      </c>
      <c r="P118">
        <v>16.756599999999999</v>
      </c>
      <c r="Q118">
        <v>22.891100000000002</v>
      </c>
      <c r="R118">
        <v>19.054400000000001</v>
      </c>
      <c r="T118" t="s">
        <v>168</v>
      </c>
      <c r="U118" t="s">
        <v>169</v>
      </c>
      <c r="V118" t="s">
        <v>196</v>
      </c>
      <c r="W118" t="s">
        <v>197</v>
      </c>
      <c r="Y118">
        <v>8</v>
      </c>
      <c r="Z118" t="s">
        <v>172</v>
      </c>
      <c r="AA118" t="s">
        <v>173</v>
      </c>
      <c r="AB118" t="s">
        <v>170</v>
      </c>
      <c r="AC118" t="s">
        <v>232</v>
      </c>
      <c r="AD118">
        <v>15</v>
      </c>
      <c r="AG118" t="s">
        <v>176</v>
      </c>
      <c r="AH118" t="s">
        <v>177</v>
      </c>
      <c r="AI118" t="s">
        <v>178</v>
      </c>
      <c r="AJ118" t="s">
        <v>179</v>
      </c>
      <c r="AK118" t="s">
        <v>173</v>
      </c>
      <c r="AL118" t="s">
        <v>180</v>
      </c>
      <c r="AO118">
        <v>94</v>
      </c>
      <c r="AP118">
        <v>10</v>
      </c>
      <c r="AS118">
        <v>3300</v>
      </c>
      <c r="AT118">
        <v>3300</v>
      </c>
      <c r="BN118" s="114" t="s">
        <v>198</v>
      </c>
      <c r="BO118">
        <v>2</v>
      </c>
      <c r="BP118">
        <v>2</v>
      </c>
      <c r="BQ118">
        <v>4</v>
      </c>
      <c r="BR118" t="s">
        <v>373</v>
      </c>
      <c r="BS118" t="s">
        <v>182</v>
      </c>
      <c r="BT118" t="s">
        <v>218</v>
      </c>
      <c r="BU118" s="115">
        <v>45719</v>
      </c>
      <c r="BV118">
        <v>36324</v>
      </c>
      <c r="BW118" s="116"/>
      <c r="BX118" t="s">
        <v>173</v>
      </c>
      <c r="BY118" t="s">
        <v>173</v>
      </c>
      <c r="CB118" t="s">
        <v>173</v>
      </c>
      <c r="CC118" t="s">
        <v>173</v>
      </c>
      <c r="CD118" t="s">
        <v>407</v>
      </c>
      <c r="CE118" t="s">
        <v>173</v>
      </c>
      <c r="CG118" t="s">
        <v>172</v>
      </c>
      <c r="CH118" t="s">
        <v>408</v>
      </c>
      <c r="CI118" t="s">
        <v>173</v>
      </c>
      <c r="DJ118" t="s">
        <v>201</v>
      </c>
      <c r="DK118" t="s">
        <v>202</v>
      </c>
      <c r="DN118" t="s">
        <v>173</v>
      </c>
      <c r="DO118" t="s">
        <v>409</v>
      </c>
      <c r="DP118" t="s">
        <v>173</v>
      </c>
      <c r="DQ118" t="s">
        <v>189</v>
      </c>
      <c r="DY118">
        <v>23.8</v>
      </c>
      <c r="EA118" s="117"/>
      <c r="EB118">
        <v>4</v>
      </c>
      <c r="EC118">
        <v>4</v>
      </c>
      <c r="EE118" t="s">
        <v>410</v>
      </c>
      <c r="EF118">
        <v>4</v>
      </c>
      <c r="EV118">
        <v>8000</v>
      </c>
      <c r="EW118">
        <v>528</v>
      </c>
      <c r="EX118">
        <v>389</v>
      </c>
      <c r="EY118">
        <v>466</v>
      </c>
    </row>
    <row r="119" spans="1:155" x14ac:dyDescent="0.35">
      <c r="A119">
        <v>2026</v>
      </c>
      <c r="B119" t="s">
        <v>400</v>
      </c>
      <c r="C119" s="112" t="s">
        <v>401</v>
      </c>
      <c r="D119" t="s">
        <v>402</v>
      </c>
      <c r="E119" t="s">
        <v>403</v>
      </c>
      <c r="F119">
        <v>8</v>
      </c>
      <c r="G119" s="113">
        <v>2.5</v>
      </c>
      <c r="H119">
        <v>4</v>
      </c>
      <c r="I119" t="s">
        <v>195</v>
      </c>
      <c r="J119">
        <v>20</v>
      </c>
      <c r="K119">
        <v>28</v>
      </c>
      <c r="L119">
        <v>23</v>
      </c>
      <c r="M119">
        <v>24.764700000000001</v>
      </c>
      <c r="N119">
        <v>37.594999999999999</v>
      </c>
      <c r="O119">
        <v>29.257999999999999</v>
      </c>
      <c r="P119">
        <v>20.156099999999999</v>
      </c>
      <c r="Q119">
        <v>27.866</v>
      </c>
      <c r="R119">
        <v>23.022500000000001</v>
      </c>
      <c r="T119" t="s">
        <v>168</v>
      </c>
      <c r="U119" t="s">
        <v>169</v>
      </c>
      <c r="V119" t="s">
        <v>196</v>
      </c>
      <c r="W119" t="s">
        <v>197</v>
      </c>
      <c r="Y119">
        <v>8</v>
      </c>
      <c r="Z119" t="s">
        <v>172</v>
      </c>
      <c r="AA119" t="s">
        <v>173</v>
      </c>
      <c r="AB119" t="s">
        <v>170</v>
      </c>
      <c r="AC119" t="s">
        <v>232</v>
      </c>
      <c r="AD119">
        <v>15</v>
      </c>
      <c r="AG119" t="s">
        <v>176</v>
      </c>
      <c r="AH119" t="s">
        <v>177</v>
      </c>
      <c r="AI119" t="s">
        <v>178</v>
      </c>
      <c r="AJ119" t="s">
        <v>179</v>
      </c>
      <c r="AK119" t="s">
        <v>173</v>
      </c>
      <c r="AL119" t="s">
        <v>180</v>
      </c>
      <c r="AO119">
        <v>94</v>
      </c>
      <c r="AP119">
        <v>10</v>
      </c>
      <c r="AS119">
        <v>2700</v>
      </c>
      <c r="AT119">
        <v>2700</v>
      </c>
      <c r="BN119" s="114" t="s">
        <v>247</v>
      </c>
      <c r="BO119">
        <v>2</v>
      </c>
      <c r="BP119">
        <v>2</v>
      </c>
      <c r="BQ119">
        <v>4</v>
      </c>
      <c r="BR119" t="s">
        <v>373</v>
      </c>
      <c r="BS119" t="s">
        <v>182</v>
      </c>
      <c r="BT119" t="s">
        <v>218</v>
      </c>
      <c r="BU119" s="115">
        <v>45719</v>
      </c>
      <c r="BV119">
        <v>36322</v>
      </c>
      <c r="BW119" s="116"/>
      <c r="BX119" t="s">
        <v>173</v>
      </c>
      <c r="BY119" t="s">
        <v>173</v>
      </c>
      <c r="CB119" t="s">
        <v>173</v>
      </c>
      <c r="CC119" t="s">
        <v>173</v>
      </c>
      <c r="CE119" t="s">
        <v>173</v>
      </c>
      <c r="CG119" t="s">
        <v>172</v>
      </c>
      <c r="CH119" t="s">
        <v>404</v>
      </c>
      <c r="CI119" t="s">
        <v>173</v>
      </c>
      <c r="DJ119" t="s">
        <v>250</v>
      </c>
      <c r="DK119" t="s">
        <v>251</v>
      </c>
      <c r="DN119" t="s">
        <v>173</v>
      </c>
      <c r="DO119" t="s">
        <v>405</v>
      </c>
      <c r="DP119" t="s">
        <v>173</v>
      </c>
      <c r="DQ119" t="s">
        <v>189</v>
      </c>
      <c r="DY119">
        <v>29.5</v>
      </c>
      <c r="EA119" s="117"/>
      <c r="EB119">
        <v>5</v>
      </c>
      <c r="EC119">
        <v>5</v>
      </c>
      <c r="EE119" t="s">
        <v>406</v>
      </c>
      <c r="EF119">
        <v>5</v>
      </c>
      <c r="EV119">
        <v>5000</v>
      </c>
      <c r="EW119">
        <v>440</v>
      </c>
      <c r="EX119">
        <v>319</v>
      </c>
      <c r="EY119">
        <v>385</v>
      </c>
    </row>
    <row r="120" spans="1:155" x14ac:dyDescent="0.35">
      <c r="A120">
        <v>2026</v>
      </c>
      <c r="B120" t="s">
        <v>400</v>
      </c>
      <c r="C120" s="112" t="s">
        <v>401</v>
      </c>
      <c r="D120" t="s">
        <v>411</v>
      </c>
      <c r="E120" t="s">
        <v>403</v>
      </c>
      <c r="F120">
        <v>7</v>
      </c>
      <c r="G120" s="113">
        <v>3.3</v>
      </c>
      <c r="H120">
        <v>6</v>
      </c>
      <c r="I120" t="s">
        <v>195</v>
      </c>
      <c r="J120">
        <v>17</v>
      </c>
      <c r="K120">
        <v>25</v>
      </c>
      <c r="L120">
        <v>20</v>
      </c>
      <c r="M120">
        <v>20.668399999999998</v>
      </c>
      <c r="N120">
        <v>32.686399999999999</v>
      </c>
      <c r="O120">
        <v>24.765999999999998</v>
      </c>
      <c r="P120">
        <v>16.840199999999999</v>
      </c>
      <c r="Q120">
        <v>25.056899999999999</v>
      </c>
      <c r="R120">
        <v>19.755400000000002</v>
      </c>
      <c r="T120" t="s">
        <v>168</v>
      </c>
      <c r="U120" t="s">
        <v>169</v>
      </c>
      <c r="V120" t="s">
        <v>196</v>
      </c>
      <c r="W120" t="s">
        <v>197</v>
      </c>
      <c r="Y120">
        <v>8</v>
      </c>
      <c r="Z120" t="s">
        <v>172</v>
      </c>
      <c r="AA120" t="s">
        <v>173</v>
      </c>
      <c r="AB120" t="s">
        <v>174</v>
      </c>
      <c r="AC120" t="s">
        <v>175</v>
      </c>
      <c r="AD120">
        <v>15</v>
      </c>
      <c r="AG120" t="s">
        <v>176</v>
      </c>
      <c r="AH120" t="s">
        <v>177</v>
      </c>
      <c r="AI120" t="s">
        <v>178</v>
      </c>
      <c r="AJ120" t="s">
        <v>179</v>
      </c>
      <c r="AK120" t="s">
        <v>173</v>
      </c>
      <c r="AL120" t="s">
        <v>180</v>
      </c>
      <c r="AO120">
        <v>94</v>
      </c>
      <c r="AP120">
        <v>10</v>
      </c>
      <c r="AS120">
        <v>3100</v>
      </c>
      <c r="AT120">
        <v>3100</v>
      </c>
      <c r="BN120" s="114" t="s">
        <v>198</v>
      </c>
      <c r="BO120">
        <v>2</v>
      </c>
      <c r="BP120">
        <v>2</v>
      </c>
      <c r="BQ120">
        <v>4</v>
      </c>
      <c r="BR120" t="s">
        <v>373</v>
      </c>
      <c r="BS120" t="s">
        <v>182</v>
      </c>
      <c r="BT120" t="s">
        <v>218</v>
      </c>
      <c r="BU120" s="115">
        <v>45719</v>
      </c>
      <c r="BV120">
        <v>36325</v>
      </c>
      <c r="BW120" s="116"/>
      <c r="BX120" t="s">
        <v>173</v>
      </c>
      <c r="BY120" t="s">
        <v>173</v>
      </c>
      <c r="CB120" t="s">
        <v>173</v>
      </c>
      <c r="CC120" t="s">
        <v>173</v>
      </c>
      <c r="CD120" t="s">
        <v>407</v>
      </c>
      <c r="CE120" t="s">
        <v>173</v>
      </c>
      <c r="CG120" t="s">
        <v>172</v>
      </c>
      <c r="CH120" t="s">
        <v>408</v>
      </c>
      <c r="CI120" t="s">
        <v>173</v>
      </c>
      <c r="DJ120" t="s">
        <v>201</v>
      </c>
      <c r="DK120" t="s">
        <v>202</v>
      </c>
      <c r="DN120" t="s">
        <v>173</v>
      </c>
      <c r="DO120" t="s">
        <v>409</v>
      </c>
      <c r="DP120" t="s">
        <v>173</v>
      </c>
      <c r="DQ120" t="s">
        <v>189</v>
      </c>
      <c r="DY120">
        <v>24.9</v>
      </c>
      <c r="EA120" s="117"/>
      <c r="EB120">
        <v>4</v>
      </c>
      <c r="EC120">
        <v>4</v>
      </c>
      <c r="EE120" t="s">
        <v>410</v>
      </c>
      <c r="EF120">
        <v>4</v>
      </c>
      <c r="EV120">
        <v>7000</v>
      </c>
      <c r="EW120">
        <v>526</v>
      </c>
      <c r="EX120">
        <v>355</v>
      </c>
      <c r="EY120">
        <v>449</v>
      </c>
    </row>
    <row r="121" spans="1:155" x14ac:dyDescent="0.35">
      <c r="A121">
        <v>2026</v>
      </c>
      <c r="B121" t="s">
        <v>400</v>
      </c>
      <c r="C121" s="112" t="s">
        <v>401</v>
      </c>
      <c r="D121" t="s">
        <v>411</v>
      </c>
      <c r="E121" t="s">
        <v>403</v>
      </c>
      <c r="F121">
        <v>9</v>
      </c>
      <c r="G121" s="113">
        <v>2.5</v>
      </c>
      <c r="H121">
        <v>4</v>
      </c>
      <c r="I121" t="s">
        <v>195</v>
      </c>
      <c r="J121">
        <v>21</v>
      </c>
      <c r="K121">
        <v>29</v>
      </c>
      <c r="L121">
        <v>24</v>
      </c>
      <c r="M121">
        <v>25.375</v>
      </c>
      <c r="N121">
        <v>40.446100000000001</v>
      </c>
      <c r="O121">
        <v>30.487100000000002</v>
      </c>
      <c r="P121">
        <v>20.669899999999998</v>
      </c>
      <c r="Q121">
        <v>29.3306</v>
      </c>
      <c r="R121">
        <v>23.837299999999999</v>
      </c>
      <c r="T121" t="s">
        <v>168</v>
      </c>
      <c r="U121" t="s">
        <v>169</v>
      </c>
      <c r="V121" t="s">
        <v>196</v>
      </c>
      <c r="W121" t="s">
        <v>197</v>
      </c>
      <c r="Y121">
        <v>8</v>
      </c>
      <c r="Z121" t="s">
        <v>172</v>
      </c>
      <c r="AA121" t="s">
        <v>173</v>
      </c>
      <c r="AB121" t="s">
        <v>174</v>
      </c>
      <c r="AC121" t="s">
        <v>175</v>
      </c>
      <c r="AD121">
        <v>15</v>
      </c>
      <c r="AG121" t="s">
        <v>176</v>
      </c>
      <c r="AH121" t="s">
        <v>177</v>
      </c>
      <c r="AI121" t="s">
        <v>178</v>
      </c>
      <c r="AJ121" t="s">
        <v>179</v>
      </c>
      <c r="AK121" t="s">
        <v>173</v>
      </c>
      <c r="AL121" t="s">
        <v>180</v>
      </c>
      <c r="AO121">
        <v>94</v>
      </c>
      <c r="AP121">
        <v>10</v>
      </c>
      <c r="AS121">
        <v>2600</v>
      </c>
      <c r="AT121">
        <v>2600</v>
      </c>
      <c r="BN121" s="114" t="s">
        <v>247</v>
      </c>
      <c r="BO121">
        <v>2</v>
      </c>
      <c r="BP121">
        <v>2</v>
      </c>
      <c r="BQ121">
        <v>4</v>
      </c>
      <c r="BR121" t="s">
        <v>373</v>
      </c>
      <c r="BS121" t="s">
        <v>182</v>
      </c>
      <c r="BT121" t="s">
        <v>218</v>
      </c>
      <c r="BU121" s="115">
        <v>45719</v>
      </c>
      <c r="BV121">
        <v>36323</v>
      </c>
      <c r="BW121" s="116"/>
      <c r="BX121" t="s">
        <v>173</v>
      </c>
      <c r="BY121" t="s">
        <v>173</v>
      </c>
      <c r="CB121" t="s">
        <v>173</v>
      </c>
      <c r="CC121" t="s">
        <v>173</v>
      </c>
      <c r="CE121" t="s">
        <v>173</v>
      </c>
      <c r="CG121" t="s">
        <v>172</v>
      </c>
      <c r="CH121" t="s">
        <v>404</v>
      </c>
      <c r="CI121" t="s">
        <v>173</v>
      </c>
      <c r="DJ121" t="s">
        <v>250</v>
      </c>
      <c r="DK121" t="s">
        <v>251</v>
      </c>
      <c r="DN121" t="s">
        <v>173</v>
      </c>
      <c r="DO121" t="s">
        <v>405</v>
      </c>
      <c r="DP121" t="s">
        <v>173</v>
      </c>
      <c r="DQ121" t="s">
        <v>189</v>
      </c>
      <c r="DY121">
        <v>30.7</v>
      </c>
      <c r="EA121" s="117"/>
      <c r="EB121">
        <v>5</v>
      </c>
      <c r="EC121">
        <v>5</v>
      </c>
      <c r="EE121" t="s">
        <v>406</v>
      </c>
      <c r="EF121">
        <v>5</v>
      </c>
      <c r="EV121">
        <v>4500</v>
      </c>
      <c r="EW121">
        <v>429</v>
      </c>
      <c r="EX121">
        <v>304</v>
      </c>
      <c r="EY121">
        <v>373</v>
      </c>
    </row>
    <row r="122" spans="1:155" x14ac:dyDescent="0.35">
      <c r="A122">
        <v>2026</v>
      </c>
      <c r="B122" t="s">
        <v>412</v>
      </c>
      <c r="C122" s="112" t="s">
        <v>412</v>
      </c>
      <c r="D122" t="s">
        <v>413</v>
      </c>
      <c r="E122" t="s">
        <v>414</v>
      </c>
      <c r="F122">
        <v>305</v>
      </c>
      <c r="G122" s="113">
        <v>2.5</v>
      </c>
      <c r="H122">
        <v>4</v>
      </c>
      <c r="I122" t="s">
        <v>415</v>
      </c>
      <c r="J122">
        <v>27</v>
      </c>
      <c r="K122">
        <v>36</v>
      </c>
      <c r="L122">
        <v>30</v>
      </c>
      <c r="M122">
        <v>34.881900000000002</v>
      </c>
      <c r="N122">
        <v>52.226799999999997</v>
      </c>
      <c r="O122">
        <v>41.010899999999999</v>
      </c>
      <c r="P122">
        <v>26.7745</v>
      </c>
      <c r="Q122">
        <v>35.743499999999997</v>
      </c>
      <c r="R122">
        <v>30.182600000000001</v>
      </c>
      <c r="U122" t="s">
        <v>215</v>
      </c>
      <c r="V122" t="s">
        <v>196</v>
      </c>
      <c r="W122" t="s">
        <v>197</v>
      </c>
      <c r="Y122">
        <v>6</v>
      </c>
      <c r="Z122" t="s">
        <v>172</v>
      </c>
      <c r="AA122" t="s">
        <v>173</v>
      </c>
      <c r="AB122" t="s">
        <v>277</v>
      </c>
      <c r="AC122" t="s">
        <v>278</v>
      </c>
      <c r="AD122">
        <v>10</v>
      </c>
      <c r="AG122" t="s">
        <v>167</v>
      </c>
      <c r="AH122" t="s">
        <v>416</v>
      </c>
      <c r="AI122" t="s">
        <v>178</v>
      </c>
      <c r="AJ122" t="s">
        <v>179</v>
      </c>
      <c r="AK122" t="s">
        <v>173</v>
      </c>
      <c r="AL122" t="s">
        <v>180</v>
      </c>
      <c r="AO122">
        <v>93</v>
      </c>
      <c r="AP122">
        <v>13</v>
      </c>
      <c r="AS122">
        <v>1650</v>
      </c>
      <c r="AT122">
        <v>1650</v>
      </c>
      <c r="BN122" s="114" t="s">
        <v>198</v>
      </c>
      <c r="BO122">
        <v>2</v>
      </c>
      <c r="BP122">
        <v>2</v>
      </c>
      <c r="BQ122">
        <v>4</v>
      </c>
      <c r="BR122" t="s">
        <v>373</v>
      </c>
      <c r="BS122" t="s">
        <v>182</v>
      </c>
      <c r="BT122" t="s">
        <v>183</v>
      </c>
      <c r="BU122" s="115">
        <v>45888</v>
      </c>
      <c r="BV122">
        <v>36718</v>
      </c>
      <c r="BW122" s="116"/>
      <c r="BX122" t="s">
        <v>173</v>
      </c>
      <c r="BY122" t="s">
        <v>173</v>
      </c>
      <c r="CB122" t="s">
        <v>173</v>
      </c>
      <c r="CC122" t="s">
        <v>173</v>
      </c>
      <c r="CD122" t="s">
        <v>417</v>
      </c>
      <c r="CE122" t="s">
        <v>173</v>
      </c>
      <c r="CG122" t="s">
        <v>172</v>
      </c>
      <c r="CH122" t="s">
        <v>418</v>
      </c>
      <c r="CI122" t="s">
        <v>173</v>
      </c>
      <c r="DJ122" t="s">
        <v>201</v>
      </c>
      <c r="DK122" t="s">
        <v>202</v>
      </c>
      <c r="DN122" t="s">
        <v>173</v>
      </c>
      <c r="DO122" t="s">
        <v>419</v>
      </c>
      <c r="DP122" t="s">
        <v>173</v>
      </c>
      <c r="DQ122" t="s">
        <v>189</v>
      </c>
      <c r="DR122" t="s">
        <v>420</v>
      </c>
      <c r="DY122">
        <v>41.3</v>
      </c>
      <c r="EA122" s="117"/>
      <c r="EB122">
        <v>6</v>
      </c>
      <c r="EC122">
        <v>6</v>
      </c>
      <c r="EE122" t="s">
        <v>421</v>
      </c>
      <c r="EF122">
        <v>6</v>
      </c>
      <c r="EU122">
        <v>250</v>
      </c>
      <c r="EW122">
        <v>331</v>
      </c>
      <c r="EX122">
        <v>248</v>
      </c>
      <c r="EY122">
        <v>294</v>
      </c>
    </row>
    <row r="123" spans="1:155" x14ac:dyDescent="0.35">
      <c r="A123">
        <v>2026</v>
      </c>
      <c r="B123" t="s">
        <v>412</v>
      </c>
      <c r="C123" s="112" t="s">
        <v>412</v>
      </c>
      <c r="D123" t="s">
        <v>422</v>
      </c>
      <c r="E123" t="s">
        <v>414</v>
      </c>
      <c r="F123">
        <v>311</v>
      </c>
      <c r="G123" s="113">
        <v>2.5</v>
      </c>
      <c r="H123">
        <v>4</v>
      </c>
      <c r="I123" t="s">
        <v>415</v>
      </c>
      <c r="J123">
        <v>26</v>
      </c>
      <c r="K123">
        <v>34</v>
      </c>
      <c r="L123">
        <v>29</v>
      </c>
      <c r="M123">
        <v>33.299999999999997</v>
      </c>
      <c r="N123">
        <v>50.1</v>
      </c>
      <c r="O123">
        <v>39.2179</v>
      </c>
      <c r="P123">
        <v>25.687899999999999</v>
      </c>
      <c r="Q123">
        <v>34.447899999999997</v>
      </c>
      <c r="R123">
        <v>29.007300000000001</v>
      </c>
      <c r="U123" t="s">
        <v>215</v>
      </c>
      <c r="V123" t="s">
        <v>196</v>
      </c>
      <c r="W123" t="s">
        <v>197</v>
      </c>
      <c r="Y123">
        <v>6</v>
      </c>
      <c r="Z123" t="s">
        <v>172</v>
      </c>
      <c r="AA123" t="s">
        <v>173</v>
      </c>
      <c r="AB123">
        <v>4</v>
      </c>
      <c r="AC123" t="s">
        <v>423</v>
      </c>
      <c r="AD123">
        <v>10</v>
      </c>
      <c r="AG123" t="s">
        <v>167</v>
      </c>
      <c r="AH123" t="s">
        <v>416</v>
      </c>
      <c r="AI123" t="s">
        <v>178</v>
      </c>
      <c r="AJ123" t="s">
        <v>179</v>
      </c>
      <c r="AK123" t="s">
        <v>173</v>
      </c>
      <c r="AL123" t="s">
        <v>180</v>
      </c>
      <c r="AO123">
        <v>93</v>
      </c>
      <c r="AP123">
        <v>13</v>
      </c>
      <c r="AS123">
        <v>1700</v>
      </c>
      <c r="AT123">
        <v>1700</v>
      </c>
      <c r="BN123" s="114" t="s">
        <v>198</v>
      </c>
      <c r="BO123">
        <v>2</v>
      </c>
      <c r="BP123">
        <v>2</v>
      </c>
      <c r="BQ123">
        <v>4</v>
      </c>
      <c r="BR123" t="s">
        <v>373</v>
      </c>
      <c r="BS123" t="s">
        <v>182</v>
      </c>
      <c r="BT123" t="s">
        <v>183</v>
      </c>
      <c r="BU123" s="115">
        <v>45888</v>
      </c>
      <c r="BV123">
        <v>36719</v>
      </c>
      <c r="BW123" s="116"/>
      <c r="BX123" t="s">
        <v>173</v>
      </c>
      <c r="BY123" t="s">
        <v>173</v>
      </c>
      <c r="CB123" t="s">
        <v>173</v>
      </c>
      <c r="CC123" t="s">
        <v>173</v>
      </c>
      <c r="CD123" t="s">
        <v>417</v>
      </c>
      <c r="CE123" t="s">
        <v>173</v>
      </c>
      <c r="CG123" t="s">
        <v>172</v>
      </c>
      <c r="CH123" t="s">
        <v>418</v>
      </c>
      <c r="CI123" t="s">
        <v>173</v>
      </c>
      <c r="DJ123" t="s">
        <v>201</v>
      </c>
      <c r="DK123" t="s">
        <v>202</v>
      </c>
      <c r="DN123" t="s">
        <v>173</v>
      </c>
      <c r="DO123" t="s">
        <v>419</v>
      </c>
      <c r="DP123" t="s">
        <v>173</v>
      </c>
      <c r="DQ123" t="s">
        <v>189</v>
      </c>
      <c r="DR123" t="s">
        <v>420</v>
      </c>
      <c r="DY123">
        <v>39.5</v>
      </c>
      <c r="EA123" s="117"/>
      <c r="EB123">
        <v>6</v>
      </c>
      <c r="EC123">
        <v>6</v>
      </c>
      <c r="EE123" t="s">
        <v>421</v>
      </c>
      <c r="EF123">
        <v>6</v>
      </c>
      <c r="EU123">
        <v>0</v>
      </c>
      <c r="EW123">
        <v>345</v>
      </c>
      <c r="EX123">
        <v>257</v>
      </c>
      <c r="EY123">
        <v>306</v>
      </c>
    </row>
    <row r="124" spans="1:155" x14ac:dyDescent="0.35">
      <c r="A124">
        <v>2026</v>
      </c>
      <c r="B124" t="s">
        <v>412</v>
      </c>
      <c r="C124" s="112" t="s">
        <v>412</v>
      </c>
      <c r="D124" t="s">
        <v>422</v>
      </c>
      <c r="E124" t="s">
        <v>414</v>
      </c>
      <c r="F124">
        <v>315</v>
      </c>
      <c r="G124" s="113">
        <v>2.5</v>
      </c>
      <c r="H124">
        <v>4</v>
      </c>
      <c r="I124" t="s">
        <v>415</v>
      </c>
      <c r="J124">
        <v>23</v>
      </c>
      <c r="K124">
        <v>32</v>
      </c>
      <c r="L124">
        <v>27</v>
      </c>
      <c r="M124">
        <v>29.8</v>
      </c>
      <c r="N124">
        <v>46.8</v>
      </c>
      <c r="O124">
        <v>35.622999999999998</v>
      </c>
      <c r="P124">
        <v>23.244700000000002</v>
      </c>
      <c r="Q124">
        <v>32.413600000000002</v>
      </c>
      <c r="R124">
        <v>26.635200000000001</v>
      </c>
      <c r="T124" t="s">
        <v>168</v>
      </c>
      <c r="U124" t="s">
        <v>169</v>
      </c>
      <c r="V124" t="s">
        <v>196</v>
      </c>
      <c r="W124" t="s">
        <v>197</v>
      </c>
      <c r="Y124">
        <v>6</v>
      </c>
      <c r="Z124" t="s">
        <v>172</v>
      </c>
      <c r="AA124" t="s">
        <v>173</v>
      </c>
      <c r="AB124">
        <v>4</v>
      </c>
      <c r="AC124" t="s">
        <v>423</v>
      </c>
      <c r="AD124">
        <v>10</v>
      </c>
      <c r="AG124" t="s">
        <v>167</v>
      </c>
      <c r="AH124" t="s">
        <v>416</v>
      </c>
      <c r="AI124" t="s">
        <v>178</v>
      </c>
      <c r="AJ124" t="s">
        <v>179</v>
      </c>
      <c r="AK124" t="s">
        <v>173</v>
      </c>
      <c r="AL124" t="s">
        <v>180</v>
      </c>
      <c r="AO124">
        <v>93</v>
      </c>
      <c r="AP124">
        <v>13</v>
      </c>
      <c r="AS124">
        <v>1850</v>
      </c>
      <c r="AT124">
        <v>1850</v>
      </c>
      <c r="BN124" s="114" t="s">
        <v>198</v>
      </c>
      <c r="BO124">
        <v>2</v>
      </c>
      <c r="BP124">
        <v>2</v>
      </c>
      <c r="BQ124">
        <v>4</v>
      </c>
      <c r="BR124" t="s">
        <v>373</v>
      </c>
      <c r="BS124" t="s">
        <v>182</v>
      </c>
      <c r="BT124" t="s">
        <v>183</v>
      </c>
      <c r="BU124" s="115">
        <v>45888</v>
      </c>
      <c r="BV124">
        <v>36705</v>
      </c>
      <c r="BW124" s="116"/>
      <c r="BX124" t="s">
        <v>173</v>
      </c>
      <c r="BY124" t="s">
        <v>173</v>
      </c>
      <c r="CB124" t="s">
        <v>173</v>
      </c>
      <c r="CC124" t="s">
        <v>173</v>
      </c>
      <c r="CE124" t="s">
        <v>173</v>
      </c>
      <c r="CG124" t="s">
        <v>172</v>
      </c>
      <c r="CH124" t="s">
        <v>418</v>
      </c>
      <c r="CI124" t="s">
        <v>173</v>
      </c>
      <c r="DJ124" t="s">
        <v>201</v>
      </c>
      <c r="DK124" t="s">
        <v>202</v>
      </c>
      <c r="DN124" t="s">
        <v>173</v>
      </c>
      <c r="DO124" t="s">
        <v>424</v>
      </c>
      <c r="DP124" t="s">
        <v>173</v>
      </c>
      <c r="DQ124" t="s">
        <v>189</v>
      </c>
      <c r="DY124">
        <v>35.9</v>
      </c>
      <c r="EA124" s="117"/>
      <c r="EB124">
        <v>5</v>
      </c>
      <c r="EC124">
        <v>5</v>
      </c>
      <c r="EE124" t="s">
        <v>425</v>
      </c>
      <c r="EF124">
        <v>4</v>
      </c>
      <c r="EV124">
        <v>750</v>
      </c>
      <c r="EW124">
        <v>382</v>
      </c>
      <c r="EX124">
        <v>274</v>
      </c>
      <c r="EY124">
        <v>334</v>
      </c>
    </row>
    <row r="125" spans="1:155" x14ac:dyDescent="0.35">
      <c r="A125">
        <v>2026</v>
      </c>
      <c r="B125" t="s">
        <v>228</v>
      </c>
      <c r="C125" s="112" t="s">
        <v>228</v>
      </c>
      <c r="D125" t="s">
        <v>426</v>
      </c>
      <c r="E125" t="s">
        <v>230</v>
      </c>
      <c r="F125">
        <v>312</v>
      </c>
      <c r="G125" s="113">
        <v>2</v>
      </c>
      <c r="H125">
        <v>4</v>
      </c>
      <c r="I125" t="s">
        <v>231</v>
      </c>
      <c r="J125">
        <v>19</v>
      </c>
      <c r="K125">
        <v>27</v>
      </c>
      <c r="L125">
        <v>22</v>
      </c>
      <c r="M125">
        <v>23.7</v>
      </c>
      <c r="N125">
        <v>38</v>
      </c>
      <c r="O125">
        <v>28.531600000000001</v>
      </c>
      <c r="P125">
        <v>18.8536</v>
      </c>
      <c r="Q125">
        <v>26.840699999999998</v>
      </c>
      <c r="R125">
        <v>21.768599999999999</v>
      </c>
      <c r="T125" t="s">
        <v>168</v>
      </c>
      <c r="U125" t="s">
        <v>169</v>
      </c>
      <c r="V125" t="s">
        <v>170</v>
      </c>
      <c r="W125" t="s">
        <v>171</v>
      </c>
      <c r="Y125">
        <v>9</v>
      </c>
      <c r="Z125" t="s">
        <v>172</v>
      </c>
      <c r="AA125" t="s">
        <v>173</v>
      </c>
      <c r="AB125" t="s">
        <v>170</v>
      </c>
      <c r="AC125" t="s">
        <v>232</v>
      </c>
      <c r="AD125">
        <v>10</v>
      </c>
      <c r="AG125" t="s">
        <v>216</v>
      </c>
      <c r="AH125" t="s">
        <v>217</v>
      </c>
      <c r="AI125" t="s">
        <v>178</v>
      </c>
      <c r="AJ125" t="s">
        <v>179</v>
      </c>
      <c r="AK125" t="s">
        <v>173</v>
      </c>
      <c r="AL125" t="s">
        <v>180</v>
      </c>
      <c r="AO125">
        <v>93</v>
      </c>
      <c r="AP125">
        <v>12</v>
      </c>
      <c r="AS125">
        <v>2850</v>
      </c>
      <c r="AT125">
        <v>2850</v>
      </c>
      <c r="BN125" s="114" t="s">
        <v>256</v>
      </c>
      <c r="BO125">
        <v>2</v>
      </c>
      <c r="BP125">
        <v>2</v>
      </c>
      <c r="BQ125">
        <v>4</v>
      </c>
      <c r="BR125" t="s">
        <v>373</v>
      </c>
      <c r="BS125" t="s">
        <v>182</v>
      </c>
      <c r="BT125" t="s">
        <v>183</v>
      </c>
      <c r="BU125" s="115">
        <v>45868</v>
      </c>
      <c r="BV125">
        <v>37227</v>
      </c>
      <c r="BW125" s="116"/>
      <c r="BY125" t="s">
        <v>173</v>
      </c>
      <c r="CB125" t="s">
        <v>173</v>
      </c>
      <c r="CC125" t="s">
        <v>173</v>
      </c>
      <c r="CD125" t="s">
        <v>257</v>
      </c>
      <c r="CE125" t="s">
        <v>173</v>
      </c>
      <c r="CG125" t="s">
        <v>172</v>
      </c>
      <c r="CH125" t="s">
        <v>234</v>
      </c>
      <c r="CI125" t="s">
        <v>172</v>
      </c>
      <c r="CJ125" t="s">
        <v>258</v>
      </c>
      <c r="CK125" t="s">
        <v>259</v>
      </c>
      <c r="CM125">
        <v>1</v>
      </c>
      <c r="CN125" t="s">
        <v>260</v>
      </c>
      <c r="CP125">
        <v>48</v>
      </c>
      <c r="CQ125">
        <v>11.3</v>
      </c>
      <c r="CR125">
        <v>78.2</v>
      </c>
      <c r="CS125" t="s">
        <v>261</v>
      </c>
      <c r="CV125" t="s">
        <v>262</v>
      </c>
      <c r="CX125" t="s">
        <v>263</v>
      </c>
      <c r="CY125" t="s">
        <v>173</v>
      </c>
      <c r="DC125" t="s">
        <v>264</v>
      </c>
      <c r="DD125">
        <v>1</v>
      </c>
      <c r="DE125" t="s">
        <v>265</v>
      </c>
      <c r="DG125">
        <v>10</v>
      </c>
      <c r="DJ125" t="s">
        <v>201</v>
      </c>
      <c r="DK125" t="s">
        <v>202</v>
      </c>
      <c r="DL125" t="s">
        <v>173</v>
      </c>
      <c r="DM125" t="s">
        <v>173</v>
      </c>
      <c r="DN125" t="s">
        <v>173</v>
      </c>
      <c r="DO125" t="s">
        <v>266</v>
      </c>
      <c r="DP125" t="s">
        <v>172</v>
      </c>
      <c r="DQ125" t="s">
        <v>204</v>
      </c>
      <c r="DR125" t="s">
        <v>426</v>
      </c>
      <c r="DY125">
        <v>28.7</v>
      </c>
      <c r="EA125" s="117"/>
      <c r="EB125">
        <v>4</v>
      </c>
      <c r="EC125">
        <v>4</v>
      </c>
      <c r="EE125" t="s">
        <v>267</v>
      </c>
      <c r="EF125">
        <v>4</v>
      </c>
      <c r="EV125">
        <v>5750</v>
      </c>
      <c r="EW125">
        <v>468</v>
      </c>
      <c r="EX125">
        <v>329</v>
      </c>
      <c r="EY125">
        <v>405</v>
      </c>
    </row>
    <row r="126" spans="1:155" x14ac:dyDescent="0.35">
      <c r="A126">
        <v>2026</v>
      </c>
      <c r="B126" t="s">
        <v>228</v>
      </c>
      <c r="C126" s="112" t="s">
        <v>228</v>
      </c>
      <c r="D126" t="s">
        <v>1190</v>
      </c>
      <c r="E126" t="s">
        <v>230</v>
      </c>
      <c r="F126">
        <v>182</v>
      </c>
      <c r="G126" s="113">
        <v>2</v>
      </c>
      <c r="H126">
        <v>4</v>
      </c>
      <c r="I126" t="s">
        <v>428</v>
      </c>
      <c r="J126">
        <v>22</v>
      </c>
      <c r="K126">
        <v>29</v>
      </c>
      <c r="L126">
        <v>25</v>
      </c>
      <c r="M126">
        <v>27.8</v>
      </c>
      <c r="N126">
        <v>41.4</v>
      </c>
      <c r="O126">
        <v>32.622399999999999</v>
      </c>
      <c r="P126">
        <v>21.824000000000002</v>
      </c>
      <c r="Q126">
        <v>29.0199</v>
      </c>
      <c r="R126">
        <v>24.565100000000001</v>
      </c>
      <c r="T126" t="s">
        <v>168</v>
      </c>
      <c r="U126" t="s">
        <v>169</v>
      </c>
      <c r="V126" t="s">
        <v>429</v>
      </c>
      <c r="W126" t="s">
        <v>430</v>
      </c>
      <c r="Y126">
        <v>8</v>
      </c>
      <c r="Z126" t="s">
        <v>172</v>
      </c>
      <c r="AA126" t="s">
        <v>173</v>
      </c>
      <c r="AB126" t="s">
        <v>170</v>
      </c>
      <c r="AC126" t="s">
        <v>232</v>
      </c>
      <c r="AD126">
        <v>10</v>
      </c>
      <c r="AG126" t="s">
        <v>216</v>
      </c>
      <c r="AH126" t="s">
        <v>217</v>
      </c>
      <c r="AI126" t="s">
        <v>178</v>
      </c>
      <c r="AJ126" t="s">
        <v>179</v>
      </c>
      <c r="AK126" t="s">
        <v>173</v>
      </c>
      <c r="AL126" t="s">
        <v>180</v>
      </c>
      <c r="AO126">
        <v>89</v>
      </c>
      <c r="AP126">
        <v>12</v>
      </c>
      <c r="AS126">
        <v>2500</v>
      </c>
      <c r="AT126">
        <v>2500</v>
      </c>
      <c r="BN126" s="114" t="s">
        <v>256</v>
      </c>
      <c r="BO126">
        <v>2</v>
      </c>
      <c r="BP126">
        <v>2</v>
      </c>
      <c r="BQ126">
        <v>4</v>
      </c>
      <c r="BR126" t="s">
        <v>373</v>
      </c>
      <c r="BS126" t="s">
        <v>182</v>
      </c>
      <c r="BT126" t="s">
        <v>183</v>
      </c>
      <c r="BU126" s="115">
        <v>45805</v>
      </c>
      <c r="BV126">
        <v>37411</v>
      </c>
      <c r="BW126" s="116"/>
      <c r="BY126" t="s">
        <v>173</v>
      </c>
      <c r="CB126" t="s">
        <v>173</v>
      </c>
      <c r="CC126" t="s">
        <v>173</v>
      </c>
      <c r="CE126" t="s">
        <v>173</v>
      </c>
      <c r="CG126" t="s">
        <v>172</v>
      </c>
      <c r="CH126" t="s">
        <v>234</v>
      </c>
      <c r="CI126" t="s">
        <v>172</v>
      </c>
      <c r="CJ126" t="s">
        <v>438</v>
      </c>
      <c r="CK126" t="s">
        <v>259</v>
      </c>
      <c r="CM126">
        <v>1</v>
      </c>
      <c r="CN126" t="s">
        <v>260</v>
      </c>
      <c r="CP126">
        <v>48</v>
      </c>
      <c r="CQ126">
        <v>7.6</v>
      </c>
      <c r="CR126">
        <v>53</v>
      </c>
      <c r="CS126" t="s">
        <v>261</v>
      </c>
      <c r="CV126" t="s">
        <v>262</v>
      </c>
      <c r="CX126" t="s">
        <v>263</v>
      </c>
      <c r="CY126" t="s">
        <v>173</v>
      </c>
      <c r="DD126">
        <v>1</v>
      </c>
      <c r="DE126" t="s">
        <v>307</v>
      </c>
      <c r="DF126" t="s">
        <v>356</v>
      </c>
      <c r="DG126">
        <v>10</v>
      </c>
      <c r="DJ126" t="s">
        <v>201</v>
      </c>
      <c r="DK126" t="s">
        <v>202</v>
      </c>
      <c r="DL126" t="s">
        <v>173</v>
      </c>
      <c r="DM126" t="s">
        <v>173</v>
      </c>
      <c r="DN126" t="s">
        <v>173</v>
      </c>
      <c r="DO126" t="s">
        <v>235</v>
      </c>
      <c r="DP126" t="s">
        <v>172</v>
      </c>
      <c r="DQ126" t="s">
        <v>204</v>
      </c>
      <c r="DR126" t="s">
        <v>1190</v>
      </c>
      <c r="DY126">
        <v>32.799999999999997</v>
      </c>
      <c r="EA126" s="117"/>
      <c r="EB126">
        <v>5</v>
      </c>
      <c r="EC126">
        <v>5</v>
      </c>
      <c r="EE126" t="s">
        <v>628</v>
      </c>
      <c r="EF126">
        <v>5</v>
      </c>
      <c r="EV126">
        <v>4000</v>
      </c>
      <c r="EW126">
        <v>406</v>
      </c>
      <c r="EX126">
        <v>305</v>
      </c>
      <c r="EY126">
        <v>361</v>
      </c>
    </row>
    <row r="127" spans="1:155" x14ac:dyDescent="0.35">
      <c r="A127">
        <v>2026</v>
      </c>
      <c r="B127" t="s">
        <v>228</v>
      </c>
      <c r="C127" s="112" t="s">
        <v>228</v>
      </c>
      <c r="D127" t="s">
        <v>427</v>
      </c>
      <c r="E127" t="s">
        <v>230</v>
      </c>
      <c r="F127">
        <v>211</v>
      </c>
      <c r="G127" s="113">
        <v>2</v>
      </c>
      <c r="H127">
        <v>4</v>
      </c>
      <c r="I127" t="s">
        <v>428</v>
      </c>
      <c r="J127">
        <v>20</v>
      </c>
      <c r="K127">
        <v>28</v>
      </c>
      <c r="L127">
        <v>23</v>
      </c>
      <c r="M127">
        <v>25.5</v>
      </c>
      <c r="N127">
        <v>39.9</v>
      </c>
      <c r="O127">
        <v>30.444299999999998</v>
      </c>
      <c r="P127">
        <v>20.167300000000001</v>
      </c>
      <c r="Q127">
        <v>28.0626</v>
      </c>
      <c r="R127">
        <v>23.090699999999998</v>
      </c>
      <c r="T127" t="s">
        <v>168</v>
      </c>
      <c r="U127" t="s">
        <v>169</v>
      </c>
      <c r="V127" t="s">
        <v>429</v>
      </c>
      <c r="W127" t="s">
        <v>430</v>
      </c>
      <c r="Y127">
        <v>8</v>
      </c>
      <c r="Z127" t="s">
        <v>172</v>
      </c>
      <c r="AA127" t="s">
        <v>173</v>
      </c>
      <c r="AB127" t="s">
        <v>170</v>
      </c>
      <c r="AC127" t="s">
        <v>232</v>
      </c>
      <c r="AD127">
        <v>10</v>
      </c>
      <c r="AG127" t="s">
        <v>216</v>
      </c>
      <c r="AH127" t="s">
        <v>217</v>
      </c>
      <c r="AI127" t="s">
        <v>178</v>
      </c>
      <c r="AJ127" t="s">
        <v>179</v>
      </c>
      <c r="AK127" t="s">
        <v>173</v>
      </c>
      <c r="AL127" t="s">
        <v>180</v>
      </c>
      <c r="AO127">
        <v>89</v>
      </c>
      <c r="AP127">
        <v>12</v>
      </c>
      <c r="AS127">
        <v>2700</v>
      </c>
      <c r="AT127">
        <v>2700</v>
      </c>
      <c r="BN127" s="114" t="s">
        <v>198</v>
      </c>
      <c r="BO127">
        <v>2</v>
      </c>
      <c r="BP127">
        <v>2</v>
      </c>
      <c r="BQ127">
        <v>4</v>
      </c>
      <c r="BR127" t="s">
        <v>373</v>
      </c>
      <c r="BS127" t="s">
        <v>182</v>
      </c>
      <c r="BT127" t="s">
        <v>183</v>
      </c>
      <c r="BU127" s="115">
        <v>45778</v>
      </c>
      <c r="BV127">
        <v>36498</v>
      </c>
      <c r="BW127" s="116"/>
      <c r="CB127" t="s">
        <v>173</v>
      </c>
      <c r="CC127" t="s">
        <v>173</v>
      </c>
      <c r="CD127" t="s">
        <v>431</v>
      </c>
      <c r="CE127" t="s">
        <v>173</v>
      </c>
      <c r="CG127" t="s">
        <v>172</v>
      </c>
      <c r="CH127" t="s">
        <v>234</v>
      </c>
      <c r="CI127" t="s">
        <v>172</v>
      </c>
      <c r="CJ127" t="s">
        <v>432</v>
      </c>
      <c r="DJ127" t="s">
        <v>201</v>
      </c>
      <c r="DK127" t="s">
        <v>202</v>
      </c>
      <c r="DN127" t="s">
        <v>173</v>
      </c>
      <c r="DO127" t="s">
        <v>203</v>
      </c>
      <c r="DP127" t="s">
        <v>172</v>
      </c>
      <c r="DQ127" t="s">
        <v>204</v>
      </c>
      <c r="DR127" t="s">
        <v>433</v>
      </c>
      <c r="DY127">
        <v>30.7</v>
      </c>
      <c r="EA127" s="117"/>
      <c r="EB127">
        <v>5</v>
      </c>
      <c r="EC127">
        <v>5</v>
      </c>
      <c r="EE127" t="s">
        <v>434</v>
      </c>
      <c r="EF127">
        <v>2</v>
      </c>
      <c r="EV127">
        <v>5000</v>
      </c>
      <c r="EW127">
        <v>438</v>
      </c>
      <c r="EX127">
        <v>308</v>
      </c>
      <c r="EY127">
        <v>379</v>
      </c>
    </row>
    <row r="128" spans="1:155" x14ac:dyDescent="0.35">
      <c r="A128">
        <v>2026</v>
      </c>
      <c r="B128" t="s">
        <v>228</v>
      </c>
      <c r="C128" s="112" t="s">
        <v>228</v>
      </c>
      <c r="D128" t="s">
        <v>435</v>
      </c>
      <c r="E128" t="s">
        <v>230</v>
      </c>
      <c r="F128">
        <v>150</v>
      </c>
      <c r="G128" s="113">
        <v>2</v>
      </c>
      <c r="H128">
        <v>4</v>
      </c>
      <c r="I128" t="s">
        <v>231</v>
      </c>
      <c r="J128">
        <v>25</v>
      </c>
      <c r="K128">
        <v>35</v>
      </c>
      <c r="L128">
        <v>29</v>
      </c>
      <c r="M128">
        <v>32.700000000000003</v>
      </c>
      <c r="N128">
        <v>51.5</v>
      </c>
      <c r="O128">
        <v>39.127600000000001</v>
      </c>
      <c r="P128">
        <v>25.2729</v>
      </c>
      <c r="Q128">
        <v>35.302100000000003</v>
      </c>
      <c r="R128">
        <v>28.977499999999999</v>
      </c>
      <c r="T128" t="s">
        <v>168</v>
      </c>
      <c r="U128" t="s">
        <v>169</v>
      </c>
      <c r="V128" t="s">
        <v>170</v>
      </c>
      <c r="W128" t="s">
        <v>171</v>
      </c>
      <c r="Y128">
        <v>9</v>
      </c>
      <c r="Z128" t="s">
        <v>172</v>
      </c>
      <c r="AA128" t="s">
        <v>173</v>
      </c>
      <c r="AB128" t="s">
        <v>174</v>
      </c>
      <c r="AC128" t="s">
        <v>175</v>
      </c>
      <c r="AD128">
        <v>10</v>
      </c>
      <c r="AG128" t="s">
        <v>216</v>
      </c>
      <c r="AH128" t="s">
        <v>217</v>
      </c>
      <c r="AI128" t="s">
        <v>178</v>
      </c>
      <c r="AJ128" t="s">
        <v>179</v>
      </c>
      <c r="AK128" t="s">
        <v>173</v>
      </c>
      <c r="AL128" t="s">
        <v>180</v>
      </c>
      <c r="AO128">
        <v>93</v>
      </c>
      <c r="AP128">
        <v>12</v>
      </c>
      <c r="AS128">
        <v>2150</v>
      </c>
      <c r="AT128">
        <v>2150</v>
      </c>
      <c r="BN128" s="114" t="s">
        <v>256</v>
      </c>
      <c r="BO128">
        <v>2</v>
      </c>
      <c r="BP128">
        <v>2</v>
      </c>
      <c r="BQ128">
        <v>4</v>
      </c>
      <c r="BR128" t="s">
        <v>373</v>
      </c>
      <c r="BS128" t="s">
        <v>182</v>
      </c>
      <c r="BT128" t="s">
        <v>183</v>
      </c>
      <c r="BU128" s="115">
        <v>45860</v>
      </c>
      <c r="BV128">
        <v>37090</v>
      </c>
      <c r="BW128" s="116"/>
      <c r="BY128" t="s">
        <v>173</v>
      </c>
      <c r="CB128" t="s">
        <v>173</v>
      </c>
      <c r="CC128" t="s">
        <v>173</v>
      </c>
      <c r="CD128" t="s">
        <v>353</v>
      </c>
      <c r="CE128" t="s">
        <v>173</v>
      </c>
      <c r="CG128" t="s">
        <v>172</v>
      </c>
      <c r="CH128" t="s">
        <v>234</v>
      </c>
      <c r="CI128" t="s">
        <v>172</v>
      </c>
      <c r="CJ128" t="s">
        <v>354</v>
      </c>
      <c r="CK128" t="s">
        <v>259</v>
      </c>
      <c r="CM128">
        <v>1</v>
      </c>
      <c r="CN128" t="s">
        <v>260</v>
      </c>
      <c r="CP128">
        <v>48</v>
      </c>
      <c r="CQ128">
        <v>17.5</v>
      </c>
      <c r="CR128">
        <v>78.2</v>
      </c>
      <c r="CS128" t="s">
        <v>261</v>
      </c>
      <c r="CV128" t="s">
        <v>262</v>
      </c>
      <c r="CX128" t="s">
        <v>263</v>
      </c>
      <c r="CY128" t="s">
        <v>173</v>
      </c>
      <c r="DC128" t="s">
        <v>355</v>
      </c>
      <c r="DD128">
        <v>1</v>
      </c>
      <c r="DE128" t="s">
        <v>307</v>
      </c>
      <c r="DF128" t="s">
        <v>356</v>
      </c>
      <c r="DG128">
        <v>17</v>
      </c>
      <c r="DJ128" t="s">
        <v>201</v>
      </c>
      <c r="DK128" t="s">
        <v>202</v>
      </c>
      <c r="DL128" t="s">
        <v>173</v>
      </c>
      <c r="DM128" t="s">
        <v>173</v>
      </c>
      <c r="DN128" t="s">
        <v>173</v>
      </c>
      <c r="DO128" t="s">
        <v>266</v>
      </c>
      <c r="DP128" t="s">
        <v>172</v>
      </c>
      <c r="DQ128" t="s">
        <v>204</v>
      </c>
      <c r="DR128" t="s">
        <v>435</v>
      </c>
      <c r="DY128">
        <v>39.4</v>
      </c>
      <c r="EA128" s="117"/>
      <c r="EB128">
        <v>6</v>
      </c>
      <c r="EC128">
        <v>6</v>
      </c>
      <c r="EE128" t="s">
        <v>357</v>
      </c>
      <c r="EF128">
        <v>7</v>
      </c>
      <c r="EV128">
        <v>2250</v>
      </c>
      <c r="EW128">
        <v>352</v>
      </c>
      <c r="EX128">
        <v>252</v>
      </c>
      <c r="EY128">
        <v>307</v>
      </c>
    </row>
    <row r="129" spans="1:155" x14ac:dyDescent="0.35">
      <c r="A129">
        <v>2026</v>
      </c>
      <c r="B129" t="s">
        <v>228</v>
      </c>
      <c r="C129" s="112" t="s">
        <v>228</v>
      </c>
      <c r="D129" t="s">
        <v>436</v>
      </c>
      <c r="E129" t="s">
        <v>230</v>
      </c>
      <c r="F129">
        <v>151</v>
      </c>
      <c r="G129" s="113">
        <v>2</v>
      </c>
      <c r="H129">
        <v>4</v>
      </c>
      <c r="I129" t="s">
        <v>231</v>
      </c>
      <c r="J129">
        <v>24</v>
      </c>
      <c r="K129">
        <v>33</v>
      </c>
      <c r="L129">
        <v>27</v>
      </c>
      <c r="M129">
        <v>30.2</v>
      </c>
      <c r="N129">
        <v>48.1</v>
      </c>
      <c r="O129">
        <v>36.274700000000003</v>
      </c>
      <c r="P129">
        <v>23.526700000000002</v>
      </c>
      <c r="Q129">
        <v>33.218499999999999</v>
      </c>
      <c r="R129">
        <v>27.0824</v>
      </c>
      <c r="T129" t="s">
        <v>168</v>
      </c>
      <c r="U129" t="s">
        <v>169</v>
      </c>
      <c r="V129" t="s">
        <v>170</v>
      </c>
      <c r="W129" t="s">
        <v>171</v>
      </c>
      <c r="Y129">
        <v>9</v>
      </c>
      <c r="Z129" t="s">
        <v>172</v>
      </c>
      <c r="AA129" t="s">
        <v>173</v>
      </c>
      <c r="AB129" t="s">
        <v>170</v>
      </c>
      <c r="AC129" t="s">
        <v>232</v>
      </c>
      <c r="AD129">
        <v>10</v>
      </c>
      <c r="AG129" t="s">
        <v>216</v>
      </c>
      <c r="AH129" t="s">
        <v>217</v>
      </c>
      <c r="AI129" t="s">
        <v>178</v>
      </c>
      <c r="AJ129" t="s">
        <v>179</v>
      </c>
      <c r="AK129" t="s">
        <v>173</v>
      </c>
      <c r="AL129" t="s">
        <v>180</v>
      </c>
      <c r="AO129">
        <v>93</v>
      </c>
      <c r="AP129">
        <v>12</v>
      </c>
      <c r="AS129">
        <v>2300</v>
      </c>
      <c r="AT129">
        <v>2300</v>
      </c>
      <c r="BN129" s="114" t="s">
        <v>256</v>
      </c>
      <c r="BO129">
        <v>2</v>
      </c>
      <c r="BP129">
        <v>2</v>
      </c>
      <c r="BQ129">
        <v>4</v>
      </c>
      <c r="BR129" t="s">
        <v>373</v>
      </c>
      <c r="BS129" t="s">
        <v>182</v>
      </c>
      <c r="BT129" t="s">
        <v>183</v>
      </c>
      <c r="BU129" s="115">
        <v>45860</v>
      </c>
      <c r="BV129">
        <v>37091</v>
      </c>
      <c r="BW129" s="116"/>
      <c r="BY129" t="s">
        <v>173</v>
      </c>
      <c r="CB129" t="s">
        <v>173</v>
      </c>
      <c r="CC129" t="s">
        <v>173</v>
      </c>
      <c r="CD129" t="s">
        <v>353</v>
      </c>
      <c r="CE129" t="s">
        <v>173</v>
      </c>
      <c r="CG129" t="s">
        <v>172</v>
      </c>
      <c r="CH129" t="s">
        <v>234</v>
      </c>
      <c r="CI129" t="s">
        <v>172</v>
      </c>
      <c r="CJ129" t="s">
        <v>354</v>
      </c>
      <c r="CK129" t="s">
        <v>259</v>
      </c>
      <c r="CM129">
        <v>1</v>
      </c>
      <c r="CN129" t="s">
        <v>260</v>
      </c>
      <c r="CP129">
        <v>48</v>
      </c>
      <c r="CQ129">
        <v>17.5</v>
      </c>
      <c r="CR129">
        <v>78.2</v>
      </c>
      <c r="CS129" t="s">
        <v>261</v>
      </c>
      <c r="CV129" t="s">
        <v>262</v>
      </c>
      <c r="CX129" t="s">
        <v>263</v>
      </c>
      <c r="CY129" t="s">
        <v>173</v>
      </c>
      <c r="DC129" t="s">
        <v>355</v>
      </c>
      <c r="DD129">
        <v>1</v>
      </c>
      <c r="DE129" t="s">
        <v>307</v>
      </c>
      <c r="DF129" t="s">
        <v>356</v>
      </c>
      <c r="DG129">
        <v>17</v>
      </c>
      <c r="DJ129" t="s">
        <v>201</v>
      </c>
      <c r="DK129" t="s">
        <v>202</v>
      </c>
      <c r="DL129" t="s">
        <v>173</v>
      </c>
      <c r="DM129" t="s">
        <v>173</v>
      </c>
      <c r="DN129" t="s">
        <v>173</v>
      </c>
      <c r="DO129" t="s">
        <v>266</v>
      </c>
      <c r="DP129" t="s">
        <v>172</v>
      </c>
      <c r="DQ129" t="s">
        <v>204</v>
      </c>
      <c r="DR129" t="s">
        <v>436</v>
      </c>
      <c r="DY129">
        <v>36.5</v>
      </c>
      <c r="EA129" s="117"/>
      <c r="EB129">
        <v>5</v>
      </c>
      <c r="EC129">
        <v>5</v>
      </c>
      <c r="EE129" t="s">
        <v>357</v>
      </c>
      <c r="EF129">
        <v>7</v>
      </c>
      <c r="EV129">
        <v>3000</v>
      </c>
      <c r="EW129">
        <v>379</v>
      </c>
      <c r="EX129">
        <v>268</v>
      </c>
      <c r="EY129">
        <v>329</v>
      </c>
    </row>
    <row r="130" spans="1:155" x14ac:dyDescent="0.35">
      <c r="A130">
        <v>2026</v>
      </c>
      <c r="B130" t="s">
        <v>228</v>
      </c>
      <c r="C130" s="112" t="s">
        <v>228</v>
      </c>
      <c r="D130" t="s">
        <v>437</v>
      </c>
      <c r="E130" t="s">
        <v>230</v>
      </c>
      <c r="F130">
        <v>240</v>
      </c>
      <c r="G130" s="113">
        <v>2</v>
      </c>
      <c r="H130">
        <v>4</v>
      </c>
      <c r="I130" t="s">
        <v>428</v>
      </c>
      <c r="J130">
        <v>26</v>
      </c>
      <c r="K130">
        <v>36</v>
      </c>
      <c r="L130">
        <v>30</v>
      </c>
      <c r="M130">
        <v>34.1</v>
      </c>
      <c r="N130">
        <v>52.7</v>
      </c>
      <c r="O130">
        <v>40.538499999999999</v>
      </c>
      <c r="P130">
        <v>26.238800000000001</v>
      </c>
      <c r="Q130">
        <v>36.030099999999997</v>
      </c>
      <c r="R130">
        <v>29.894600000000001</v>
      </c>
      <c r="T130" t="s">
        <v>168</v>
      </c>
      <c r="U130" t="s">
        <v>169</v>
      </c>
      <c r="V130" t="s">
        <v>429</v>
      </c>
      <c r="W130" t="s">
        <v>430</v>
      </c>
      <c r="Y130">
        <v>8</v>
      </c>
      <c r="Z130" t="s">
        <v>172</v>
      </c>
      <c r="AA130" t="s">
        <v>173</v>
      </c>
      <c r="AB130" t="s">
        <v>277</v>
      </c>
      <c r="AC130" t="s">
        <v>278</v>
      </c>
      <c r="AD130">
        <v>10</v>
      </c>
      <c r="AG130" t="s">
        <v>216</v>
      </c>
      <c r="AH130" t="s">
        <v>217</v>
      </c>
      <c r="AI130" t="s">
        <v>178</v>
      </c>
      <c r="AJ130" t="s">
        <v>179</v>
      </c>
      <c r="AK130" t="s">
        <v>173</v>
      </c>
      <c r="AL130" t="s">
        <v>180</v>
      </c>
      <c r="AO130">
        <v>89</v>
      </c>
      <c r="AP130">
        <v>12</v>
      </c>
      <c r="AS130">
        <v>2100</v>
      </c>
      <c r="AT130">
        <v>2100</v>
      </c>
      <c r="BN130" s="114" t="s">
        <v>256</v>
      </c>
      <c r="BO130">
        <v>2</v>
      </c>
      <c r="BP130">
        <v>2</v>
      </c>
      <c r="BQ130">
        <v>4</v>
      </c>
      <c r="BR130" t="s">
        <v>373</v>
      </c>
      <c r="BS130" t="s">
        <v>182</v>
      </c>
      <c r="BT130" t="s">
        <v>183</v>
      </c>
      <c r="BU130" s="115">
        <v>45765</v>
      </c>
      <c r="BV130">
        <v>36441</v>
      </c>
      <c r="BW130" s="116"/>
      <c r="CB130" t="s">
        <v>173</v>
      </c>
      <c r="CC130" t="s">
        <v>173</v>
      </c>
      <c r="CE130" t="s">
        <v>173</v>
      </c>
      <c r="CG130" t="s">
        <v>172</v>
      </c>
      <c r="CH130" t="s">
        <v>362</v>
      </c>
      <c r="CI130" t="s">
        <v>172</v>
      </c>
      <c r="CJ130" t="s">
        <v>438</v>
      </c>
      <c r="CK130" t="s">
        <v>259</v>
      </c>
      <c r="CM130">
        <v>1</v>
      </c>
      <c r="CN130" t="s">
        <v>260</v>
      </c>
      <c r="CP130">
        <v>48</v>
      </c>
      <c r="CQ130">
        <v>7.7</v>
      </c>
      <c r="CR130">
        <v>52.9</v>
      </c>
      <c r="CS130" t="s">
        <v>261</v>
      </c>
      <c r="CV130" t="s">
        <v>262</v>
      </c>
      <c r="CX130" t="s">
        <v>263</v>
      </c>
      <c r="CY130" t="s">
        <v>173</v>
      </c>
      <c r="DC130" t="s">
        <v>439</v>
      </c>
      <c r="DD130">
        <v>1</v>
      </c>
      <c r="DE130" t="s">
        <v>307</v>
      </c>
      <c r="DF130" t="s">
        <v>356</v>
      </c>
      <c r="DG130">
        <v>10</v>
      </c>
      <c r="DJ130" t="s">
        <v>201</v>
      </c>
      <c r="DK130" t="s">
        <v>202</v>
      </c>
      <c r="DL130" t="s">
        <v>173</v>
      </c>
      <c r="DM130" t="s">
        <v>173</v>
      </c>
      <c r="DN130" t="s">
        <v>173</v>
      </c>
      <c r="DO130" t="s">
        <v>235</v>
      </c>
      <c r="DP130" t="s">
        <v>172</v>
      </c>
      <c r="DQ130" t="s">
        <v>204</v>
      </c>
      <c r="DR130" t="s">
        <v>437</v>
      </c>
      <c r="DY130">
        <v>40.799999999999997</v>
      </c>
      <c r="EA130" s="117"/>
      <c r="EB130">
        <v>6</v>
      </c>
      <c r="EC130">
        <v>6</v>
      </c>
      <c r="EE130" t="s">
        <v>440</v>
      </c>
      <c r="EF130">
        <v>6</v>
      </c>
      <c r="EV130">
        <v>2000</v>
      </c>
      <c r="EW130">
        <v>339</v>
      </c>
      <c r="EX130">
        <v>247</v>
      </c>
      <c r="EY130">
        <v>298</v>
      </c>
    </row>
    <row r="131" spans="1:155" x14ac:dyDescent="0.35">
      <c r="A131">
        <v>2026</v>
      </c>
      <c r="B131" t="s">
        <v>228</v>
      </c>
      <c r="C131" s="112" t="s">
        <v>228</v>
      </c>
      <c r="D131" t="s">
        <v>441</v>
      </c>
      <c r="E131" t="s">
        <v>230</v>
      </c>
      <c r="F131">
        <v>212</v>
      </c>
      <c r="G131" s="113">
        <v>2</v>
      </c>
      <c r="H131">
        <v>4</v>
      </c>
      <c r="I131" t="s">
        <v>428</v>
      </c>
      <c r="J131">
        <v>25</v>
      </c>
      <c r="K131">
        <v>34</v>
      </c>
      <c r="L131">
        <v>29</v>
      </c>
      <c r="M131">
        <v>32.6</v>
      </c>
      <c r="N131">
        <v>49.7</v>
      </c>
      <c r="O131">
        <v>38.572099999999999</v>
      </c>
      <c r="P131">
        <v>25.203600000000002</v>
      </c>
      <c r="Q131">
        <v>34.2029</v>
      </c>
      <c r="R131">
        <v>28.5885</v>
      </c>
      <c r="T131" t="s">
        <v>168</v>
      </c>
      <c r="U131" t="s">
        <v>169</v>
      </c>
      <c r="V131" t="s">
        <v>429</v>
      </c>
      <c r="W131" t="s">
        <v>430</v>
      </c>
      <c r="Y131">
        <v>8</v>
      </c>
      <c r="Z131" t="s">
        <v>172</v>
      </c>
      <c r="AA131" t="s">
        <v>173</v>
      </c>
      <c r="AB131" t="s">
        <v>170</v>
      </c>
      <c r="AC131" t="s">
        <v>232</v>
      </c>
      <c r="AD131">
        <v>10</v>
      </c>
      <c r="AG131" t="s">
        <v>216</v>
      </c>
      <c r="AH131" t="s">
        <v>217</v>
      </c>
      <c r="AI131" t="s">
        <v>178</v>
      </c>
      <c r="AJ131" t="s">
        <v>179</v>
      </c>
      <c r="AK131" t="s">
        <v>173</v>
      </c>
      <c r="AL131" t="s">
        <v>180</v>
      </c>
      <c r="AO131">
        <v>89</v>
      </c>
      <c r="AP131">
        <v>12</v>
      </c>
      <c r="AS131">
        <v>2150</v>
      </c>
      <c r="AT131">
        <v>2150</v>
      </c>
      <c r="BN131" s="114" t="s">
        <v>256</v>
      </c>
      <c r="BO131">
        <v>2</v>
      </c>
      <c r="BP131">
        <v>2</v>
      </c>
      <c r="BQ131">
        <v>4</v>
      </c>
      <c r="BR131" t="s">
        <v>373</v>
      </c>
      <c r="BS131" t="s">
        <v>182</v>
      </c>
      <c r="BT131" t="s">
        <v>183</v>
      </c>
      <c r="BU131" s="115">
        <v>45764</v>
      </c>
      <c r="BV131">
        <v>36440</v>
      </c>
      <c r="BW131" s="116"/>
      <c r="BY131" t="s">
        <v>173</v>
      </c>
      <c r="CB131" t="s">
        <v>173</v>
      </c>
      <c r="CC131" t="s">
        <v>173</v>
      </c>
      <c r="CE131" t="s">
        <v>173</v>
      </c>
      <c r="CG131" t="s">
        <v>172</v>
      </c>
      <c r="CH131" t="s">
        <v>362</v>
      </c>
      <c r="CI131" t="s">
        <v>172</v>
      </c>
      <c r="CJ131" t="s">
        <v>438</v>
      </c>
      <c r="CK131" t="s">
        <v>259</v>
      </c>
      <c r="CM131">
        <v>1</v>
      </c>
      <c r="CN131" t="s">
        <v>260</v>
      </c>
      <c r="CP131">
        <v>48</v>
      </c>
      <c r="CQ131">
        <v>7.7</v>
      </c>
      <c r="CR131">
        <v>52.9</v>
      </c>
      <c r="CS131" t="s">
        <v>261</v>
      </c>
      <c r="CV131" t="s">
        <v>262</v>
      </c>
      <c r="CX131" t="s">
        <v>263</v>
      </c>
      <c r="CY131" t="s">
        <v>173</v>
      </c>
      <c r="DC131" t="s">
        <v>439</v>
      </c>
      <c r="DD131">
        <v>1</v>
      </c>
      <c r="DE131" t="s">
        <v>307</v>
      </c>
      <c r="DF131" t="s">
        <v>356</v>
      </c>
      <c r="DG131">
        <v>10</v>
      </c>
      <c r="DJ131" t="s">
        <v>201</v>
      </c>
      <c r="DK131" t="s">
        <v>202</v>
      </c>
      <c r="DL131" t="s">
        <v>173</v>
      </c>
      <c r="DM131" t="s">
        <v>173</v>
      </c>
      <c r="DN131" t="s">
        <v>173</v>
      </c>
      <c r="DO131" t="s">
        <v>235</v>
      </c>
      <c r="DP131" t="s">
        <v>172</v>
      </c>
      <c r="DQ131" t="s">
        <v>204</v>
      </c>
      <c r="DR131" t="s">
        <v>441</v>
      </c>
      <c r="DY131">
        <v>38.799999999999997</v>
      </c>
      <c r="EA131" s="117"/>
      <c r="EB131">
        <v>6</v>
      </c>
      <c r="EC131">
        <v>6</v>
      </c>
      <c r="EE131" t="s">
        <v>440</v>
      </c>
      <c r="EF131">
        <v>6</v>
      </c>
      <c r="EV131">
        <v>2250</v>
      </c>
      <c r="EW131">
        <v>353</v>
      </c>
      <c r="EX131">
        <v>260</v>
      </c>
      <c r="EY131">
        <v>311</v>
      </c>
    </row>
    <row r="132" spans="1:155" x14ac:dyDescent="0.35">
      <c r="A132">
        <v>2026</v>
      </c>
      <c r="B132" t="s">
        <v>192</v>
      </c>
      <c r="C132" s="112" t="s">
        <v>272</v>
      </c>
      <c r="D132" t="s">
        <v>442</v>
      </c>
      <c r="E132" t="s">
        <v>194</v>
      </c>
      <c r="F132">
        <v>35</v>
      </c>
      <c r="G132" s="113">
        <v>2</v>
      </c>
      <c r="H132">
        <v>4</v>
      </c>
      <c r="I132" t="s">
        <v>274</v>
      </c>
      <c r="J132">
        <v>28</v>
      </c>
      <c r="K132">
        <v>39</v>
      </c>
      <c r="L132">
        <v>32</v>
      </c>
      <c r="M132">
        <v>36.325499999999998</v>
      </c>
      <c r="N132">
        <v>57.777200000000001</v>
      </c>
      <c r="O132">
        <v>43.612099999999998</v>
      </c>
      <c r="P132">
        <v>27.756799999999998</v>
      </c>
      <c r="Q132">
        <v>39.068600000000004</v>
      </c>
      <c r="R132">
        <v>31.914999999999999</v>
      </c>
      <c r="T132" t="s">
        <v>168</v>
      </c>
      <c r="U132" t="s">
        <v>169</v>
      </c>
      <c r="V132" t="s">
        <v>275</v>
      </c>
      <c r="W132" t="s">
        <v>276</v>
      </c>
      <c r="Y132">
        <v>7</v>
      </c>
      <c r="Z132" t="s">
        <v>173</v>
      </c>
      <c r="AA132" t="s">
        <v>173</v>
      </c>
      <c r="AB132" t="s">
        <v>277</v>
      </c>
      <c r="AC132" t="s">
        <v>278</v>
      </c>
      <c r="AD132">
        <v>10</v>
      </c>
      <c r="AG132" t="s">
        <v>176</v>
      </c>
      <c r="AH132" t="s">
        <v>177</v>
      </c>
      <c r="AI132" t="s">
        <v>178</v>
      </c>
      <c r="AJ132" t="s">
        <v>179</v>
      </c>
      <c r="AK132" t="s">
        <v>173</v>
      </c>
      <c r="AL132" t="s">
        <v>180</v>
      </c>
      <c r="AQ132">
        <v>84</v>
      </c>
      <c r="AR132">
        <v>17</v>
      </c>
      <c r="AS132">
        <v>1950</v>
      </c>
      <c r="AT132">
        <v>1950</v>
      </c>
      <c r="BN132" s="114" t="s">
        <v>247</v>
      </c>
      <c r="BO132">
        <v>2</v>
      </c>
      <c r="BP132">
        <v>2</v>
      </c>
      <c r="BQ132">
        <v>4</v>
      </c>
      <c r="BR132" t="s">
        <v>373</v>
      </c>
      <c r="BS132" t="s">
        <v>182</v>
      </c>
      <c r="BT132" t="s">
        <v>183</v>
      </c>
      <c r="BU132" s="115">
        <v>45870</v>
      </c>
      <c r="BV132">
        <v>36950</v>
      </c>
      <c r="BW132" s="116"/>
      <c r="BX132" t="s">
        <v>172</v>
      </c>
      <c r="BY132" t="s">
        <v>173</v>
      </c>
      <c r="CB132" t="s">
        <v>173</v>
      </c>
      <c r="CC132" t="s">
        <v>173</v>
      </c>
      <c r="CE132" t="s">
        <v>173</v>
      </c>
      <c r="CG132" t="s">
        <v>172</v>
      </c>
      <c r="CH132" t="s">
        <v>199</v>
      </c>
      <c r="CI132" t="s">
        <v>172</v>
      </c>
      <c r="CJ132" t="s">
        <v>200</v>
      </c>
      <c r="DJ132" t="s">
        <v>250</v>
      </c>
      <c r="DK132" t="s">
        <v>251</v>
      </c>
      <c r="DN132" t="s">
        <v>173</v>
      </c>
      <c r="DO132" t="s">
        <v>203</v>
      </c>
      <c r="DP132" t="s">
        <v>172</v>
      </c>
      <c r="DQ132" t="s">
        <v>204</v>
      </c>
      <c r="DY132">
        <v>43.9</v>
      </c>
      <c r="EA132" s="117"/>
      <c r="EB132">
        <v>6</v>
      </c>
      <c r="EC132">
        <v>6</v>
      </c>
      <c r="EE132" t="s">
        <v>279</v>
      </c>
      <c r="EF132">
        <v>6</v>
      </c>
      <c r="EV132">
        <v>1250</v>
      </c>
      <c r="EW132">
        <v>318</v>
      </c>
      <c r="EX132">
        <v>225</v>
      </c>
      <c r="EY132">
        <v>276</v>
      </c>
    </row>
    <row r="133" spans="1:155" x14ac:dyDescent="0.35">
      <c r="A133">
        <v>2026</v>
      </c>
      <c r="B133" t="s">
        <v>192</v>
      </c>
      <c r="C133" s="112" t="s">
        <v>272</v>
      </c>
      <c r="D133" t="s">
        <v>443</v>
      </c>
      <c r="E133" t="s">
        <v>194</v>
      </c>
      <c r="F133">
        <v>57</v>
      </c>
      <c r="G133" s="113">
        <v>2</v>
      </c>
      <c r="H133">
        <v>4</v>
      </c>
      <c r="I133" t="s">
        <v>274</v>
      </c>
      <c r="J133">
        <v>28</v>
      </c>
      <c r="K133">
        <v>39</v>
      </c>
      <c r="L133">
        <v>32</v>
      </c>
      <c r="M133">
        <v>36.809100000000001</v>
      </c>
      <c r="N133">
        <v>57.111800000000002</v>
      </c>
      <c r="O133">
        <v>43.818800000000003</v>
      </c>
      <c r="P133">
        <v>28.0838</v>
      </c>
      <c r="Q133">
        <v>38.674100000000003</v>
      </c>
      <c r="R133">
        <v>32.030900000000003</v>
      </c>
      <c r="T133" t="s">
        <v>168</v>
      </c>
      <c r="U133" t="s">
        <v>169</v>
      </c>
      <c r="V133" t="s">
        <v>275</v>
      </c>
      <c r="W133" t="s">
        <v>276</v>
      </c>
      <c r="Y133">
        <v>7</v>
      </c>
      <c r="Z133" t="s">
        <v>173</v>
      </c>
      <c r="AA133" t="s">
        <v>173</v>
      </c>
      <c r="AB133" t="s">
        <v>277</v>
      </c>
      <c r="AC133" t="s">
        <v>278</v>
      </c>
      <c r="AD133">
        <v>10</v>
      </c>
      <c r="AG133" t="s">
        <v>176</v>
      </c>
      <c r="AH133" t="s">
        <v>177</v>
      </c>
      <c r="AI133" t="s">
        <v>178</v>
      </c>
      <c r="AJ133" t="s">
        <v>179</v>
      </c>
      <c r="AK133" t="s">
        <v>173</v>
      </c>
      <c r="AL133" t="s">
        <v>180</v>
      </c>
      <c r="AQ133">
        <v>84</v>
      </c>
      <c r="AR133">
        <v>17</v>
      </c>
      <c r="AS133">
        <v>1950</v>
      </c>
      <c r="AT133">
        <v>1950</v>
      </c>
      <c r="BN133" s="114" t="s">
        <v>247</v>
      </c>
      <c r="BO133">
        <v>2</v>
      </c>
      <c r="BP133">
        <v>2</v>
      </c>
      <c r="BQ133">
        <v>4</v>
      </c>
      <c r="BR133" t="s">
        <v>373</v>
      </c>
      <c r="BS133" t="s">
        <v>182</v>
      </c>
      <c r="BT133" t="s">
        <v>183</v>
      </c>
      <c r="BU133" s="115">
        <v>45870</v>
      </c>
      <c r="BV133">
        <v>36945</v>
      </c>
      <c r="BW133" s="116"/>
      <c r="BX133" t="s">
        <v>172</v>
      </c>
      <c r="BY133" t="s">
        <v>173</v>
      </c>
      <c r="CB133" t="s">
        <v>173</v>
      </c>
      <c r="CC133" t="s">
        <v>173</v>
      </c>
      <c r="CE133" t="s">
        <v>173</v>
      </c>
      <c r="CG133" t="s">
        <v>172</v>
      </c>
      <c r="CH133" t="s">
        <v>199</v>
      </c>
      <c r="CI133" t="s">
        <v>172</v>
      </c>
      <c r="CJ133" t="s">
        <v>200</v>
      </c>
      <c r="DJ133" t="s">
        <v>250</v>
      </c>
      <c r="DK133" t="s">
        <v>251</v>
      </c>
      <c r="DN133" t="s">
        <v>173</v>
      </c>
      <c r="DO133" t="s">
        <v>203</v>
      </c>
      <c r="DP133" t="s">
        <v>172</v>
      </c>
      <c r="DQ133" t="s">
        <v>204</v>
      </c>
      <c r="DY133">
        <v>44.1</v>
      </c>
      <c r="EA133" s="117"/>
      <c r="EB133">
        <v>6</v>
      </c>
      <c r="EC133">
        <v>6</v>
      </c>
      <c r="EE133" t="s">
        <v>279</v>
      </c>
      <c r="EF133">
        <v>6</v>
      </c>
      <c r="EV133">
        <v>1250</v>
      </c>
      <c r="EW133">
        <v>311</v>
      </c>
      <c r="EX133">
        <v>226</v>
      </c>
      <c r="EY133">
        <v>273</v>
      </c>
    </row>
    <row r="134" spans="1:155" x14ac:dyDescent="0.35">
      <c r="A134">
        <v>2026</v>
      </c>
      <c r="B134" t="s">
        <v>242</v>
      </c>
      <c r="C134" s="112" t="s">
        <v>239</v>
      </c>
      <c r="D134" t="s">
        <v>1191</v>
      </c>
      <c r="E134" t="s">
        <v>245</v>
      </c>
      <c r="F134">
        <v>105</v>
      </c>
      <c r="G134" s="113">
        <v>2</v>
      </c>
      <c r="H134">
        <v>4</v>
      </c>
      <c r="I134" t="s">
        <v>487</v>
      </c>
      <c r="J134">
        <v>32</v>
      </c>
      <c r="K134">
        <v>41</v>
      </c>
      <c r="L134">
        <v>35</v>
      </c>
      <c r="M134">
        <v>43.5</v>
      </c>
      <c r="N134">
        <v>62.699399999999997</v>
      </c>
      <c r="O134">
        <v>50.452100000000002</v>
      </c>
      <c r="P134">
        <v>32</v>
      </c>
      <c r="Q134">
        <v>41</v>
      </c>
      <c r="R134">
        <v>35</v>
      </c>
      <c r="U134" t="s">
        <v>215</v>
      </c>
      <c r="V134" t="s">
        <v>488</v>
      </c>
      <c r="W134" t="s">
        <v>489</v>
      </c>
      <c r="Y134">
        <v>1</v>
      </c>
      <c r="Z134" t="s">
        <v>172</v>
      </c>
      <c r="AA134" t="s">
        <v>173</v>
      </c>
      <c r="AB134" t="s">
        <v>277</v>
      </c>
      <c r="AC134" t="s">
        <v>278</v>
      </c>
      <c r="AD134">
        <v>15</v>
      </c>
      <c r="AG134" t="s">
        <v>167</v>
      </c>
      <c r="AH134" t="s">
        <v>416</v>
      </c>
      <c r="AI134" t="s">
        <v>178</v>
      </c>
      <c r="AJ134" t="s">
        <v>179</v>
      </c>
      <c r="AK134" t="s">
        <v>173</v>
      </c>
      <c r="AL134" t="s">
        <v>180</v>
      </c>
      <c r="AO134">
        <v>89</v>
      </c>
      <c r="AP134">
        <v>13</v>
      </c>
      <c r="AS134">
        <v>1400</v>
      </c>
      <c r="AT134">
        <v>1400</v>
      </c>
      <c r="BN134" s="114" t="s">
        <v>247</v>
      </c>
      <c r="BO134">
        <v>2</v>
      </c>
      <c r="BP134">
        <v>2</v>
      </c>
      <c r="BQ134">
        <v>4</v>
      </c>
      <c r="BR134" t="s">
        <v>373</v>
      </c>
      <c r="BS134" t="s">
        <v>182</v>
      </c>
      <c r="BT134" t="s">
        <v>183</v>
      </c>
      <c r="BU134" s="115">
        <v>45886</v>
      </c>
      <c r="BV134">
        <v>37506</v>
      </c>
      <c r="BW134" s="116"/>
      <c r="BX134" t="s">
        <v>173</v>
      </c>
      <c r="BY134" t="s">
        <v>173</v>
      </c>
      <c r="CB134" t="s">
        <v>173</v>
      </c>
      <c r="CC134" t="s">
        <v>173</v>
      </c>
      <c r="CE134" t="s">
        <v>173</v>
      </c>
      <c r="CG134" t="s">
        <v>172</v>
      </c>
      <c r="CH134" t="s">
        <v>249</v>
      </c>
      <c r="CI134" t="s">
        <v>173</v>
      </c>
      <c r="DJ134" t="s">
        <v>250</v>
      </c>
      <c r="DK134" t="s">
        <v>251</v>
      </c>
      <c r="DN134" t="s">
        <v>173</v>
      </c>
      <c r="DO134" t="s">
        <v>516</v>
      </c>
      <c r="DP134" t="s">
        <v>173</v>
      </c>
      <c r="DQ134" t="s">
        <v>189</v>
      </c>
      <c r="DR134" t="s">
        <v>1192</v>
      </c>
      <c r="DY134">
        <v>51.5</v>
      </c>
      <c r="EA134" s="117"/>
      <c r="EB134">
        <v>6</v>
      </c>
      <c r="EC134">
        <v>6</v>
      </c>
      <c r="EE134" t="s">
        <v>1193</v>
      </c>
      <c r="EF134">
        <v>5</v>
      </c>
      <c r="EU134">
        <v>1500</v>
      </c>
      <c r="EW134">
        <v>277</v>
      </c>
      <c r="EX134">
        <v>216</v>
      </c>
      <c r="EY134">
        <v>254</v>
      </c>
    </row>
    <row r="135" spans="1:155" x14ac:dyDescent="0.35">
      <c r="A135">
        <v>2026</v>
      </c>
      <c r="B135" t="s">
        <v>242</v>
      </c>
      <c r="C135" s="112" t="s">
        <v>239</v>
      </c>
      <c r="D135" t="s">
        <v>1191</v>
      </c>
      <c r="E135" t="s">
        <v>245</v>
      </c>
      <c r="F135">
        <v>106</v>
      </c>
      <c r="G135" s="113">
        <v>2</v>
      </c>
      <c r="H135">
        <v>4</v>
      </c>
      <c r="I135" t="s">
        <v>487</v>
      </c>
      <c r="J135">
        <v>31</v>
      </c>
      <c r="K135">
        <v>40</v>
      </c>
      <c r="L135">
        <v>34</v>
      </c>
      <c r="M135">
        <v>41</v>
      </c>
      <c r="N135">
        <v>58.7</v>
      </c>
      <c r="O135">
        <v>47.436700000000002</v>
      </c>
      <c r="P135">
        <v>30.877400000000002</v>
      </c>
      <c r="Q135">
        <v>39.613700000000001</v>
      </c>
      <c r="R135">
        <v>34.279299999999999</v>
      </c>
      <c r="U135" t="s">
        <v>215</v>
      </c>
      <c r="V135" t="s">
        <v>488</v>
      </c>
      <c r="W135" t="s">
        <v>489</v>
      </c>
      <c r="Y135">
        <v>1</v>
      </c>
      <c r="Z135" t="s">
        <v>172</v>
      </c>
      <c r="AA135" t="s">
        <v>173</v>
      </c>
      <c r="AB135" t="s">
        <v>277</v>
      </c>
      <c r="AC135" t="s">
        <v>278</v>
      </c>
      <c r="AD135">
        <v>15</v>
      </c>
      <c r="AG135" t="s">
        <v>167</v>
      </c>
      <c r="AH135" t="s">
        <v>416</v>
      </c>
      <c r="AI135" t="s">
        <v>178</v>
      </c>
      <c r="AJ135" t="s">
        <v>179</v>
      </c>
      <c r="AK135" t="s">
        <v>173</v>
      </c>
      <c r="AL135" t="s">
        <v>180</v>
      </c>
      <c r="AO135">
        <v>89</v>
      </c>
      <c r="AP135">
        <v>13</v>
      </c>
      <c r="AS135">
        <v>1450</v>
      </c>
      <c r="AT135">
        <v>1450</v>
      </c>
      <c r="BN135" s="114" t="s">
        <v>247</v>
      </c>
      <c r="BO135">
        <v>2</v>
      </c>
      <c r="BP135">
        <v>2</v>
      </c>
      <c r="BQ135">
        <v>4</v>
      </c>
      <c r="BR135" t="s">
        <v>373</v>
      </c>
      <c r="BS135" t="s">
        <v>182</v>
      </c>
      <c r="BT135" t="s">
        <v>183</v>
      </c>
      <c r="BU135" s="115">
        <v>45886</v>
      </c>
      <c r="BV135">
        <v>37507</v>
      </c>
      <c r="BW135" s="116"/>
      <c r="BX135" t="s">
        <v>173</v>
      </c>
      <c r="BY135" t="s">
        <v>173</v>
      </c>
      <c r="CB135" t="s">
        <v>173</v>
      </c>
      <c r="CC135" t="s">
        <v>173</v>
      </c>
      <c r="CE135" t="s">
        <v>173</v>
      </c>
      <c r="CG135" t="s">
        <v>172</v>
      </c>
      <c r="CH135" t="s">
        <v>249</v>
      </c>
      <c r="CI135" t="s">
        <v>173</v>
      </c>
      <c r="DJ135" t="s">
        <v>250</v>
      </c>
      <c r="DK135" t="s">
        <v>251</v>
      </c>
      <c r="DN135" t="s">
        <v>173</v>
      </c>
      <c r="DO135" t="s">
        <v>516</v>
      </c>
      <c r="DP135" t="s">
        <v>173</v>
      </c>
      <c r="DQ135" t="s">
        <v>189</v>
      </c>
      <c r="DR135" t="s">
        <v>1194</v>
      </c>
      <c r="DY135">
        <v>48</v>
      </c>
      <c r="EA135" s="117"/>
      <c r="EB135">
        <v>6</v>
      </c>
      <c r="EC135">
        <v>6</v>
      </c>
      <c r="EE135" t="s">
        <v>1193</v>
      </c>
      <c r="EF135">
        <v>5</v>
      </c>
      <c r="EU135">
        <v>1250</v>
      </c>
      <c r="EW135">
        <v>286</v>
      </c>
      <c r="EX135">
        <v>223</v>
      </c>
      <c r="EY135">
        <v>257</v>
      </c>
    </row>
    <row r="136" spans="1:155" x14ac:dyDescent="0.35">
      <c r="A136">
        <v>2026</v>
      </c>
      <c r="B136" t="s">
        <v>242</v>
      </c>
      <c r="C136" s="112" t="s">
        <v>239</v>
      </c>
      <c r="D136" t="s">
        <v>1191</v>
      </c>
      <c r="E136" t="s">
        <v>245</v>
      </c>
      <c r="F136">
        <v>107</v>
      </c>
      <c r="G136" s="113">
        <v>2</v>
      </c>
      <c r="H136">
        <v>4</v>
      </c>
      <c r="I136" t="s">
        <v>1195</v>
      </c>
      <c r="J136">
        <v>31</v>
      </c>
      <c r="K136">
        <v>38</v>
      </c>
      <c r="L136">
        <v>34</v>
      </c>
      <c r="M136">
        <v>40.5</v>
      </c>
      <c r="N136">
        <v>56.8</v>
      </c>
      <c r="O136">
        <v>46.505600000000001</v>
      </c>
      <c r="P136">
        <v>30.547899999999998</v>
      </c>
      <c r="Q136">
        <v>38.488900000000001</v>
      </c>
      <c r="R136">
        <v>33.674300000000002</v>
      </c>
      <c r="U136" t="s">
        <v>215</v>
      </c>
      <c r="V136" t="s">
        <v>497</v>
      </c>
      <c r="W136" t="s">
        <v>498</v>
      </c>
      <c r="Y136">
        <v>10</v>
      </c>
      <c r="Z136" t="s">
        <v>172</v>
      </c>
      <c r="AA136" t="s">
        <v>173</v>
      </c>
      <c r="AB136" t="s">
        <v>277</v>
      </c>
      <c r="AC136" t="s">
        <v>278</v>
      </c>
      <c r="AD136">
        <v>15</v>
      </c>
      <c r="AG136" t="s">
        <v>167</v>
      </c>
      <c r="AH136" t="s">
        <v>416</v>
      </c>
      <c r="AI136" t="s">
        <v>178</v>
      </c>
      <c r="AJ136" t="s">
        <v>179</v>
      </c>
      <c r="AK136" t="s">
        <v>173</v>
      </c>
      <c r="AL136" t="s">
        <v>180</v>
      </c>
      <c r="AO136">
        <v>89</v>
      </c>
      <c r="AP136">
        <v>13</v>
      </c>
      <c r="AS136">
        <v>1450</v>
      </c>
      <c r="AT136">
        <v>1450</v>
      </c>
      <c r="BN136" s="114" t="s">
        <v>247</v>
      </c>
      <c r="BO136">
        <v>2</v>
      </c>
      <c r="BP136">
        <v>2</v>
      </c>
      <c r="BQ136">
        <v>4</v>
      </c>
      <c r="BR136" t="s">
        <v>373</v>
      </c>
      <c r="BS136" t="s">
        <v>182</v>
      </c>
      <c r="BT136" t="s">
        <v>183</v>
      </c>
      <c r="BU136" s="115">
        <v>45886</v>
      </c>
      <c r="BV136">
        <v>37508</v>
      </c>
      <c r="BW136" s="116"/>
      <c r="BX136" t="s">
        <v>173</v>
      </c>
      <c r="BY136" t="s">
        <v>173</v>
      </c>
      <c r="CB136" t="s">
        <v>173</v>
      </c>
      <c r="CC136" t="s">
        <v>173</v>
      </c>
      <c r="CE136" t="s">
        <v>173</v>
      </c>
      <c r="CG136" t="s">
        <v>172</v>
      </c>
      <c r="CH136" t="s">
        <v>249</v>
      </c>
      <c r="CI136" t="s">
        <v>173</v>
      </c>
      <c r="DJ136" t="s">
        <v>250</v>
      </c>
      <c r="DK136" t="s">
        <v>251</v>
      </c>
      <c r="DN136" t="s">
        <v>173</v>
      </c>
      <c r="DO136" t="s">
        <v>516</v>
      </c>
      <c r="DP136" t="s">
        <v>173</v>
      </c>
      <c r="DQ136" t="s">
        <v>189</v>
      </c>
      <c r="DY136">
        <v>47</v>
      </c>
      <c r="EA136" s="117"/>
      <c r="EB136">
        <v>6</v>
      </c>
      <c r="EC136">
        <v>6</v>
      </c>
      <c r="EE136" t="s">
        <v>1193</v>
      </c>
      <c r="EF136">
        <v>5</v>
      </c>
      <c r="EU136">
        <v>1250</v>
      </c>
      <c r="EW136">
        <v>292</v>
      </c>
      <c r="EX136">
        <v>232</v>
      </c>
      <c r="EY136">
        <v>265</v>
      </c>
    </row>
    <row r="137" spans="1:155" x14ac:dyDescent="0.35">
      <c r="A137">
        <v>2026</v>
      </c>
      <c r="B137" t="s">
        <v>242</v>
      </c>
      <c r="C137" s="112" t="s">
        <v>239</v>
      </c>
      <c r="D137" t="s">
        <v>1196</v>
      </c>
      <c r="E137" t="s">
        <v>245</v>
      </c>
      <c r="F137">
        <v>135</v>
      </c>
      <c r="G137" s="113">
        <v>2</v>
      </c>
      <c r="H137">
        <v>4</v>
      </c>
      <c r="I137" t="s">
        <v>1195</v>
      </c>
      <c r="J137">
        <v>32</v>
      </c>
      <c r="K137">
        <v>41</v>
      </c>
      <c r="L137">
        <v>35</v>
      </c>
      <c r="M137">
        <v>42.796300000000002</v>
      </c>
      <c r="N137">
        <v>62.2</v>
      </c>
      <c r="O137">
        <v>49.785200000000003</v>
      </c>
      <c r="P137">
        <v>32.052799999999998</v>
      </c>
      <c r="Q137">
        <v>41</v>
      </c>
      <c r="R137">
        <v>35</v>
      </c>
      <c r="U137" t="s">
        <v>215</v>
      </c>
      <c r="V137" t="s">
        <v>497</v>
      </c>
      <c r="W137" t="s">
        <v>498</v>
      </c>
      <c r="Y137">
        <v>10</v>
      </c>
      <c r="Z137" t="s">
        <v>172</v>
      </c>
      <c r="AA137" t="s">
        <v>173</v>
      </c>
      <c r="AB137" t="s">
        <v>277</v>
      </c>
      <c r="AC137" t="s">
        <v>278</v>
      </c>
      <c r="AD137">
        <v>15</v>
      </c>
      <c r="AG137" t="s">
        <v>167</v>
      </c>
      <c r="AH137" t="s">
        <v>416</v>
      </c>
      <c r="AI137" t="s">
        <v>178</v>
      </c>
      <c r="AJ137" t="s">
        <v>179</v>
      </c>
      <c r="AK137" t="s">
        <v>173</v>
      </c>
      <c r="AL137" t="s">
        <v>180</v>
      </c>
      <c r="AQ137">
        <v>85</v>
      </c>
      <c r="AR137">
        <v>18</v>
      </c>
      <c r="AS137">
        <v>1400</v>
      </c>
      <c r="AT137">
        <v>1400</v>
      </c>
      <c r="BN137" s="114" t="s">
        <v>247</v>
      </c>
      <c r="BO137">
        <v>2</v>
      </c>
      <c r="BP137">
        <v>2</v>
      </c>
      <c r="BQ137">
        <v>4</v>
      </c>
      <c r="BR137" t="s">
        <v>373</v>
      </c>
      <c r="BS137" t="s">
        <v>182</v>
      </c>
      <c r="BT137" t="s">
        <v>183</v>
      </c>
      <c r="BU137" s="115">
        <v>45917</v>
      </c>
      <c r="BV137">
        <v>37511</v>
      </c>
      <c r="BW137" s="116"/>
      <c r="BX137" t="s">
        <v>172</v>
      </c>
      <c r="BY137" t="s">
        <v>173</v>
      </c>
      <c r="CB137" t="s">
        <v>173</v>
      </c>
      <c r="CC137" t="s">
        <v>173</v>
      </c>
      <c r="CE137" t="s">
        <v>173</v>
      </c>
      <c r="CG137" t="s">
        <v>172</v>
      </c>
      <c r="CH137" t="s">
        <v>249</v>
      </c>
      <c r="CI137" t="s">
        <v>173</v>
      </c>
      <c r="DJ137" t="s">
        <v>250</v>
      </c>
      <c r="DK137" t="s">
        <v>251</v>
      </c>
      <c r="DN137" t="s">
        <v>173</v>
      </c>
      <c r="DO137" t="s">
        <v>516</v>
      </c>
      <c r="DP137" t="s">
        <v>173</v>
      </c>
      <c r="DQ137" t="s">
        <v>189</v>
      </c>
      <c r="DY137">
        <v>50.3</v>
      </c>
      <c r="EA137" s="117"/>
      <c r="EB137">
        <v>6</v>
      </c>
      <c r="EC137">
        <v>6</v>
      </c>
      <c r="EE137" t="s">
        <v>1193</v>
      </c>
      <c r="EF137">
        <v>5</v>
      </c>
      <c r="EU137">
        <v>1500</v>
      </c>
      <c r="EW137">
        <v>278</v>
      </c>
      <c r="EX137">
        <v>217</v>
      </c>
      <c r="EY137">
        <v>254</v>
      </c>
    </row>
    <row r="138" spans="1:155" x14ac:dyDescent="0.35">
      <c r="A138">
        <v>2026</v>
      </c>
      <c r="B138" t="s">
        <v>242</v>
      </c>
      <c r="C138" s="112" t="s">
        <v>239</v>
      </c>
      <c r="D138" t="s">
        <v>1197</v>
      </c>
      <c r="E138" t="s">
        <v>245</v>
      </c>
      <c r="F138">
        <v>137</v>
      </c>
      <c r="G138" s="113">
        <v>2</v>
      </c>
      <c r="H138">
        <v>4</v>
      </c>
      <c r="I138" t="s">
        <v>1195</v>
      </c>
      <c r="J138">
        <v>30</v>
      </c>
      <c r="K138">
        <v>38</v>
      </c>
      <c r="L138">
        <v>33</v>
      </c>
      <c r="M138">
        <v>40.4</v>
      </c>
      <c r="N138">
        <v>55.3</v>
      </c>
      <c r="O138">
        <v>45.974299999999999</v>
      </c>
      <c r="P138">
        <v>30.4819</v>
      </c>
      <c r="Q138">
        <v>37.5944</v>
      </c>
      <c r="R138">
        <v>33.3185</v>
      </c>
      <c r="U138" t="s">
        <v>215</v>
      </c>
      <c r="V138" t="s">
        <v>497</v>
      </c>
      <c r="W138" t="s">
        <v>498</v>
      </c>
      <c r="Y138">
        <v>10</v>
      </c>
      <c r="Z138" t="s">
        <v>172</v>
      </c>
      <c r="AA138" t="s">
        <v>173</v>
      </c>
      <c r="AB138" t="s">
        <v>277</v>
      </c>
      <c r="AC138" t="s">
        <v>278</v>
      </c>
      <c r="AD138">
        <v>15</v>
      </c>
      <c r="AG138" t="s">
        <v>167</v>
      </c>
      <c r="AH138" t="s">
        <v>416</v>
      </c>
      <c r="AI138" t="s">
        <v>178</v>
      </c>
      <c r="AJ138" t="s">
        <v>179</v>
      </c>
      <c r="AK138" t="s">
        <v>173</v>
      </c>
      <c r="AL138" t="s">
        <v>180</v>
      </c>
      <c r="AQ138">
        <v>85</v>
      </c>
      <c r="AR138">
        <v>18</v>
      </c>
      <c r="AS138">
        <v>1500</v>
      </c>
      <c r="AT138">
        <v>1500</v>
      </c>
      <c r="BN138" s="114" t="s">
        <v>247</v>
      </c>
      <c r="BO138">
        <v>2</v>
      </c>
      <c r="BP138">
        <v>2</v>
      </c>
      <c r="BQ138">
        <v>4</v>
      </c>
      <c r="BR138" t="s">
        <v>373</v>
      </c>
      <c r="BS138" t="s">
        <v>182</v>
      </c>
      <c r="BT138" t="s">
        <v>183</v>
      </c>
      <c r="BU138" s="115">
        <v>45917</v>
      </c>
      <c r="BV138">
        <v>37510</v>
      </c>
      <c r="BW138" s="116"/>
      <c r="BX138" t="s">
        <v>172</v>
      </c>
      <c r="BY138" t="s">
        <v>173</v>
      </c>
      <c r="CB138" t="s">
        <v>173</v>
      </c>
      <c r="CC138" t="s">
        <v>173</v>
      </c>
      <c r="CE138" t="s">
        <v>173</v>
      </c>
      <c r="CG138" t="s">
        <v>172</v>
      </c>
      <c r="CH138" t="s">
        <v>249</v>
      </c>
      <c r="CI138" t="s">
        <v>173</v>
      </c>
      <c r="DJ138" t="s">
        <v>250</v>
      </c>
      <c r="DK138" t="s">
        <v>251</v>
      </c>
      <c r="DN138" t="s">
        <v>173</v>
      </c>
      <c r="DO138" t="s">
        <v>516</v>
      </c>
      <c r="DP138" t="s">
        <v>173</v>
      </c>
      <c r="DQ138" t="s">
        <v>189</v>
      </c>
      <c r="DY138">
        <v>46.5</v>
      </c>
      <c r="EA138" s="117"/>
      <c r="EB138">
        <v>6</v>
      </c>
      <c r="EC138">
        <v>6</v>
      </c>
      <c r="EE138" t="s">
        <v>1193</v>
      </c>
      <c r="EF138">
        <v>5</v>
      </c>
      <c r="EU138">
        <v>1000</v>
      </c>
      <c r="EW138">
        <v>292</v>
      </c>
      <c r="EX138">
        <v>237</v>
      </c>
      <c r="EY138">
        <v>267</v>
      </c>
    </row>
    <row r="139" spans="1:155" x14ac:dyDescent="0.35">
      <c r="A139">
        <v>2026</v>
      </c>
      <c r="B139" t="s">
        <v>242</v>
      </c>
      <c r="C139" s="112" t="s">
        <v>239</v>
      </c>
      <c r="D139" t="s">
        <v>1198</v>
      </c>
      <c r="E139" t="s">
        <v>245</v>
      </c>
      <c r="F139">
        <v>136</v>
      </c>
      <c r="G139" s="113">
        <v>2</v>
      </c>
      <c r="H139">
        <v>4</v>
      </c>
      <c r="I139" t="s">
        <v>1195</v>
      </c>
      <c r="J139">
        <v>30</v>
      </c>
      <c r="K139">
        <v>38</v>
      </c>
      <c r="L139">
        <v>33</v>
      </c>
      <c r="M139">
        <v>39.5</v>
      </c>
      <c r="N139">
        <v>56.5</v>
      </c>
      <c r="O139">
        <v>45.6858</v>
      </c>
      <c r="P139">
        <v>29.885899999999999</v>
      </c>
      <c r="Q139">
        <v>38.310499999999998</v>
      </c>
      <c r="R139">
        <v>33.168100000000003</v>
      </c>
      <c r="U139" t="s">
        <v>215</v>
      </c>
      <c r="V139" t="s">
        <v>497</v>
      </c>
      <c r="W139" t="s">
        <v>498</v>
      </c>
      <c r="Y139">
        <v>10</v>
      </c>
      <c r="Z139" t="s">
        <v>172</v>
      </c>
      <c r="AA139" t="s">
        <v>173</v>
      </c>
      <c r="AB139" t="s">
        <v>277</v>
      </c>
      <c r="AC139" t="s">
        <v>278</v>
      </c>
      <c r="AD139">
        <v>15</v>
      </c>
      <c r="AG139" t="s">
        <v>167</v>
      </c>
      <c r="AH139" t="s">
        <v>416</v>
      </c>
      <c r="AI139" t="s">
        <v>178</v>
      </c>
      <c r="AJ139" t="s">
        <v>179</v>
      </c>
      <c r="AK139" t="s">
        <v>173</v>
      </c>
      <c r="AL139" t="s">
        <v>180</v>
      </c>
      <c r="AQ139">
        <v>85</v>
      </c>
      <c r="AR139">
        <v>18</v>
      </c>
      <c r="AS139">
        <v>1500</v>
      </c>
      <c r="AT139">
        <v>1500</v>
      </c>
      <c r="BN139" s="114" t="s">
        <v>247</v>
      </c>
      <c r="BO139">
        <v>2</v>
      </c>
      <c r="BP139">
        <v>2</v>
      </c>
      <c r="BQ139">
        <v>4</v>
      </c>
      <c r="BR139" t="s">
        <v>373</v>
      </c>
      <c r="BS139" t="s">
        <v>182</v>
      </c>
      <c r="BT139" t="s">
        <v>183</v>
      </c>
      <c r="BU139" s="115">
        <v>45917</v>
      </c>
      <c r="BV139">
        <v>37509</v>
      </c>
      <c r="BW139" s="116"/>
      <c r="BX139" t="s">
        <v>172</v>
      </c>
      <c r="BY139" t="s">
        <v>173</v>
      </c>
      <c r="CB139" t="s">
        <v>173</v>
      </c>
      <c r="CC139" t="s">
        <v>173</v>
      </c>
      <c r="CE139" t="s">
        <v>173</v>
      </c>
      <c r="CG139" t="s">
        <v>172</v>
      </c>
      <c r="CH139" t="s">
        <v>249</v>
      </c>
      <c r="CI139" t="s">
        <v>173</v>
      </c>
      <c r="DJ139" t="s">
        <v>250</v>
      </c>
      <c r="DK139" t="s">
        <v>251</v>
      </c>
      <c r="DN139" t="s">
        <v>173</v>
      </c>
      <c r="DO139" t="s">
        <v>516</v>
      </c>
      <c r="DP139" t="s">
        <v>173</v>
      </c>
      <c r="DQ139" t="s">
        <v>189</v>
      </c>
      <c r="DY139">
        <v>46.2</v>
      </c>
      <c r="EA139" s="117"/>
      <c r="EB139">
        <v>6</v>
      </c>
      <c r="EC139">
        <v>6</v>
      </c>
      <c r="EE139" t="s">
        <v>1193</v>
      </c>
      <c r="EF139">
        <v>5</v>
      </c>
      <c r="EU139">
        <v>1000</v>
      </c>
      <c r="EW139">
        <v>295</v>
      </c>
      <c r="EX139">
        <v>230</v>
      </c>
      <c r="EY139">
        <v>266</v>
      </c>
    </row>
    <row r="140" spans="1:155" x14ac:dyDescent="0.35">
      <c r="A140">
        <v>2026</v>
      </c>
      <c r="B140" t="s">
        <v>242</v>
      </c>
      <c r="C140" s="112" t="s">
        <v>239</v>
      </c>
      <c r="D140" t="s">
        <v>1199</v>
      </c>
      <c r="E140" t="s">
        <v>245</v>
      </c>
      <c r="F140">
        <v>96</v>
      </c>
      <c r="G140" s="113">
        <v>1.8</v>
      </c>
      <c r="H140">
        <v>4</v>
      </c>
      <c r="I140" t="s">
        <v>487</v>
      </c>
      <c r="J140">
        <v>50</v>
      </c>
      <c r="K140">
        <v>43</v>
      </c>
      <c r="L140">
        <v>47</v>
      </c>
      <c r="M140">
        <v>70.8</v>
      </c>
      <c r="N140">
        <v>64.2</v>
      </c>
      <c r="O140">
        <v>67.669499999999999</v>
      </c>
      <c r="P140">
        <v>50.384599999999999</v>
      </c>
      <c r="Q140">
        <v>43</v>
      </c>
      <c r="R140">
        <v>47</v>
      </c>
      <c r="U140" t="s">
        <v>215</v>
      </c>
      <c r="V140" t="s">
        <v>488</v>
      </c>
      <c r="W140" t="s">
        <v>489</v>
      </c>
      <c r="Y140">
        <v>1</v>
      </c>
      <c r="Z140" t="s">
        <v>173</v>
      </c>
      <c r="AA140" t="s">
        <v>173</v>
      </c>
      <c r="AB140" t="s">
        <v>277</v>
      </c>
      <c r="AC140" t="s">
        <v>278</v>
      </c>
      <c r="AD140">
        <v>15</v>
      </c>
      <c r="AG140" t="s">
        <v>167</v>
      </c>
      <c r="AH140" t="s">
        <v>416</v>
      </c>
      <c r="AI140" t="s">
        <v>178</v>
      </c>
      <c r="AJ140" t="s">
        <v>179</v>
      </c>
      <c r="AK140" t="s">
        <v>173</v>
      </c>
      <c r="AL140" t="s">
        <v>180</v>
      </c>
      <c r="AO140">
        <v>89</v>
      </c>
      <c r="AP140">
        <v>13</v>
      </c>
      <c r="AS140">
        <v>1050</v>
      </c>
      <c r="AT140">
        <v>1050</v>
      </c>
      <c r="BN140" s="114" t="s">
        <v>558</v>
      </c>
      <c r="BO140">
        <v>2</v>
      </c>
      <c r="BP140">
        <v>2</v>
      </c>
      <c r="BQ140">
        <v>4</v>
      </c>
      <c r="BR140" t="s">
        <v>373</v>
      </c>
      <c r="BS140" t="s">
        <v>182</v>
      </c>
      <c r="BT140" t="s">
        <v>218</v>
      </c>
      <c r="BU140" s="115">
        <v>45870</v>
      </c>
      <c r="BV140">
        <v>37502</v>
      </c>
      <c r="BW140" s="116"/>
      <c r="BX140" t="s">
        <v>173</v>
      </c>
      <c r="BY140" t="s">
        <v>173</v>
      </c>
      <c r="CB140" t="s">
        <v>173</v>
      </c>
      <c r="CC140" t="s">
        <v>173</v>
      </c>
      <c r="CE140" t="s">
        <v>173</v>
      </c>
      <c r="CG140" t="s">
        <v>172</v>
      </c>
      <c r="CH140" t="s">
        <v>1013</v>
      </c>
      <c r="CI140" t="s">
        <v>173</v>
      </c>
      <c r="CK140" t="s">
        <v>259</v>
      </c>
      <c r="CM140">
        <v>1</v>
      </c>
      <c r="CN140" t="s">
        <v>260</v>
      </c>
      <c r="CP140">
        <v>207</v>
      </c>
      <c r="CQ140">
        <v>4</v>
      </c>
      <c r="CR140">
        <v>80.7</v>
      </c>
      <c r="CS140" t="s">
        <v>261</v>
      </c>
      <c r="CV140" t="s">
        <v>262</v>
      </c>
      <c r="CX140" t="s">
        <v>263</v>
      </c>
      <c r="CY140" t="s">
        <v>173</v>
      </c>
      <c r="DC140" t="s">
        <v>1200</v>
      </c>
      <c r="DD140">
        <v>2</v>
      </c>
      <c r="DE140" t="s">
        <v>307</v>
      </c>
      <c r="DF140" t="s">
        <v>855</v>
      </c>
      <c r="DG140" t="s">
        <v>1201</v>
      </c>
      <c r="DJ140" t="s">
        <v>186</v>
      </c>
      <c r="DK140" t="s">
        <v>187</v>
      </c>
      <c r="DL140" t="s">
        <v>173</v>
      </c>
      <c r="DM140" t="s">
        <v>173</v>
      </c>
      <c r="DN140" t="s">
        <v>173</v>
      </c>
      <c r="DO140" t="s">
        <v>508</v>
      </c>
      <c r="DP140" t="s">
        <v>172</v>
      </c>
      <c r="DQ140" t="s">
        <v>204</v>
      </c>
      <c r="DR140" t="s">
        <v>509</v>
      </c>
      <c r="DY140">
        <v>68.400000000000006</v>
      </c>
      <c r="EA140" s="117"/>
      <c r="EB140">
        <v>8</v>
      </c>
      <c r="EC140">
        <v>8</v>
      </c>
      <c r="EE140" t="s">
        <v>1202</v>
      </c>
      <c r="EF140">
        <v>6</v>
      </c>
      <c r="EU140">
        <v>3250</v>
      </c>
      <c r="EW140">
        <v>173</v>
      </c>
      <c r="EX140">
        <v>204</v>
      </c>
      <c r="EY140">
        <v>186</v>
      </c>
    </row>
    <row r="141" spans="1:155" x14ac:dyDescent="0.35">
      <c r="A141">
        <v>2026</v>
      </c>
      <c r="B141" t="s">
        <v>242</v>
      </c>
      <c r="C141" s="112" t="s">
        <v>239</v>
      </c>
      <c r="D141" t="s">
        <v>1199</v>
      </c>
      <c r="E141" t="s">
        <v>245</v>
      </c>
      <c r="F141">
        <v>97</v>
      </c>
      <c r="G141" s="113">
        <v>1.8</v>
      </c>
      <c r="H141">
        <v>4</v>
      </c>
      <c r="I141" t="s">
        <v>487</v>
      </c>
      <c r="J141">
        <v>53</v>
      </c>
      <c r="K141">
        <v>46</v>
      </c>
      <c r="L141">
        <v>50</v>
      </c>
      <c r="M141">
        <v>77.099999999999994</v>
      </c>
      <c r="N141">
        <v>72.2</v>
      </c>
      <c r="O141">
        <v>74.815100000000001</v>
      </c>
      <c r="P141">
        <v>53</v>
      </c>
      <c r="Q141">
        <v>46</v>
      </c>
      <c r="R141">
        <v>50</v>
      </c>
      <c r="U141" t="s">
        <v>215</v>
      </c>
      <c r="V141" t="s">
        <v>488</v>
      </c>
      <c r="W141" t="s">
        <v>489</v>
      </c>
      <c r="Y141">
        <v>1</v>
      </c>
      <c r="Z141" t="s">
        <v>173</v>
      </c>
      <c r="AA141" t="s">
        <v>173</v>
      </c>
      <c r="AB141" t="s">
        <v>277</v>
      </c>
      <c r="AC141" t="s">
        <v>278</v>
      </c>
      <c r="AD141">
        <v>15</v>
      </c>
      <c r="AG141" t="s">
        <v>167</v>
      </c>
      <c r="AH141" t="s">
        <v>416</v>
      </c>
      <c r="AI141" t="s">
        <v>178</v>
      </c>
      <c r="AJ141" t="s">
        <v>179</v>
      </c>
      <c r="AK141" t="s">
        <v>173</v>
      </c>
      <c r="AL141" t="s">
        <v>180</v>
      </c>
      <c r="AO141">
        <v>89</v>
      </c>
      <c r="AP141">
        <v>13</v>
      </c>
      <c r="AS141">
        <v>1000</v>
      </c>
      <c r="AT141">
        <v>1000</v>
      </c>
      <c r="BN141" s="114" t="s">
        <v>558</v>
      </c>
      <c r="BO141">
        <v>2</v>
      </c>
      <c r="BP141">
        <v>2</v>
      </c>
      <c r="BQ141">
        <v>4</v>
      </c>
      <c r="BR141" t="s">
        <v>373</v>
      </c>
      <c r="BS141" t="s">
        <v>182</v>
      </c>
      <c r="BT141" t="s">
        <v>218</v>
      </c>
      <c r="BU141" s="115">
        <v>45886</v>
      </c>
      <c r="BV141">
        <v>37503</v>
      </c>
      <c r="BW141" s="116"/>
      <c r="BX141" t="s">
        <v>173</v>
      </c>
      <c r="BY141" t="s">
        <v>173</v>
      </c>
      <c r="CB141" t="s">
        <v>173</v>
      </c>
      <c r="CC141" t="s">
        <v>173</v>
      </c>
      <c r="CE141" t="s">
        <v>173</v>
      </c>
      <c r="CG141" t="s">
        <v>172</v>
      </c>
      <c r="CH141" t="s">
        <v>1013</v>
      </c>
      <c r="CI141" t="s">
        <v>173</v>
      </c>
      <c r="CK141" t="s">
        <v>259</v>
      </c>
      <c r="CM141">
        <v>1</v>
      </c>
      <c r="CN141" t="s">
        <v>260</v>
      </c>
      <c r="CP141">
        <v>207</v>
      </c>
      <c r="CQ141">
        <v>4</v>
      </c>
      <c r="CR141">
        <v>80.7</v>
      </c>
      <c r="CS141" t="s">
        <v>261</v>
      </c>
      <c r="CV141" t="s">
        <v>262</v>
      </c>
      <c r="CX141" t="s">
        <v>263</v>
      </c>
      <c r="CY141" t="s">
        <v>173</v>
      </c>
      <c r="DC141" t="s">
        <v>1200</v>
      </c>
      <c r="DD141">
        <v>2</v>
      </c>
      <c r="DE141" t="s">
        <v>307</v>
      </c>
      <c r="DF141" t="s">
        <v>855</v>
      </c>
      <c r="DG141" t="s">
        <v>1201</v>
      </c>
      <c r="DJ141" t="s">
        <v>186</v>
      </c>
      <c r="DK141" t="s">
        <v>187</v>
      </c>
      <c r="DL141" t="s">
        <v>173</v>
      </c>
      <c r="DM141" t="s">
        <v>173</v>
      </c>
      <c r="DN141" t="s">
        <v>173</v>
      </c>
      <c r="DO141" t="s">
        <v>508</v>
      </c>
      <c r="DP141" t="s">
        <v>172</v>
      </c>
      <c r="DQ141" t="s">
        <v>204</v>
      </c>
      <c r="DR141" t="s">
        <v>509</v>
      </c>
      <c r="DY141">
        <v>75.599999999999994</v>
      </c>
      <c r="EA141" s="117"/>
      <c r="EB141">
        <v>8</v>
      </c>
      <c r="EC141">
        <v>8</v>
      </c>
      <c r="EE141" t="s">
        <v>1202</v>
      </c>
      <c r="EF141">
        <v>6</v>
      </c>
      <c r="EU141">
        <v>3500</v>
      </c>
      <c r="EW141">
        <v>165</v>
      </c>
      <c r="EX141">
        <v>191</v>
      </c>
      <c r="EY141">
        <v>176</v>
      </c>
    </row>
    <row r="142" spans="1:155" x14ac:dyDescent="0.35">
      <c r="A142">
        <v>2026</v>
      </c>
      <c r="B142" t="s">
        <v>242</v>
      </c>
      <c r="C142" s="112" t="s">
        <v>239</v>
      </c>
      <c r="D142" t="s">
        <v>1203</v>
      </c>
      <c r="E142" t="s">
        <v>245</v>
      </c>
      <c r="F142">
        <v>98</v>
      </c>
      <c r="G142" s="113">
        <v>1.8</v>
      </c>
      <c r="H142">
        <v>4</v>
      </c>
      <c r="I142" t="s">
        <v>487</v>
      </c>
      <c r="J142">
        <v>47</v>
      </c>
      <c r="K142">
        <v>41</v>
      </c>
      <c r="L142">
        <v>44</v>
      </c>
      <c r="M142">
        <v>65.5</v>
      </c>
      <c r="N142">
        <v>61</v>
      </c>
      <c r="O142">
        <v>63.395499999999998</v>
      </c>
      <c r="P142">
        <v>47</v>
      </c>
      <c r="Q142">
        <v>41</v>
      </c>
      <c r="R142">
        <v>44</v>
      </c>
      <c r="U142" t="s">
        <v>215</v>
      </c>
      <c r="V142" t="s">
        <v>488</v>
      </c>
      <c r="W142" t="s">
        <v>489</v>
      </c>
      <c r="Y142">
        <v>1</v>
      </c>
      <c r="Z142" t="s">
        <v>173</v>
      </c>
      <c r="AA142" t="s">
        <v>173</v>
      </c>
      <c r="AB142" t="s">
        <v>170</v>
      </c>
      <c r="AC142" t="s">
        <v>232</v>
      </c>
      <c r="AD142">
        <v>15</v>
      </c>
      <c r="AG142" t="s">
        <v>167</v>
      </c>
      <c r="AH142" t="s">
        <v>416</v>
      </c>
      <c r="AI142" t="s">
        <v>178</v>
      </c>
      <c r="AJ142" t="s">
        <v>179</v>
      </c>
      <c r="AK142" t="s">
        <v>173</v>
      </c>
      <c r="AL142" t="s">
        <v>180</v>
      </c>
      <c r="AO142">
        <v>89</v>
      </c>
      <c r="AP142">
        <v>12</v>
      </c>
      <c r="AS142">
        <v>1100</v>
      </c>
      <c r="AT142">
        <v>1100</v>
      </c>
      <c r="BN142" s="114" t="s">
        <v>558</v>
      </c>
      <c r="BO142">
        <v>2</v>
      </c>
      <c r="BP142">
        <v>2</v>
      </c>
      <c r="BQ142">
        <v>4</v>
      </c>
      <c r="BR142" t="s">
        <v>373</v>
      </c>
      <c r="BS142" t="s">
        <v>182</v>
      </c>
      <c r="BT142" t="s">
        <v>218</v>
      </c>
      <c r="BU142" s="115">
        <v>45886</v>
      </c>
      <c r="BV142">
        <v>37504</v>
      </c>
      <c r="BW142" s="116"/>
      <c r="BX142" t="s">
        <v>173</v>
      </c>
      <c r="BY142" t="s">
        <v>173</v>
      </c>
      <c r="CB142" t="s">
        <v>173</v>
      </c>
      <c r="CC142" t="s">
        <v>173</v>
      </c>
      <c r="CE142" t="s">
        <v>173</v>
      </c>
      <c r="CG142" t="s">
        <v>172</v>
      </c>
      <c r="CH142" t="s">
        <v>1013</v>
      </c>
      <c r="CI142" t="s">
        <v>173</v>
      </c>
      <c r="CK142" t="s">
        <v>259</v>
      </c>
      <c r="CM142">
        <v>1</v>
      </c>
      <c r="CN142" t="s">
        <v>260</v>
      </c>
      <c r="CP142">
        <v>207</v>
      </c>
      <c r="CQ142">
        <v>4</v>
      </c>
      <c r="CR142">
        <v>80.7</v>
      </c>
      <c r="CS142" t="s">
        <v>261</v>
      </c>
      <c r="CV142" t="s">
        <v>262</v>
      </c>
      <c r="CX142" t="s">
        <v>263</v>
      </c>
      <c r="CY142" t="s">
        <v>173</v>
      </c>
      <c r="DC142" t="s">
        <v>1200</v>
      </c>
      <c r="DD142">
        <v>2</v>
      </c>
      <c r="DE142" t="s">
        <v>307</v>
      </c>
      <c r="DF142" t="s">
        <v>855</v>
      </c>
      <c r="DG142" t="s">
        <v>1201</v>
      </c>
      <c r="DJ142" t="s">
        <v>186</v>
      </c>
      <c r="DK142" t="s">
        <v>187</v>
      </c>
      <c r="DL142" t="s">
        <v>173</v>
      </c>
      <c r="DM142" t="s">
        <v>173</v>
      </c>
      <c r="DN142" t="s">
        <v>173</v>
      </c>
      <c r="DO142" t="s">
        <v>508</v>
      </c>
      <c r="DP142" t="s">
        <v>172</v>
      </c>
      <c r="DQ142" t="s">
        <v>204</v>
      </c>
      <c r="DR142" t="s">
        <v>509</v>
      </c>
      <c r="DY142">
        <v>64.099999999999994</v>
      </c>
      <c r="EA142" s="117"/>
      <c r="EB142">
        <v>7</v>
      </c>
      <c r="EC142">
        <v>7</v>
      </c>
      <c r="EE142" t="s">
        <v>1202</v>
      </c>
      <c r="EF142">
        <v>6</v>
      </c>
      <c r="EU142">
        <v>3000</v>
      </c>
      <c r="EW142">
        <v>186</v>
      </c>
      <c r="EX142">
        <v>214</v>
      </c>
      <c r="EY142">
        <v>199</v>
      </c>
    </row>
    <row r="143" spans="1:155" x14ac:dyDescent="0.35">
      <c r="A143">
        <v>2026</v>
      </c>
      <c r="B143" t="s">
        <v>242</v>
      </c>
      <c r="C143" s="112" t="s">
        <v>239</v>
      </c>
      <c r="D143" t="s">
        <v>1203</v>
      </c>
      <c r="E143" t="s">
        <v>245</v>
      </c>
      <c r="F143">
        <v>99</v>
      </c>
      <c r="G143" s="113">
        <v>1.8</v>
      </c>
      <c r="H143">
        <v>4</v>
      </c>
      <c r="I143" t="s">
        <v>487</v>
      </c>
      <c r="J143">
        <v>51</v>
      </c>
      <c r="K143">
        <v>44</v>
      </c>
      <c r="L143">
        <v>48</v>
      </c>
      <c r="M143">
        <v>72.7</v>
      </c>
      <c r="N143">
        <v>67.2</v>
      </c>
      <c r="O143">
        <v>70.117500000000007</v>
      </c>
      <c r="P143">
        <v>51</v>
      </c>
      <c r="Q143">
        <v>44</v>
      </c>
      <c r="R143">
        <v>48</v>
      </c>
      <c r="U143" t="s">
        <v>215</v>
      </c>
      <c r="V143" t="s">
        <v>488</v>
      </c>
      <c r="W143" t="s">
        <v>489</v>
      </c>
      <c r="Y143">
        <v>1</v>
      </c>
      <c r="Z143" t="s">
        <v>173</v>
      </c>
      <c r="AA143" t="s">
        <v>173</v>
      </c>
      <c r="AB143" t="s">
        <v>170</v>
      </c>
      <c r="AC143" t="s">
        <v>232</v>
      </c>
      <c r="AD143">
        <v>15</v>
      </c>
      <c r="AG143" t="s">
        <v>167</v>
      </c>
      <c r="AH143" t="s">
        <v>416</v>
      </c>
      <c r="AI143" t="s">
        <v>178</v>
      </c>
      <c r="AJ143" t="s">
        <v>179</v>
      </c>
      <c r="AK143" t="s">
        <v>173</v>
      </c>
      <c r="AL143" t="s">
        <v>180</v>
      </c>
      <c r="AO143">
        <v>89</v>
      </c>
      <c r="AP143">
        <v>12</v>
      </c>
      <c r="AS143">
        <v>1050</v>
      </c>
      <c r="AT143">
        <v>1050</v>
      </c>
      <c r="BN143" s="114" t="s">
        <v>558</v>
      </c>
      <c r="BO143">
        <v>2</v>
      </c>
      <c r="BP143">
        <v>2</v>
      </c>
      <c r="BQ143">
        <v>4</v>
      </c>
      <c r="BR143" t="s">
        <v>373</v>
      </c>
      <c r="BS143" t="s">
        <v>182</v>
      </c>
      <c r="BT143" t="s">
        <v>218</v>
      </c>
      <c r="BU143" s="115">
        <v>45886</v>
      </c>
      <c r="BV143">
        <v>37505</v>
      </c>
      <c r="BW143" s="116"/>
      <c r="BX143" t="s">
        <v>173</v>
      </c>
      <c r="BY143" t="s">
        <v>173</v>
      </c>
      <c r="CB143" t="s">
        <v>173</v>
      </c>
      <c r="CC143" t="s">
        <v>173</v>
      </c>
      <c r="CE143" t="s">
        <v>173</v>
      </c>
      <c r="CG143" t="s">
        <v>172</v>
      </c>
      <c r="CH143" t="s">
        <v>1013</v>
      </c>
      <c r="CI143" t="s">
        <v>173</v>
      </c>
      <c r="CK143" t="s">
        <v>259</v>
      </c>
      <c r="CM143">
        <v>1</v>
      </c>
      <c r="CN143" t="s">
        <v>260</v>
      </c>
      <c r="CP143">
        <v>207</v>
      </c>
      <c r="CQ143">
        <v>4</v>
      </c>
      <c r="CR143">
        <v>80.7</v>
      </c>
      <c r="CS143" t="s">
        <v>261</v>
      </c>
      <c r="CV143" t="s">
        <v>262</v>
      </c>
      <c r="CX143" t="s">
        <v>263</v>
      </c>
      <c r="CY143" t="s">
        <v>173</v>
      </c>
      <c r="DC143" t="s">
        <v>1200</v>
      </c>
      <c r="DD143">
        <v>2</v>
      </c>
      <c r="DE143" t="s">
        <v>307</v>
      </c>
      <c r="DF143" t="s">
        <v>855</v>
      </c>
      <c r="DG143" t="s">
        <v>1201</v>
      </c>
      <c r="DJ143" t="s">
        <v>186</v>
      </c>
      <c r="DK143" t="s">
        <v>187</v>
      </c>
      <c r="DL143" t="s">
        <v>173</v>
      </c>
      <c r="DM143" t="s">
        <v>173</v>
      </c>
      <c r="DN143" t="s">
        <v>173</v>
      </c>
      <c r="DO143" t="s">
        <v>508</v>
      </c>
      <c r="DP143" t="s">
        <v>172</v>
      </c>
      <c r="DQ143" t="s">
        <v>204</v>
      </c>
      <c r="DR143" t="s">
        <v>509</v>
      </c>
      <c r="DY143">
        <v>70.900000000000006</v>
      </c>
      <c r="EA143" s="117"/>
      <c r="EB143">
        <v>8</v>
      </c>
      <c r="EC143">
        <v>8</v>
      </c>
      <c r="EE143" t="s">
        <v>1202</v>
      </c>
      <c r="EF143">
        <v>6</v>
      </c>
      <c r="EU143">
        <v>3250</v>
      </c>
      <c r="EW143">
        <v>172</v>
      </c>
      <c r="EX143">
        <v>200</v>
      </c>
      <c r="EY143">
        <v>183</v>
      </c>
    </row>
    <row r="144" spans="1:155" x14ac:dyDescent="0.35">
      <c r="A144">
        <v>2026</v>
      </c>
      <c r="B144" t="s">
        <v>444</v>
      </c>
      <c r="C144" s="112" t="s">
        <v>445</v>
      </c>
      <c r="D144" t="s">
        <v>446</v>
      </c>
      <c r="E144" t="s">
        <v>447</v>
      </c>
      <c r="F144">
        <v>5</v>
      </c>
      <c r="G144" s="113">
        <v>2</v>
      </c>
      <c r="H144">
        <v>4</v>
      </c>
      <c r="I144" t="s">
        <v>274</v>
      </c>
      <c r="J144">
        <v>26</v>
      </c>
      <c r="K144">
        <v>35</v>
      </c>
      <c r="L144">
        <v>29</v>
      </c>
      <c r="M144">
        <v>32.299999999999997</v>
      </c>
      <c r="N144">
        <v>49.4</v>
      </c>
      <c r="O144">
        <v>38.259700000000002</v>
      </c>
      <c r="P144">
        <v>25.555099999999999</v>
      </c>
      <c r="Q144">
        <v>34.7913</v>
      </c>
      <c r="R144">
        <v>29.022200000000002</v>
      </c>
      <c r="T144" t="s">
        <v>168</v>
      </c>
      <c r="U144" t="s">
        <v>169</v>
      </c>
      <c r="V144" t="s">
        <v>275</v>
      </c>
      <c r="W144" t="s">
        <v>276</v>
      </c>
      <c r="Y144">
        <v>7</v>
      </c>
      <c r="Z144" t="s">
        <v>173</v>
      </c>
      <c r="AA144" t="s">
        <v>173</v>
      </c>
      <c r="AB144" t="s">
        <v>277</v>
      </c>
      <c r="AC144" t="s">
        <v>278</v>
      </c>
      <c r="AD144">
        <v>15</v>
      </c>
      <c r="AG144" t="s">
        <v>167</v>
      </c>
      <c r="AH144" t="s">
        <v>416</v>
      </c>
      <c r="AI144" t="s">
        <v>178</v>
      </c>
      <c r="AJ144" t="s">
        <v>179</v>
      </c>
      <c r="AK144" t="s">
        <v>173</v>
      </c>
      <c r="AL144" t="s">
        <v>180</v>
      </c>
      <c r="AO144">
        <v>94</v>
      </c>
      <c r="AP144">
        <v>16</v>
      </c>
      <c r="AS144">
        <v>1700</v>
      </c>
      <c r="AT144">
        <v>1700</v>
      </c>
      <c r="BN144" s="114" t="s">
        <v>198</v>
      </c>
      <c r="BO144">
        <v>2</v>
      </c>
      <c r="BP144">
        <v>2</v>
      </c>
      <c r="BQ144">
        <v>4</v>
      </c>
      <c r="BR144" t="s">
        <v>373</v>
      </c>
      <c r="BS144" t="s">
        <v>182</v>
      </c>
      <c r="BT144" t="s">
        <v>218</v>
      </c>
      <c r="BU144" s="115">
        <v>45835</v>
      </c>
      <c r="BV144">
        <v>36814</v>
      </c>
      <c r="BW144" s="116"/>
      <c r="BX144" t="s">
        <v>172</v>
      </c>
      <c r="BY144" t="s">
        <v>173</v>
      </c>
      <c r="CB144" t="s">
        <v>173</v>
      </c>
      <c r="CC144" t="s">
        <v>173</v>
      </c>
      <c r="CD144" t="s">
        <v>448</v>
      </c>
      <c r="CE144" t="s">
        <v>173</v>
      </c>
      <c r="CG144" t="s">
        <v>172</v>
      </c>
      <c r="CH144" t="s">
        <v>449</v>
      </c>
      <c r="CI144" t="s">
        <v>172</v>
      </c>
      <c r="CJ144" t="s">
        <v>450</v>
      </c>
      <c r="DJ144" t="s">
        <v>201</v>
      </c>
      <c r="DK144" t="s">
        <v>202</v>
      </c>
      <c r="DL144" t="s">
        <v>173</v>
      </c>
      <c r="DN144" t="s">
        <v>173</v>
      </c>
      <c r="DO144" t="s">
        <v>451</v>
      </c>
      <c r="DP144" t="s">
        <v>172</v>
      </c>
      <c r="DQ144" t="s">
        <v>204</v>
      </c>
      <c r="DY144">
        <v>37.299999999999997</v>
      </c>
      <c r="EA144" s="117"/>
      <c r="EB144">
        <v>6</v>
      </c>
      <c r="EC144">
        <v>6</v>
      </c>
      <c r="EE144" t="s">
        <v>452</v>
      </c>
      <c r="EF144">
        <v>6</v>
      </c>
      <c r="EU144">
        <v>0</v>
      </c>
      <c r="EW144">
        <v>348</v>
      </c>
      <c r="EX144">
        <v>256</v>
      </c>
      <c r="EY144">
        <v>307</v>
      </c>
    </row>
    <row r="145" spans="1:155" x14ac:dyDescent="0.35">
      <c r="A145">
        <v>2026</v>
      </c>
      <c r="B145" t="s">
        <v>444</v>
      </c>
      <c r="C145" s="112" t="s">
        <v>445</v>
      </c>
      <c r="D145" t="s">
        <v>446</v>
      </c>
      <c r="E145" t="s">
        <v>447</v>
      </c>
      <c r="F145">
        <v>6</v>
      </c>
      <c r="G145" s="113">
        <v>2</v>
      </c>
      <c r="H145">
        <v>4</v>
      </c>
      <c r="I145" t="s">
        <v>206</v>
      </c>
      <c r="J145">
        <v>26</v>
      </c>
      <c r="K145">
        <v>36</v>
      </c>
      <c r="L145">
        <v>29</v>
      </c>
      <c r="M145">
        <v>31.5</v>
      </c>
      <c r="N145">
        <v>49.6</v>
      </c>
      <c r="O145">
        <v>37.689100000000003</v>
      </c>
      <c r="P145">
        <v>25.740400000000001</v>
      </c>
      <c r="Q145">
        <v>36.050400000000003</v>
      </c>
      <c r="R145">
        <v>29</v>
      </c>
      <c r="T145" t="s">
        <v>168</v>
      </c>
      <c r="U145" t="s">
        <v>169</v>
      </c>
      <c r="V145" t="s">
        <v>207</v>
      </c>
      <c r="W145" t="s">
        <v>208</v>
      </c>
      <c r="Y145">
        <v>6</v>
      </c>
      <c r="Z145" t="s">
        <v>173</v>
      </c>
      <c r="AA145" t="s">
        <v>173</v>
      </c>
      <c r="AB145" t="s">
        <v>277</v>
      </c>
      <c r="AC145" t="s">
        <v>278</v>
      </c>
      <c r="AD145">
        <v>15</v>
      </c>
      <c r="AG145" t="s">
        <v>167</v>
      </c>
      <c r="AH145" t="s">
        <v>416</v>
      </c>
      <c r="AI145" t="s">
        <v>178</v>
      </c>
      <c r="AJ145" t="s">
        <v>179</v>
      </c>
      <c r="AK145" t="s">
        <v>173</v>
      </c>
      <c r="AL145" t="s">
        <v>180</v>
      </c>
      <c r="AO145">
        <v>94</v>
      </c>
      <c r="AP145">
        <v>16</v>
      </c>
      <c r="AS145">
        <v>1700</v>
      </c>
      <c r="AT145">
        <v>1700</v>
      </c>
      <c r="BN145" s="114" t="s">
        <v>198</v>
      </c>
      <c r="BO145">
        <v>2</v>
      </c>
      <c r="BP145">
        <v>2</v>
      </c>
      <c r="BQ145">
        <v>4</v>
      </c>
      <c r="BR145" t="s">
        <v>373</v>
      </c>
      <c r="BS145" t="s">
        <v>182</v>
      </c>
      <c r="BT145" t="s">
        <v>218</v>
      </c>
      <c r="BU145" s="115">
        <v>45789</v>
      </c>
      <c r="BV145">
        <v>36530</v>
      </c>
      <c r="BW145" s="116"/>
      <c r="BX145" t="s">
        <v>172</v>
      </c>
      <c r="BY145" t="s">
        <v>173</v>
      </c>
      <c r="CB145" t="s">
        <v>173</v>
      </c>
      <c r="CC145" t="s">
        <v>173</v>
      </c>
      <c r="CD145" t="s">
        <v>448</v>
      </c>
      <c r="CE145" t="s">
        <v>173</v>
      </c>
      <c r="CG145" t="s">
        <v>172</v>
      </c>
      <c r="CH145" t="s">
        <v>449</v>
      </c>
      <c r="CI145" t="s">
        <v>172</v>
      </c>
      <c r="CJ145" t="s">
        <v>450</v>
      </c>
      <c r="DJ145" t="s">
        <v>201</v>
      </c>
      <c r="DK145" t="s">
        <v>202</v>
      </c>
      <c r="DL145" t="s">
        <v>173</v>
      </c>
      <c r="DN145" t="s">
        <v>173</v>
      </c>
      <c r="DO145" t="s">
        <v>451</v>
      </c>
      <c r="DP145" t="s">
        <v>172</v>
      </c>
      <c r="DQ145" t="s">
        <v>204</v>
      </c>
      <c r="DY145">
        <v>38</v>
      </c>
      <c r="EA145" s="117"/>
      <c r="EB145">
        <v>6</v>
      </c>
      <c r="EC145">
        <v>6</v>
      </c>
      <c r="EE145" t="s">
        <v>452</v>
      </c>
      <c r="EF145">
        <v>6</v>
      </c>
      <c r="EU145">
        <v>0</v>
      </c>
      <c r="EW145">
        <v>346</v>
      </c>
      <c r="EX145">
        <v>247</v>
      </c>
      <c r="EY145">
        <v>306</v>
      </c>
    </row>
    <row r="146" spans="1:155" x14ac:dyDescent="0.35">
      <c r="A146">
        <v>2026</v>
      </c>
      <c r="B146" t="s">
        <v>444</v>
      </c>
      <c r="C146" s="112" t="s">
        <v>445</v>
      </c>
      <c r="D146" t="s">
        <v>453</v>
      </c>
      <c r="E146" t="s">
        <v>447</v>
      </c>
      <c r="F146">
        <v>24</v>
      </c>
      <c r="G146" s="113">
        <v>1.5</v>
      </c>
      <c r="H146">
        <v>4</v>
      </c>
      <c r="I146" t="s">
        <v>195</v>
      </c>
      <c r="J146">
        <v>29</v>
      </c>
      <c r="K146">
        <v>40</v>
      </c>
      <c r="L146">
        <v>34</v>
      </c>
      <c r="M146">
        <v>38.799999999999997</v>
      </c>
      <c r="N146">
        <v>60.1</v>
      </c>
      <c r="O146">
        <v>46.162100000000002</v>
      </c>
      <c r="P146">
        <v>29.42</v>
      </c>
      <c r="Q146">
        <v>40.436599999999999</v>
      </c>
      <c r="R146">
        <v>33.530799999999999</v>
      </c>
      <c r="T146" t="s">
        <v>168</v>
      </c>
      <c r="U146" t="s">
        <v>169</v>
      </c>
      <c r="V146" t="s">
        <v>196</v>
      </c>
      <c r="W146" t="s">
        <v>197</v>
      </c>
      <c r="Y146">
        <v>8</v>
      </c>
      <c r="Z146" t="s">
        <v>172</v>
      </c>
      <c r="AA146" t="s">
        <v>173</v>
      </c>
      <c r="AB146" t="s">
        <v>277</v>
      </c>
      <c r="AC146" t="s">
        <v>278</v>
      </c>
      <c r="AD146">
        <v>15</v>
      </c>
      <c r="AG146" t="s">
        <v>167</v>
      </c>
      <c r="AH146" t="s">
        <v>416</v>
      </c>
      <c r="AI146" t="s">
        <v>178</v>
      </c>
      <c r="AJ146" t="s">
        <v>179</v>
      </c>
      <c r="AK146" t="s">
        <v>173</v>
      </c>
      <c r="AL146" t="s">
        <v>180</v>
      </c>
      <c r="AO146">
        <v>94</v>
      </c>
      <c r="AP146">
        <v>16</v>
      </c>
      <c r="AS146">
        <v>1450</v>
      </c>
      <c r="AT146">
        <v>1450</v>
      </c>
      <c r="BN146" s="114" t="s">
        <v>198</v>
      </c>
      <c r="BO146">
        <v>2</v>
      </c>
      <c r="BP146">
        <v>2</v>
      </c>
      <c r="BQ146">
        <v>4</v>
      </c>
      <c r="BR146" t="s">
        <v>373</v>
      </c>
      <c r="BS146" t="s">
        <v>182</v>
      </c>
      <c r="BT146" t="s">
        <v>183</v>
      </c>
      <c r="BU146" s="115">
        <v>45842</v>
      </c>
      <c r="BV146">
        <v>36936</v>
      </c>
      <c r="BW146" s="116"/>
      <c r="BX146" t="s">
        <v>172</v>
      </c>
      <c r="BY146" t="s">
        <v>173</v>
      </c>
      <c r="CB146" t="s">
        <v>173</v>
      </c>
      <c r="CC146" t="s">
        <v>173</v>
      </c>
      <c r="CD146" t="s">
        <v>454</v>
      </c>
      <c r="CE146" t="s">
        <v>173</v>
      </c>
      <c r="CG146" t="s">
        <v>172</v>
      </c>
      <c r="CH146" t="s">
        <v>455</v>
      </c>
      <c r="CI146" t="s">
        <v>173</v>
      </c>
      <c r="DJ146" t="s">
        <v>201</v>
      </c>
      <c r="DK146" t="s">
        <v>202</v>
      </c>
      <c r="DN146" t="s">
        <v>173</v>
      </c>
      <c r="DO146" t="s">
        <v>451</v>
      </c>
      <c r="DP146" t="s">
        <v>172</v>
      </c>
      <c r="DQ146" t="s">
        <v>204</v>
      </c>
      <c r="DY146">
        <v>46.5</v>
      </c>
      <c r="EA146" s="117"/>
      <c r="EB146">
        <v>6</v>
      </c>
      <c r="EC146">
        <v>6</v>
      </c>
      <c r="EE146" t="s">
        <v>456</v>
      </c>
      <c r="EF146">
        <v>7</v>
      </c>
      <c r="EU146">
        <v>1250</v>
      </c>
      <c r="EW146">
        <v>302</v>
      </c>
      <c r="EX146">
        <v>220</v>
      </c>
      <c r="EY146">
        <v>265</v>
      </c>
    </row>
    <row r="147" spans="1:155" x14ac:dyDescent="0.35">
      <c r="A147">
        <v>2026</v>
      </c>
      <c r="B147" t="s">
        <v>444</v>
      </c>
      <c r="C147" s="112" t="s">
        <v>445</v>
      </c>
      <c r="D147" t="s">
        <v>457</v>
      </c>
      <c r="E147" t="s">
        <v>447</v>
      </c>
      <c r="F147">
        <v>25</v>
      </c>
      <c r="G147" s="113">
        <v>1.5</v>
      </c>
      <c r="H147">
        <v>4</v>
      </c>
      <c r="I147" t="s">
        <v>195</v>
      </c>
      <c r="J147">
        <v>29</v>
      </c>
      <c r="K147">
        <v>40</v>
      </c>
      <c r="L147">
        <v>33</v>
      </c>
      <c r="M147">
        <v>37.799999999999997</v>
      </c>
      <c r="N147">
        <v>59.1</v>
      </c>
      <c r="O147">
        <v>45.117199999999997</v>
      </c>
      <c r="P147">
        <v>28.750900000000001</v>
      </c>
      <c r="Q147">
        <v>39.849299999999999</v>
      </c>
      <c r="R147">
        <v>32.8705</v>
      </c>
      <c r="T147" t="s">
        <v>168</v>
      </c>
      <c r="U147" t="s">
        <v>169</v>
      </c>
      <c r="V147" t="s">
        <v>196</v>
      </c>
      <c r="W147" t="s">
        <v>197</v>
      </c>
      <c r="Y147">
        <v>8</v>
      </c>
      <c r="Z147" t="s">
        <v>172</v>
      </c>
      <c r="AA147" t="s">
        <v>173</v>
      </c>
      <c r="AB147" t="s">
        <v>277</v>
      </c>
      <c r="AC147" t="s">
        <v>278</v>
      </c>
      <c r="AD147">
        <v>15</v>
      </c>
      <c r="AG147" t="s">
        <v>167</v>
      </c>
      <c r="AH147" t="s">
        <v>416</v>
      </c>
      <c r="AI147" t="s">
        <v>178</v>
      </c>
      <c r="AJ147" t="s">
        <v>179</v>
      </c>
      <c r="AK147" t="s">
        <v>173</v>
      </c>
      <c r="AL147" t="s">
        <v>180</v>
      </c>
      <c r="AO147">
        <v>94</v>
      </c>
      <c r="AP147">
        <v>16</v>
      </c>
      <c r="AS147">
        <v>1500</v>
      </c>
      <c r="AT147">
        <v>1500</v>
      </c>
      <c r="BN147" s="114" t="s">
        <v>198</v>
      </c>
      <c r="BO147">
        <v>2</v>
      </c>
      <c r="BP147">
        <v>2</v>
      </c>
      <c r="BQ147">
        <v>4</v>
      </c>
      <c r="BR147" t="s">
        <v>373</v>
      </c>
      <c r="BS147" t="s">
        <v>182</v>
      </c>
      <c r="BT147" t="s">
        <v>183</v>
      </c>
      <c r="BU147" s="115">
        <v>45842</v>
      </c>
      <c r="BV147">
        <v>36937</v>
      </c>
      <c r="BW147" s="116"/>
      <c r="BX147" t="s">
        <v>172</v>
      </c>
      <c r="BY147" t="s">
        <v>173</v>
      </c>
      <c r="CB147" t="s">
        <v>173</v>
      </c>
      <c r="CC147" t="s">
        <v>173</v>
      </c>
      <c r="CD147" t="s">
        <v>454</v>
      </c>
      <c r="CE147" t="s">
        <v>173</v>
      </c>
      <c r="CG147" t="s">
        <v>172</v>
      </c>
      <c r="CH147" t="s">
        <v>455</v>
      </c>
      <c r="CI147" t="s">
        <v>173</v>
      </c>
      <c r="DJ147" t="s">
        <v>201</v>
      </c>
      <c r="DK147" t="s">
        <v>202</v>
      </c>
      <c r="DN147" t="s">
        <v>173</v>
      </c>
      <c r="DO147" t="s">
        <v>451</v>
      </c>
      <c r="DP147" t="s">
        <v>172</v>
      </c>
      <c r="DQ147" t="s">
        <v>204</v>
      </c>
      <c r="DY147">
        <v>45.4</v>
      </c>
      <c r="EA147" s="117"/>
      <c r="EB147">
        <v>6</v>
      </c>
      <c r="EC147">
        <v>6</v>
      </c>
      <c r="EE147" t="s">
        <v>456</v>
      </c>
      <c r="EF147">
        <v>7</v>
      </c>
      <c r="EU147">
        <v>1000</v>
      </c>
      <c r="EW147">
        <v>310</v>
      </c>
      <c r="EX147">
        <v>224</v>
      </c>
      <c r="EY147">
        <v>271</v>
      </c>
    </row>
    <row r="148" spans="1:155" x14ac:dyDescent="0.35">
      <c r="A148">
        <v>2026</v>
      </c>
      <c r="B148" t="s">
        <v>444</v>
      </c>
      <c r="C148" s="112" t="s">
        <v>458</v>
      </c>
      <c r="D148" t="s">
        <v>459</v>
      </c>
      <c r="E148" t="s">
        <v>447</v>
      </c>
      <c r="F148">
        <v>21</v>
      </c>
      <c r="G148" s="113">
        <v>4</v>
      </c>
      <c r="H148">
        <v>8</v>
      </c>
      <c r="I148" t="s">
        <v>195</v>
      </c>
      <c r="J148">
        <v>14</v>
      </c>
      <c r="K148">
        <v>21</v>
      </c>
      <c r="L148">
        <v>16</v>
      </c>
      <c r="M148">
        <v>16.88</v>
      </c>
      <c r="N148">
        <v>27.498000000000001</v>
      </c>
      <c r="O148">
        <v>20.4299</v>
      </c>
      <c r="P148">
        <v>13.765499999999999</v>
      </c>
      <c r="Q148">
        <v>21.129300000000001</v>
      </c>
      <c r="R148">
        <v>16.325900000000001</v>
      </c>
      <c r="S148" t="s">
        <v>167</v>
      </c>
      <c r="T148" t="s">
        <v>168</v>
      </c>
      <c r="U148" t="s">
        <v>169</v>
      </c>
      <c r="V148" t="s">
        <v>196</v>
      </c>
      <c r="W148" t="s">
        <v>197</v>
      </c>
      <c r="Y148">
        <v>8</v>
      </c>
      <c r="Z148" t="s">
        <v>172</v>
      </c>
      <c r="AA148" t="s">
        <v>173</v>
      </c>
      <c r="AB148" t="s">
        <v>170</v>
      </c>
      <c r="AC148" t="s">
        <v>232</v>
      </c>
      <c r="AD148">
        <v>15</v>
      </c>
      <c r="AG148" t="s">
        <v>176</v>
      </c>
      <c r="AH148" t="s">
        <v>177</v>
      </c>
      <c r="AI148" t="s">
        <v>178</v>
      </c>
      <c r="AJ148" t="s">
        <v>179</v>
      </c>
      <c r="AK148" t="s">
        <v>173</v>
      </c>
      <c r="AL148" t="s">
        <v>180</v>
      </c>
      <c r="AQ148">
        <v>95</v>
      </c>
      <c r="AR148">
        <v>25</v>
      </c>
      <c r="AS148">
        <v>3900</v>
      </c>
      <c r="AT148">
        <v>3900</v>
      </c>
      <c r="BN148" s="114" t="s">
        <v>256</v>
      </c>
      <c r="BO148">
        <v>2</v>
      </c>
      <c r="BP148">
        <v>2</v>
      </c>
      <c r="BQ148">
        <v>5</v>
      </c>
      <c r="BR148" t="s">
        <v>460</v>
      </c>
      <c r="BS148" t="s">
        <v>182</v>
      </c>
      <c r="BT148" t="s">
        <v>218</v>
      </c>
      <c r="BU148" s="115">
        <v>45805</v>
      </c>
      <c r="BV148">
        <v>36689</v>
      </c>
      <c r="BW148" s="116"/>
      <c r="BX148" t="s">
        <v>173</v>
      </c>
      <c r="BY148" t="s">
        <v>173</v>
      </c>
      <c r="CB148" t="s">
        <v>173</v>
      </c>
      <c r="CC148" t="s">
        <v>173</v>
      </c>
      <c r="CD148" t="s">
        <v>461</v>
      </c>
      <c r="CE148" t="s">
        <v>172</v>
      </c>
      <c r="CF148" t="s">
        <v>462</v>
      </c>
      <c r="CG148" t="s">
        <v>172</v>
      </c>
      <c r="CH148" t="s">
        <v>463</v>
      </c>
      <c r="CI148" t="s">
        <v>173</v>
      </c>
      <c r="CK148" t="s">
        <v>259</v>
      </c>
      <c r="CM148">
        <v>1</v>
      </c>
      <c r="CN148" t="s">
        <v>260</v>
      </c>
      <c r="CP148">
        <v>48</v>
      </c>
      <c r="CQ148">
        <v>9.5</v>
      </c>
      <c r="CR148">
        <v>50.1</v>
      </c>
      <c r="CS148" t="s">
        <v>261</v>
      </c>
      <c r="CV148" t="s">
        <v>262</v>
      </c>
      <c r="CX148" t="s">
        <v>263</v>
      </c>
      <c r="CY148" t="s">
        <v>173</v>
      </c>
      <c r="DD148">
        <v>1</v>
      </c>
      <c r="DE148" t="s">
        <v>307</v>
      </c>
      <c r="DF148" t="s">
        <v>464</v>
      </c>
      <c r="DG148">
        <v>8</v>
      </c>
      <c r="DJ148" t="s">
        <v>201</v>
      </c>
      <c r="DK148" t="s">
        <v>202</v>
      </c>
      <c r="DL148" t="s">
        <v>173</v>
      </c>
      <c r="DM148" t="s">
        <v>173</v>
      </c>
      <c r="DN148" t="s">
        <v>173</v>
      </c>
      <c r="DO148" t="s">
        <v>465</v>
      </c>
      <c r="DP148" t="s">
        <v>172</v>
      </c>
      <c r="DQ148" t="s">
        <v>204</v>
      </c>
      <c r="DY148">
        <v>20.6</v>
      </c>
      <c r="EA148" s="117"/>
      <c r="EB148">
        <v>3</v>
      </c>
      <c r="EC148">
        <v>3</v>
      </c>
      <c r="EE148" t="s">
        <v>466</v>
      </c>
      <c r="EF148">
        <v>2</v>
      </c>
      <c r="EV148">
        <v>11000</v>
      </c>
      <c r="EW148">
        <v>645</v>
      </c>
      <c r="EX148">
        <v>422</v>
      </c>
      <c r="EY148">
        <v>545</v>
      </c>
    </row>
    <row r="149" spans="1:155" x14ac:dyDescent="0.35">
      <c r="A149">
        <v>2026</v>
      </c>
      <c r="B149" t="s">
        <v>192</v>
      </c>
      <c r="C149" s="112" t="s">
        <v>192</v>
      </c>
      <c r="D149" t="s">
        <v>467</v>
      </c>
      <c r="E149" t="s">
        <v>194</v>
      </c>
      <c r="F149">
        <v>530</v>
      </c>
      <c r="G149" s="113">
        <v>2</v>
      </c>
      <c r="H149">
        <v>4</v>
      </c>
      <c r="I149" t="s">
        <v>195</v>
      </c>
      <c r="J149">
        <v>28</v>
      </c>
      <c r="K149">
        <v>35</v>
      </c>
      <c r="L149">
        <v>31</v>
      </c>
      <c r="M149">
        <v>36.397799999999997</v>
      </c>
      <c r="N149">
        <v>51.3476</v>
      </c>
      <c r="O149">
        <v>41.8855</v>
      </c>
      <c r="P149">
        <v>27.805700000000002</v>
      </c>
      <c r="Q149">
        <v>35.209400000000002</v>
      </c>
      <c r="R149">
        <v>30.7118</v>
      </c>
      <c r="T149" t="s">
        <v>168</v>
      </c>
      <c r="U149" t="s">
        <v>169</v>
      </c>
      <c r="V149" t="s">
        <v>196</v>
      </c>
      <c r="W149" t="s">
        <v>197</v>
      </c>
      <c r="Y149">
        <v>8</v>
      </c>
      <c r="Z149" t="s">
        <v>172</v>
      </c>
      <c r="AA149" t="s">
        <v>173</v>
      </c>
      <c r="AB149" t="s">
        <v>174</v>
      </c>
      <c r="AC149" t="s">
        <v>175</v>
      </c>
      <c r="AD149">
        <v>10</v>
      </c>
      <c r="AG149" t="s">
        <v>176</v>
      </c>
      <c r="AH149" t="s">
        <v>177</v>
      </c>
      <c r="AI149" t="s">
        <v>178</v>
      </c>
      <c r="AJ149" t="s">
        <v>179</v>
      </c>
      <c r="AK149" t="s">
        <v>173</v>
      </c>
      <c r="AL149" t="s">
        <v>180</v>
      </c>
      <c r="AO149">
        <v>98</v>
      </c>
      <c r="AP149">
        <v>14</v>
      </c>
      <c r="AS149">
        <v>2000</v>
      </c>
      <c r="AT149">
        <v>2000</v>
      </c>
      <c r="BN149" s="114" t="s">
        <v>304</v>
      </c>
      <c r="BO149">
        <v>2</v>
      </c>
      <c r="BP149">
        <v>2</v>
      </c>
      <c r="BQ149">
        <v>5</v>
      </c>
      <c r="BR149" t="s">
        <v>460</v>
      </c>
      <c r="BS149" t="s">
        <v>182</v>
      </c>
      <c r="BT149" t="s">
        <v>183</v>
      </c>
      <c r="BU149" s="115">
        <v>45748</v>
      </c>
      <c r="BV149">
        <v>36387</v>
      </c>
      <c r="BW149" s="116"/>
      <c r="BX149" t="s">
        <v>173</v>
      </c>
      <c r="BY149" t="s">
        <v>173</v>
      </c>
      <c r="CB149" t="s">
        <v>173</v>
      </c>
      <c r="CC149" t="s">
        <v>173</v>
      </c>
      <c r="CE149" t="s">
        <v>173</v>
      </c>
      <c r="CG149" t="s">
        <v>172</v>
      </c>
      <c r="CH149" t="s">
        <v>282</v>
      </c>
      <c r="CI149" t="s">
        <v>172</v>
      </c>
      <c r="CJ149" t="s">
        <v>305</v>
      </c>
      <c r="CK149" t="s">
        <v>259</v>
      </c>
      <c r="CM149">
        <v>1</v>
      </c>
      <c r="CN149" t="s">
        <v>260</v>
      </c>
      <c r="CP149">
        <v>46</v>
      </c>
      <c r="CQ149">
        <v>20</v>
      </c>
      <c r="CR149">
        <v>47</v>
      </c>
      <c r="CS149" t="s">
        <v>261</v>
      </c>
      <c r="CV149" t="s">
        <v>262</v>
      </c>
      <c r="CX149" t="s">
        <v>263</v>
      </c>
      <c r="CY149" t="s">
        <v>173</v>
      </c>
      <c r="DC149" t="s">
        <v>468</v>
      </c>
      <c r="DD149">
        <v>1</v>
      </c>
      <c r="DE149" t="s">
        <v>307</v>
      </c>
      <c r="DF149" t="s">
        <v>308</v>
      </c>
      <c r="DG149">
        <v>8</v>
      </c>
      <c r="DJ149" t="s">
        <v>250</v>
      </c>
      <c r="DK149" t="s">
        <v>251</v>
      </c>
      <c r="DL149" t="s">
        <v>173</v>
      </c>
      <c r="DM149" t="s">
        <v>173</v>
      </c>
      <c r="DN149" t="s">
        <v>173</v>
      </c>
      <c r="DO149" t="s">
        <v>309</v>
      </c>
      <c r="DP149" t="s">
        <v>172</v>
      </c>
      <c r="DQ149" t="s">
        <v>204</v>
      </c>
      <c r="DY149">
        <v>42.2</v>
      </c>
      <c r="EA149" s="117"/>
      <c r="EB149">
        <v>6</v>
      </c>
      <c r="EC149">
        <v>6</v>
      </c>
      <c r="EE149" t="s">
        <v>469</v>
      </c>
      <c r="EF149">
        <v>6</v>
      </c>
      <c r="EV149">
        <v>1500</v>
      </c>
      <c r="EW149">
        <v>315</v>
      </c>
      <c r="EX149">
        <v>249</v>
      </c>
      <c r="EY149">
        <v>285</v>
      </c>
    </row>
    <row r="150" spans="1:155" x14ac:dyDescent="0.35">
      <c r="A150">
        <v>2026</v>
      </c>
      <c r="B150" t="s">
        <v>192</v>
      </c>
      <c r="C150" s="112" t="s">
        <v>192</v>
      </c>
      <c r="D150" t="s">
        <v>470</v>
      </c>
      <c r="E150" t="s">
        <v>194</v>
      </c>
      <c r="F150">
        <v>531</v>
      </c>
      <c r="G150" s="113">
        <v>2</v>
      </c>
      <c r="H150">
        <v>4</v>
      </c>
      <c r="I150" t="s">
        <v>195</v>
      </c>
      <c r="J150">
        <v>27</v>
      </c>
      <c r="K150">
        <v>35</v>
      </c>
      <c r="L150">
        <v>30</v>
      </c>
      <c r="M150">
        <v>35.119300000000003</v>
      </c>
      <c r="N150">
        <v>50.255699999999997</v>
      </c>
      <c r="O150">
        <v>40.625500000000002</v>
      </c>
      <c r="P150">
        <v>26.936699999999998</v>
      </c>
      <c r="Q150">
        <v>34.543199999999999</v>
      </c>
      <c r="R150">
        <v>29.8994</v>
      </c>
      <c r="T150" t="s">
        <v>168</v>
      </c>
      <c r="U150" t="s">
        <v>169</v>
      </c>
      <c r="V150" t="s">
        <v>196</v>
      </c>
      <c r="W150" t="s">
        <v>197</v>
      </c>
      <c r="Y150">
        <v>8</v>
      </c>
      <c r="Z150" t="s">
        <v>172</v>
      </c>
      <c r="AA150" t="s">
        <v>173</v>
      </c>
      <c r="AB150" t="s">
        <v>170</v>
      </c>
      <c r="AC150" t="s">
        <v>232</v>
      </c>
      <c r="AD150">
        <v>10</v>
      </c>
      <c r="AG150" t="s">
        <v>176</v>
      </c>
      <c r="AH150" t="s">
        <v>177</v>
      </c>
      <c r="AI150" t="s">
        <v>178</v>
      </c>
      <c r="AJ150" t="s">
        <v>179</v>
      </c>
      <c r="AK150" t="s">
        <v>173</v>
      </c>
      <c r="AL150" t="s">
        <v>180</v>
      </c>
      <c r="AO150">
        <v>98</v>
      </c>
      <c r="AP150">
        <v>14</v>
      </c>
      <c r="AS150">
        <v>2100</v>
      </c>
      <c r="AT150">
        <v>2100</v>
      </c>
      <c r="BN150" s="114" t="s">
        <v>304</v>
      </c>
      <c r="BO150">
        <v>2</v>
      </c>
      <c r="BP150">
        <v>2</v>
      </c>
      <c r="BQ150">
        <v>5</v>
      </c>
      <c r="BR150" t="s">
        <v>460</v>
      </c>
      <c r="BS150" t="s">
        <v>182</v>
      </c>
      <c r="BT150" t="s">
        <v>183</v>
      </c>
      <c r="BU150" s="115">
        <v>45748</v>
      </c>
      <c r="BV150">
        <v>36386</v>
      </c>
      <c r="BW150" s="116"/>
      <c r="BX150" t="s">
        <v>173</v>
      </c>
      <c r="BY150" t="s">
        <v>173</v>
      </c>
      <c r="CB150" t="s">
        <v>173</v>
      </c>
      <c r="CC150" t="s">
        <v>173</v>
      </c>
      <c r="CE150" t="s">
        <v>173</v>
      </c>
      <c r="CG150" t="s">
        <v>172</v>
      </c>
      <c r="CH150" t="s">
        <v>282</v>
      </c>
      <c r="CI150" t="s">
        <v>172</v>
      </c>
      <c r="CJ150" t="s">
        <v>305</v>
      </c>
      <c r="CK150" t="s">
        <v>259</v>
      </c>
      <c r="CM150">
        <v>1</v>
      </c>
      <c r="CN150" t="s">
        <v>260</v>
      </c>
      <c r="CP150">
        <v>46</v>
      </c>
      <c r="CQ150">
        <v>20</v>
      </c>
      <c r="CR150">
        <v>47</v>
      </c>
      <c r="CS150" t="s">
        <v>261</v>
      </c>
      <c r="CV150" t="s">
        <v>262</v>
      </c>
      <c r="CX150" t="s">
        <v>263</v>
      </c>
      <c r="CY150" t="s">
        <v>173</v>
      </c>
      <c r="DC150" t="s">
        <v>468</v>
      </c>
      <c r="DD150">
        <v>1</v>
      </c>
      <c r="DE150" t="s">
        <v>307</v>
      </c>
      <c r="DF150" t="s">
        <v>308</v>
      </c>
      <c r="DG150">
        <v>8</v>
      </c>
      <c r="DJ150" t="s">
        <v>250</v>
      </c>
      <c r="DK150" t="s">
        <v>251</v>
      </c>
      <c r="DL150" t="s">
        <v>173</v>
      </c>
      <c r="DM150" t="s">
        <v>173</v>
      </c>
      <c r="DN150" t="s">
        <v>173</v>
      </c>
      <c r="DO150" t="s">
        <v>309</v>
      </c>
      <c r="DP150" t="s">
        <v>172</v>
      </c>
      <c r="DQ150" t="s">
        <v>204</v>
      </c>
      <c r="DY150">
        <v>40.9</v>
      </c>
      <c r="EA150" s="117"/>
      <c r="EB150">
        <v>6</v>
      </c>
      <c r="EC150">
        <v>6</v>
      </c>
      <c r="EE150" t="s">
        <v>469</v>
      </c>
      <c r="EF150">
        <v>6</v>
      </c>
      <c r="EV150">
        <v>2000</v>
      </c>
      <c r="EW150">
        <v>325</v>
      </c>
      <c r="EX150">
        <v>253</v>
      </c>
      <c r="EY150">
        <v>292</v>
      </c>
    </row>
    <row r="151" spans="1:155" x14ac:dyDescent="0.35">
      <c r="A151">
        <v>2026</v>
      </c>
      <c r="B151" t="s">
        <v>192</v>
      </c>
      <c r="C151" s="112" t="s">
        <v>192</v>
      </c>
      <c r="D151" t="s">
        <v>471</v>
      </c>
      <c r="E151" t="s">
        <v>194</v>
      </c>
      <c r="F151">
        <v>541</v>
      </c>
      <c r="G151" s="113">
        <v>3</v>
      </c>
      <c r="H151">
        <v>6</v>
      </c>
      <c r="I151" t="s">
        <v>195</v>
      </c>
      <c r="J151">
        <v>26</v>
      </c>
      <c r="K151">
        <v>32</v>
      </c>
      <c r="L151">
        <v>28</v>
      </c>
      <c r="M151">
        <v>33.610199999999999</v>
      </c>
      <c r="N151">
        <v>46.7515</v>
      </c>
      <c r="O151">
        <v>38.477200000000003</v>
      </c>
      <c r="P151">
        <v>25.901800000000001</v>
      </c>
      <c r="Q151">
        <v>32.383499999999998</v>
      </c>
      <c r="R151">
        <v>28.465699999999998</v>
      </c>
      <c r="T151" t="s">
        <v>168</v>
      </c>
      <c r="U151" t="s">
        <v>169</v>
      </c>
      <c r="V151" t="s">
        <v>196</v>
      </c>
      <c r="W151" t="s">
        <v>197</v>
      </c>
      <c r="Y151">
        <v>8</v>
      </c>
      <c r="Z151" t="s">
        <v>172</v>
      </c>
      <c r="AA151" t="s">
        <v>173</v>
      </c>
      <c r="AB151" t="s">
        <v>170</v>
      </c>
      <c r="AC151" t="s">
        <v>232</v>
      </c>
      <c r="AD151">
        <v>10</v>
      </c>
      <c r="AG151" t="s">
        <v>176</v>
      </c>
      <c r="AH151" t="s">
        <v>177</v>
      </c>
      <c r="AI151" t="s">
        <v>178</v>
      </c>
      <c r="AJ151" t="s">
        <v>179</v>
      </c>
      <c r="AK151" t="s">
        <v>173</v>
      </c>
      <c r="AL151" t="s">
        <v>180</v>
      </c>
      <c r="AO151">
        <v>98</v>
      </c>
      <c r="AP151">
        <v>14</v>
      </c>
      <c r="AS151">
        <v>2200</v>
      </c>
      <c r="AT151">
        <v>2200</v>
      </c>
      <c r="BN151" s="114" t="s">
        <v>304</v>
      </c>
      <c r="BO151">
        <v>2</v>
      </c>
      <c r="BP151">
        <v>2</v>
      </c>
      <c r="BQ151">
        <v>5</v>
      </c>
      <c r="BR151" t="s">
        <v>460</v>
      </c>
      <c r="BS151" t="s">
        <v>182</v>
      </c>
      <c r="BT151" t="s">
        <v>183</v>
      </c>
      <c r="BU151" s="115">
        <v>45748</v>
      </c>
      <c r="BV151">
        <v>36392</v>
      </c>
      <c r="BW151" s="116"/>
      <c r="BX151" t="s">
        <v>172</v>
      </c>
      <c r="BY151" t="s">
        <v>173</v>
      </c>
      <c r="CB151" t="s">
        <v>173</v>
      </c>
      <c r="CC151" t="s">
        <v>173</v>
      </c>
      <c r="CE151" t="s">
        <v>173</v>
      </c>
      <c r="CG151" t="s">
        <v>172</v>
      </c>
      <c r="CH151" t="s">
        <v>282</v>
      </c>
      <c r="CI151" t="s">
        <v>172</v>
      </c>
      <c r="CJ151" t="s">
        <v>305</v>
      </c>
      <c r="CK151" t="s">
        <v>259</v>
      </c>
      <c r="CM151">
        <v>1</v>
      </c>
      <c r="CN151" t="s">
        <v>260</v>
      </c>
      <c r="CP151">
        <v>44</v>
      </c>
      <c r="CQ151">
        <v>10</v>
      </c>
      <c r="CR151">
        <v>38</v>
      </c>
      <c r="CS151" t="s">
        <v>261</v>
      </c>
      <c r="CV151" t="s">
        <v>262</v>
      </c>
      <c r="CX151" t="s">
        <v>263</v>
      </c>
      <c r="CY151" t="s">
        <v>173</v>
      </c>
      <c r="DC151" t="s">
        <v>329</v>
      </c>
      <c r="DD151">
        <v>1</v>
      </c>
      <c r="DE151" t="s">
        <v>307</v>
      </c>
      <c r="DF151" t="s">
        <v>330</v>
      </c>
      <c r="DG151">
        <v>9</v>
      </c>
      <c r="DJ151" t="s">
        <v>250</v>
      </c>
      <c r="DK151" t="s">
        <v>251</v>
      </c>
      <c r="DL151" t="s">
        <v>173</v>
      </c>
      <c r="DM151" t="s">
        <v>173</v>
      </c>
      <c r="DN151" t="s">
        <v>173</v>
      </c>
      <c r="DO151" t="s">
        <v>309</v>
      </c>
      <c r="DP151" t="s">
        <v>172</v>
      </c>
      <c r="DQ151" t="s">
        <v>204</v>
      </c>
      <c r="DY151">
        <v>38.700000000000003</v>
      </c>
      <c r="EA151" s="117"/>
      <c r="EB151">
        <v>5</v>
      </c>
      <c r="EC151">
        <v>5</v>
      </c>
      <c r="EE151" t="s">
        <v>331</v>
      </c>
      <c r="EF151">
        <v>6</v>
      </c>
      <c r="EV151">
        <v>2500</v>
      </c>
      <c r="EW151">
        <v>338</v>
      </c>
      <c r="EX151">
        <v>271</v>
      </c>
      <c r="EY151">
        <v>308</v>
      </c>
    </row>
    <row r="152" spans="1:155" x14ac:dyDescent="0.35">
      <c r="A152">
        <v>2026</v>
      </c>
      <c r="B152" t="s">
        <v>192</v>
      </c>
      <c r="C152" s="112" t="s">
        <v>192</v>
      </c>
      <c r="D152" t="s">
        <v>472</v>
      </c>
      <c r="E152" t="s">
        <v>194</v>
      </c>
      <c r="F152">
        <v>808</v>
      </c>
      <c r="G152" s="113">
        <v>3</v>
      </c>
      <c r="H152">
        <v>6</v>
      </c>
      <c r="I152" t="s">
        <v>195</v>
      </c>
      <c r="J152">
        <v>21</v>
      </c>
      <c r="K152">
        <v>29</v>
      </c>
      <c r="L152">
        <v>24</v>
      </c>
      <c r="M152">
        <v>26.808</v>
      </c>
      <c r="N152">
        <v>41.4574</v>
      </c>
      <c r="O152">
        <v>31.8767</v>
      </c>
      <c r="P152">
        <v>21.112500000000001</v>
      </c>
      <c r="Q152">
        <v>29.0564</v>
      </c>
      <c r="R152">
        <v>24.074300000000001</v>
      </c>
      <c r="T152" t="s">
        <v>168</v>
      </c>
      <c r="U152" t="s">
        <v>169</v>
      </c>
      <c r="V152" t="s">
        <v>196</v>
      </c>
      <c r="W152" t="s">
        <v>197</v>
      </c>
      <c r="Y152">
        <v>8</v>
      </c>
      <c r="Z152" t="s">
        <v>172</v>
      </c>
      <c r="AA152" t="s">
        <v>173</v>
      </c>
      <c r="AB152" t="s">
        <v>174</v>
      </c>
      <c r="AC152" t="s">
        <v>175</v>
      </c>
      <c r="AD152">
        <v>10</v>
      </c>
      <c r="AG152" t="s">
        <v>176</v>
      </c>
      <c r="AH152" t="s">
        <v>177</v>
      </c>
      <c r="AI152" t="s">
        <v>178</v>
      </c>
      <c r="AJ152" t="s">
        <v>179</v>
      </c>
      <c r="AK152" t="s">
        <v>173</v>
      </c>
      <c r="AL152" t="s">
        <v>180</v>
      </c>
      <c r="AO152">
        <v>99</v>
      </c>
      <c r="AP152">
        <v>11</v>
      </c>
      <c r="AS152">
        <v>2600</v>
      </c>
      <c r="AT152">
        <v>2600</v>
      </c>
      <c r="BN152" s="114" t="s">
        <v>198</v>
      </c>
      <c r="BO152">
        <v>2</v>
      </c>
      <c r="BP152">
        <v>2</v>
      </c>
      <c r="BQ152">
        <v>5</v>
      </c>
      <c r="BR152" t="s">
        <v>460</v>
      </c>
      <c r="BS152" t="s">
        <v>182</v>
      </c>
      <c r="BT152" t="s">
        <v>183</v>
      </c>
      <c r="BU152" s="115">
        <v>45748</v>
      </c>
      <c r="BV152">
        <v>36404</v>
      </c>
      <c r="BW152" s="116"/>
      <c r="BX152" t="s">
        <v>173</v>
      </c>
      <c r="BY152" t="s">
        <v>173</v>
      </c>
      <c r="CB152" t="s">
        <v>173</v>
      </c>
      <c r="CC152" t="s">
        <v>173</v>
      </c>
      <c r="CE152" t="s">
        <v>173</v>
      </c>
      <c r="CG152" t="s">
        <v>172</v>
      </c>
      <c r="CH152" t="s">
        <v>282</v>
      </c>
      <c r="CI152" t="s">
        <v>172</v>
      </c>
      <c r="CJ152" t="s">
        <v>283</v>
      </c>
      <c r="DJ152" t="s">
        <v>201</v>
      </c>
      <c r="DK152" t="s">
        <v>202</v>
      </c>
      <c r="DN152" t="s">
        <v>173</v>
      </c>
      <c r="DO152" t="s">
        <v>284</v>
      </c>
      <c r="DP152" t="s">
        <v>172</v>
      </c>
      <c r="DQ152" t="s">
        <v>204</v>
      </c>
      <c r="DY152">
        <v>32.1</v>
      </c>
      <c r="EA152" s="117"/>
      <c r="EB152">
        <v>5</v>
      </c>
      <c r="EC152">
        <v>5</v>
      </c>
      <c r="EE152" t="s">
        <v>315</v>
      </c>
      <c r="EF152">
        <v>2</v>
      </c>
      <c r="EV152">
        <v>4500</v>
      </c>
      <c r="EW152">
        <v>420</v>
      </c>
      <c r="EX152">
        <v>305</v>
      </c>
      <c r="EY152">
        <v>368</v>
      </c>
    </row>
    <row r="153" spans="1:155" x14ac:dyDescent="0.35">
      <c r="A153">
        <v>2026</v>
      </c>
      <c r="B153" t="s">
        <v>192</v>
      </c>
      <c r="C153" s="112" t="s">
        <v>192</v>
      </c>
      <c r="D153" t="s">
        <v>473</v>
      </c>
      <c r="E153" t="s">
        <v>194</v>
      </c>
      <c r="F153">
        <v>810</v>
      </c>
      <c r="G153" s="113">
        <v>3</v>
      </c>
      <c r="H153">
        <v>6</v>
      </c>
      <c r="I153" t="s">
        <v>195</v>
      </c>
      <c r="J153">
        <v>21</v>
      </c>
      <c r="K153">
        <v>29</v>
      </c>
      <c r="L153">
        <v>24</v>
      </c>
      <c r="M153">
        <v>26.273800000000001</v>
      </c>
      <c r="N153">
        <v>40.832799999999999</v>
      </c>
      <c r="O153">
        <v>31.295000000000002</v>
      </c>
      <c r="P153">
        <v>20.727399999999999</v>
      </c>
      <c r="Q153">
        <v>28.6587</v>
      </c>
      <c r="R153">
        <v>23.675999999999998</v>
      </c>
      <c r="T153" t="s">
        <v>168</v>
      </c>
      <c r="U153" t="s">
        <v>169</v>
      </c>
      <c r="V153" t="s">
        <v>196</v>
      </c>
      <c r="W153" t="s">
        <v>197</v>
      </c>
      <c r="Y153">
        <v>8</v>
      </c>
      <c r="Z153" t="s">
        <v>172</v>
      </c>
      <c r="AA153" t="s">
        <v>173</v>
      </c>
      <c r="AB153" t="s">
        <v>170</v>
      </c>
      <c r="AC153" t="s">
        <v>232</v>
      </c>
      <c r="AD153">
        <v>10</v>
      </c>
      <c r="AG153" t="s">
        <v>176</v>
      </c>
      <c r="AH153" t="s">
        <v>177</v>
      </c>
      <c r="AI153" t="s">
        <v>178</v>
      </c>
      <c r="AJ153" t="s">
        <v>179</v>
      </c>
      <c r="AK153" t="s">
        <v>173</v>
      </c>
      <c r="AL153" t="s">
        <v>180</v>
      </c>
      <c r="AO153">
        <v>99</v>
      </c>
      <c r="AP153">
        <v>11</v>
      </c>
      <c r="AS153">
        <v>2600</v>
      </c>
      <c r="AT153">
        <v>2600</v>
      </c>
      <c r="BN153" s="114" t="s">
        <v>198</v>
      </c>
      <c r="BO153">
        <v>2</v>
      </c>
      <c r="BP153">
        <v>2</v>
      </c>
      <c r="BQ153">
        <v>5</v>
      </c>
      <c r="BR153" t="s">
        <v>460</v>
      </c>
      <c r="BS153" t="s">
        <v>182</v>
      </c>
      <c r="BT153" t="s">
        <v>183</v>
      </c>
      <c r="BU153" s="115">
        <v>45748</v>
      </c>
      <c r="BV153">
        <v>36399</v>
      </c>
      <c r="BW153" s="116"/>
      <c r="BX153" t="s">
        <v>173</v>
      </c>
      <c r="BY153" t="s">
        <v>173</v>
      </c>
      <c r="CB153" t="s">
        <v>173</v>
      </c>
      <c r="CC153" t="s">
        <v>173</v>
      </c>
      <c r="CE153" t="s">
        <v>173</v>
      </c>
      <c r="CG153" t="s">
        <v>172</v>
      </c>
      <c r="CH153" t="s">
        <v>282</v>
      </c>
      <c r="CI153" t="s">
        <v>172</v>
      </c>
      <c r="CJ153" t="s">
        <v>283</v>
      </c>
      <c r="DJ153" t="s">
        <v>201</v>
      </c>
      <c r="DK153" t="s">
        <v>202</v>
      </c>
      <c r="DN153" t="s">
        <v>173</v>
      </c>
      <c r="DO153" t="s">
        <v>284</v>
      </c>
      <c r="DP153" t="s">
        <v>172</v>
      </c>
      <c r="DQ153" t="s">
        <v>204</v>
      </c>
      <c r="DY153">
        <v>31.5</v>
      </c>
      <c r="EA153" s="117"/>
      <c r="EB153">
        <v>5</v>
      </c>
      <c r="EC153">
        <v>5</v>
      </c>
      <c r="EE153" t="s">
        <v>315</v>
      </c>
      <c r="EF153">
        <v>2</v>
      </c>
      <c r="EV153">
        <v>4500</v>
      </c>
      <c r="EW153">
        <v>426</v>
      </c>
      <c r="EX153">
        <v>308</v>
      </c>
      <c r="EY153">
        <v>373</v>
      </c>
    </row>
    <row r="154" spans="1:155" x14ac:dyDescent="0.35">
      <c r="A154">
        <v>2026</v>
      </c>
      <c r="B154" t="s">
        <v>192</v>
      </c>
      <c r="C154" s="112" t="s">
        <v>192</v>
      </c>
      <c r="D154" t="s">
        <v>474</v>
      </c>
      <c r="E154" t="s">
        <v>194</v>
      </c>
      <c r="F154">
        <v>854</v>
      </c>
      <c r="G154" s="113">
        <v>4.4000000000000004</v>
      </c>
      <c r="H154">
        <v>8</v>
      </c>
      <c r="I154" t="s">
        <v>195</v>
      </c>
      <c r="J154">
        <v>17</v>
      </c>
      <c r="K154">
        <v>24</v>
      </c>
      <c r="L154">
        <v>19</v>
      </c>
      <c r="M154">
        <v>20.809899999999999</v>
      </c>
      <c r="N154">
        <v>33.359699999999997</v>
      </c>
      <c r="O154">
        <v>25.050699999999999</v>
      </c>
      <c r="P154">
        <v>16.711600000000001</v>
      </c>
      <c r="Q154">
        <v>23.812200000000001</v>
      </c>
      <c r="R154">
        <v>19.301600000000001</v>
      </c>
      <c r="T154" t="s">
        <v>168</v>
      </c>
      <c r="U154" t="s">
        <v>169</v>
      </c>
      <c r="V154" t="s">
        <v>196</v>
      </c>
      <c r="W154" t="s">
        <v>197</v>
      </c>
      <c r="Y154">
        <v>8</v>
      </c>
      <c r="Z154" t="s">
        <v>172</v>
      </c>
      <c r="AA154" t="s">
        <v>173</v>
      </c>
      <c r="AB154" t="s">
        <v>170</v>
      </c>
      <c r="AC154" t="s">
        <v>232</v>
      </c>
      <c r="AD154">
        <v>10</v>
      </c>
      <c r="AG154" t="s">
        <v>176</v>
      </c>
      <c r="AH154" t="s">
        <v>177</v>
      </c>
      <c r="AI154" t="s">
        <v>178</v>
      </c>
      <c r="AJ154" t="s">
        <v>179</v>
      </c>
      <c r="AK154" t="s">
        <v>173</v>
      </c>
      <c r="AL154" t="s">
        <v>180</v>
      </c>
      <c r="AO154">
        <v>100</v>
      </c>
      <c r="AP154">
        <v>16</v>
      </c>
      <c r="AS154">
        <v>3300</v>
      </c>
      <c r="AT154">
        <v>3300</v>
      </c>
      <c r="BN154" s="114" t="s">
        <v>198</v>
      </c>
      <c r="BO154">
        <v>2</v>
      </c>
      <c r="BP154">
        <v>2</v>
      </c>
      <c r="BQ154">
        <v>5</v>
      </c>
      <c r="BR154" t="s">
        <v>460</v>
      </c>
      <c r="BS154" t="s">
        <v>182</v>
      </c>
      <c r="BT154" t="s">
        <v>183</v>
      </c>
      <c r="BU154" s="115">
        <v>45748</v>
      </c>
      <c r="BV154">
        <v>36415</v>
      </c>
      <c r="BW154" s="116"/>
      <c r="BX154" t="s">
        <v>173</v>
      </c>
      <c r="BY154" t="s">
        <v>173</v>
      </c>
      <c r="CB154" t="s">
        <v>173</v>
      </c>
      <c r="CC154" t="s">
        <v>173</v>
      </c>
      <c r="CE154" t="s">
        <v>173</v>
      </c>
      <c r="CG154" t="s">
        <v>172</v>
      </c>
      <c r="CH154" t="s">
        <v>282</v>
      </c>
      <c r="CI154" t="s">
        <v>172</v>
      </c>
      <c r="CJ154" t="s">
        <v>283</v>
      </c>
      <c r="DJ154" t="s">
        <v>201</v>
      </c>
      <c r="DK154" t="s">
        <v>202</v>
      </c>
      <c r="DN154" t="s">
        <v>173</v>
      </c>
      <c r="DO154" t="s">
        <v>266</v>
      </c>
      <c r="DP154" t="s">
        <v>172</v>
      </c>
      <c r="DQ154" t="s">
        <v>204</v>
      </c>
      <c r="DY154">
        <v>25.2</v>
      </c>
      <c r="EA154" s="117"/>
      <c r="EB154">
        <v>4</v>
      </c>
      <c r="EC154">
        <v>4</v>
      </c>
      <c r="EE154" t="s">
        <v>337</v>
      </c>
      <c r="EF154">
        <v>2</v>
      </c>
      <c r="EV154">
        <v>8000</v>
      </c>
      <c r="EW154">
        <v>526</v>
      </c>
      <c r="EX154">
        <v>371</v>
      </c>
      <c r="EY154">
        <v>456</v>
      </c>
    </row>
    <row r="155" spans="1:155" x14ac:dyDescent="0.35">
      <c r="A155">
        <v>2026</v>
      </c>
      <c r="B155" t="s">
        <v>211</v>
      </c>
      <c r="C155" s="112" t="s">
        <v>388</v>
      </c>
      <c r="D155" t="s">
        <v>475</v>
      </c>
      <c r="E155" t="s">
        <v>214</v>
      </c>
      <c r="F155">
        <v>304</v>
      </c>
      <c r="G155" s="113">
        <v>3</v>
      </c>
      <c r="H155">
        <v>6</v>
      </c>
      <c r="I155" t="s">
        <v>246</v>
      </c>
      <c r="J155">
        <v>19</v>
      </c>
      <c r="K155">
        <v>28</v>
      </c>
      <c r="L155">
        <v>22</v>
      </c>
      <c r="M155">
        <v>24.1</v>
      </c>
      <c r="N155">
        <v>40.700000000000003</v>
      </c>
      <c r="O155">
        <v>29.517600000000002</v>
      </c>
      <c r="P155">
        <v>19.146799999999999</v>
      </c>
      <c r="Q155">
        <v>28</v>
      </c>
      <c r="R155">
        <v>22.484999999999999</v>
      </c>
      <c r="T155" t="s">
        <v>168</v>
      </c>
      <c r="U155" t="s">
        <v>169</v>
      </c>
      <c r="V155" t="s">
        <v>196</v>
      </c>
      <c r="W155" t="s">
        <v>197</v>
      </c>
      <c r="Y155">
        <v>10</v>
      </c>
      <c r="Z155" t="s">
        <v>172</v>
      </c>
      <c r="AA155" t="s">
        <v>173</v>
      </c>
      <c r="AB155" t="s">
        <v>174</v>
      </c>
      <c r="AC155" t="s">
        <v>175</v>
      </c>
      <c r="AD155">
        <v>10</v>
      </c>
      <c r="AG155" t="s">
        <v>216</v>
      </c>
      <c r="AH155" t="s">
        <v>217</v>
      </c>
      <c r="AI155" t="s">
        <v>178</v>
      </c>
      <c r="AJ155" t="s">
        <v>179</v>
      </c>
      <c r="AK155" t="s">
        <v>173</v>
      </c>
      <c r="AL155" t="s">
        <v>180</v>
      </c>
      <c r="AO155">
        <v>99</v>
      </c>
      <c r="AP155">
        <v>11</v>
      </c>
      <c r="AS155">
        <v>2850</v>
      </c>
      <c r="AT155">
        <v>2850</v>
      </c>
      <c r="BN155" s="114" t="s">
        <v>198</v>
      </c>
      <c r="BO155">
        <v>2</v>
      </c>
      <c r="BP155">
        <v>2</v>
      </c>
      <c r="BQ155">
        <v>5</v>
      </c>
      <c r="BR155" t="s">
        <v>460</v>
      </c>
      <c r="BS155" t="s">
        <v>182</v>
      </c>
      <c r="BT155" t="s">
        <v>183</v>
      </c>
      <c r="BU155" s="115">
        <v>45810</v>
      </c>
      <c r="BV155">
        <v>36586</v>
      </c>
      <c r="BW155" s="116"/>
      <c r="BX155" t="s">
        <v>173</v>
      </c>
      <c r="BY155" t="s">
        <v>173</v>
      </c>
      <c r="CB155" t="s">
        <v>173</v>
      </c>
      <c r="CC155" t="s">
        <v>173</v>
      </c>
      <c r="CE155" t="s">
        <v>172</v>
      </c>
      <c r="CF155" t="s">
        <v>220</v>
      </c>
      <c r="CG155" t="s">
        <v>172</v>
      </c>
      <c r="CH155" t="s">
        <v>397</v>
      </c>
      <c r="CI155" t="s">
        <v>173</v>
      </c>
      <c r="DJ155" t="s">
        <v>201</v>
      </c>
      <c r="DK155" t="s">
        <v>202</v>
      </c>
      <c r="DN155" t="s">
        <v>173</v>
      </c>
      <c r="DO155" t="s">
        <v>347</v>
      </c>
      <c r="DP155" t="s">
        <v>172</v>
      </c>
      <c r="DQ155" t="s">
        <v>204</v>
      </c>
      <c r="DY155">
        <v>29.7</v>
      </c>
      <c r="EA155" s="117"/>
      <c r="EB155">
        <v>4</v>
      </c>
      <c r="EC155">
        <v>4</v>
      </c>
      <c r="EE155" t="s">
        <v>398</v>
      </c>
      <c r="EF155">
        <v>4</v>
      </c>
      <c r="EV155">
        <v>5750</v>
      </c>
      <c r="EW155">
        <v>466</v>
      </c>
      <c r="EX155">
        <v>318</v>
      </c>
      <c r="EY155">
        <v>399</v>
      </c>
    </row>
    <row r="156" spans="1:155" x14ac:dyDescent="0.35">
      <c r="A156">
        <v>2026</v>
      </c>
      <c r="B156" t="s">
        <v>211</v>
      </c>
      <c r="C156" s="112" t="s">
        <v>388</v>
      </c>
      <c r="D156" t="s">
        <v>475</v>
      </c>
      <c r="E156" t="s">
        <v>214</v>
      </c>
      <c r="F156">
        <v>314</v>
      </c>
      <c r="G156" s="113">
        <v>2</v>
      </c>
      <c r="H156">
        <v>4</v>
      </c>
      <c r="I156" t="s">
        <v>246</v>
      </c>
      <c r="J156">
        <v>22</v>
      </c>
      <c r="K156">
        <v>31</v>
      </c>
      <c r="L156">
        <v>26</v>
      </c>
      <c r="M156">
        <v>28.393799999999999</v>
      </c>
      <c r="N156">
        <v>45.146700000000003</v>
      </c>
      <c r="O156">
        <v>34.085599999999999</v>
      </c>
      <c r="P156">
        <v>22.247699999999998</v>
      </c>
      <c r="Q156">
        <v>31.383199999999999</v>
      </c>
      <c r="R156">
        <v>25.601299999999998</v>
      </c>
      <c r="T156" t="s">
        <v>168</v>
      </c>
      <c r="U156" t="s">
        <v>169</v>
      </c>
      <c r="V156" t="s">
        <v>196</v>
      </c>
      <c r="W156" t="s">
        <v>197</v>
      </c>
      <c r="Y156">
        <v>10</v>
      </c>
      <c r="Z156" t="s">
        <v>172</v>
      </c>
      <c r="AA156" t="s">
        <v>173</v>
      </c>
      <c r="AB156" t="s">
        <v>174</v>
      </c>
      <c r="AC156" t="s">
        <v>175</v>
      </c>
      <c r="AD156">
        <v>10</v>
      </c>
      <c r="AG156" t="s">
        <v>216</v>
      </c>
      <c r="AH156" t="s">
        <v>217</v>
      </c>
      <c r="AI156" t="s">
        <v>178</v>
      </c>
      <c r="AJ156" t="s">
        <v>179</v>
      </c>
      <c r="AK156" t="s">
        <v>173</v>
      </c>
      <c r="AL156" t="s">
        <v>180</v>
      </c>
      <c r="AO156">
        <v>99</v>
      </c>
      <c r="AP156">
        <v>11</v>
      </c>
      <c r="AS156">
        <v>2400</v>
      </c>
      <c r="AT156">
        <v>2400</v>
      </c>
      <c r="BN156" s="114" t="s">
        <v>198</v>
      </c>
      <c r="BO156">
        <v>2</v>
      </c>
      <c r="BP156">
        <v>2</v>
      </c>
      <c r="BQ156">
        <v>5</v>
      </c>
      <c r="BR156" t="s">
        <v>460</v>
      </c>
      <c r="BS156" t="s">
        <v>182</v>
      </c>
      <c r="BT156" t="s">
        <v>183</v>
      </c>
      <c r="BU156" s="115">
        <v>45810</v>
      </c>
      <c r="BV156">
        <v>36603</v>
      </c>
      <c r="BW156" s="116"/>
      <c r="BX156" t="s">
        <v>173</v>
      </c>
      <c r="BY156" t="s">
        <v>173</v>
      </c>
      <c r="CB156" t="s">
        <v>173</v>
      </c>
      <c r="CC156" t="s">
        <v>173</v>
      </c>
      <c r="CE156" t="s">
        <v>172</v>
      </c>
      <c r="CF156" t="s">
        <v>220</v>
      </c>
      <c r="CG156" t="s">
        <v>172</v>
      </c>
      <c r="CH156" t="s">
        <v>224</v>
      </c>
      <c r="CI156" t="s">
        <v>172</v>
      </c>
      <c r="CJ156" t="s">
        <v>390</v>
      </c>
      <c r="DJ156" t="s">
        <v>201</v>
      </c>
      <c r="DK156" t="s">
        <v>202</v>
      </c>
      <c r="DN156" t="s">
        <v>173</v>
      </c>
      <c r="DO156" t="s">
        <v>203</v>
      </c>
      <c r="DP156" t="s">
        <v>172</v>
      </c>
      <c r="DQ156" t="s">
        <v>204</v>
      </c>
      <c r="DY156">
        <v>34.299999999999997</v>
      </c>
      <c r="EA156" s="117"/>
      <c r="EB156">
        <v>5</v>
      </c>
      <c r="EC156">
        <v>5</v>
      </c>
      <c r="EE156" t="s">
        <v>391</v>
      </c>
      <c r="EF156">
        <v>6</v>
      </c>
      <c r="EV156">
        <v>3500</v>
      </c>
      <c r="EW156">
        <v>399</v>
      </c>
      <c r="EX156">
        <v>282</v>
      </c>
      <c r="EY156">
        <v>346</v>
      </c>
    </row>
    <row r="157" spans="1:155" x14ac:dyDescent="0.35">
      <c r="A157">
        <v>2026</v>
      </c>
      <c r="B157" t="s">
        <v>211</v>
      </c>
      <c r="C157" s="112" t="s">
        <v>388</v>
      </c>
      <c r="D157" t="s">
        <v>476</v>
      </c>
      <c r="E157" t="s">
        <v>214</v>
      </c>
      <c r="F157">
        <v>306</v>
      </c>
      <c r="G157" s="113">
        <v>3</v>
      </c>
      <c r="H157">
        <v>6</v>
      </c>
      <c r="I157" t="s">
        <v>246</v>
      </c>
      <c r="J157">
        <v>18</v>
      </c>
      <c r="K157">
        <v>27</v>
      </c>
      <c r="L157">
        <v>21</v>
      </c>
      <c r="M157">
        <v>22.9</v>
      </c>
      <c r="N157">
        <v>37.799999999999997</v>
      </c>
      <c r="O157">
        <v>27.837900000000001</v>
      </c>
      <c r="P157">
        <v>18.264700000000001</v>
      </c>
      <c r="Q157">
        <v>26.711500000000001</v>
      </c>
      <c r="R157">
        <v>21.295000000000002</v>
      </c>
      <c r="T157" t="s">
        <v>168</v>
      </c>
      <c r="U157" t="s">
        <v>169</v>
      </c>
      <c r="V157" t="s">
        <v>196</v>
      </c>
      <c r="W157" t="s">
        <v>197</v>
      </c>
      <c r="Y157">
        <v>10</v>
      </c>
      <c r="Z157" t="s">
        <v>172</v>
      </c>
      <c r="AA157" t="s">
        <v>173</v>
      </c>
      <c r="AB157" t="s">
        <v>170</v>
      </c>
      <c r="AC157" t="s">
        <v>232</v>
      </c>
      <c r="AD157">
        <v>10</v>
      </c>
      <c r="AG157" t="s">
        <v>216</v>
      </c>
      <c r="AH157" t="s">
        <v>217</v>
      </c>
      <c r="AI157" t="s">
        <v>178</v>
      </c>
      <c r="AJ157" t="s">
        <v>179</v>
      </c>
      <c r="AK157" t="s">
        <v>173</v>
      </c>
      <c r="AL157" t="s">
        <v>180</v>
      </c>
      <c r="AO157">
        <v>99</v>
      </c>
      <c r="AP157">
        <v>11</v>
      </c>
      <c r="AS157">
        <v>2950</v>
      </c>
      <c r="AT157">
        <v>2950</v>
      </c>
      <c r="BN157" s="114" t="s">
        <v>198</v>
      </c>
      <c r="BO157">
        <v>2</v>
      </c>
      <c r="BP157">
        <v>2</v>
      </c>
      <c r="BQ157">
        <v>5</v>
      </c>
      <c r="BR157" t="s">
        <v>460</v>
      </c>
      <c r="BS157" t="s">
        <v>182</v>
      </c>
      <c r="BT157" t="s">
        <v>183</v>
      </c>
      <c r="BU157" s="115">
        <v>45810</v>
      </c>
      <c r="BV157">
        <v>36588</v>
      </c>
      <c r="BW157" s="116"/>
      <c r="BX157" t="s">
        <v>173</v>
      </c>
      <c r="BY157" t="s">
        <v>173</v>
      </c>
      <c r="CB157" t="s">
        <v>173</v>
      </c>
      <c r="CC157" t="s">
        <v>173</v>
      </c>
      <c r="CE157" t="s">
        <v>172</v>
      </c>
      <c r="CF157" t="s">
        <v>220</v>
      </c>
      <c r="CG157" t="s">
        <v>172</v>
      </c>
      <c r="CH157" t="s">
        <v>397</v>
      </c>
      <c r="CI157" t="s">
        <v>173</v>
      </c>
      <c r="DJ157" t="s">
        <v>201</v>
      </c>
      <c r="DK157" t="s">
        <v>202</v>
      </c>
      <c r="DN157" t="s">
        <v>173</v>
      </c>
      <c r="DO157" t="s">
        <v>347</v>
      </c>
      <c r="DP157" t="s">
        <v>172</v>
      </c>
      <c r="DQ157" t="s">
        <v>204</v>
      </c>
      <c r="DY157">
        <v>28</v>
      </c>
      <c r="EA157" s="117"/>
      <c r="EB157">
        <v>4</v>
      </c>
      <c r="EC157">
        <v>4</v>
      </c>
      <c r="EE157" t="s">
        <v>398</v>
      </c>
      <c r="EF157">
        <v>4</v>
      </c>
      <c r="EV157">
        <v>6250</v>
      </c>
      <c r="EW157">
        <v>488</v>
      </c>
      <c r="EX157">
        <v>334</v>
      </c>
      <c r="EY157">
        <v>418</v>
      </c>
    </row>
    <row r="158" spans="1:155" x14ac:dyDescent="0.35">
      <c r="A158">
        <v>2026</v>
      </c>
      <c r="B158" t="s">
        <v>211</v>
      </c>
      <c r="C158" s="112" t="s">
        <v>388</v>
      </c>
      <c r="D158" t="s">
        <v>476</v>
      </c>
      <c r="E158" t="s">
        <v>214</v>
      </c>
      <c r="F158">
        <v>315</v>
      </c>
      <c r="G158" s="113">
        <v>2</v>
      </c>
      <c r="H158">
        <v>4</v>
      </c>
      <c r="I158" t="s">
        <v>246</v>
      </c>
      <c r="J158">
        <v>21</v>
      </c>
      <c r="K158">
        <v>30</v>
      </c>
      <c r="L158">
        <v>24</v>
      </c>
      <c r="M158">
        <v>27.1463</v>
      </c>
      <c r="N158">
        <v>43.125500000000002</v>
      </c>
      <c r="O158">
        <v>32.578299999999999</v>
      </c>
      <c r="P158">
        <v>21.355599999999999</v>
      </c>
      <c r="Q158">
        <v>30.113199999999999</v>
      </c>
      <c r="R158">
        <v>24</v>
      </c>
      <c r="T158" t="s">
        <v>168</v>
      </c>
      <c r="U158" t="s">
        <v>169</v>
      </c>
      <c r="V158" t="s">
        <v>196</v>
      </c>
      <c r="W158" t="s">
        <v>197</v>
      </c>
      <c r="Y158">
        <v>10</v>
      </c>
      <c r="Z158" t="s">
        <v>172</v>
      </c>
      <c r="AA158" t="s">
        <v>173</v>
      </c>
      <c r="AB158" t="s">
        <v>170</v>
      </c>
      <c r="AC158" t="s">
        <v>232</v>
      </c>
      <c r="AD158">
        <v>10</v>
      </c>
      <c r="AG158" t="s">
        <v>216</v>
      </c>
      <c r="AH158" t="s">
        <v>217</v>
      </c>
      <c r="AI158" t="s">
        <v>178</v>
      </c>
      <c r="AJ158" t="s">
        <v>179</v>
      </c>
      <c r="AK158" t="s">
        <v>173</v>
      </c>
      <c r="AL158" t="s">
        <v>180</v>
      </c>
      <c r="AO158">
        <v>99</v>
      </c>
      <c r="AP158">
        <v>11</v>
      </c>
      <c r="AS158">
        <v>2600</v>
      </c>
      <c r="AT158">
        <v>2600</v>
      </c>
      <c r="BN158" s="114" t="s">
        <v>198</v>
      </c>
      <c r="BO158">
        <v>2</v>
      </c>
      <c r="BP158">
        <v>2</v>
      </c>
      <c r="BQ158">
        <v>5</v>
      </c>
      <c r="BR158" t="s">
        <v>460</v>
      </c>
      <c r="BS158" t="s">
        <v>182</v>
      </c>
      <c r="BT158" t="s">
        <v>183</v>
      </c>
      <c r="BU158" s="115">
        <v>45810</v>
      </c>
      <c r="BV158">
        <v>36604</v>
      </c>
      <c r="BW158" s="116"/>
      <c r="BX158" t="s">
        <v>173</v>
      </c>
      <c r="BY158" t="s">
        <v>173</v>
      </c>
      <c r="CB158" t="s">
        <v>173</v>
      </c>
      <c r="CC158" t="s">
        <v>173</v>
      </c>
      <c r="CE158" t="s">
        <v>172</v>
      </c>
      <c r="CF158" t="s">
        <v>220</v>
      </c>
      <c r="CG158" t="s">
        <v>172</v>
      </c>
      <c r="CH158" t="s">
        <v>224</v>
      </c>
      <c r="CI158" t="s">
        <v>172</v>
      </c>
      <c r="CJ158" t="s">
        <v>390</v>
      </c>
      <c r="DJ158" t="s">
        <v>201</v>
      </c>
      <c r="DK158" t="s">
        <v>202</v>
      </c>
      <c r="DN158" t="s">
        <v>173</v>
      </c>
      <c r="DO158" t="s">
        <v>203</v>
      </c>
      <c r="DP158" t="s">
        <v>172</v>
      </c>
      <c r="DQ158" t="s">
        <v>204</v>
      </c>
      <c r="DY158">
        <v>32.799999999999997</v>
      </c>
      <c r="EA158" s="117"/>
      <c r="EB158">
        <v>5</v>
      </c>
      <c r="EC158">
        <v>5</v>
      </c>
      <c r="EE158" t="s">
        <v>391</v>
      </c>
      <c r="EF158">
        <v>6</v>
      </c>
      <c r="EV158">
        <v>4500</v>
      </c>
      <c r="EW158">
        <v>416</v>
      </c>
      <c r="EX158">
        <v>294</v>
      </c>
      <c r="EY158">
        <v>370</v>
      </c>
    </row>
    <row r="159" spans="1:155" x14ac:dyDescent="0.35">
      <c r="A159">
        <v>2026</v>
      </c>
      <c r="B159" t="s">
        <v>211</v>
      </c>
      <c r="C159" s="112" t="s">
        <v>388</v>
      </c>
      <c r="D159" t="s">
        <v>477</v>
      </c>
      <c r="E159" t="s">
        <v>214</v>
      </c>
      <c r="F159">
        <v>305</v>
      </c>
      <c r="G159" s="113">
        <v>3</v>
      </c>
      <c r="H159">
        <v>6</v>
      </c>
      <c r="I159" t="s">
        <v>246</v>
      </c>
      <c r="J159">
        <v>18</v>
      </c>
      <c r="K159">
        <v>27</v>
      </c>
      <c r="L159">
        <v>21</v>
      </c>
      <c r="M159">
        <v>22.3</v>
      </c>
      <c r="N159">
        <v>38.200000000000003</v>
      </c>
      <c r="O159">
        <v>27.439499999999999</v>
      </c>
      <c r="P159">
        <v>17.821000000000002</v>
      </c>
      <c r="Q159">
        <v>26.969899999999999</v>
      </c>
      <c r="R159">
        <v>21.031500000000001</v>
      </c>
      <c r="T159" t="s">
        <v>168</v>
      </c>
      <c r="U159" t="s">
        <v>169</v>
      </c>
      <c r="V159" t="s">
        <v>196</v>
      </c>
      <c r="W159" t="s">
        <v>197</v>
      </c>
      <c r="Y159">
        <v>10</v>
      </c>
      <c r="Z159" t="s">
        <v>172</v>
      </c>
      <c r="AA159" t="s">
        <v>173</v>
      </c>
      <c r="AB159" t="s">
        <v>174</v>
      </c>
      <c r="AC159" t="s">
        <v>175</v>
      </c>
      <c r="AD159">
        <v>10</v>
      </c>
      <c r="AG159" t="s">
        <v>216</v>
      </c>
      <c r="AH159" t="s">
        <v>217</v>
      </c>
      <c r="AI159" t="s">
        <v>178</v>
      </c>
      <c r="AJ159" t="s">
        <v>179</v>
      </c>
      <c r="AK159" t="s">
        <v>173</v>
      </c>
      <c r="AL159" t="s">
        <v>180</v>
      </c>
      <c r="AO159">
        <v>99</v>
      </c>
      <c r="AP159">
        <v>11</v>
      </c>
      <c r="AS159">
        <v>2950</v>
      </c>
      <c r="AT159">
        <v>2950</v>
      </c>
      <c r="BN159" s="114" t="s">
        <v>198</v>
      </c>
      <c r="BO159">
        <v>2</v>
      </c>
      <c r="BP159">
        <v>2</v>
      </c>
      <c r="BQ159">
        <v>5</v>
      </c>
      <c r="BR159" t="s">
        <v>460</v>
      </c>
      <c r="BS159" t="s">
        <v>182</v>
      </c>
      <c r="BT159" t="s">
        <v>183</v>
      </c>
      <c r="BU159" s="115">
        <v>45810</v>
      </c>
      <c r="BV159">
        <v>36595</v>
      </c>
      <c r="BW159" s="116"/>
      <c r="BX159" t="s">
        <v>173</v>
      </c>
      <c r="BY159" t="s">
        <v>173</v>
      </c>
      <c r="CB159" t="s">
        <v>173</v>
      </c>
      <c r="CC159" t="s">
        <v>173</v>
      </c>
      <c r="CE159" t="s">
        <v>172</v>
      </c>
      <c r="CF159" t="s">
        <v>220</v>
      </c>
      <c r="CG159" t="s">
        <v>172</v>
      </c>
      <c r="CH159" t="s">
        <v>397</v>
      </c>
      <c r="CI159" t="s">
        <v>173</v>
      </c>
      <c r="DJ159" t="s">
        <v>201</v>
      </c>
      <c r="DK159" t="s">
        <v>202</v>
      </c>
      <c r="DN159" t="s">
        <v>173</v>
      </c>
      <c r="DO159" t="s">
        <v>347</v>
      </c>
      <c r="DP159" t="s">
        <v>172</v>
      </c>
      <c r="DQ159" t="s">
        <v>204</v>
      </c>
      <c r="DY159">
        <v>27.6</v>
      </c>
      <c r="EA159" s="117"/>
      <c r="EB159">
        <v>4</v>
      </c>
      <c r="EC159">
        <v>4</v>
      </c>
      <c r="EE159" t="s">
        <v>398</v>
      </c>
      <c r="EF159">
        <v>4</v>
      </c>
      <c r="EV159">
        <v>6250</v>
      </c>
      <c r="EW159">
        <v>499</v>
      </c>
      <c r="EX159">
        <v>330</v>
      </c>
      <c r="EY159">
        <v>423</v>
      </c>
    </row>
    <row r="160" spans="1:155" x14ac:dyDescent="0.35">
      <c r="A160">
        <v>2026</v>
      </c>
      <c r="B160" t="s">
        <v>211</v>
      </c>
      <c r="C160" s="112" t="s">
        <v>388</v>
      </c>
      <c r="D160" t="s">
        <v>477</v>
      </c>
      <c r="E160" t="s">
        <v>214</v>
      </c>
      <c r="F160">
        <v>310</v>
      </c>
      <c r="G160" s="113">
        <v>6.2</v>
      </c>
      <c r="H160">
        <v>8</v>
      </c>
      <c r="I160" t="s">
        <v>246</v>
      </c>
      <c r="J160">
        <v>13</v>
      </c>
      <c r="K160">
        <v>20</v>
      </c>
      <c r="L160">
        <v>15</v>
      </c>
      <c r="M160">
        <v>15.6</v>
      </c>
      <c r="N160">
        <v>28.234300000000001</v>
      </c>
      <c r="O160">
        <v>19.5334</v>
      </c>
      <c r="P160">
        <v>12.745900000000001</v>
      </c>
      <c r="Q160">
        <v>20.3917</v>
      </c>
      <c r="R160">
        <v>15.333</v>
      </c>
      <c r="S160" t="s">
        <v>167</v>
      </c>
      <c r="T160" t="s">
        <v>478</v>
      </c>
      <c r="U160" t="s">
        <v>479</v>
      </c>
      <c r="V160" t="s">
        <v>196</v>
      </c>
      <c r="W160" t="s">
        <v>197</v>
      </c>
      <c r="Y160">
        <v>10</v>
      </c>
      <c r="Z160" t="s">
        <v>172</v>
      </c>
      <c r="AA160" t="s">
        <v>173</v>
      </c>
      <c r="AB160" t="s">
        <v>174</v>
      </c>
      <c r="AC160" t="s">
        <v>175</v>
      </c>
      <c r="AD160">
        <v>10</v>
      </c>
      <c r="AG160" t="s">
        <v>216</v>
      </c>
      <c r="AH160" t="s">
        <v>217</v>
      </c>
      <c r="AI160" t="s">
        <v>178</v>
      </c>
      <c r="AJ160" t="s">
        <v>179</v>
      </c>
      <c r="AK160" t="s">
        <v>173</v>
      </c>
      <c r="AL160" t="s">
        <v>180</v>
      </c>
      <c r="AO160">
        <v>99</v>
      </c>
      <c r="AP160">
        <v>11</v>
      </c>
      <c r="AS160">
        <v>4150</v>
      </c>
      <c r="AT160">
        <v>4150</v>
      </c>
      <c r="BN160" s="114" t="s">
        <v>198</v>
      </c>
      <c r="BO160">
        <v>1</v>
      </c>
      <c r="BP160">
        <v>1</v>
      </c>
      <c r="BQ160">
        <v>5</v>
      </c>
      <c r="BR160" t="s">
        <v>460</v>
      </c>
      <c r="BS160" t="s">
        <v>182</v>
      </c>
      <c r="BT160" t="s">
        <v>183</v>
      </c>
      <c r="BU160" s="115">
        <v>45810</v>
      </c>
      <c r="BV160">
        <v>36573</v>
      </c>
      <c r="BW160" s="116"/>
      <c r="BX160" t="s">
        <v>173</v>
      </c>
      <c r="BY160" t="s">
        <v>173</v>
      </c>
      <c r="CB160" t="s">
        <v>173</v>
      </c>
      <c r="CC160" t="s">
        <v>173</v>
      </c>
      <c r="CE160" t="s">
        <v>172</v>
      </c>
      <c r="CF160" t="s">
        <v>220</v>
      </c>
      <c r="CG160" t="s">
        <v>172</v>
      </c>
      <c r="CH160" t="s">
        <v>224</v>
      </c>
      <c r="CI160" t="s">
        <v>173</v>
      </c>
      <c r="DJ160" t="s">
        <v>201</v>
      </c>
      <c r="DK160" t="s">
        <v>202</v>
      </c>
      <c r="DN160" t="s">
        <v>173</v>
      </c>
      <c r="DO160" t="s">
        <v>188</v>
      </c>
      <c r="DP160" t="s">
        <v>173</v>
      </c>
      <c r="DQ160" t="s">
        <v>189</v>
      </c>
      <c r="DY160">
        <v>19.7</v>
      </c>
      <c r="EA160" s="117"/>
      <c r="EB160">
        <v>2</v>
      </c>
      <c r="EC160">
        <v>2</v>
      </c>
      <c r="EE160" t="s">
        <v>225</v>
      </c>
      <c r="EF160">
        <v>2</v>
      </c>
      <c r="EV160">
        <v>12250</v>
      </c>
      <c r="EW160">
        <v>697</v>
      </c>
      <c r="EX160">
        <v>437</v>
      </c>
      <c r="EY160">
        <v>580</v>
      </c>
    </row>
    <row r="161" spans="1:155" x14ac:dyDescent="0.35">
      <c r="A161">
        <v>2026</v>
      </c>
      <c r="B161" t="s">
        <v>211</v>
      </c>
      <c r="C161" s="112" t="s">
        <v>388</v>
      </c>
      <c r="D161" t="s">
        <v>477</v>
      </c>
      <c r="E161" t="s">
        <v>214</v>
      </c>
      <c r="F161">
        <v>311</v>
      </c>
      <c r="G161" s="113">
        <v>6.2</v>
      </c>
      <c r="H161">
        <v>8</v>
      </c>
      <c r="I161" t="s">
        <v>206</v>
      </c>
      <c r="J161">
        <v>13</v>
      </c>
      <c r="K161">
        <v>20</v>
      </c>
      <c r="L161">
        <v>15</v>
      </c>
      <c r="M161">
        <v>14.9</v>
      </c>
      <c r="N161">
        <v>25.5</v>
      </c>
      <c r="O161">
        <v>18.328499999999998</v>
      </c>
      <c r="P161">
        <v>12.545500000000001</v>
      </c>
      <c r="Q161">
        <v>20.284400000000002</v>
      </c>
      <c r="R161">
        <v>15.145799999999999</v>
      </c>
      <c r="S161" t="s">
        <v>167</v>
      </c>
      <c r="T161" t="s">
        <v>478</v>
      </c>
      <c r="U161" t="s">
        <v>479</v>
      </c>
      <c r="V161" t="s">
        <v>207</v>
      </c>
      <c r="W161" t="s">
        <v>208</v>
      </c>
      <c r="Y161">
        <v>6</v>
      </c>
      <c r="Z161" t="s">
        <v>173</v>
      </c>
      <c r="AA161" t="s">
        <v>173</v>
      </c>
      <c r="AB161" t="s">
        <v>174</v>
      </c>
      <c r="AC161" t="s">
        <v>175</v>
      </c>
      <c r="AD161">
        <v>10</v>
      </c>
      <c r="AG161" t="s">
        <v>216</v>
      </c>
      <c r="AH161" t="s">
        <v>217</v>
      </c>
      <c r="AI161" t="s">
        <v>178</v>
      </c>
      <c r="AJ161" t="s">
        <v>179</v>
      </c>
      <c r="AK161" t="s">
        <v>173</v>
      </c>
      <c r="AL161" t="s">
        <v>180</v>
      </c>
      <c r="AO161">
        <v>99</v>
      </c>
      <c r="AP161">
        <v>11</v>
      </c>
      <c r="AS161">
        <v>4150</v>
      </c>
      <c r="AT161">
        <v>4150</v>
      </c>
      <c r="BN161" s="114" t="s">
        <v>198</v>
      </c>
      <c r="BO161">
        <v>1</v>
      </c>
      <c r="BP161">
        <v>1</v>
      </c>
      <c r="BQ161">
        <v>5</v>
      </c>
      <c r="BR161" t="s">
        <v>460</v>
      </c>
      <c r="BS161" t="s">
        <v>182</v>
      </c>
      <c r="BT161" t="s">
        <v>218</v>
      </c>
      <c r="BU161" s="115">
        <v>45810</v>
      </c>
      <c r="BV161">
        <v>36574</v>
      </c>
      <c r="BW161" s="116"/>
      <c r="BX161" t="s">
        <v>173</v>
      </c>
      <c r="BY161" t="s">
        <v>173</v>
      </c>
      <c r="CB161" t="s">
        <v>173</v>
      </c>
      <c r="CC161" t="s">
        <v>173</v>
      </c>
      <c r="CE161" t="s">
        <v>173</v>
      </c>
      <c r="CG161" t="s">
        <v>172</v>
      </c>
      <c r="CH161" t="s">
        <v>224</v>
      </c>
      <c r="CI161" t="s">
        <v>173</v>
      </c>
      <c r="DJ161" t="s">
        <v>201</v>
      </c>
      <c r="DK161" t="s">
        <v>202</v>
      </c>
      <c r="DN161" t="s">
        <v>173</v>
      </c>
      <c r="DO161" t="s">
        <v>188</v>
      </c>
      <c r="DP161" t="s">
        <v>173</v>
      </c>
      <c r="DQ161" t="s">
        <v>189</v>
      </c>
      <c r="DY161">
        <v>18.5</v>
      </c>
      <c r="EA161" s="117"/>
      <c r="EB161">
        <v>2</v>
      </c>
      <c r="EC161">
        <v>2</v>
      </c>
      <c r="EE161" t="s">
        <v>225</v>
      </c>
      <c r="EF161">
        <v>2</v>
      </c>
      <c r="EV161">
        <v>12250</v>
      </c>
      <c r="EW161">
        <v>708</v>
      </c>
      <c r="EX161">
        <v>438</v>
      </c>
      <c r="EY161">
        <v>587</v>
      </c>
    </row>
    <row r="162" spans="1:155" x14ac:dyDescent="0.35">
      <c r="A162">
        <v>2026</v>
      </c>
      <c r="B162" t="s">
        <v>211</v>
      </c>
      <c r="C162" s="112" t="s">
        <v>388</v>
      </c>
      <c r="D162" t="s">
        <v>480</v>
      </c>
      <c r="E162" t="s">
        <v>214</v>
      </c>
      <c r="F162">
        <v>307</v>
      </c>
      <c r="G162" s="113">
        <v>3</v>
      </c>
      <c r="H162">
        <v>6</v>
      </c>
      <c r="I162" t="s">
        <v>246</v>
      </c>
      <c r="J162">
        <v>17</v>
      </c>
      <c r="K162">
        <v>26</v>
      </c>
      <c r="L162">
        <v>20</v>
      </c>
      <c r="M162">
        <v>22.041599999999999</v>
      </c>
      <c r="N162">
        <v>36.829500000000003</v>
      </c>
      <c r="O162">
        <v>26.9025</v>
      </c>
      <c r="P162">
        <v>17</v>
      </c>
      <c r="Q162">
        <v>26.082799999999999</v>
      </c>
      <c r="R162">
        <v>20</v>
      </c>
      <c r="T162" t="s">
        <v>168</v>
      </c>
      <c r="U162" t="s">
        <v>169</v>
      </c>
      <c r="V162" t="s">
        <v>196</v>
      </c>
      <c r="W162" t="s">
        <v>197</v>
      </c>
      <c r="Y162">
        <v>10</v>
      </c>
      <c r="Z162" t="s">
        <v>172</v>
      </c>
      <c r="AA162" t="s">
        <v>173</v>
      </c>
      <c r="AB162" t="s">
        <v>170</v>
      </c>
      <c r="AC162" t="s">
        <v>232</v>
      </c>
      <c r="AD162">
        <v>10</v>
      </c>
      <c r="AG162" t="s">
        <v>216</v>
      </c>
      <c r="AH162" t="s">
        <v>217</v>
      </c>
      <c r="AI162" t="s">
        <v>178</v>
      </c>
      <c r="AJ162" t="s">
        <v>179</v>
      </c>
      <c r="AK162" t="s">
        <v>173</v>
      </c>
      <c r="AL162" t="s">
        <v>180</v>
      </c>
      <c r="AO162">
        <v>99</v>
      </c>
      <c r="AP162">
        <v>11</v>
      </c>
      <c r="AS162">
        <v>3100</v>
      </c>
      <c r="AT162">
        <v>3100</v>
      </c>
      <c r="BN162" s="114" t="s">
        <v>198</v>
      </c>
      <c r="BO162">
        <v>2</v>
      </c>
      <c r="BP162">
        <v>2</v>
      </c>
      <c r="BQ162">
        <v>5</v>
      </c>
      <c r="BR162" t="s">
        <v>460</v>
      </c>
      <c r="BS162" t="s">
        <v>182</v>
      </c>
      <c r="BT162" t="s">
        <v>183</v>
      </c>
      <c r="BU162" s="115">
        <v>45810</v>
      </c>
      <c r="BV162">
        <v>36590</v>
      </c>
      <c r="BW162" s="116"/>
      <c r="BX162" t="s">
        <v>173</v>
      </c>
      <c r="BY162" t="s">
        <v>173</v>
      </c>
      <c r="CB162" t="s">
        <v>173</v>
      </c>
      <c r="CC162" t="s">
        <v>173</v>
      </c>
      <c r="CE162" t="s">
        <v>172</v>
      </c>
      <c r="CF162" t="s">
        <v>220</v>
      </c>
      <c r="CG162" t="s">
        <v>172</v>
      </c>
      <c r="CH162" t="s">
        <v>397</v>
      </c>
      <c r="CI162" t="s">
        <v>173</v>
      </c>
      <c r="DJ162" t="s">
        <v>201</v>
      </c>
      <c r="DK162" t="s">
        <v>202</v>
      </c>
      <c r="DN162" t="s">
        <v>173</v>
      </c>
      <c r="DO162" t="s">
        <v>347</v>
      </c>
      <c r="DP162" t="s">
        <v>172</v>
      </c>
      <c r="DQ162" t="s">
        <v>204</v>
      </c>
      <c r="DY162">
        <v>27.1</v>
      </c>
      <c r="EA162" s="117"/>
      <c r="EB162">
        <v>4</v>
      </c>
      <c r="EC162">
        <v>4</v>
      </c>
      <c r="EE162" t="s">
        <v>398</v>
      </c>
      <c r="EF162">
        <v>4</v>
      </c>
      <c r="EV162">
        <v>7000</v>
      </c>
      <c r="EW162">
        <v>523</v>
      </c>
      <c r="EX162">
        <v>342</v>
      </c>
      <c r="EY162">
        <v>445</v>
      </c>
    </row>
    <row r="163" spans="1:155" x14ac:dyDescent="0.35">
      <c r="A163">
        <v>2026</v>
      </c>
      <c r="B163" t="s">
        <v>481</v>
      </c>
      <c r="C163" s="112" t="s">
        <v>481</v>
      </c>
      <c r="D163" t="s">
        <v>482</v>
      </c>
      <c r="E163" t="s">
        <v>483</v>
      </c>
      <c r="F163">
        <v>4</v>
      </c>
      <c r="G163" s="113">
        <v>1.5</v>
      </c>
      <c r="H163">
        <v>4</v>
      </c>
      <c r="I163" t="s">
        <v>206</v>
      </c>
      <c r="J163">
        <v>27</v>
      </c>
      <c r="K163">
        <v>37</v>
      </c>
      <c r="L163">
        <v>31</v>
      </c>
      <c r="M163">
        <v>35.799999999999997</v>
      </c>
      <c r="N163">
        <v>56.3</v>
      </c>
      <c r="O163">
        <v>42.8155</v>
      </c>
      <c r="P163">
        <v>27.400200000000002</v>
      </c>
      <c r="Q163">
        <v>37</v>
      </c>
      <c r="R163">
        <v>31.3917</v>
      </c>
      <c r="T163" t="s">
        <v>168</v>
      </c>
      <c r="U163" t="s">
        <v>169</v>
      </c>
      <c r="V163" t="s">
        <v>207</v>
      </c>
      <c r="W163" t="s">
        <v>208</v>
      </c>
      <c r="Y163">
        <v>6</v>
      </c>
      <c r="Z163" t="s">
        <v>173</v>
      </c>
      <c r="AA163" t="s">
        <v>173</v>
      </c>
      <c r="AB163" t="s">
        <v>277</v>
      </c>
      <c r="AC163" t="s">
        <v>278</v>
      </c>
      <c r="AD163">
        <v>10</v>
      </c>
      <c r="AG163" t="s">
        <v>176</v>
      </c>
      <c r="AH163" t="s">
        <v>177</v>
      </c>
      <c r="AI163" t="s">
        <v>178</v>
      </c>
      <c r="AJ163" t="s">
        <v>179</v>
      </c>
      <c r="AK163" t="s">
        <v>173</v>
      </c>
      <c r="AL163" t="s">
        <v>180</v>
      </c>
      <c r="AO163">
        <v>99</v>
      </c>
      <c r="AP163">
        <v>15</v>
      </c>
      <c r="AS163">
        <v>2000</v>
      </c>
      <c r="AT163">
        <v>2000</v>
      </c>
      <c r="BN163" s="114" t="s">
        <v>198</v>
      </c>
      <c r="BO163">
        <v>2</v>
      </c>
      <c r="BP163">
        <v>2</v>
      </c>
      <c r="BQ163">
        <v>5</v>
      </c>
      <c r="BR163" t="s">
        <v>460</v>
      </c>
      <c r="BS163" t="s">
        <v>182</v>
      </c>
      <c r="BT163" t="s">
        <v>183</v>
      </c>
      <c r="BU163" s="115">
        <v>45820</v>
      </c>
      <c r="BV163">
        <v>36459</v>
      </c>
      <c r="BW163" s="116"/>
      <c r="BX163" t="s">
        <v>173</v>
      </c>
      <c r="BY163" t="s">
        <v>173</v>
      </c>
      <c r="CB163" t="s">
        <v>173</v>
      </c>
      <c r="CC163" t="s">
        <v>173</v>
      </c>
      <c r="CE163" t="s">
        <v>173</v>
      </c>
      <c r="CG163" t="s">
        <v>172</v>
      </c>
      <c r="CH163" t="s">
        <v>484</v>
      </c>
      <c r="CI163" t="s">
        <v>172</v>
      </c>
      <c r="CJ163" t="s">
        <v>485</v>
      </c>
      <c r="DJ163" t="s">
        <v>201</v>
      </c>
      <c r="DK163" t="s">
        <v>202</v>
      </c>
      <c r="DL163" t="s">
        <v>173</v>
      </c>
      <c r="DM163" t="s">
        <v>173</v>
      </c>
      <c r="DN163" t="s">
        <v>173</v>
      </c>
      <c r="DO163" t="s">
        <v>284</v>
      </c>
      <c r="DP163" t="s">
        <v>172</v>
      </c>
      <c r="DQ163" t="s">
        <v>204</v>
      </c>
      <c r="DY163">
        <v>43.5</v>
      </c>
      <c r="EA163" s="117"/>
      <c r="EB163">
        <v>6</v>
      </c>
      <c r="EC163">
        <v>6</v>
      </c>
      <c r="EE163" t="s">
        <v>486</v>
      </c>
      <c r="EF163">
        <v>5</v>
      </c>
      <c r="EV163">
        <v>1500</v>
      </c>
      <c r="EW163">
        <v>323</v>
      </c>
      <c r="EX163">
        <v>239</v>
      </c>
      <c r="EY163">
        <v>285</v>
      </c>
    </row>
    <row r="164" spans="1:155" x14ac:dyDescent="0.35">
      <c r="A164">
        <v>2026</v>
      </c>
      <c r="B164" t="s">
        <v>481</v>
      </c>
      <c r="C164" s="112" t="s">
        <v>481</v>
      </c>
      <c r="D164" t="s">
        <v>482</v>
      </c>
      <c r="E164" t="s">
        <v>483</v>
      </c>
      <c r="F164">
        <v>5</v>
      </c>
      <c r="G164" s="113">
        <v>2</v>
      </c>
      <c r="H164">
        <v>4</v>
      </c>
      <c r="I164" t="s">
        <v>487</v>
      </c>
      <c r="J164">
        <v>32</v>
      </c>
      <c r="K164">
        <v>41</v>
      </c>
      <c r="L164">
        <v>36</v>
      </c>
      <c r="M164">
        <v>43.6</v>
      </c>
      <c r="N164">
        <v>62.1</v>
      </c>
      <c r="O164">
        <v>50.349800000000002</v>
      </c>
      <c r="P164">
        <v>32</v>
      </c>
      <c r="Q164">
        <v>41</v>
      </c>
      <c r="R164">
        <v>36.100099999999998</v>
      </c>
      <c r="U164" t="s">
        <v>215</v>
      </c>
      <c r="V164" t="s">
        <v>488</v>
      </c>
      <c r="W164" t="s">
        <v>489</v>
      </c>
      <c r="Y164">
        <v>1</v>
      </c>
      <c r="Z164" t="s">
        <v>172</v>
      </c>
      <c r="AA164" t="s">
        <v>173</v>
      </c>
      <c r="AB164" t="s">
        <v>277</v>
      </c>
      <c r="AC164" t="s">
        <v>278</v>
      </c>
      <c r="AD164">
        <v>10</v>
      </c>
      <c r="AG164" t="s">
        <v>167</v>
      </c>
      <c r="AH164" t="s">
        <v>416</v>
      </c>
      <c r="AI164" t="s">
        <v>178</v>
      </c>
      <c r="AJ164" t="s">
        <v>179</v>
      </c>
      <c r="AK164" t="s">
        <v>173</v>
      </c>
      <c r="AL164" t="s">
        <v>180</v>
      </c>
      <c r="AO164">
        <v>99</v>
      </c>
      <c r="AP164">
        <v>15</v>
      </c>
      <c r="AS164">
        <v>1400</v>
      </c>
      <c r="AT164">
        <v>1400</v>
      </c>
      <c r="BN164" s="114" t="s">
        <v>198</v>
      </c>
      <c r="BO164">
        <v>2</v>
      </c>
      <c r="BP164">
        <v>2</v>
      </c>
      <c r="BQ164">
        <v>5</v>
      </c>
      <c r="BR164" t="s">
        <v>460</v>
      </c>
      <c r="BS164" t="s">
        <v>182</v>
      </c>
      <c r="BT164" t="s">
        <v>183</v>
      </c>
      <c r="BU164" s="115">
        <v>45820</v>
      </c>
      <c r="BV164">
        <v>36458</v>
      </c>
      <c r="BW164" s="116"/>
      <c r="BX164" t="s">
        <v>172</v>
      </c>
      <c r="BY164" t="s">
        <v>173</v>
      </c>
      <c r="CB164" t="s">
        <v>173</v>
      </c>
      <c r="CC164" t="s">
        <v>173</v>
      </c>
      <c r="CE164" t="s">
        <v>173</v>
      </c>
      <c r="CG164" t="s">
        <v>172</v>
      </c>
      <c r="CH164" t="s">
        <v>490</v>
      </c>
      <c r="CI164" t="s">
        <v>173</v>
      </c>
      <c r="DJ164" t="s">
        <v>201</v>
      </c>
      <c r="DK164" t="s">
        <v>202</v>
      </c>
      <c r="DL164" t="s">
        <v>173</v>
      </c>
      <c r="DM164" t="s">
        <v>173</v>
      </c>
      <c r="DN164" t="s">
        <v>173</v>
      </c>
      <c r="DO164" t="s">
        <v>284</v>
      </c>
      <c r="DP164" t="s">
        <v>172</v>
      </c>
      <c r="DQ164" t="s">
        <v>204</v>
      </c>
      <c r="DY164">
        <v>51.2</v>
      </c>
      <c r="EA164" s="117"/>
      <c r="EB164">
        <v>7</v>
      </c>
      <c r="EC164">
        <v>7</v>
      </c>
      <c r="EE164" t="s">
        <v>491</v>
      </c>
      <c r="EF164">
        <v>6</v>
      </c>
      <c r="EU164">
        <v>1500</v>
      </c>
      <c r="EW164">
        <v>276</v>
      </c>
      <c r="EX164">
        <v>215</v>
      </c>
      <c r="EY164">
        <v>248</v>
      </c>
    </row>
    <row r="165" spans="1:155" x14ac:dyDescent="0.35">
      <c r="A165">
        <v>2026</v>
      </c>
      <c r="B165" t="s">
        <v>481</v>
      </c>
      <c r="C165" s="112" t="s">
        <v>481</v>
      </c>
      <c r="D165" t="s">
        <v>482</v>
      </c>
      <c r="E165" t="s">
        <v>483</v>
      </c>
      <c r="F165">
        <v>6</v>
      </c>
      <c r="G165" s="113">
        <v>2</v>
      </c>
      <c r="H165">
        <v>4</v>
      </c>
      <c r="I165" t="s">
        <v>496</v>
      </c>
      <c r="J165">
        <v>31</v>
      </c>
      <c r="K165">
        <v>39</v>
      </c>
      <c r="L165">
        <v>34</v>
      </c>
      <c r="M165">
        <v>41.8</v>
      </c>
      <c r="N165">
        <v>60</v>
      </c>
      <c r="O165">
        <v>48.407600000000002</v>
      </c>
      <c r="P165">
        <v>31.4025</v>
      </c>
      <c r="Q165">
        <v>39</v>
      </c>
      <c r="R165">
        <v>34</v>
      </c>
      <c r="U165" t="s">
        <v>215</v>
      </c>
      <c r="V165" t="s">
        <v>497</v>
      </c>
      <c r="W165" t="s">
        <v>498</v>
      </c>
      <c r="Y165">
        <v>7</v>
      </c>
      <c r="Z165" t="s">
        <v>172</v>
      </c>
      <c r="AA165" t="s">
        <v>173</v>
      </c>
      <c r="AB165" t="s">
        <v>277</v>
      </c>
      <c r="AC165" t="s">
        <v>278</v>
      </c>
      <c r="AD165">
        <v>10</v>
      </c>
      <c r="AG165" t="s">
        <v>167</v>
      </c>
      <c r="AH165" t="s">
        <v>416</v>
      </c>
      <c r="AI165" t="s">
        <v>178</v>
      </c>
      <c r="AJ165" t="s">
        <v>179</v>
      </c>
      <c r="AK165" t="s">
        <v>173</v>
      </c>
      <c r="AL165" t="s">
        <v>180</v>
      </c>
      <c r="AO165">
        <v>99</v>
      </c>
      <c r="AP165">
        <v>15</v>
      </c>
      <c r="AS165">
        <v>1450</v>
      </c>
      <c r="AT165">
        <v>1450</v>
      </c>
      <c r="BN165" s="114" t="s">
        <v>198</v>
      </c>
      <c r="BO165">
        <v>2</v>
      </c>
      <c r="BP165">
        <v>2</v>
      </c>
      <c r="BQ165">
        <v>5</v>
      </c>
      <c r="BR165" t="s">
        <v>460</v>
      </c>
      <c r="BS165" t="s">
        <v>182</v>
      </c>
      <c r="BT165" t="s">
        <v>183</v>
      </c>
      <c r="BU165" s="115">
        <v>45820</v>
      </c>
      <c r="BV165">
        <v>36460</v>
      </c>
      <c r="BW165" s="116"/>
      <c r="BX165" t="s">
        <v>172</v>
      </c>
      <c r="BY165" t="s">
        <v>173</v>
      </c>
      <c r="CB165" t="s">
        <v>173</v>
      </c>
      <c r="CC165" t="s">
        <v>173</v>
      </c>
      <c r="CE165" t="s">
        <v>173</v>
      </c>
      <c r="CG165" t="s">
        <v>172</v>
      </c>
      <c r="CH165" t="s">
        <v>490</v>
      </c>
      <c r="CI165" t="s">
        <v>173</v>
      </c>
      <c r="DJ165" t="s">
        <v>201</v>
      </c>
      <c r="DK165" t="s">
        <v>202</v>
      </c>
      <c r="DL165" t="s">
        <v>173</v>
      </c>
      <c r="DM165" t="s">
        <v>173</v>
      </c>
      <c r="DN165" t="s">
        <v>173</v>
      </c>
      <c r="DO165" t="s">
        <v>284</v>
      </c>
      <c r="DP165" t="s">
        <v>172</v>
      </c>
      <c r="DQ165" t="s">
        <v>204</v>
      </c>
      <c r="DY165">
        <v>49.2</v>
      </c>
      <c r="EA165" s="117"/>
      <c r="EB165">
        <v>6</v>
      </c>
      <c r="EC165">
        <v>6</v>
      </c>
      <c r="EE165" t="s">
        <v>491</v>
      </c>
      <c r="EF165">
        <v>6</v>
      </c>
      <c r="EU165">
        <v>1250</v>
      </c>
      <c r="EW165">
        <v>281</v>
      </c>
      <c r="EX165">
        <v>226</v>
      </c>
      <c r="EY165">
        <v>260</v>
      </c>
    </row>
    <row r="166" spans="1:155" x14ac:dyDescent="0.35">
      <c r="A166">
        <v>2026</v>
      </c>
      <c r="B166" t="s">
        <v>481</v>
      </c>
      <c r="C166" s="112" t="s">
        <v>481</v>
      </c>
      <c r="D166" t="s">
        <v>482</v>
      </c>
      <c r="E166" t="s">
        <v>483</v>
      </c>
      <c r="F166">
        <v>14</v>
      </c>
      <c r="G166" s="113">
        <v>2</v>
      </c>
      <c r="H166">
        <v>4</v>
      </c>
      <c r="I166" t="s">
        <v>487</v>
      </c>
      <c r="J166">
        <v>50</v>
      </c>
      <c r="K166">
        <v>47</v>
      </c>
      <c r="L166">
        <v>49</v>
      </c>
      <c r="M166">
        <v>74.644300000000001</v>
      </c>
      <c r="N166">
        <v>69.739599999999996</v>
      </c>
      <c r="O166">
        <v>72.354399999999998</v>
      </c>
      <c r="P166">
        <v>50</v>
      </c>
      <c r="Q166">
        <v>46.953800000000001</v>
      </c>
      <c r="R166">
        <v>49.206699999999998</v>
      </c>
      <c r="U166" t="s">
        <v>215</v>
      </c>
      <c r="V166" t="s">
        <v>488</v>
      </c>
      <c r="W166" t="s">
        <v>489</v>
      </c>
      <c r="Y166">
        <v>1</v>
      </c>
      <c r="Z166" t="s">
        <v>172</v>
      </c>
      <c r="AA166" t="s">
        <v>173</v>
      </c>
      <c r="AB166" t="s">
        <v>277</v>
      </c>
      <c r="AC166" t="s">
        <v>278</v>
      </c>
      <c r="AD166">
        <v>10</v>
      </c>
      <c r="AG166" t="s">
        <v>167</v>
      </c>
      <c r="AH166" t="s">
        <v>416</v>
      </c>
      <c r="AI166" t="s">
        <v>178</v>
      </c>
      <c r="AJ166" t="s">
        <v>179</v>
      </c>
      <c r="AK166" t="s">
        <v>173</v>
      </c>
      <c r="AL166" t="s">
        <v>180</v>
      </c>
      <c r="AO166">
        <v>99</v>
      </c>
      <c r="AP166">
        <v>15</v>
      </c>
      <c r="AS166">
        <v>1000</v>
      </c>
      <c r="AT166">
        <v>1000</v>
      </c>
      <c r="BN166" s="114" t="s">
        <v>492</v>
      </c>
      <c r="BO166">
        <v>2</v>
      </c>
      <c r="BP166">
        <v>2</v>
      </c>
      <c r="BQ166">
        <v>5</v>
      </c>
      <c r="BR166" t="s">
        <v>460</v>
      </c>
      <c r="BS166" t="s">
        <v>182</v>
      </c>
      <c r="BT166" t="s">
        <v>218</v>
      </c>
      <c r="BU166" s="115">
        <v>45820</v>
      </c>
      <c r="BV166">
        <v>36599</v>
      </c>
      <c r="BW166" s="116"/>
      <c r="BX166" t="s">
        <v>172</v>
      </c>
      <c r="BY166" t="s">
        <v>173</v>
      </c>
      <c r="CB166" t="s">
        <v>173</v>
      </c>
      <c r="CC166" t="s">
        <v>173</v>
      </c>
      <c r="CE166" t="s">
        <v>173</v>
      </c>
      <c r="CG166" t="s">
        <v>172</v>
      </c>
      <c r="CH166" t="s">
        <v>490</v>
      </c>
      <c r="CI166" t="s">
        <v>173</v>
      </c>
      <c r="CK166" t="s">
        <v>259</v>
      </c>
      <c r="CM166">
        <v>1</v>
      </c>
      <c r="CN166" t="s">
        <v>260</v>
      </c>
      <c r="CP166">
        <v>263</v>
      </c>
      <c r="CQ166">
        <v>4.07</v>
      </c>
      <c r="CR166">
        <v>77.3</v>
      </c>
      <c r="CS166" t="s">
        <v>261</v>
      </c>
      <c r="CV166" t="s">
        <v>262</v>
      </c>
      <c r="CX166" t="s">
        <v>493</v>
      </c>
      <c r="CY166" t="s">
        <v>173</v>
      </c>
      <c r="DD166">
        <v>1</v>
      </c>
      <c r="DE166" t="s">
        <v>307</v>
      </c>
      <c r="DF166" t="s">
        <v>494</v>
      </c>
      <c r="DG166">
        <v>181</v>
      </c>
      <c r="DJ166" t="s">
        <v>201</v>
      </c>
      <c r="DK166" t="s">
        <v>202</v>
      </c>
      <c r="DL166" t="s">
        <v>173</v>
      </c>
      <c r="DM166" t="s">
        <v>173</v>
      </c>
      <c r="DN166" t="s">
        <v>173</v>
      </c>
      <c r="DO166" t="s">
        <v>284</v>
      </c>
      <c r="DP166" t="s">
        <v>172</v>
      </c>
      <c r="DQ166" t="s">
        <v>204</v>
      </c>
      <c r="DY166">
        <v>72.7</v>
      </c>
      <c r="EA166" s="117"/>
      <c r="EB166">
        <v>8</v>
      </c>
      <c r="EC166">
        <v>8</v>
      </c>
      <c r="EE166" t="s">
        <v>495</v>
      </c>
      <c r="EF166">
        <v>6</v>
      </c>
      <c r="EU166">
        <v>3500</v>
      </c>
      <c r="EW166">
        <v>176</v>
      </c>
      <c r="EX166">
        <v>188</v>
      </c>
      <c r="EY166">
        <v>181</v>
      </c>
    </row>
    <row r="167" spans="1:155" x14ac:dyDescent="0.35">
      <c r="A167">
        <v>2026</v>
      </c>
      <c r="B167" t="s">
        <v>400</v>
      </c>
      <c r="C167" s="112" t="s">
        <v>561</v>
      </c>
      <c r="D167" t="s">
        <v>1204</v>
      </c>
      <c r="E167" t="s">
        <v>403</v>
      </c>
      <c r="F167">
        <v>26</v>
      </c>
      <c r="G167" s="113">
        <v>1.6</v>
      </c>
      <c r="H167">
        <v>4</v>
      </c>
      <c r="I167" t="s">
        <v>274</v>
      </c>
      <c r="J167">
        <v>28</v>
      </c>
      <c r="K167">
        <v>35</v>
      </c>
      <c r="L167">
        <v>31</v>
      </c>
      <c r="M167">
        <v>35.4</v>
      </c>
      <c r="N167">
        <v>50.9</v>
      </c>
      <c r="O167">
        <v>41.021299999999997</v>
      </c>
      <c r="P167">
        <v>28.005500000000001</v>
      </c>
      <c r="Q167">
        <v>34.967700000000001</v>
      </c>
      <c r="R167">
        <v>30.761600000000001</v>
      </c>
      <c r="T167" t="s">
        <v>168</v>
      </c>
      <c r="U167" t="s">
        <v>169</v>
      </c>
      <c r="V167" t="s">
        <v>275</v>
      </c>
      <c r="W167" t="s">
        <v>276</v>
      </c>
      <c r="Y167">
        <v>7</v>
      </c>
      <c r="Z167" t="s">
        <v>173</v>
      </c>
      <c r="AA167" t="s">
        <v>173</v>
      </c>
      <c r="AB167" t="s">
        <v>277</v>
      </c>
      <c r="AC167" t="s">
        <v>278</v>
      </c>
      <c r="AD167">
        <v>15</v>
      </c>
      <c r="AG167" t="s">
        <v>167</v>
      </c>
      <c r="AH167" t="s">
        <v>416</v>
      </c>
      <c r="AI167" t="s">
        <v>178</v>
      </c>
      <c r="AJ167" t="s">
        <v>179</v>
      </c>
      <c r="AK167" t="s">
        <v>173</v>
      </c>
      <c r="AL167" t="s">
        <v>180</v>
      </c>
      <c r="AO167">
        <v>99</v>
      </c>
      <c r="AP167">
        <v>14</v>
      </c>
      <c r="AS167">
        <v>1600</v>
      </c>
      <c r="AT167">
        <v>1600</v>
      </c>
      <c r="BN167" s="114" t="s">
        <v>198</v>
      </c>
      <c r="BO167">
        <v>2</v>
      </c>
      <c r="BP167">
        <v>2</v>
      </c>
      <c r="BQ167">
        <v>5</v>
      </c>
      <c r="BR167" t="s">
        <v>460</v>
      </c>
      <c r="BS167" t="s">
        <v>182</v>
      </c>
      <c r="BT167" t="s">
        <v>218</v>
      </c>
      <c r="BU167" s="115">
        <v>45901</v>
      </c>
      <c r="BV167">
        <v>37355</v>
      </c>
      <c r="BW167" s="116"/>
      <c r="BX167" t="s">
        <v>173</v>
      </c>
      <c r="BY167" t="s">
        <v>173</v>
      </c>
      <c r="CB167" t="s">
        <v>173</v>
      </c>
      <c r="CC167" t="s">
        <v>173</v>
      </c>
      <c r="CE167" t="s">
        <v>173</v>
      </c>
      <c r="CG167" t="s">
        <v>172</v>
      </c>
      <c r="CH167" t="s">
        <v>1205</v>
      </c>
      <c r="CI167" t="s">
        <v>173</v>
      </c>
      <c r="DJ167" t="s">
        <v>201</v>
      </c>
      <c r="DK167" t="s">
        <v>202</v>
      </c>
      <c r="DN167" t="s">
        <v>173</v>
      </c>
      <c r="DO167" t="s">
        <v>827</v>
      </c>
      <c r="DP167" t="s">
        <v>173</v>
      </c>
      <c r="DQ167" t="s">
        <v>189</v>
      </c>
      <c r="DY167">
        <v>41.3</v>
      </c>
      <c r="EA167" s="117"/>
      <c r="EB167">
        <v>6</v>
      </c>
      <c r="EC167">
        <v>6</v>
      </c>
      <c r="EE167" t="s">
        <v>1206</v>
      </c>
      <c r="EF167">
        <v>4</v>
      </c>
      <c r="EU167">
        <v>500</v>
      </c>
      <c r="EW167">
        <v>316</v>
      </c>
      <c r="EX167">
        <v>254</v>
      </c>
      <c r="EY167">
        <v>288</v>
      </c>
    </row>
    <row r="168" spans="1:155" x14ac:dyDescent="0.35">
      <c r="A168">
        <v>2026</v>
      </c>
      <c r="B168" t="s">
        <v>400</v>
      </c>
      <c r="C168" s="112" t="s">
        <v>561</v>
      </c>
      <c r="D168" t="s">
        <v>1207</v>
      </c>
      <c r="E168" t="s">
        <v>403</v>
      </c>
      <c r="F168">
        <v>27</v>
      </c>
      <c r="G168" s="113">
        <v>1.6</v>
      </c>
      <c r="H168">
        <v>4</v>
      </c>
      <c r="I168" t="s">
        <v>573</v>
      </c>
      <c r="J168">
        <v>49</v>
      </c>
      <c r="K168">
        <v>52</v>
      </c>
      <c r="L168">
        <v>50</v>
      </c>
      <c r="M168">
        <v>68.3</v>
      </c>
      <c r="N168">
        <v>67.400000000000006</v>
      </c>
      <c r="O168">
        <v>67.891999999999996</v>
      </c>
      <c r="P168">
        <v>49.252600000000001</v>
      </c>
      <c r="Q168">
        <v>52.066299999999998</v>
      </c>
      <c r="R168">
        <v>50.480200000000004</v>
      </c>
      <c r="U168" t="s">
        <v>215</v>
      </c>
      <c r="V168" t="s">
        <v>275</v>
      </c>
      <c r="W168" t="s">
        <v>276</v>
      </c>
      <c r="Y168">
        <v>6</v>
      </c>
      <c r="Z168" t="s">
        <v>173</v>
      </c>
      <c r="AA168" t="s">
        <v>173</v>
      </c>
      <c r="AB168" t="s">
        <v>277</v>
      </c>
      <c r="AC168" t="s">
        <v>278</v>
      </c>
      <c r="AD168">
        <v>15</v>
      </c>
      <c r="AG168" t="s">
        <v>167</v>
      </c>
      <c r="AH168" t="s">
        <v>416</v>
      </c>
      <c r="AI168" t="s">
        <v>178</v>
      </c>
      <c r="AJ168" t="s">
        <v>179</v>
      </c>
      <c r="AK168" t="s">
        <v>173</v>
      </c>
      <c r="AL168" t="s">
        <v>180</v>
      </c>
      <c r="AO168">
        <v>99</v>
      </c>
      <c r="AP168">
        <v>14</v>
      </c>
      <c r="AS168">
        <v>1000</v>
      </c>
      <c r="AT168">
        <v>1000</v>
      </c>
      <c r="BN168" s="114" t="s">
        <v>492</v>
      </c>
      <c r="BO168">
        <v>2</v>
      </c>
      <c r="BP168">
        <v>2</v>
      </c>
      <c r="BQ168">
        <v>5</v>
      </c>
      <c r="BR168" t="s">
        <v>460</v>
      </c>
      <c r="BS168" t="s">
        <v>182</v>
      </c>
      <c r="BT168" t="s">
        <v>218</v>
      </c>
      <c r="BU168" s="115">
        <v>45901</v>
      </c>
      <c r="BV168">
        <v>37308</v>
      </c>
      <c r="BW168" s="116"/>
      <c r="BX168" t="s">
        <v>173</v>
      </c>
      <c r="BY168" t="s">
        <v>173</v>
      </c>
      <c r="CB168" t="s">
        <v>173</v>
      </c>
      <c r="CC168" t="s">
        <v>173</v>
      </c>
      <c r="CE168" t="s">
        <v>173</v>
      </c>
      <c r="CG168" t="s">
        <v>172</v>
      </c>
      <c r="CH168" t="s">
        <v>574</v>
      </c>
      <c r="CI168" t="s">
        <v>173</v>
      </c>
      <c r="CK168" t="s">
        <v>259</v>
      </c>
      <c r="CM168">
        <v>1</v>
      </c>
      <c r="CN168" t="s">
        <v>260</v>
      </c>
      <c r="CP168">
        <v>240</v>
      </c>
      <c r="CQ168">
        <v>5.5</v>
      </c>
      <c r="CR168">
        <v>38.799999999999997</v>
      </c>
      <c r="CS168" t="s">
        <v>261</v>
      </c>
      <c r="CV168" t="s">
        <v>262</v>
      </c>
      <c r="CX168" t="s">
        <v>493</v>
      </c>
      <c r="CY168" t="s">
        <v>173</v>
      </c>
      <c r="DD168">
        <v>1</v>
      </c>
      <c r="DE168" t="s">
        <v>307</v>
      </c>
      <c r="DF168" t="s">
        <v>330</v>
      </c>
      <c r="DG168">
        <v>32</v>
      </c>
      <c r="DJ168" t="s">
        <v>201</v>
      </c>
      <c r="DK168" t="s">
        <v>202</v>
      </c>
      <c r="DL168" t="s">
        <v>173</v>
      </c>
      <c r="DM168" t="s">
        <v>173</v>
      </c>
      <c r="DN168" t="s">
        <v>173</v>
      </c>
      <c r="DO168" t="s">
        <v>1208</v>
      </c>
      <c r="DP168" t="s">
        <v>172</v>
      </c>
      <c r="DQ168" t="s">
        <v>204</v>
      </c>
      <c r="DY168">
        <v>68.3</v>
      </c>
      <c r="EA168" s="117"/>
      <c r="EB168">
        <v>8</v>
      </c>
      <c r="EC168">
        <v>8</v>
      </c>
      <c r="EE168" t="s">
        <v>1209</v>
      </c>
      <c r="EF168">
        <v>6</v>
      </c>
      <c r="EU168">
        <v>3500</v>
      </c>
      <c r="EW168">
        <v>180</v>
      </c>
      <c r="EX168">
        <v>172</v>
      </c>
      <c r="EY168">
        <v>177</v>
      </c>
    </row>
    <row r="169" spans="1:155" x14ac:dyDescent="0.35">
      <c r="A169">
        <v>2026</v>
      </c>
      <c r="B169" t="s">
        <v>400</v>
      </c>
      <c r="C169" s="112" t="s">
        <v>561</v>
      </c>
      <c r="D169" t="s">
        <v>1210</v>
      </c>
      <c r="E169" t="s">
        <v>403</v>
      </c>
      <c r="F169">
        <v>28</v>
      </c>
      <c r="G169" s="113">
        <v>1.6</v>
      </c>
      <c r="H169">
        <v>4</v>
      </c>
      <c r="I169" t="s">
        <v>573</v>
      </c>
      <c r="J169">
        <v>51</v>
      </c>
      <c r="K169">
        <v>58</v>
      </c>
      <c r="L169">
        <v>54</v>
      </c>
      <c r="M169">
        <v>67.8</v>
      </c>
      <c r="N169">
        <v>71.3</v>
      </c>
      <c r="O169">
        <v>69.331500000000005</v>
      </c>
      <c r="P169">
        <v>50.655500000000004</v>
      </c>
      <c r="Q169">
        <v>57.789000000000001</v>
      </c>
      <c r="R169">
        <v>53.634799999999998</v>
      </c>
      <c r="U169" t="s">
        <v>215</v>
      </c>
      <c r="V169" t="s">
        <v>275</v>
      </c>
      <c r="W169" t="s">
        <v>276</v>
      </c>
      <c r="Y169">
        <v>6</v>
      </c>
      <c r="Z169" t="s">
        <v>173</v>
      </c>
      <c r="AA169" t="s">
        <v>173</v>
      </c>
      <c r="AB169" t="s">
        <v>277</v>
      </c>
      <c r="AC169" t="s">
        <v>278</v>
      </c>
      <c r="AD169">
        <v>15</v>
      </c>
      <c r="AG169" t="s">
        <v>167</v>
      </c>
      <c r="AH169" t="s">
        <v>416</v>
      </c>
      <c r="AI169" t="s">
        <v>178</v>
      </c>
      <c r="AJ169" t="s">
        <v>179</v>
      </c>
      <c r="AK169" t="s">
        <v>173</v>
      </c>
      <c r="AL169" t="s">
        <v>180</v>
      </c>
      <c r="AO169">
        <v>99</v>
      </c>
      <c r="AP169">
        <v>14</v>
      </c>
      <c r="AS169">
        <v>900</v>
      </c>
      <c r="AT169">
        <v>900</v>
      </c>
      <c r="BN169" s="114" t="s">
        <v>492</v>
      </c>
      <c r="BO169">
        <v>2</v>
      </c>
      <c r="BP169">
        <v>2</v>
      </c>
      <c r="BQ169">
        <v>5</v>
      </c>
      <c r="BR169" t="s">
        <v>460</v>
      </c>
      <c r="BS169" t="s">
        <v>182</v>
      </c>
      <c r="BT169" t="s">
        <v>218</v>
      </c>
      <c r="BU169" s="115">
        <v>45901</v>
      </c>
      <c r="BV169">
        <v>37309</v>
      </c>
      <c r="BW169" s="116"/>
      <c r="BX169" t="s">
        <v>172</v>
      </c>
      <c r="BY169" t="s">
        <v>173</v>
      </c>
      <c r="CB169" t="s">
        <v>173</v>
      </c>
      <c r="CC169" t="s">
        <v>173</v>
      </c>
      <c r="CE169" t="s">
        <v>173</v>
      </c>
      <c r="CG169" t="s">
        <v>172</v>
      </c>
      <c r="CH169" t="s">
        <v>574</v>
      </c>
      <c r="CI169" t="s">
        <v>173</v>
      </c>
      <c r="CK169" t="s">
        <v>259</v>
      </c>
      <c r="CM169">
        <v>1</v>
      </c>
      <c r="CN169" t="s">
        <v>260</v>
      </c>
      <c r="CP169">
        <v>240</v>
      </c>
      <c r="CQ169">
        <v>5.5</v>
      </c>
      <c r="CR169">
        <v>38.799999999999997</v>
      </c>
      <c r="CS169" t="s">
        <v>261</v>
      </c>
      <c r="CV169" t="s">
        <v>262</v>
      </c>
      <c r="CX169" t="s">
        <v>493</v>
      </c>
      <c r="CY169" t="s">
        <v>173</v>
      </c>
      <c r="DD169">
        <v>1</v>
      </c>
      <c r="DE169" t="s">
        <v>307</v>
      </c>
      <c r="DF169" t="s">
        <v>330</v>
      </c>
      <c r="DG169">
        <v>32</v>
      </c>
      <c r="DJ169" t="s">
        <v>201</v>
      </c>
      <c r="DK169" t="s">
        <v>202</v>
      </c>
      <c r="DL169" t="s">
        <v>173</v>
      </c>
      <c r="DM169" t="s">
        <v>173</v>
      </c>
      <c r="DN169" t="s">
        <v>173</v>
      </c>
      <c r="DO169" t="s">
        <v>1208</v>
      </c>
      <c r="DP169" t="s">
        <v>172</v>
      </c>
      <c r="DQ169" t="s">
        <v>204</v>
      </c>
      <c r="DY169">
        <v>69.7</v>
      </c>
      <c r="EA169" s="117"/>
      <c r="EB169">
        <v>8</v>
      </c>
      <c r="EC169">
        <v>8</v>
      </c>
      <c r="EE169" t="s">
        <v>1209</v>
      </c>
      <c r="EF169">
        <v>6</v>
      </c>
      <c r="EU169">
        <v>4000</v>
      </c>
      <c r="EW169">
        <v>174</v>
      </c>
      <c r="EX169">
        <v>154</v>
      </c>
      <c r="EY169">
        <v>165</v>
      </c>
    </row>
    <row r="170" spans="1:155" x14ac:dyDescent="0.35">
      <c r="A170">
        <v>2026</v>
      </c>
      <c r="B170" t="s">
        <v>400</v>
      </c>
      <c r="C170" s="112" t="s">
        <v>561</v>
      </c>
      <c r="D170" t="s">
        <v>1211</v>
      </c>
      <c r="E170" t="s">
        <v>403</v>
      </c>
      <c r="F170">
        <v>65</v>
      </c>
      <c r="G170" s="113">
        <v>2</v>
      </c>
      <c r="H170">
        <v>4</v>
      </c>
      <c r="I170" t="s">
        <v>289</v>
      </c>
      <c r="J170">
        <v>20</v>
      </c>
      <c r="K170">
        <v>27</v>
      </c>
      <c r="L170">
        <v>23</v>
      </c>
      <c r="M170">
        <v>24.497800000000002</v>
      </c>
      <c r="N170">
        <v>37.350099999999998</v>
      </c>
      <c r="O170">
        <v>28.9862</v>
      </c>
      <c r="P170">
        <v>19.8659</v>
      </c>
      <c r="Q170">
        <v>27.276800000000001</v>
      </c>
      <c r="R170">
        <v>22.633099999999999</v>
      </c>
      <c r="T170" t="s">
        <v>168</v>
      </c>
      <c r="U170" t="s">
        <v>169</v>
      </c>
      <c r="V170" t="s">
        <v>275</v>
      </c>
      <c r="W170" t="s">
        <v>276</v>
      </c>
      <c r="Y170">
        <v>8</v>
      </c>
      <c r="Z170" t="s">
        <v>173</v>
      </c>
      <c r="AA170" t="s">
        <v>173</v>
      </c>
      <c r="AB170" t="s">
        <v>277</v>
      </c>
      <c r="AC170" t="s">
        <v>278</v>
      </c>
      <c r="AD170">
        <v>15</v>
      </c>
      <c r="AG170" t="s">
        <v>176</v>
      </c>
      <c r="AH170" t="s">
        <v>177</v>
      </c>
      <c r="AI170" t="s">
        <v>178</v>
      </c>
      <c r="AJ170" t="s">
        <v>179</v>
      </c>
      <c r="AK170" t="s">
        <v>173</v>
      </c>
      <c r="AL170" t="s">
        <v>180</v>
      </c>
      <c r="AO170">
        <v>99</v>
      </c>
      <c r="AP170">
        <v>14</v>
      </c>
      <c r="AS170">
        <v>2700</v>
      </c>
      <c r="AT170">
        <v>2700</v>
      </c>
      <c r="BN170" s="114" t="s">
        <v>198</v>
      </c>
      <c r="BO170">
        <v>2</v>
      </c>
      <c r="BP170">
        <v>2</v>
      </c>
      <c r="BQ170">
        <v>5</v>
      </c>
      <c r="BR170" t="s">
        <v>460</v>
      </c>
      <c r="BS170" t="s">
        <v>182</v>
      </c>
      <c r="BT170" t="s">
        <v>218</v>
      </c>
      <c r="BU170" s="115">
        <v>45901</v>
      </c>
      <c r="BV170">
        <v>37367</v>
      </c>
      <c r="BW170" s="116"/>
      <c r="BX170" t="s">
        <v>173</v>
      </c>
      <c r="BY170" t="s">
        <v>173</v>
      </c>
      <c r="CB170" t="s">
        <v>173</v>
      </c>
      <c r="CC170" t="s">
        <v>173</v>
      </c>
      <c r="CE170" t="s">
        <v>173</v>
      </c>
      <c r="CG170" t="s">
        <v>172</v>
      </c>
      <c r="CH170" t="s">
        <v>1046</v>
      </c>
      <c r="CI170" t="s">
        <v>173</v>
      </c>
      <c r="DJ170" t="s">
        <v>201</v>
      </c>
      <c r="DK170" t="s">
        <v>202</v>
      </c>
      <c r="DN170" t="s">
        <v>173</v>
      </c>
      <c r="DO170" t="s">
        <v>552</v>
      </c>
      <c r="DP170" t="s">
        <v>173</v>
      </c>
      <c r="DQ170" t="s">
        <v>189</v>
      </c>
      <c r="DY170">
        <v>29.2</v>
      </c>
      <c r="EA170" s="117"/>
      <c r="EB170">
        <v>5</v>
      </c>
      <c r="EC170">
        <v>5</v>
      </c>
      <c r="EE170" t="s">
        <v>1212</v>
      </c>
      <c r="EF170">
        <v>2</v>
      </c>
      <c r="EV170">
        <v>5000</v>
      </c>
      <c r="EW170">
        <v>446</v>
      </c>
      <c r="EX170">
        <v>326</v>
      </c>
      <c r="EY170">
        <v>392</v>
      </c>
    </row>
    <row r="171" spans="1:155" x14ac:dyDescent="0.35">
      <c r="A171">
        <v>2026</v>
      </c>
      <c r="B171" t="s">
        <v>400</v>
      </c>
      <c r="C171" s="112" t="s">
        <v>561</v>
      </c>
      <c r="D171" t="s">
        <v>1211</v>
      </c>
      <c r="E171" t="s">
        <v>403</v>
      </c>
      <c r="F171">
        <v>66</v>
      </c>
      <c r="G171" s="113">
        <v>2</v>
      </c>
      <c r="H171">
        <v>4</v>
      </c>
      <c r="I171" t="s">
        <v>206</v>
      </c>
      <c r="J171">
        <v>21</v>
      </c>
      <c r="K171">
        <v>29</v>
      </c>
      <c r="L171">
        <v>24</v>
      </c>
      <c r="M171">
        <v>26.3</v>
      </c>
      <c r="N171">
        <v>41.1</v>
      </c>
      <c r="O171">
        <v>31.385899999999999</v>
      </c>
      <c r="P171">
        <v>21.3796</v>
      </c>
      <c r="Q171">
        <v>28.9879</v>
      </c>
      <c r="R171">
        <v>24.242899999999999</v>
      </c>
      <c r="T171" t="s">
        <v>168</v>
      </c>
      <c r="U171" t="s">
        <v>169</v>
      </c>
      <c r="V171" t="s">
        <v>207</v>
      </c>
      <c r="W171" t="s">
        <v>208</v>
      </c>
      <c r="Y171">
        <v>6</v>
      </c>
      <c r="Z171" t="s">
        <v>173</v>
      </c>
      <c r="AA171" t="s">
        <v>173</v>
      </c>
      <c r="AB171" t="s">
        <v>277</v>
      </c>
      <c r="AC171" t="s">
        <v>278</v>
      </c>
      <c r="AD171">
        <v>15</v>
      </c>
      <c r="AG171" t="s">
        <v>176</v>
      </c>
      <c r="AH171" t="s">
        <v>177</v>
      </c>
      <c r="AI171" t="s">
        <v>178</v>
      </c>
      <c r="AJ171" t="s">
        <v>179</v>
      </c>
      <c r="AK171" t="s">
        <v>173</v>
      </c>
      <c r="AL171" t="s">
        <v>180</v>
      </c>
      <c r="AO171">
        <v>99</v>
      </c>
      <c r="AP171">
        <v>14</v>
      </c>
      <c r="AS171">
        <v>2600</v>
      </c>
      <c r="AT171">
        <v>2600</v>
      </c>
      <c r="BN171" s="114" t="s">
        <v>198</v>
      </c>
      <c r="BO171">
        <v>2</v>
      </c>
      <c r="BP171">
        <v>2</v>
      </c>
      <c r="BQ171">
        <v>5</v>
      </c>
      <c r="BR171" t="s">
        <v>460</v>
      </c>
      <c r="BS171" t="s">
        <v>182</v>
      </c>
      <c r="BT171" t="s">
        <v>218</v>
      </c>
      <c r="BU171" s="115">
        <v>45901</v>
      </c>
      <c r="BV171">
        <v>37368</v>
      </c>
      <c r="BW171" s="116"/>
      <c r="BX171" t="s">
        <v>173</v>
      </c>
      <c r="BY171" t="s">
        <v>173</v>
      </c>
      <c r="CB171" t="s">
        <v>173</v>
      </c>
      <c r="CC171" t="s">
        <v>173</v>
      </c>
      <c r="CE171" t="s">
        <v>173</v>
      </c>
      <c r="CG171" t="s">
        <v>172</v>
      </c>
      <c r="CH171" t="s">
        <v>1046</v>
      </c>
      <c r="CI171" t="s">
        <v>173</v>
      </c>
      <c r="DJ171" t="s">
        <v>201</v>
      </c>
      <c r="DK171" t="s">
        <v>202</v>
      </c>
      <c r="DN171" t="s">
        <v>173</v>
      </c>
      <c r="DO171" t="s">
        <v>552</v>
      </c>
      <c r="DP171" t="s">
        <v>173</v>
      </c>
      <c r="DQ171" t="s">
        <v>189</v>
      </c>
      <c r="DY171">
        <v>31.6</v>
      </c>
      <c r="EA171" s="117"/>
      <c r="EB171">
        <v>5</v>
      </c>
      <c r="EC171">
        <v>5</v>
      </c>
      <c r="EE171" t="s">
        <v>1212</v>
      </c>
      <c r="EF171">
        <v>2</v>
      </c>
      <c r="EV171">
        <v>4500</v>
      </c>
      <c r="EW171">
        <v>414</v>
      </c>
      <c r="EX171">
        <v>307</v>
      </c>
      <c r="EY171">
        <v>366</v>
      </c>
    </row>
    <row r="172" spans="1:155" x14ac:dyDescent="0.35">
      <c r="A172">
        <v>2026</v>
      </c>
      <c r="B172" t="s">
        <v>400</v>
      </c>
      <c r="C172" s="112" t="s">
        <v>561</v>
      </c>
      <c r="D172" t="s">
        <v>1213</v>
      </c>
      <c r="E172" t="s">
        <v>403</v>
      </c>
      <c r="F172">
        <v>24</v>
      </c>
      <c r="G172" s="113">
        <v>2</v>
      </c>
      <c r="H172">
        <v>4</v>
      </c>
      <c r="I172" t="s">
        <v>813</v>
      </c>
      <c r="J172">
        <v>30</v>
      </c>
      <c r="K172">
        <v>40</v>
      </c>
      <c r="L172">
        <v>34</v>
      </c>
      <c r="M172">
        <v>37.948399999999999</v>
      </c>
      <c r="N172">
        <v>57.5</v>
      </c>
      <c r="O172">
        <v>44.804000000000002</v>
      </c>
      <c r="P172">
        <v>29.763000000000002</v>
      </c>
      <c r="Q172">
        <v>39.9497</v>
      </c>
      <c r="R172">
        <v>33.620800000000003</v>
      </c>
      <c r="U172" t="s">
        <v>215</v>
      </c>
      <c r="V172" t="s">
        <v>497</v>
      </c>
      <c r="W172" t="s">
        <v>498</v>
      </c>
      <c r="Y172">
        <v>1</v>
      </c>
      <c r="Z172" t="s">
        <v>172</v>
      </c>
      <c r="AA172" t="s">
        <v>173</v>
      </c>
      <c r="AB172" t="s">
        <v>277</v>
      </c>
      <c r="AC172" t="s">
        <v>278</v>
      </c>
      <c r="AD172">
        <v>15</v>
      </c>
      <c r="AG172" t="s">
        <v>167</v>
      </c>
      <c r="AH172" t="s">
        <v>416</v>
      </c>
      <c r="AI172" t="s">
        <v>178</v>
      </c>
      <c r="AJ172" t="s">
        <v>179</v>
      </c>
      <c r="AK172" t="s">
        <v>173</v>
      </c>
      <c r="AL172" t="s">
        <v>180</v>
      </c>
      <c r="AO172">
        <v>99</v>
      </c>
      <c r="AP172">
        <v>14</v>
      </c>
      <c r="AS172">
        <v>1450</v>
      </c>
      <c r="AT172">
        <v>1450</v>
      </c>
      <c r="BN172" s="114"/>
      <c r="BO172">
        <v>2</v>
      </c>
      <c r="BP172">
        <v>2</v>
      </c>
      <c r="BQ172">
        <v>5</v>
      </c>
      <c r="BR172" t="s">
        <v>460</v>
      </c>
      <c r="BS172" t="s">
        <v>182</v>
      </c>
      <c r="BT172" t="s">
        <v>218</v>
      </c>
      <c r="BU172" s="115">
        <v>45901</v>
      </c>
      <c r="BV172">
        <v>37351</v>
      </c>
      <c r="BW172" s="116"/>
      <c r="BX172" t="s">
        <v>173</v>
      </c>
      <c r="BY172" t="s">
        <v>173</v>
      </c>
      <c r="CB172" t="s">
        <v>173</v>
      </c>
      <c r="CC172" t="s">
        <v>173</v>
      </c>
      <c r="CE172" t="s">
        <v>173</v>
      </c>
      <c r="CG172" t="s">
        <v>172</v>
      </c>
      <c r="CH172" t="s">
        <v>551</v>
      </c>
      <c r="CI172" t="s">
        <v>173</v>
      </c>
      <c r="DJ172" t="s">
        <v>186</v>
      </c>
      <c r="DK172" t="s">
        <v>187</v>
      </c>
      <c r="DN172" t="s">
        <v>173</v>
      </c>
      <c r="DO172" t="s">
        <v>564</v>
      </c>
      <c r="DP172" t="s">
        <v>173</v>
      </c>
      <c r="DQ172" t="s">
        <v>189</v>
      </c>
      <c r="DR172" t="s">
        <v>1214</v>
      </c>
      <c r="DY172">
        <v>45.5</v>
      </c>
      <c r="EA172" s="117"/>
      <c r="EB172">
        <v>6</v>
      </c>
      <c r="EC172">
        <v>6</v>
      </c>
      <c r="EE172" t="s">
        <v>1215</v>
      </c>
      <c r="EF172">
        <v>6</v>
      </c>
      <c r="EU172">
        <v>1250</v>
      </c>
      <c r="EW172">
        <v>296</v>
      </c>
      <c r="EX172">
        <v>222</v>
      </c>
      <c r="EY172">
        <v>263</v>
      </c>
    </row>
    <row r="173" spans="1:155" x14ac:dyDescent="0.35">
      <c r="A173">
        <v>2026</v>
      </c>
      <c r="B173" t="s">
        <v>400</v>
      </c>
      <c r="C173" s="112" t="s">
        <v>561</v>
      </c>
      <c r="D173" t="s">
        <v>1216</v>
      </c>
      <c r="E173" t="s">
        <v>403</v>
      </c>
      <c r="F173">
        <v>25</v>
      </c>
      <c r="G173" s="113">
        <v>2</v>
      </c>
      <c r="H173">
        <v>4</v>
      </c>
      <c r="I173" t="s">
        <v>813</v>
      </c>
      <c r="J173">
        <v>31</v>
      </c>
      <c r="K173">
        <v>40</v>
      </c>
      <c r="L173">
        <v>35</v>
      </c>
      <c r="M173">
        <v>40.299999999999997</v>
      </c>
      <c r="N173">
        <v>60.6</v>
      </c>
      <c r="O173">
        <v>47.453200000000002</v>
      </c>
      <c r="P173">
        <v>31.3065</v>
      </c>
      <c r="Q173">
        <v>39.922800000000002</v>
      </c>
      <c r="R173">
        <v>34.674100000000003</v>
      </c>
      <c r="U173" t="s">
        <v>215</v>
      </c>
      <c r="V173" t="s">
        <v>497</v>
      </c>
      <c r="W173" t="s">
        <v>498</v>
      </c>
      <c r="Y173">
        <v>1</v>
      </c>
      <c r="Z173" t="s">
        <v>172</v>
      </c>
      <c r="AA173" t="s">
        <v>173</v>
      </c>
      <c r="AB173" t="s">
        <v>277</v>
      </c>
      <c r="AC173" t="s">
        <v>278</v>
      </c>
      <c r="AD173">
        <v>15</v>
      </c>
      <c r="AG173" t="s">
        <v>167</v>
      </c>
      <c r="AH173" t="s">
        <v>416</v>
      </c>
      <c r="AI173" t="s">
        <v>178</v>
      </c>
      <c r="AJ173" t="s">
        <v>179</v>
      </c>
      <c r="AK173" t="s">
        <v>173</v>
      </c>
      <c r="AL173" t="s">
        <v>180</v>
      </c>
      <c r="AO173">
        <v>99</v>
      </c>
      <c r="AP173">
        <v>14</v>
      </c>
      <c r="AS173">
        <v>1400</v>
      </c>
      <c r="AT173">
        <v>1400</v>
      </c>
      <c r="BN173" s="114"/>
      <c r="BO173">
        <v>2</v>
      </c>
      <c r="BP173">
        <v>2</v>
      </c>
      <c r="BQ173">
        <v>5</v>
      </c>
      <c r="BR173" t="s">
        <v>460</v>
      </c>
      <c r="BS173" t="s">
        <v>182</v>
      </c>
      <c r="BT173" t="s">
        <v>218</v>
      </c>
      <c r="BU173" s="115">
        <v>45901</v>
      </c>
      <c r="BV173">
        <v>37352</v>
      </c>
      <c r="BW173" s="116"/>
      <c r="BX173" t="s">
        <v>173</v>
      </c>
      <c r="BY173" t="s">
        <v>173</v>
      </c>
      <c r="CB173" t="s">
        <v>173</v>
      </c>
      <c r="CC173" t="s">
        <v>173</v>
      </c>
      <c r="CE173" t="s">
        <v>173</v>
      </c>
      <c r="CG173" t="s">
        <v>172</v>
      </c>
      <c r="CH173" t="s">
        <v>551</v>
      </c>
      <c r="CI173" t="s">
        <v>173</v>
      </c>
      <c r="DJ173" t="s">
        <v>186</v>
      </c>
      <c r="DK173" t="s">
        <v>187</v>
      </c>
      <c r="DN173" t="s">
        <v>173</v>
      </c>
      <c r="DO173" t="s">
        <v>564</v>
      </c>
      <c r="DP173" t="s">
        <v>172</v>
      </c>
      <c r="DQ173" t="s">
        <v>204</v>
      </c>
      <c r="DR173" t="s">
        <v>571</v>
      </c>
      <c r="DY173">
        <v>48.2</v>
      </c>
      <c r="EA173" s="117"/>
      <c r="EB173">
        <v>6</v>
      </c>
      <c r="EC173">
        <v>6</v>
      </c>
      <c r="EE173" t="s">
        <v>1215</v>
      </c>
      <c r="EF173">
        <v>6</v>
      </c>
      <c r="EU173">
        <v>1500</v>
      </c>
      <c r="EW173">
        <v>281</v>
      </c>
      <c r="EX173">
        <v>221</v>
      </c>
      <c r="EY173">
        <v>254</v>
      </c>
    </row>
    <row r="174" spans="1:155" x14ac:dyDescent="0.35">
      <c r="A174">
        <v>2026</v>
      </c>
      <c r="B174" t="s">
        <v>412</v>
      </c>
      <c r="C174" s="112" t="s">
        <v>412</v>
      </c>
      <c r="D174" t="s">
        <v>499</v>
      </c>
      <c r="E174" t="s">
        <v>414</v>
      </c>
      <c r="F174">
        <v>312</v>
      </c>
      <c r="G174" s="113">
        <v>2.5</v>
      </c>
      <c r="H174">
        <v>4</v>
      </c>
      <c r="I174" t="s">
        <v>206</v>
      </c>
      <c r="J174">
        <v>25</v>
      </c>
      <c r="K174">
        <v>34</v>
      </c>
      <c r="L174">
        <v>28</v>
      </c>
      <c r="M174">
        <v>32.1</v>
      </c>
      <c r="N174">
        <v>49.9</v>
      </c>
      <c r="O174">
        <v>38.238</v>
      </c>
      <c r="P174">
        <v>24.856300000000001</v>
      </c>
      <c r="Q174">
        <v>34.325499999999998</v>
      </c>
      <c r="R174">
        <v>28.379300000000001</v>
      </c>
      <c r="U174" t="s">
        <v>215</v>
      </c>
      <c r="V174" t="s">
        <v>207</v>
      </c>
      <c r="W174" t="s">
        <v>208</v>
      </c>
      <c r="Y174">
        <v>6</v>
      </c>
      <c r="Z174" t="s">
        <v>173</v>
      </c>
      <c r="AA174" t="s">
        <v>173</v>
      </c>
      <c r="AB174" t="s">
        <v>277</v>
      </c>
      <c r="AC174" t="s">
        <v>278</v>
      </c>
      <c r="AD174">
        <v>10</v>
      </c>
      <c r="AG174" t="s">
        <v>167</v>
      </c>
      <c r="AH174" t="s">
        <v>416</v>
      </c>
      <c r="AI174" t="s">
        <v>178</v>
      </c>
      <c r="AJ174" t="s">
        <v>179</v>
      </c>
      <c r="AK174" t="s">
        <v>173</v>
      </c>
      <c r="AL174" t="s">
        <v>180</v>
      </c>
      <c r="AQ174">
        <v>93</v>
      </c>
      <c r="AR174">
        <v>20</v>
      </c>
      <c r="AS174">
        <v>1750</v>
      </c>
      <c r="AT174">
        <v>1750</v>
      </c>
      <c r="BN174" s="114" t="s">
        <v>198</v>
      </c>
      <c r="BO174">
        <v>2</v>
      </c>
      <c r="BP174">
        <v>2</v>
      </c>
      <c r="BQ174">
        <v>5</v>
      </c>
      <c r="BR174" t="s">
        <v>460</v>
      </c>
      <c r="BS174" t="s">
        <v>182</v>
      </c>
      <c r="BT174" t="s">
        <v>183</v>
      </c>
      <c r="BU174" s="115">
        <v>45888</v>
      </c>
      <c r="BV174">
        <v>36720</v>
      </c>
      <c r="BW174" s="116"/>
      <c r="BX174" t="s">
        <v>173</v>
      </c>
      <c r="BY174" t="s">
        <v>173</v>
      </c>
      <c r="CB174" t="s">
        <v>173</v>
      </c>
      <c r="CC174" t="s">
        <v>173</v>
      </c>
      <c r="CD174" t="s">
        <v>417</v>
      </c>
      <c r="CE174" t="s">
        <v>173</v>
      </c>
      <c r="CG174" t="s">
        <v>172</v>
      </c>
      <c r="CH174" t="s">
        <v>418</v>
      </c>
      <c r="CI174" t="s">
        <v>173</v>
      </c>
      <c r="DJ174" t="s">
        <v>201</v>
      </c>
      <c r="DK174" t="s">
        <v>202</v>
      </c>
      <c r="DN174" t="s">
        <v>173</v>
      </c>
      <c r="DO174" t="s">
        <v>419</v>
      </c>
      <c r="DP174" t="s">
        <v>173</v>
      </c>
      <c r="DQ174" t="s">
        <v>189</v>
      </c>
      <c r="DR174" t="s">
        <v>420</v>
      </c>
      <c r="DY174">
        <v>38.5</v>
      </c>
      <c r="EA174" s="117"/>
      <c r="EB174">
        <v>5</v>
      </c>
      <c r="EC174">
        <v>5</v>
      </c>
      <c r="EE174" t="s">
        <v>421</v>
      </c>
      <c r="EF174">
        <v>6</v>
      </c>
      <c r="EV174">
        <v>250</v>
      </c>
      <c r="EW174">
        <v>359</v>
      </c>
      <c r="EX174">
        <v>260</v>
      </c>
      <c r="EY174">
        <v>314</v>
      </c>
    </row>
    <row r="175" spans="1:155" x14ac:dyDescent="0.35">
      <c r="A175">
        <v>2026</v>
      </c>
      <c r="B175" t="s">
        <v>412</v>
      </c>
      <c r="C175" s="112" t="s">
        <v>412</v>
      </c>
      <c r="D175" t="s">
        <v>499</v>
      </c>
      <c r="E175" t="s">
        <v>414</v>
      </c>
      <c r="F175">
        <v>313</v>
      </c>
      <c r="G175" s="113">
        <v>2.5</v>
      </c>
      <c r="H175">
        <v>4</v>
      </c>
      <c r="I175" t="s">
        <v>415</v>
      </c>
      <c r="J175">
        <v>26</v>
      </c>
      <c r="K175">
        <v>34</v>
      </c>
      <c r="L175">
        <v>29</v>
      </c>
      <c r="M175">
        <v>33.94</v>
      </c>
      <c r="N175">
        <v>50.16</v>
      </c>
      <c r="O175">
        <v>39.719799999999999</v>
      </c>
      <c r="P175">
        <v>26.128799999999998</v>
      </c>
      <c r="Q175">
        <v>34.4846</v>
      </c>
      <c r="R175">
        <v>29.326499999999999</v>
      </c>
      <c r="U175" t="s">
        <v>215</v>
      </c>
      <c r="V175" t="s">
        <v>196</v>
      </c>
      <c r="W175" t="s">
        <v>197</v>
      </c>
      <c r="Y175">
        <v>6</v>
      </c>
      <c r="Z175" t="s">
        <v>172</v>
      </c>
      <c r="AA175" t="s">
        <v>173</v>
      </c>
      <c r="AB175" t="s">
        <v>277</v>
      </c>
      <c r="AC175" t="s">
        <v>278</v>
      </c>
      <c r="AD175">
        <v>10</v>
      </c>
      <c r="AG175" t="s">
        <v>167</v>
      </c>
      <c r="AH175" t="s">
        <v>416</v>
      </c>
      <c r="AI175" t="s">
        <v>178</v>
      </c>
      <c r="AJ175" t="s">
        <v>179</v>
      </c>
      <c r="AK175" t="s">
        <v>173</v>
      </c>
      <c r="AL175" t="s">
        <v>180</v>
      </c>
      <c r="AQ175">
        <v>93</v>
      </c>
      <c r="AR175">
        <v>20</v>
      </c>
      <c r="AS175">
        <v>1700</v>
      </c>
      <c r="AT175">
        <v>1700</v>
      </c>
      <c r="BN175" s="114" t="s">
        <v>198</v>
      </c>
      <c r="BO175">
        <v>2</v>
      </c>
      <c r="BP175">
        <v>2</v>
      </c>
      <c r="BQ175">
        <v>5</v>
      </c>
      <c r="BR175" t="s">
        <v>460</v>
      </c>
      <c r="BS175" t="s">
        <v>182</v>
      </c>
      <c r="BT175" t="s">
        <v>183</v>
      </c>
      <c r="BU175" s="115">
        <v>45888</v>
      </c>
      <c r="BV175">
        <v>36721</v>
      </c>
      <c r="BW175" s="116"/>
      <c r="BX175" t="s">
        <v>172</v>
      </c>
      <c r="BY175" t="s">
        <v>173</v>
      </c>
      <c r="CB175" t="s">
        <v>173</v>
      </c>
      <c r="CC175" t="s">
        <v>173</v>
      </c>
      <c r="CD175" t="s">
        <v>417</v>
      </c>
      <c r="CE175" t="s">
        <v>173</v>
      </c>
      <c r="CG175" t="s">
        <v>172</v>
      </c>
      <c r="CH175" t="s">
        <v>418</v>
      </c>
      <c r="CI175" t="s">
        <v>173</v>
      </c>
      <c r="DJ175" t="s">
        <v>201</v>
      </c>
      <c r="DK175" t="s">
        <v>202</v>
      </c>
      <c r="DN175" t="s">
        <v>173</v>
      </c>
      <c r="DO175" t="s">
        <v>419</v>
      </c>
      <c r="DP175" t="s">
        <v>173</v>
      </c>
      <c r="DQ175" t="s">
        <v>189</v>
      </c>
      <c r="DR175" t="s">
        <v>420</v>
      </c>
      <c r="DY175">
        <v>40</v>
      </c>
      <c r="EA175" s="117"/>
      <c r="EB175">
        <v>6</v>
      </c>
      <c r="EC175">
        <v>6</v>
      </c>
      <c r="EE175" t="s">
        <v>421</v>
      </c>
      <c r="EF175">
        <v>6</v>
      </c>
      <c r="EU175">
        <v>0</v>
      </c>
      <c r="EW175">
        <v>339</v>
      </c>
      <c r="EX175">
        <v>257</v>
      </c>
      <c r="EY175">
        <v>302</v>
      </c>
    </row>
    <row r="176" spans="1:155" x14ac:dyDescent="0.35">
      <c r="A176">
        <v>2026</v>
      </c>
      <c r="B176" t="s">
        <v>412</v>
      </c>
      <c r="C176" s="112" t="s">
        <v>412</v>
      </c>
      <c r="D176" t="s">
        <v>500</v>
      </c>
      <c r="E176" t="s">
        <v>414</v>
      </c>
      <c r="F176">
        <v>314</v>
      </c>
      <c r="G176" s="113">
        <v>2.5</v>
      </c>
      <c r="H176">
        <v>4</v>
      </c>
      <c r="I176" t="s">
        <v>415</v>
      </c>
      <c r="J176">
        <v>25</v>
      </c>
      <c r="K176">
        <v>34</v>
      </c>
      <c r="L176">
        <v>28</v>
      </c>
      <c r="M176">
        <v>32.700000000000003</v>
      </c>
      <c r="N176">
        <v>49</v>
      </c>
      <c r="O176">
        <v>38.456699999999998</v>
      </c>
      <c r="P176">
        <v>25.2729</v>
      </c>
      <c r="Q176">
        <v>33.773099999999999</v>
      </c>
      <c r="R176">
        <v>28</v>
      </c>
      <c r="U176" t="s">
        <v>215</v>
      </c>
      <c r="V176" t="s">
        <v>196</v>
      </c>
      <c r="W176" t="s">
        <v>197</v>
      </c>
      <c r="Y176">
        <v>6</v>
      </c>
      <c r="Z176" t="s">
        <v>172</v>
      </c>
      <c r="AA176" t="s">
        <v>173</v>
      </c>
      <c r="AB176">
        <v>4</v>
      </c>
      <c r="AC176" t="s">
        <v>423</v>
      </c>
      <c r="AD176">
        <v>10</v>
      </c>
      <c r="AG176" t="s">
        <v>167</v>
      </c>
      <c r="AH176" t="s">
        <v>416</v>
      </c>
      <c r="AI176" t="s">
        <v>178</v>
      </c>
      <c r="AJ176" t="s">
        <v>179</v>
      </c>
      <c r="AK176" t="s">
        <v>173</v>
      </c>
      <c r="AL176" t="s">
        <v>180</v>
      </c>
      <c r="AQ176">
        <v>93</v>
      </c>
      <c r="AR176">
        <v>20</v>
      </c>
      <c r="AS176">
        <v>1750</v>
      </c>
      <c r="AT176">
        <v>1750</v>
      </c>
      <c r="BN176" s="114" t="s">
        <v>198</v>
      </c>
      <c r="BO176">
        <v>2</v>
      </c>
      <c r="BP176">
        <v>2</v>
      </c>
      <c r="BQ176">
        <v>5</v>
      </c>
      <c r="BR176" t="s">
        <v>460</v>
      </c>
      <c r="BS176" t="s">
        <v>182</v>
      </c>
      <c r="BT176" t="s">
        <v>183</v>
      </c>
      <c r="BU176" s="115">
        <v>45888</v>
      </c>
      <c r="BV176">
        <v>36722</v>
      </c>
      <c r="BW176" s="116"/>
      <c r="BX176" t="s">
        <v>172</v>
      </c>
      <c r="BY176" t="s">
        <v>173</v>
      </c>
      <c r="CB176" t="s">
        <v>173</v>
      </c>
      <c r="CC176" t="s">
        <v>173</v>
      </c>
      <c r="CD176" t="s">
        <v>417</v>
      </c>
      <c r="CE176" t="s">
        <v>173</v>
      </c>
      <c r="CG176" t="s">
        <v>172</v>
      </c>
      <c r="CH176" t="s">
        <v>418</v>
      </c>
      <c r="CI176" t="s">
        <v>173</v>
      </c>
      <c r="DJ176" t="s">
        <v>201</v>
      </c>
      <c r="DK176" t="s">
        <v>202</v>
      </c>
      <c r="DN176" t="s">
        <v>173</v>
      </c>
      <c r="DO176" t="s">
        <v>419</v>
      </c>
      <c r="DP176" t="s">
        <v>173</v>
      </c>
      <c r="DQ176" t="s">
        <v>189</v>
      </c>
      <c r="DR176" t="s">
        <v>420</v>
      </c>
      <c r="DY176">
        <v>38.700000000000003</v>
      </c>
      <c r="EA176" s="117"/>
      <c r="EB176">
        <v>5</v>
      </c>
      <c r="EC176">
        <v>5</v>
      </c>
      <c r="EE176" t="s">
        <v>421</v>
      </c>
      <c r="EF176">
        <v>6</v>
      </c>
      <c r="EV176">
        <v>250</v>
      </c>
      <c r="EW176">
        <v>351</v>
      </c>
      <c r="EX176">
        <v>263</v>
      </c>
      <c r="EY176">
        <v>317</v>
      </c>
    </row>
    <row r="177" spans="1:155" x14ac:dyDescent="0.35">
      <c r="A177">
        <v>2026</v>
      </c>
      <c r="B177" t="s">
        <v>412</v>
      </c>
      <c r="C177" s="112" t="s">
        <v>412</v>
      </c>
      <c r="D177" t="s">
        <v>500</v>
      </c>
      <c r="E177" t="s">
        <v>414</v>
      </c>
      <c r="F177">
        <v>316</v>
      </c>
      <c r="G177" s="113">
        <v>2.5</v>
      </c>
      <c r="H177">
        <v>4</v>
      </c>
      <c r="I177" t="s">
        <v>415</v>
      </c>
      <c r="J177">
        <v>23</v>
      </c>
      <c r="K177">
        <v>31</v>
      </c>
      <c r="L177">
        <v>26</v>
      </c>
      <c r="M177">
        <v>30</v>
      </c>
      <c r="N177">
        <v>45</v>
      </c>
      <c r="O177">
        <v>35.2941</v>
      </c>
      <c r="P177">
        <v>23.3858</v>
      </c>
      <c r="Q177">
        <v>31.291399999999999</v>
      </c>
      <c r="R177">
        <v>26.3856</v>
      </c>
      <c r="T177" t="s">
        <v>168</v>
      </c>
      <c r="U177" t="s">
        <v>169</v>
      </c>
      <c r="V177" t="s">
        <v>196</v>
      </c>
      <c r="W177" t="s">
        <v>197</v>
      </c>
      <c r="Y177">
        <v>6</v>
      </c>
      <c r="Z177" t="s">
        <v>172</v>
      </c>
      <c r="AA177" t="s">
        <v>173</v>
      </c>
      <c r="AB177">
        <v>4</v>
      </c>
      <c r="AC177" t="s">
        <v>423</v>
      </c>
      <c r="AD177">
        <v>10</v>
      </c>
      <c r="AG177" t="s">
        <v>167</v>
      </c>
      <c r="AH177" t="s">
        <v>416</v>
      </c>
      <c r="AI177" t="s">
        <v>178</v>
      </c>
      <c r="AJ177" t="s">
        <v>179</v>
      </c>
      <c r="AK177" t="s">
        <v>173</v>
      </c>
      <c r="AL177" t="s">
        <v>180</v>
      </c>
      <c r="AQ177">
        <v>93</v>
      </c>
      <c r="AR177">
        <v>20</v>
      </c>
      <c r="AS177">
        <v>1900</v>
      </c>
      <c r="AT177">
        <v>1900</v>
      </c>
      <c r="BN177" s="114" t="s">
        <v>198</v>
      </c>
      <c r="BO177">
        <v>2</v>
      </c>
      <c r="BP177">
        <v>2</v>
      </c>
      <c r="BQ177">
        <v>5</v>
      </c>
      <c r="BR177" t="s">
        <v>460</v>
      </c>
      <c r="BS177" t="s">
        <v>182</v>
      </c>
      <c r="BT177" t="s">
        <v>183</v>
      </c>
      <c r="BU177" s="115">
        <v>45888</v>
      </c>
      <c r="BV177">
        <v>36706</v>
      </c>
      <c r="BW177" s="116"/>
      <c r="BX177" t="s">
        <v>172</v>
      </c>
      <c r="BY177" t="s">
        <v>173</v>
      </c>
      <c r="CB177" t="s">
        <v>173</v>
      </c>
      <c r="CC177" t="s">
        <v>173</v>
      </c>
      <c r="CE177" t="s">
        <v>173</v>
      </c>
      <c r="CG177" t="s">
        <v>172</v>
      </c>
      <c r="CH177" t="s">
        <v>418</v>
      </c>
      <c r="CI177" t="s">
        <v>173</v>
      </c>
      <c r="DJ177" t="s">
        <v>201</v>
      </c>
      <c r="DK177" t="s">
        <v>202</v>
      </c>
      <c r="DN177" t="s">
        <v>173</v>
      </c>
      <c r="DO177" t="s">
        <v>424</v>
      </c>
      <c r="DP177" t="s">
        <v>173</v>
      </c>
      <c r="DQ177" t="s">
        <v>189</v>
      </c>
      <c r="DY177">
        <v>35.5</v>
      </c>
      <c r="EA177" s="117"/>
      <c r="EB177">
        <v>5</v>
      </c>
      <c r="EC177">
        <v>5</v>
      </c>
      <c r="EE177" t="s">
        <v>425</v>
      </c>
      <c r="EF177">
        <v>4</v>
      </c>
      <c r="EV177">
        <v>1000</v>
      </c>
      <c r="EW177">
        <v>380</v>
      </c>
      <c r="EX177">
        <v>285</v>
      </c>
      <c r="EY177">
        <v>337</v>
      </c>
    </row>
    <row r="178" spans="1:155" x14ac:dyDescent="0.35">
      <c r="A178">
        <v>2026</v>
      </c>
      <c r="B178" t="s">
        <v>228</v>
      </c>
      <c r="C178" s="112" t="s">
        <v>228</v>
      </c>
      <c r="D178" t="s">
        <v>501</v>
      </c>
      <c r="E178" t="s">
        <v>230</v>
      </c>
      <c r="F178">
        <v>301</v>
      </c>
      <c r="G178" s="113">
        <v>2</v>
      </c>
      <c r="H178">
        <v>4</v>
      </c>
      <c r="I178" t="s">
        <v>231</v>
      </c>
      <c r="J178">
        <v>25</v>
      </c>
      <c r="K178">
        <v>33</v>
      </c>
      <c r="L178">
        <v>28</v>
      </c>
      <c r="M178">
        <v>31.7</v>
      </c>
      <c r="N178">
        <v>48.5</v>
      </c>
      <c r="O178">
        <v>37.553699999999999</v>
      </c>
      <c r="P178">
        <v>24.5777</v>
      </c>
      <c r="Q178">
        <v>33.465299999999999</v>
      </c>
      <c r="R178">
        <v>27.913599999999999</v>
      </c>
      <c r="T178" t="s">
        <v>168</v>
      </c>
      <c r="U178" t="s">
        <v>169</v>
      </c>
      <c r="V178" t="s">
        <v>170</v>
      </c>
      <c r="W178" t="s">
        <v>171</v>
      </c>
      <c r="Y178">
        <v>9</v>
      </c>
      <c r="Z178" t="s">
        <v>172</v>
      </c>
      <c r="AA178" t="s">
        <v>173</v>
      </c>
      <c r="AB178" t="s">
        <v>174</v>
      </c>
      <c r="AC178" t="s">
        <v>175</v>
      </c>
      <c r="AD178">
        <v>10</v>
      </c>
      <c r="AG178" t="s">
        <v>216</v>
      </c>
      <c r="AH178" t="s">
        <v>217</v>
      </c>
      <c r="AI178" t="s">
        <v>178</v>
      </c>
      <c r="AJ178" t="s">
        <v>179</v>
      </c>
      <c r="AK178" t="s">
        <v>173</v>
      </c>
      <c r="AL178" t="s">
        <v>180</v>
      </c>
      <c r="AO178">
        <v>100</v>
      </c>
      <c r="AP178">
        <v>13</v>
      </c>
      <c r="AS178">
        <v>2200</v>
      </c>
      <c r="AT178">
        <v>2200</v>
      </c>
      <c r="BN178" s="114" t="s">
        <v>256</v>
      </c>
      <c r="BO178">
        <v>2</v>
      </c>
      <c r="BP178">
        <v>2</v>
      </c>
      <c r="BQ178">
        <v>5</v>
      </c>
      <c r="BR178" t="s">
        <v>460</v>
      </c>
      <c r="BS178" t="s">
        <v>182</v>
      </c>
      <c r="BT178" t="s">
        <v>183</v>
      </c>
      <c r="BU178" s="115">
        <v>45860</v>
      </c>
      <c r="BV178">
        <v>37092</v>
      </c>
      <c r="BW178" s="116"/>
      <c r="BY178" t="s">
        <v>173</v>
      </c>
      <c r="CB178" t="s">
        <v>173</v>
      </c>
      <c r="CC178" t="s">
        <v>173</v>
      </c>
      <c r="CD178" t="s">
        <v>353</v>
      </c>
      <c r="CE178" t="s">
        <v>173</v>
      </c>
      <c r="CG178" t="s">
        <v>172</v>
      </c>
      <c r="CH178" t="s">
        <v>234</v>
      </c>
      <c r="CI178" t="s">
        <v>172</v>
      </c>
      <c r="CJ178" t="s">
        <v>354</v>
      </c>
      <c r="CK178" t="s">
        <v>259</v>
      </c>
      <c r="CM178">
        <v>1</v>
      </c>
      <c r="CN178" t="s">
        <v>260</v>
      </c>
      <c r="CP178">
        <v>48</v>
      </c>
      <c r="CQ178">
        <v>17.5</v>
      </c>
      <c r="CR178">
        <v>78.2</v>
      </c>
      <c r="CS178" t="s">
        <v>261</v>
      </c>
      <c r="CV178" t="s">
        <v>262</v>
      </c>
      <c r="CX178" t="s">
        <v>263</v>
      </c>
      <c r="CY178" t="s">
        <v>173</v>
      </c>
      <c r="DC178" t="s">
        <v>355</v>
      </c>
      <c r="DD178">
        <v>1</v>
      </c>
      <c r="DE178" t="s">
        <v>307</v>
      </c>
      <c r="DF178" t="s">
        <v>356</v>
      </c>
      <c r="DG178">
        <v>17</v>
      </c>
      <c r="DJ178" t="s">
        <v>201</v>
      </c>
      <c r="DK178" t="s">
        <v>202</v>
      </c>
      <c r="DL178" t="s">
        <v>173</v>
      </c>
      <c r="DM178" t="s">
        <v>173</v>
      </c>
      <c r="DN178" t="s">
        <v>173</v>
      </c>
      <c r="DO178" t="s">
        <v>266</v>
      </c>
      <c r="DP178" t="s">
        <v>172</v>
      </c>
      <c r="DQ178" t="s">
        <v>204</v>
      </c>
      <c r="DR178" t="s">
        <v>501</v>
      </c>
      <c r="DY178">
        <v>37.799999999999997</v>
      </c>
      <c r="EA178" s="117"/>
      <c r="EB178">
        <v>5</v>
      </c>
      <c r="EC178">
        <v>5</v>
      </c>
      <c r="EE178" t="s">
        <v>357</v>
      </c>
      <c r="EF178">
        <v>7</v>
      </c>
      <c r="EV178">
        <v>2500</v>
      </c>
      <c r="EW178">
        <v>359</v>
      </c>
      <c r="EX178">
        <v>264</v>
      </c>
      <c r="EY178">
        <v>316</v>
      </c>
    </row>
    <row r="179" spans="1:155" x14ac:dyDescent="0.35">
      <c r="A179">
        <v>2026</v>
      </c>
      <c r="B179" t="s">
        <v>228</v>
      </c>
      <c r="C179" s="112" t="s">
        <v>228</v>
      </c>
      <c r="D179" t="s">
        <v>502</v>
      </c>
      <c r="E179" t="s">
        <v>230</v>
      </c>
      <c r="F179">
        <v>306</v>
      </c>
      <c r="G179" s="113">
        <v>2</v>
      </c>
      <c r="H179">
        <v>4</v>
      </c>
      <c r="I179" t="s">
        <v>231</v>
      </c>
      <c r="J179">
        <v>24</v>
      </c>
      <c r="K179">
        <v>33</v>
      </c>
      <c r="L179">
        <v>27</v>
      </c>
      <c r="M179">
        <v>30.2</v>
      </c>
      <c r="N179">
        <v>47.4</v>
      </c>
      <c r="O179">
        <v>36.093800000000002</v>
      </c>
      <c r="P179">
        <v>23.526700000000002</v>
      </c>
      <c r="Q179">
        <v>32.785699999999999</v>
      </c>
      <c r="R179">
        <v>26.951899999999998</v>
      </c>
      <c r="T179" t="s">
        <v>168</v>
      </c>
      <c r="U179" t="s">
        <v>169</v>
      </c>
      <c r="V179" t="s">
        <v>170</v>
      </c>
      <c r="W179" t="s">
        <v>171</v>
      </c>
      <c r="Y179">
        <v>9</v>
      </c>
      <c r="Z179" t="s">
        <v>172</v>
      </c>
      <c r="AA179" t="s">
        <v>173</v>
      </c>
      <c r="AB179" t="s">
        <v>170</v>
      </c>
      <c r="AC179" t="s">
        <v>232</v>
      </c>
      <c r="AD179">
        <v>10</v>
      </c>
      <c r="AG179" t="s">
        <v>216</v>
      </c>
      <c r="AH179" t="s">
        <v>217</v>
      </c>
      <c r="AI179" t="s">
        <v>178</v>
      </c>
      <c r="AJ179" t="s">
        <v>179</v>
      </c>
      <c r="AK179" t="s">
        <v>173</v>
      </c>
      <c r="AL179" t="s">
        <v>180</v>
      </c>
      <c r="AO179">
        <v>100</v>
      </c>
      <c r="AP179">
        <v>13</v>
      </c>
      <c r="AS179">
        <v>2300</v>
      </c>
      <c r="AT179">
        <v>2300</v>
      </c>
      <c r="BN179" s="114" t="s">
        <v>256</v>
      </c>
      <c r="BO179">
        <v>2</v>
      </c>
      <c r="BP179">
        <v>2</v>
      </c>
      <c r="BQ179">
        <v>5</v>
      </c>
      <c r="BR179" t="s">
        <v>460</v>
      </c>
      <c r="BS179" t="s">
        <v>182</v>
      </c>
      <c r="BT179" t="s">
        <v>183</v>
      </c>
      <c r="BU179" s="115">
        <v>45860</v>
      </c>
      <c r="BV179">
        <v>37093</v>
      </c>
      <c r="BW179" s="116"/>
      <c r="BY179" t="s">
        <v>173</v>
      </c>
      <c r="CB179" t="s">
        <v>173</v>
      </c>
      <c r="CC179" t="s">
        <v>173</v>
      </c>
      <c r="CD179" t="s">
        <v>353</v>
      </c>
      <c r="CE179" t="s">
        <v>173</v>
      </c>
      <c r="CG179" t="s">
        <v>172</v>
      </c>
      <c r="CH179" t="s">
        <v>234</v>
      </c>
      <c r="CI179" t="s">
        <v>172</v>
      </c>
      <c r="CJ179" t="s">
        <v>354</v>
      </c>
      <c r="CK179" t="s">
        <v>259</v>
      </c>
      <c r="CM179">
        <v>1</v>
      </c>
      <c r="CN179" t="s">
        <v>260</v>
      </c>
      <c r="CP179">
        <v>48</v>
      </c>
      <c r="CQ179">
        <v>17.5</v>
      </c>
      <c r="CR179">
        <v>78.2</v>
      </c>
      <c r="CS179" t="s">
        <v>261</v>
      </c>
      <c r="CV179" t="s">
        <v>262</v>
      </c>
      <c r="CX179" t="s">
        <v>263</v>
      </c>
      <c r="CY179" t="s">
        <v>173</v>
      </c>
      <c r="DC179" t="s">
        <v>355</v>
      </c>
      <c r="DD179">
        <v>1</v>
      </c>
      <c r="DE179" t="s">
        <v>307</v>
      </c>
      <c r="DF179" t="s">
        <v>356</v>
      </c>
      <c r="DG179">
        <v>17</v>
      </c>
      <c r="DJ179" t="s">
        <v>201</v>
      </c>
      <c r="DK179" t="s">
        <v>202</v>
      </c>
      <c r="DL179" t="s">
        <v>173</v>
      </c>
      <c r="DM179" t="s">
        <v>173</v>
      </c>
      <c r="DN179" t="s">
        <v>173</v>
      </c>
      <c r="DO179" t="s">
        <v>266</v>
      </c>
      <c r="DP179" t="s">
        <v>172</v>
      </c>
      <c r="DQ179" t="s">
        <v>204</v>
      </c>
      <c r="DR179" t="s">
        <v>502</v>
      </c>
      <c r="DY179">
        <v>36.299999999999997</v>
      </c>
      <c r="EA179" s="117"/>
      <c r="EB179">
        <v>5</v>
      </c>
      <c r="EC179">
        <v>5</v>
      </c>
      <c r="EE179" t="s">
        <v>357</v>
      </c>
      <c r="EF179">
        <v>7</v>
      </c>
      <c r="EV179">
        <v>3000</v>
      </c>
      <c r="EW179">
        <v>375</v>
      </c>
      <c r="EX179">
        <v>269</v>
      </c>
      <c r="EY179">
        <v>327</v>
      </c>
    </row>
    <row r="180" spans="1:155" x14ac:dyDescent="0.35">
      <c r="A180">
        <v>2026</v>
      </c>
      <c r="B180" t="s">
        <v>228</v>
      </c>
      <c r="C180" s="112" t="s">
        <v>228</v>
      </c>
      <c r="D180" t="s">
        <v>503</v>
      </c>
      <c r="E180" t="s">
        <v>230</v>
      </c>
      <c r="F180">
        <v>302</v>
      </c>
      <c r="G180" s="113">
        <v>3</v>
      </c>
      <c r="H180">
        <v>6</v>
      </c>
      <c r="I180" t="s">
        <v>231</v>
      </c>
      <c r="J180">
        <v>22</v>
      </c>
      <c r="K180">
        <v>31</v>
      </c>
      <c r="L180">
        <v>25</v>
      </c>
      <c r="M180">
        <v>27.7</v>
      </c>
      <c r="N180">
        <v>44.1</v>
      </c>
      <c r="O180">
        <v>33.267200000000003</v>
      </c>
      <c r="P180">
        <v>21.752400000000002</v>
      </c>
      <c r="Q180">
        <v>30.726900000000001</v>
      </c>
      <c r="R180">
        <v>25.044</v>
      </c>
      <c r="T180" t="s">
        <v>341</v>
      </c>
      <c r="U180" t="s">
        <v>342</v>
      </c>
      <c r="V180" t="s">
        <v>170</v>
      </c>
      <c r="W180" t="s">
        <v>171</v>
      </c>
      <c r="Y180">
        <v>9</v>
      </c>
      <c r="Z180" t="s">
        <v>172</v>
      </c>
      <c r="AA180" t="s">
        <v>173</v>
      </c>
      <c r="AB180" t="s">
        <v>170</v>
      </c>
      <c r="AC180" t="s">
        <v>232</v>
      </c>
      <c r="AD180">
        <v>10</v>
      </c>
      <c r="AG180" t="s">
        <v>216</v>
      </c>
      <c r="AH180" t="s">
        <v>217</v>
      </c>
      <c r="AI180" t="s">
        <v>178</v>
      </c>
      <c r="AJ180" t="s">
        <v>179</v>
      </c>
      <c r="AK180" t="s">
        <v>173</v>
      </c>
      <c r="AL180" t="s">
        <v>180</v>
      </c>
      <c r="AO180">
        <v>100</v>
      </c>
      <c r="AP180">
        <v>13</v>
      </c>
      <c r="AS180">
        <v>2500</v>
      </c>
      <c r="AT180">
        <v>2500</v>
      </c>
      <c r="BN180" s="114" t="s">
        <v>256</v>
      </c>
      <c r="BO180">
        <v>2</v>
      </c>
      <c r="BP180">
        <v>2</v>
      </c>
      <c r="BQ180">
        <v>5</v>
      </c>
      <c r="BR180" t="s">
        <v>460</v>
      </c>
      <c r="BS180" t="s">
        <v>182</v>
      </c>
      <c r="BT180" t="s">
        <v>183</v>
      </c>
      <c r="BU180" s="115">
        <v>45870</v>
      </c>
      <c r="BV180">
        <v>37132</v>
      </c>
      <c r="BW180" s="116"/>
      <c r="BY180" t="s">
        <v>173</v>
      </c>
      <c r="CB180" t="s">
        <v>173</v>
      </c>
      <c r="CC180" t="s">
        <v>173</v>
      </c>
      <c r="CD180" t="s">
        <v>361</v>
      </c>
      <c r="CE180" t="s">
        <v>173</v>
      </c>
      <c r="CG180" t="s">
        <v>172</v>
      </c>
      <c r="CH180" t="s">
        <v>362</v>
      </c>
      <c r="CI180" t="s">
        <v>172</v>
      </c>
      <c r="CJ180" t="s">
        <v>363</v>
      </c>
      <c r="CK180" t="s">
        <v>259</v>
      </c>
      <c r="CM180">
        <v>1</v>
      </c>
      <c r="CN180" t="s">
        <v>260</v>
      </c>
      <c r="CP180">
        <v>48</v>
      </c>
      <c r="CQ180">
        <v>17.5</v>
      </c>
      <c r="CR180">
        <v>78.2</v>
      </c>
      <c r="CS180" t="s">
        <v>261</v>
      </c>
      <c r="CV180" t="s">
        <v>262</v>
      </c>
      <c r="CX180" t="s">
        <v>263</v>
      </c>
      <c r="CY180" t="s">
        <v>173</v>
      </c>
      <c r="DC180" t="s">
        <v>364</v>
      </c>
      <c r="DD180">
        <v>1</v>
      </c>
      <c r="DE180" t="s">
        <v>307</v>
      </c>
      <c r="DF180" t="s">
        <v>356</v>
      </c>
      <c r="DG180">
        <v>17</v>
      </c>
      <c r="DJ180" t="s">
        <v>201</v>
      </c>
      <c r="DK180" t="s">
        <v>202</v>
      </c>
      <c r="DL180" t="s">
        <v>173</v>
      </c>
      <c r="DM180" t="s">
        <v>173</v>
      </c>
      <c r="DN180" t="s">
        <v>173</v>
      </c>
      <c r="DO180" t="s">
        <v>347</v>
      </c>
      <c r="DP180" t="s">
        <v>172</v>
      </c>
      <c r="DQ180" t="s">
        <v>204</v>
      </c>
      <c r="DR180" t="s">
        <v>503</v>
      </c>
      <c r="DY180">
        <v>33.5</v>
      </c>
      <c r="EA180" s="117"/>
      <c r="EB180">
        <v>5</v>
      </c>
      <c r="EC180">
        <v>5</v>
      </c>
      <c r="EE180" t="s">
        <v>366</v>
      </c>
      <c r="EF180">
        <v>6</v>
      </c>
      <c r="EV180">
        <v>4000</v>
      </c>
      <c r="EW180">
        <v>409</v>
      </c>
      <c r="EX180">
        <v>290</v>
      </c>
      <c r="EY180">
        <v>355</v>
      </c>
    </row>
    <row r="181" spans="1:155" x14ac:dyDescent="0.35">
      <c r="A181">
        <v>2026</v>
      </c>
      <c r="B181" t="s">
        <v>242</v>
      </c>
      <c r="C181" s="112" t="s">
        <v>239</v>
      </c>
      <c r="D181" t="s">
        <v>1217</v>
      </c>
      <c r="E181" t="s">
        <v>245</v>
      </c>
      <c r="F181">
        <v>92</v>
      </c>
      <c r="G181" s="113">
        <v>2.5</v>
      </c>
      <c r="H181">
        <v>4</v>
      </c>
      <c r="I181" t="s">
        <v>852</v>
      </c>
      <c r="J181">
        <v>50</v>
      </c>
      <c r="K181">
        <v>49</v>
      </c>
      <c r="L181">
        <v>50</v>
      </c>
      <c r="M181">
        <v>68</v>
      </c>
      <c r="N181">
        <v>69.099999999999994</v>
      </c>
      <c r="O181">
        <v>68.490600000000001</v>
      </c>
      <c r="P181">
        <v>50.4163</v>
      </c>
      <c r="Q181">
        <v>48.686700000000002</v>
      </c>
      <c r="R181">
        <v>49.622999999999998</v>
      </c>
      <c r="U181" t="s">
        <v>215</v>
      </c>
      <c r="V181" t="s">
        <v>497</v>
      </c>
      <c r="W181" t="s">
        <v>498</v>
      </c>
      <c r="Y181">
        <v>6</v>
      </c>
      <c r="Z181" t="s">
        <v>173</v>
      </c>
      <c r="AA181" t="s">
        <v>173</v>
      </c>
      <c r="AB181" t="s">
        <v>170</v>
      </c>
      <c r="AC181" t="s">
        <v>232</v>
      </c>
      <c r="AD181">
        <v>15</v>
      </c>
      <c r="AG181" t="s">
        <v>167</v>
      </c>
      <c r="AH181" t="s">
        <v>416</v>
      </c>
      <c r="AI181" t="s">
        <v>178</v>
      </c>
      <c r="AJ181" t="s">
        <v>179</v>
      </c>
      <c r="AK181" t="s">
        <v>173</v>
      </c>
      <c r="AL181" t="s">
        <v>180</v>
      </c>
      <c r="AO181">
        <v>100</v>
      </c>
      <c r="AP181">
        <v>15</v>
      </c>
      <c r="AS181">
        <v>1000</v>
      </c>
      <c r="AT181">
        <v>1000</v>
      </c>
      <c r="BN181" s="114" t="s">
        <v>505</v>
      </c>
      <c r="BO181">
        <v>2</v>
      </c>
      <c r="BP181">
        <v>2</v>
      </c>
      <c r="BQ181">
        <v>5</v>
      </c>
      <c r="BR181" t="s">
        <v>460</v>
      </c>
      <c r="BS181" t="s">
        <v>182</v>
      </c>
      <c r="BT181" t="s">
        <v>218</v>
      </c>
      <c r="BU181" s="115">
        <v>45903</v>
      </c>
      <c r="BV181">
        <v>37519</v>
      </c>
      <c r="BW181" s="116"/>
      <c r="BX181" t="s">
        <v>172</v>
      </c>
      <c r="BY181" t="s">
        <v>173</v>
      </c>
      <c r="CB181" t="s">
        <v>173</v>
      </c>
      <c r="CC181" t="s">
        <v>173</v>
      </c>
      <c r="CE181" t="s">
        <v>173</v>
      </c>
      <c r="CG181" t="s">
        <v>172</v>
      </c>
      <c r="CH181" t="s">
        <v>249</v>
      </c>
      <c r="CI181" t="s">
        <v>173</v>
      </c>
      <c r="CK181" t="s">
        <v>259</v>
      </c>
      <c r="CM181">
        <v>1</v>
      </c>
      <c r="CN181" t="s">
        <v>260</v>
      </c>
      <c r="CP181">
        <v>252</v>
      </c>
      <c r="CQ181">
        <v>4</v>
      </c>
      <c r="CR181">
        <v>90.8</v>
      </c>
      <c r="CS181" t="s">
        <v>261</v>
      </c>
      <c r="CV181" t="s">
        <v>262</v>
      </c>
      <c r="CX181" t="s">
        <v>263</v>
      </c>
      <c r="CY181" t="s">
        <v>173</v>
      </c>
      <c r="DC181" t="s">
        <v>506</v>
      </c>
      <c r="DD181">
        <v>2</v>
      </c>
      <c r="DE181" t="s">
        <v>307</v>
      </c>
      <c r="DF181" t="s">
        <v>507</v>
      </c>
      <c r="DG181" t="s">
        <v>1218</v>
      </c>
      <c r="DJ181" t="s">
        <v>250</v>
      </c>
      <c r="DK181" t="s">
        <v>251</v>
      </c>
      <c r="DL181" t="s">
        <v>173</v>
      </c>
      <c r="DM181" t="s">
        <v>173</v>
      </c>
      <c r="DN181" t="s">
        <v>173</v>
      </c>
      <c r="DO181" t="s">
        <v>516</v>
      </c>
      <c r="DP181" t="s">
        <v>172</v>
      </c>
      <c r="DQ181" t="s">
        <v>204</v>
      </c>
      <c r="DR181" t="s">
        <v>509</v>
      </c>
      <c r="DY181">
        <v>69.2</v>
      </c>
      <c r="EA181" s="117"/>
      <c r="EB181">
        <v>8</v>
      </c>
      <c r="EC181">
        <v>8</v>
      </c>
      <c r="EE181" t="s">
        <v>1219</v>
      </c>
      <c r="EF181">
        <v>7</v>
      </c>
      <c r="EU181">
        <v>3500</v>
      </c>
      <c r="EW181">
        <v>175</v>
      </c>
      <c r="EX181">
        <v>181</v>
      </c>
      <c r="EY181">
        <v>178</v>
      </c>
    </row>
    <row r="182" spans="1:155" x14ac:dyDescent="0.35">
      <c r="A182">
        <v>2026</v>
      </c>
      <c r="B182" t="s">
        <v>242</v>
      </c>
      <c r="C182" s="112" t="s">
        <v>239</v>
      </c>
      <c r="D182" t="s">
        <v>1220</v>
      </c>
      <c r="E182" t="s">
        <v>245</v>
      </c>
      <c r="F182">
        <v>88</v>
      </c>
      <c r="G182" s="113">
        <v>2.5</v>
      </c>
      <c r="H182">
        <v>4</v>
      </c>
      <c r="I182" t="s">
        <v>852</v>
      </c>
      <c r="J182">
        <v>46</v>
      </c>
      <c r="K182">
        <v>46</v>
      </c>
      <c r="L182">
        <v>46</v>
      </c>
      <c r="M182">
        <v>64.5</v>
      </c>
      <c r="N182">
        <v>63.1</v>
      </c>
      <c r="O182">
        <v>63.862400000000001</v>
      </c>
      <c r="P182">
        <v>46</v>
      </c>
      <c r="Q182">
        <v>45.524900000000002</v>
      </c>
      <c r="R182">
        <v>46.192500000000003</v>
      </c>
      <c r="U182" t="s">
        <v>215</v>
      </c>
      <c r="V182" t="s">
        <v>497</v>
      </c>
      <c r="W182" t="s">
        <v>498</v>
      </c>
      <c r="Y182">
        <v>6</v>
      </c>
      <c r="Z182" t="s">
        <v>173</v>
      </c>
      <c r="AA182" t="s">
        <v>173</v>
      </c>
      <c r="AB182" t="s">
        <v>170</v>
      </c>
      <c r="AC182" t="s">
        <v>232</v>
      </c>
      <c r="AD182">
        <v>15</v>
      </c>
      <c r="AG182" t="s">
        <v>167</v>
      </c>
      <c r="AH182" t="s">
        <v>416</v>
      </c>
      <c r="AI182" t="s">
        <v>178</v>
      </c>
      <c r="AJ182" t="s">
        <v>179</v>
      </c>
      <c r="AK182" t="s">
        <v>173</v>
      </c>
      <c r="AL182" t="s">
        <v>180</v>
      </c>
      <c r="AO182">
        <v>100</v>
      </c>
      <c r="AP182">
        <v>15</v>
      </c>
      <c r="AS182">
        <v>1100</v>
      </c>
      <c r="AT182">
        <v>1100</v>
      </c>
      <c r="BN182" s="114" t="s">
        <v>505</v>
      </c>
      <c r="BO182">
        <v>2</v>
      </c>
      <c r="BP182">
        <v>2</v>
      </c>
      <c r="BQ182">
        <v>5</v>
      </c>
      <c r="BR182" t="s">
        <v>460</v>
      </c>
      <c r="BS182" t="s">
        <v>182</v>
      </c>
      <c r="BT182" t="s">
        <v>218</v>
      </c>
      <c r="BU182" s="115">
        <v>45903</v>
      </c>
      <c r="BV182">
        <v>37518</v>
      </c>
      <c r="BW182" s="116"/>
      <c r="BX182" t="s">
        <v>173</v>
      </c>
      <c r="BY182" t="s">
        <v>173</v>
      </c>
      <c r="CB182" t="s">
        <v>173</v>
      </c>
      <c r="CC182" t="s">
        <v>173</v>
      </c>
      <c r="CE182" t="s">
        <v>173</v>
      </c>
      <c r="CG182" t="s">
        <v>172</v>
      </c>
      <c r="CH182" t="s">
        <v>249</v>
      </c>
      <c r="CI182" t="s">
        <v>173</v>
      </c>
      <c r="CK182" t="s">
        <v>259</v>
      </c>
      <c r="CM182">
        <v>1</v>
      </c>
      <c r="CN182" t="s">
        <v>260</v>
      </c>
      <c r="CP182">
        <v>252</v>
      </c>
      <c r="CQ182">
        <v>4</v>
      </c>
      <c r="CR182">
        <v>90.8</v>
      </c>
      <c r="CS182" t="s">
        <v>261</v>
      </c>
      <c r="CV182" t="s">
        <v>262</v>
      </c>
      <c r="CX182" t="s">
        <v>263</v>
      </c>
      <c r="CY182" t="s">
        <v>173</v>
      </c>
      <c r="DC182" t="s">
        <v>506</v>
      </c>
      <c r="DD182">
        <v>2</v>
      </c>
      <c r="DE182" t="s">
        <v>307</v>
      </c>
      <c r="DF182" t="s">
        <v>507</v>
      </c>
      <c r="DG182" t="s">
        <v>1218</v>
      </c>
      <c r="DJ182" t="s">
        <v>250</v>
      </c>
      <c r="DK182" t="s">
        <v>251</v>
      </c>
      <c r="DL182" t="s">
        <v>173</v>
      </c>
      <c r="DM182" t="s">
        <v>173</v>
      </c>
      <c r="DN182" t="s">
        <v>173</v>
      </c>
      <c r="DO182" t="s">
        <v>516</v>
      </c>
      <c r="DP182" t="s">
        <v>172</v>
      </c>
      <c r="DQ182" t="s">
        <v>204</v>
      </c>
      <c r="DR182" t="s">
        <v>509</v>
      </c>
      <c r="DY182">
        <v>64.599999999999994</v>
      </c>
      <c r="EA182" s="117"/>
      <c r="EB182">
        <v>7</v>
      </c>
      <c r="EC182">
        <v>7</v>
      </c>
      <c r="EE182" t="s">
        <v>1219</v>
      </c>
      <c r="EF182">
        <v>7</v>
      </c>
      <c r="EU182">
        <v>3000</v>
      </c>
      <c r="EW182">
        <v>191</v>
      </c>
      <c r="EX182">
        <v>194</v>
      </c>
      <c r="EY182">
        <v>192</v>
      </c>
    </row>
    <row r="183" spans="1:155" x14ac:dyDescent="0.35">
      <c r="A183">
        <v>2026</v>
      </c>
      <c r="B183" t="s">
        <v>242</v>
      </c>
      <c r="C183" s="112" t="s">
        <v>239</v>
      </c>
      <c r="D183" t="s">
        <v>1221</v>
      </c>
      <c r="E183" t="s">
        <v>245</v>
      </c>
      <c r="F183">
        <v>89</v>
      </c>
      <c r="G183" s="113">
        <v>2.5</v>
      </c>
      <c r="H183">
        <v>4</v>
      </c>
      <c r="I183" t="s">
        <v>852</v>
      </c>
      <c r="J183">
        <v>43</v>
      </c>
      <c r="K183">
        <v>43</v>
      </c>
      <c r="L183">
        <v>43</v>
      </c>
      <c r="M183">
        <v>64.5</v>
      </c>
      <c r="N183">
        <v>63.1</v>
      </c>
      <c r="O183">
        <v>63.862400000000001</v>
      </c>
      <c r="P183">
        <v>43</v>
      </c>
      <c r="Q183">
        <v>43</v>
      </c>
      <c r="R183">
        <v>43</v>
      </c>
      <c r="U183" t="s">
        <v>215</v>
      </c>
      <c r="V183" t="s">
        <v>497</v>
      </c>
      <c r="W183" t="s">
        <v>498</v>
      </c>
      <c r="Y183">
        <v>6</v>
      </c>
      <c r="Z183" t="s">
        <v>173</v>
      </c>
      <c r="AA183" t="s">
        <v>173</v>
      </c>
      <c r="AB183" t="s">
        <v>170</v>
      </c>
      <c r="AC183" t="s">
        <v>232</v>
      </c>
      <c r="AD183">
        <v>15</v>
      </c>
      <c r="AG183" t="s">
        <v>167</v>
      </c>
      <c r="AH183" t="s">
        <v>416</v>
      </c>
      <c r="AI183" t="s">
        <v>178</v>
      </c>
      <c r="AJ183" t="s">
        <v>179</v>
      </c>
      <c r="AK183" t="s">
        <v>173</v>
      </c>
      <c r="AL183" t="s">
        <v>180</v>
      </c>
      <c r="AO183">
        <v>100</v>
      </c>
      <c r="AP183">
        <v>15</v>
      </c>
      <c r="AS183">
        <v>1150</v>
      </c>
      <c r="AT183">
        <v>1150</v>
      </c>
      <c r="BN183" s="114" t="s">
        <v>505</v>
      </c>
      <c r="BO183">
        <v>2</v>
      </c>
      <c r="BP183">
        <v>2</v>
      </c>
      <c r="BQ183">
        <v>5</v>
      </c>
      <c r="BR183" t="s">
        <v>460</v>
      </c>
      <c r="BS183" t="s">
        <v>182</v>
      </c>
      <c r="BT183" t="s">
        <v>218</v>
      </c>
      <c r="BU183" s="115">
        <v>45903</v>
      </c>
      <c r="BV183">
        <v>37516</v>
      </c>
      <c r="BW183" s="116"/>
      <c r="BX183" t="s">
        <v>173</v>
      </c>
      <c r="BY183" t="s">
        <v>173</v>
      </c>
      <c r="CB183" t="s">
        <v>173</v>
      </c>
      <c r="CC183" t="s">
        <v>173</v>
      </c>
      <c r="CE183" t="s">
        <v>173</v>
      </c>
      <c r="CG183" t="s">
        <v>172</v>
      </c>
      <c r="CH183" t="s">
        <v>249</v>
      </c>
      <c r="CI183" t="s">
        <v>173</v>
      </c>
      <c r="CK183" t="s">
        <v>259</v>
      </c>
      <c r="CM183">
        <v>1</v>
      </c>
      <c r="CN183" t="s">
        <v>260</v>
      </c>
      <c r="CP183">
        <v>252</v>
      </c>
      <c r="CQ183">
        <v>4</v>
      </c>
      <c r="CR183">
        <v>90.8</v>
      </c>
      <c r="CS183" t="s">
        <v>261</v>
      </c>
      <c r="CV183" t="s">
        <v>262</v>
      </c>
      <c r="CX183" t="s">
        <v>263</v>
      </c>
      <c r="CY183" t="s">
        <v>173</v>
      </c>
      <c r="DC183" t="s">
        <v>506</v>
      </c>
      <c r="DD183">
        <v>2</v>
      </c>
      <c r="DE183" t="s">
        <v>307</v>
      </c>
      <c r="DF183" t="s">
        <v>507</v>
      </c>
      <c r="DG183" t="s">
        <v>1218</v>
      </c>
      <c r="DJ183" t="s">
        <v>250</v>
      </c>
      <c r="DK183" t="s">
        <v>251</v>
      </c>
      <c r="DL183" t="s">
        <v>173</v>
      </c>
      <c r="DM183" t="s">
        <v>173</v>
      </c>
      <c r="DN183" t="s">
        <v>173</v>
      </c>
      <c r="DO183" t="s">
        <v>516</v>
      </c>
      <c r="DP183" t="s">
        <v>172</v>
      </c>
      <c r="DQ183" t="s">
        <v>204</v>
      </c>
      <c r="DR183" t="s">
        <v>509</v>
      </c>
      <c r="DY183">
        <v>64.599999999999994</v>
      </c>
      <c r="EA183" s="117"/>
      <c r="EB183">
        <v>7</v>
      </c>
      <c r="EC183">
        <v>7</v>
      </c>
      <c r="EE183" t="s">
        <v>1219</v>
      </c>
      <c r="EF183">
        <v>7</v>
      </c>
      <c r="EU183">
        <v>2750</v>
      </c>
      <c r="EW183">
        <v>205</v>
      </c>
      <c r="EX183">
        <v>205</v>
      </c>
      <c r="EY183">
        <v>205</v>
      </c>
    </row>
    <row r="184" spans="1:155" x14ac:dyDescent="0.35">
      <c r="A184">
        <v>2026</v>
      </c>
      <c r="B184" t="s">
        <v>242</v>
      </c>
      <c r="C184" s="112" t="s">
        <v>239</v>
      </c>
      <c r="D184" t="s">
        <v>1222</v>
      </c>
      <c r="E184" t="s">
        <v>245</v>
      </c>
      <c r="F184">
        <v>90</v>
      </c>
      <c r="G184" s="113">
        <v>2.5</v>
      </c>
      <c r="H184">
        <v>4</v>
      </c>
      <c r="I184" t="s">
        <v>852</v>
      </c>
      <c r="J184">
        <v>52</v>
      </c>
      <c r="K184">
        <v>49</v>
      </c>
      <c r="L184">
        <v>51</v>
      </c>
      <c r="M184">
        <v>70.7</v>
      </c>
      <c r="N184">
        <v>69.599999999999994</v>
      </c>
      <c r="O184">
        <v>70.200699999999998</v>
      </c>
      <c r="P184">
        <v>52.247500000000002</v>
      </c>
      <c r="Q184">
        <v>49.42</v>
      </c>
      <c r="R184">
        <v>50.936100000000003</v>
      </c>
      <c r="U184" t="s">
        <v>215</v>
      </c>
      <c r="V184" t="s">
        <v>497</v>
      </c>
      <c r="W184" t="s">
        <v>498</v>
      </c>
      <c r="Y184">
        <v>6</v>
      </c>
      <c r="Z184" t="s">
        <v>173</v>
      </c>
      <c r="AA184" t="s">
        <v>173</v>
      </c>
      <c r="AB184" t="s">
        <v>277</v>
      </c>
      <c r="AC184" t="s">
        <v>278</v>
      </c>
      <c r="AD184">
        <v>15</v>
      </c>
      <c r="AG184" t="s">
        <v>167</v>
      </c>
      <c r="AH184" t="s">
        <v>416</v>
      </c>
      <c r="AI184" t="s">
        <v>178</v>
      </c>
      <c r="AJ184" t="s">
        <v>179</v>
      </c>
      <c r="AK184" t="s">
        <v>173</v>
      </c>
      <c r="AL184" t="s">
        <v>180</v>
      </c>
      <c r="AO184">
        <v>100</v>
      </c>
      <c r="AP184">
        <v>15</v>
      </c>
      <c r="AS184">
        <v>950</v>
      </c>
      <c r="AT184">
        <v>950</v>
      </c>
      <c r="BN184" s="114" t="s">
        <v>505</v>
      </c>
      <c r="BO184">
        <v>2</v>
      </c>
      <c r="BP184">
        <v>2</v>
      </c>
      <c r="BQ184">
        <v>5</v>
      </c>
      <c r="BR184" t="s">
        <v>460</v>
      </c>
      <c r="BS184" t="s">
        <v>182</v>
      </c>
      <c r="BT184" t="s">
        <v>218</v>
      </c>
      <c r="BU184" s="115">
        <v>45903</v>
      </c>
      <c r="BV184">
        <v>37515</v>
      </c>
      <c r="BW184" s="116"/>
      <c r="BX184" t="s">
        <v>173</v>
      </c>
      <c r="BY184" t="s">
        <v>173</v>
      </c>
      <c r="CB184" t="s">
        <v>173</v>
      </c>
      <c r="CC184" t="s">
        <v>173</v>
      </c>
      <c r="CE184" t="s">
        <v>173</v>
      </c>
      <c r="CG184" t="s">
        <v>172</v>
      </c>
      <c r="CH184" t="s">
        <v>249</v>
      </c>
      <c r="CI184" t="s">
        <v>173</v>
      </c>
      <c r="CK184" t="s">
        <v>259</v>
      </c>
      <c r="CM184">
        <v>1</v>
      </c>
      <c r="CN184" t="s">
        <v>260</v>
      </c>
      <c r="CP184">
        <v>252</v>
      </c>
      <c r="CQ184">
        <v>4</v>
      </c>
      <c r="CR184">
        <v>90.8</v>
      </c>
      <c r="CS184" t="s">
        <v>261</v>
      </c>
      <c r="CV184" t="s">
        <v>262</v>
      </c>
      <c r="CX184" t="s">
        <v>263</v>
      </c>
      <c r="CY184" t="s">
        <v>173</v>
      </c>
      <c r="DC184" t="s">
        <v>506</v>
      </c>
      <c r="DD184">
        <v>2</v>
      </c>
      <c r="DE184" t="s">
        <v>307</v>
      </c>
      <c r="DF184" t="s">
        <v>507</v>
      </c>
      <c r="DG184" t="s">
        <v>1218</v>
      </c>
      <c r="DJ184" t="s">
        <v>250</v>
      </c>
      <c r="DK184" t="s">
        <v>251</v>
      </c>
      <c r="DL184" t="s">
        <v>173</v>
      </c>
      <c r="DM184" t="s">
        <v>173</v>
      </c>
      <c r="DN184" t="s">
        <v>173</v>
      </c>
      <c r="DO184" t="s">
        <v>516</v>
      </c>
      <c r="DP184" t="s">
        <v>172</v>
      </c>
      <c r="DQ184" t="s">
        <v>204</v>
      </c>
      <c r="DR184" t="s">
        <v>509</v>
      </c>
      <c r="DY184">
        <v>71</v>
      </c>
      <c r="EA184" s="117"/>
      <c r="EB184">
        <v>8</v>
      </c>
      <c r="EC184">
        <v>8</v>
      </c>
      <c r="EE184" t="s">
        <v>1219</v>
      </c>
      <c r="EF184">
        <v>7</v>
      </c>
      <c r="EU184">
        <v>3750</v>
      </c>
      <c r="EW184">
        <v>168</v>
      </c>
      <c r="EX184">
        <v>179</v>
      </c>
      <c r="EY184">
        <v>173</v>
      </c>
    </row>
    <row r="185" spans="1:155" x14ac:dyDescent="0.35">
      <c r="A185">
        <v>2026</v>
      </c>
      <c r="B185" t="s">
        <v>242</v>
      </c>
      <c r="C185" s="112" t="s">
        <v>239</v>
      </c>
      <c r="D185" t="s">
        <v>1223</v>
      </c>
      <c r="E185" t="s">
        <v>245</v>
      </c>
      <c r="F185">
        <v>91</v>
      </c>
      <c r="G185" s="113">
        <v>2.5</v>
      </c>
      <c r="H185">
        <v>4</v>
      </c>
      <c r="I185" t="s">
        <v>852</v>
      </c>
      <c r="J185">
        <v>47</v>
      </c>
      <c r="K185">
        <v>45</v>
      </c>
      <c r="L185">
        <v>46</v>
      </c>
      <c r="M185">
        <v>63.792299999999997</v>
      </c>
      <c r="N185">
        <v>64.599999999999994</v>
      </c>
      <c r="O185">
        <v>64.153300000000002</v>
      </c>
      <c r="P185">
        <v>46.750799999999998</v>
      </c>
      <c r="Q185">
        <v>45.397399999999998</v>
      </c>
      <c r="R185">
        <v>46.131900000000002</v>
      </c>
      <c r="U185" t="s">
        <v>215</v>
      </c>
      <c r="V185" t="s">
        <v>497</v>
      </c>
      <c r="W185" t="s">
        <v>498</v>
      </c>
      <c r="Y185">
        <v>6</v>
      </c>
      <c r="Z185" t="s">
        <v>173</v>
      </c>
      <c r="AA185" t="s">
        <v>173</v>
      </c>
      <c r="AB185" t="s">
        <v>277</v>
      </c>
      <c r="AC185" t="s">
        <v>278</v>
      </c>
      <c r="AD185">
        <v>15</v>
      </c>
      <c r="AG185" t="s">
        <v>167</v>
      </c>
      <c r="AH185" t="s">
        <v>416</v>
      </c>
      <c r="AI185" t="s">
        <v>178</v>
      </c>
      <c r="AJ185" t="s">
        <v>179</v>
      </c>
      <c r="AK185" t="s">
        <v>173</v>
      </c>
      <c r="AL185" t="s">
        <v>180</v>
      </c>
      <c r="AO185">
        <v>100</v>
      </c>
      <c r="AP185">
        <v>15</v>
      </c>
      <c r="AS185">
        <v>1100</v>
      </c>
      <c r="AT185">
        <v>1100</v>
      </c>
      <c r="BN185" s="114" t="s">
        <v>505</v>
      </c>
      <c r="BO185">
        <v>2</v>
      </c>
      <c r="BP185">
        <v>2</v>
      </c>
      <c r="BQ185">
        <v>5</v>
      </c>
      <c r="BR185" t="s">
        <v>460</v>
      </c>
      <c r="BS185" t="s">
        <v>182</v>
      </c>
      <c r="BT185" t="s">
        <v>218</v>
      </c>
      <c r="BU185" s="115">
        <v>45903</v>
      </c>
      <c r="BV185">
        <v>37514</v>
      </c>
      <c r="BW185" s="116"/>
      <c r="BX185" t="s">
        <v>173</v>
      </c>
      <c r="BY185" t="s">
        <v>173</v>
      </c>
      <c r="CB185" t="s">
        <v>173</v>
      </c>
      <c r="CC185" t="s">
        <v>173</v>
      </c>
      <c r="CE185" t="s">
        <v>173</v>
      </c>
      <c r="CG185" t="s">
        <v>172</v>
      </c>
      <c r="CH185" t="s">
        <v>249</v>
      </c>
      <c r="CI185" t="s">
        <v>173</v>
      </c>
      <c r="CK185" t="s">
        <v>259</v>
      </c>
      <c r="CM185">
        <v>1</v>
      </c>
      <c r="CN185" t="s">
        <v>260</v>
      </c>
      <c r="CP185">
        <v>252</v>
      </c>
      <c r="CQ185">
        <v>4</v>
      </c>
      <c r="CR185">
        <v>90.8</v>
      </c>
      <c r="CS185" t="s">
        <v>261</v>
      </c>
      <c r="CV185" t="s">
        <v>262</v>
      </c>
      <c r="CX185" t="s">
        <v>263</v>
      </c>
      <c r="CY185" t="s">
        <v>173</v>
      </c>
      <c r="DC185" t="s">
        <v>506</v>
      </c>
      <c r="DD185">
        <v>2</v>
      </c>
      <c r="DE185" t="s">
        <v>307</v>
      </c>
      <c r="DF185" t="s">
        <v>507</v>
      </c>
      <c r="DG185" t="s">
        <v>1218</v>
      </c>
      <c r="DJ185" t="s">
        <v>250</v>
      </c>
      <c r="DK185" t="s">
        <v>251</v>
      </c>
      <c r="DL185" t="s">
        <v>173</v>
      </c>
      <c r="DM185" t="s">
        <v>173</v>
      </c>
      <c r="DN185" t="s">
        <v>173</v>
      </c>
      <c r="DO185" t="s">
        <v>516</v>
      </c>
      <c r="DP185" t="s">
        <v>172</v>
      </c>
      <c r="DQ185" t="s">
        <v>204</v>
      </c>
      <c r="DR185" t="s">
        <v>509</v>
      </c>
      <c r="DY185">
        <v>64.8</v>
      </c>
      <c r="EA185" s="117"/>
      <c r="EB185">
        <v>7</v>
      </c>
      <c r="EC185">
        <v>7</v>
      </c>
      <c r="EE185" t="s">
        <v>1219</v>
      </c>
      <c r="EF185">
        <v>7</v>
      </c>
      <c r="EU185">
        <v>3000</v>
      </c>
      <c r="EW185">
        <v>188</v>
      </c>
      <c r="EX185">
        <v>195</v>
      </c>
      <c r="EY185">
        <v>191</v>
      </c>
    </row>
    <row r="186" spans="1:155" x14ac:dyDescent="0.35">
      <c r="A186">
        <v>2026</v>
      </c>
      <c r="B186" t="s">
        <v>242</v>
      </c>
      <c r="C186" s="112" t="s">
        <v>239</v>
      </c>
      <c r="D186" t="s">
        <v>504</v>
      </c>
      <c r="E186" t="s">
        <v>245</v>
      </c>
      <c r="F186">
        <v>31</v>
      </c>
      <c r="G186" s="113">
        <v>2</v>
      </c>
      <c r="H186">
        <v>4</v>
      </c>
      <c r="I186" t="s">
        <v>487</v>
      </c>
      <c r="J186">
        <v>57</v>
      </c>
      <c r="K186">
        <v>56</v>
      </c>
      <c r="L186">
        <v>57</v>
      </c>
      <c r="M186">
        <v>82.8</v>
      </c>
      <c r="N186">
        <v>77.8</v>
      </c>
      <c r="O186">
        <v>80.472700000000003</v>
      </c>
      <c r="P186">
        <v>57</v>
      </c>
      <c r="Q186">
        <v>56</v>
      </c>
      <c r="R186">
        <v>57</v>
      </c>
      <c r="U186" t="s">
        <v>215</v>
      </c>
      <c r="V186" t="s">
        <v>488</v>
      </c>
      <c r="W186" t="s">
        <v>489</v>
      </c>
      <c r="Y186">
        <v>1</v>
      </c>
      <c r="Z186" t="s">
        <v>173</v>
      </c>
      <c r="AA186" t="s">
        <v>173</v>
      </c>
      <c r="AB186" t="s">
        <v>277</v>
      </c>
      <c r="AC186" t="s">
        <v>278</v>
      </c>
      <c r="AD186">
        <v>15</v>
      </c>
      <c r="AG186" t="s">
        <v>167</v>
      </c>
      <c r="AH186" t="s">
        <v>416</v>
      </c>
      <c r="AI186" t="s">
        <v>178</v>
      </c>
      <c r="AJ186" t="s">
        <v>179</v>
      </c>
      <c r="AK186" t="s">
        <v>173</v>
      </c>
      <c r="AL186" t="s">
        <v>180</v>
      </c>
      <c r="AQ186">
        <v>91</v>
      </c>
      <c r="AR186">
        <v>24</v>
      </c>
      <c r="AS186">
        <v>850</v>
      </c>
      <c r="AT186">
        <v>850</v>
      </c>
      <c r="BN186" s="114" t="s">
        <v>505</v>
      </c>
      <c r="BO186">
        <v>2</v>
      </c>
      <c r="BP186">
        <v>2</v>
      </c>
      <c r="BQ186">
        <v>5</v>
      </c>
      <c r="BR186" t="s">
        <v>460</v>
      </c>
      <c r="BS186" t="s">
        <v>182</v>
      </c>
      <c r="BT186" t="s">
        <v>218</v>
      </c>
      <c r="BU186" s="115">
        <v>45856</v>
      </c>
      <c r="BV186">
        <v>36959</v>
      </c>
      <c r="BW186" s="116"/>
      <c r="BX186" t="s">
        <v>172</v>
      </c>
      <c r="BY186" t="s">
        <v>173</v>
      </c>
      <c r="CB186" t="s">
        <v>173</v>
      </c>
      <c r="CC186" t="s">
        <v>173</v>
      </c>
      <c r="CE186" t="s">
        <v>173</v>
      </c>
      <c r="CG186" t="s">
        <v>172</v>
      </c>
      <c r="CH186" t="s">
        <v>249</v>
      </c>
      <c r="CI186" t="s">
        <v>173</v>
      </c>
      <c r="CK186" t="s">
        <v>259</v>
      </c>
      <c r="CM186">
        <v>1</v>
      </c>
      <c r="CN186" t="s">
        <v>260</v>
      </c>
      <c r="CP186">
        <v>222</v>
      </c>
      <c r="CQ186">
        <v>4.08</v>
      </c>
      <c r="CR186">
        <v>80.7</v>
      </c>
      <c r="CS186" t="s">
        <v>261</v>
      </c>
      <c r="CV186" t="s">
        <v>262</v>
      </c>
      <c r="CX186" t="s">
        <v>263</v>
      </c>
      <c r="CY186" t="s">
        <v>173</v>
      </c>
      <c r="DC186" t="s">
        <v>506</v>
      </c>
      <c r="DD186">
        <v>2</v>
      </c>
      <c r="DE186" t="s">
        <v>307</v>
      </c>
      <c r="DF186" t="s">
        <v>507</v>
      </c>
      <c r="DG186">
        <v>83</v>
      </c>
      <c r="DJ186" t="s">
        <v>250</v>
      </c>
      <c r="DK186" t="s">
        <v>251</v>
      </c>
      <c r="DL186" t="s">
        <v>173</v>
      </c>
      <c r="DM186" t="s">
        <v>173</v>
      </c>
      <c r="DN186" t="s">
        <v>173</v>
      </c>
      <c r="DO186" t="s">
        <v>508</v>
      </c>
      <c r="DP186" t="s">
        <v>172</v>
      </c>
      <c r="DQ186" t="s">
        <v>204</v>
      </c>
      <c r="DR186" t="s">
        <v>509</v>
      </c>
      <c r="DY186">
        <v>81.3</v>
      </c>
      <c r="EA186" s="117"/>
      <c r="EB186">
        <v>8</v>
      </c>
      <c r="EC186">
        <v>8</v>
      </c>
      <c r="EE186" t="s">
        <v>510</v>
      </c>
      <c r="EF186">
        <v>6</v>
      </c>
      <c r="EU186">
        <v>4250</v>
      </c>
      <c r="EW186">
        <v>154</v>
      </c>
      <c r="EX186">
        <v>158</v>
      </c>
      <c r="EY186">
        <v>155</v>
      </c>
    </row>
    <row r="187" spans="1:155" x14ac:dyDescent="0.35">
      <c r="A187">
        <v>2026</v>
      </c>
      <c r="B187" t="s">
        <v>242</v>
      </c>
      <c r="C187" s="112" t="s">
        <v>239</v>
      </c>
      <c r="D187" t="s">
        <v>511</v>
      </c>
      <c r="E187" t="s">
        <v>245</v>
      </c>
      <c r="F187">
        <v>26</v>
      </c>
      <c r="G187" s="113">
        <v>2</v>
      </c>
      <c r="H187">
        <v>4</v>
      </c>
      <c r="I187" t="s">
        <v>487</v>
      </c>
      <c r="J187">
        <v>53</v>
      </c>
      <c r="K187">
        <v>54</v>
      </c>
      <c r="L187">
        <v>54</v>
      </c>
      <c r="M187">
        <v>77.900000000000006</v>
      </c>
      <c r="N187">
        <v>74.599999999999994</v>
      </c>
      <c r="O187">
        <v>76.379599999999996</v>
      </c>
      <c r="P187">
        <v>53</v>
      </c>
      <c r="Q187">
        <v>54</v>
      </c>
      <c r="R187">
        <v>54</v>
      </c>
      <c r="U187" t="s">
        <v>215</v>
      </c>
      <c r="V187" t="s">
        <v>488</v>
      </c>
      <c r="W187" t="s">
        <v>489</v>
      </c>
      <c r="Y187">
        <v>1</v>
      </c>
      <c r="Z187" t="s">
        <v>173</v>
      </c>
      <c r="AA187" t="s">
        <v>173</v>
      </c>
      <c r="AB187" t="s">
        <v>170</v>
      </c>
      <c r="AC187" t="s">
        <v>232</v>
      </c>
      <c r="AD187">
        <v>15</v>
      </c>
      <c r="AG187" t="s">
        <v>167</v>
      </c>
      <c r="AH187" t="s">
        <v>416</v>
      </c>
      <c r="AI187" t="s">
        <v>178</v>
      </c>
      <c r="AJ187" t="s">
        <v>179</v>
      </c>
      <c r="AK187" t="s">
        <v>173</v>
      </c>
      <c r="AL187" t="s">
        <v>180</v>
      </c>
      <c r="AQ187">
        <v>91</v>
      </c>
      <c r="AR187">
        <v>24</v>
      </c>
      <c r="AS187">
        <v>900</v>
      </c>
      <c r="AT187">
        <v>900</v>
      </c>
      <c r="BN187" s="114" t="s">
        <v>505</v>
      </c>
      <c r="BO187">
        <v>2</v>
      </c>
      <c r="BP187">
        <v>2</v>
      </c>
      <c r="BQ187">
        <v>5</v>
      </c>
      <c r="BR187" t="s">
        <v>460</v>
      </c>
      <c r="BS187" t="s">
        <v>182</v>
      </c>
      <c r="BT187" t="s">
        <v>218</v>
      </c>
      <c r="BU187" s="115">
        <v>45856</v>
      </c>
      <c r="BV187">
        <v>36958</v>
      </c>
      <c r="BW187" s="116"/>
      <c r="BX187" t="s">
        <v>173</v>
      </c>
      <c r="BY187" t="s">
        <v>173</v>
      </c>
      <c r="CB187" t="s">
        <v>173</v>
      </c>
      <c r="CC187" t="s">
        <v>173</v>
      </c>
      <c r="CE187" t="s">
        <v>173</v>
      </c>
      <c r="CG187" t="s">
        <v>172</v>
      </c>
      <c r="CH187" t="s">
        <v>249</v>
      </c>
      <c r="CI187" t="s">
        <v>173</v>
      </c>
      <c r="CK187" t="s">
        <v>259</v>
      </c>
      <c r="CM187">
        <v>1</v>
      </c>
      <c r="CN187" t="s">
        <v>260</v>
      </c>
      <c r="CP187">
        <v>222</v>
      </c>
      <c r="CQ187">
        <v>4.08</v>
      </c>
      <c r="CR187">
        <v>80.7</v>
      </c>
      <c r="CS187" t="s">
        <v>261</v>
      </c>
      <c r="CV187" t="s">
        <v>262</v>
      </c>
      <c r="CX187" t="s">
        <v>263</v>
      </c>
      <c r="CY187" t="s">
        <v>173</v>
      </c>
      <c r="DC187" t="s">
        <v>506</v>
      </c>
      <c r="DD187">
        <v>2</v>
      </c>
      <c r="DE187" t="s">
        <v>307</v>
      </c>
      <c r="DF187" t="s">
        <v>507</v>
      </c>
      <c r="DG187">
        <v>30</v>
      </c>
      <c r="DJ187" t="s">
        <v>250</v>
      </c>
      <c r="DK187" t="s">
        <v>251</v>
      </c>
      <c r="DL187" t="s">
        <v>173</v>
      </c>
      <c r="DM187" t="s">
        <v>173</v>
      </c>
      <c r="DN187" t="s">
        <v>173</v>
      </c>
      <c r="DO187" t="s">
        <v>508</v>
      </c>
      <c r="DP187" t="s">
        <v>172</v>
      </c>
      <c r="DQ187" t="s">
        <v>204</v>
      </c>
      <c r="DR187" t="s">
        <v>509</v>
      </c>
      <c r="DY187">
        <v>77.2</v>
      </c>
      <c r="EA187" s="117"/>
      <c r="EB187">
        <v>8</v>
      </c>
      <c r="EC187">
        <v>8</v>
      </c>
      <c r="EE187" t="s">
        <v>510</v>
      </c>
      <c r="EF187">
        <v>6</v>
      </c>
      <c r="EU187">
        <v>4000</v>
      </c>
      <c r="EW187">
        <v>166</v>
      </c>
      <c r="EX187">
        <v>163</v>
      </c>
      <c r="EY187">
        <v>163</v>
      </c>
    </row>
    <row r="188" spans="1:155" x14ac:dyDescent="0.35">
      <c r="A188">
        <v>2026</v>
      </c>
      <c r="B188" t="s">
        <v>242</v>
      </c>
      <c r="C188" s="112" t="s">
        <v>239</v>
      </c>
      <c r="D188" t="s">
        <v>512</v>
      </c>
      <c r="E188" t="s">
        <v>245</v>
      </c>
      <c r="F188">
        <v>29</v>
      </c>
      <c r="G188" s="113">
        <v>2</v>
      </c>
      <c r="H188">
        <v>4</v>
      </c>
      <c r="I188" t="s">
        <v>487</v>
      </c>
      <c r="J188">
        <v>49</v>
      </c>
      <c r="K188">
        <v>50</v>
      </c>
      <c r="L188">
        <v>49</v>
      </c>
      <c r="M188">
        <v>71</v>
      </c>
      <c r="N188">
        <v>69.3</v>
      </c>
      <c r="O188">
        <v>70.224800000000002</v>
      </c>
      <c r="P188">
        <v>49</v>
      </c>
      <c r="Q188">
        <v>50</v>
      </c>
      <c r="R188">
        <v>49</v>
      </c>
      <c r="U188" t="s">
        <v>215</v>
      </c>
      <c r="V188" t="s">
        <v>488</v>
      </c>
      <c r="W188" t="s">
        <v>489</v>
      </c>
      <c r="Y188">
        <v>1</v>
      </c>
      <c r="Z188" t="s">
        <v>173</v>
      </c>
      <c r="AA188" t="s">
        <v>173</v>
      </c>
      <c r="AB188" t="s">
        <v>170</v>
      </c>
      <c r="AC188" t="s">
        <v>232</v>
      </c>
      <c r="AD188">
        <v>15</v>
      </c>
      <c r="AG188" t="s">
        <v>167</v>
      </c>
      <c r="AH188" t="s">
        <v>416</v>
      </c>
      <c r="AI188" t="s">
        <v>178</v>
      </c>
      <c r="AJ188" t="s">
        <v>179</v>
      </c>
      <c r="AK188" t="s">
        <v>173</v>
      </c>
      <c r="AL188" t="s">
        <v>180</v>
      </c>
      <c r="AQ188">
        <v>91</v>
      </c>
      <c r="AR188">
        <v>24</v>
      </c>
      <c r="AS188">
        <v>1000</v>
      </c>
      <c r="AT188">
        <v>1000</v>
      </c>
      <c r="BN188" s="114" t="s">
        <v>505</v>
      </c>
      <c r="BO188">
        <v>2</v>
      </c>
      <c r="BP188">
        <v>2</v>
      </c>
      <c r="BQ188">
        <v>5</v>
      </c>
      <c r="BR188" t="s">
        <v>460</v>
      </c>
      <c r="BS188" t="s">
        <v>182</v>
      </c>
      <c r="BT188" t="s">
        <v>218</v>
      </c>
      <c r="BU188" s="115">
        <v>45856</v>
      </c>
      <c r="BV188">
        <v>36963</v>
      </c>
      <c r="BW188" s="116"/>
      <c r="BX188" t="s">
        <v>172</v>
      </c>
      <c r="BY188" t="s">
        <v>173</v>
      </c>
      <c r="CB188" t="s">
        <v>173</v>
      </c>
      <c r="CC188" t="s">
        <v>173</v>
      </c>
      <c r="CE188" t="s">
        <v>173</v>
      </c>
      <c r="CG188" t="s">
        <v>172</v>
      </c>
      <c r="CH188" t="s">
        <v>249</v>
      </c>
      <c r="CI188" t="s">
        <v>173</v>
      </c>
      <c r="CK188" t="s">
        <v>259</v>
      </c>
      <c r="CM188">
        <v>1</v>
      </c>
      <c r="CN188" t="s">
        <v>260</v>
      </c>
      <c r="CP188">
        <v>222</v>
      </c>
      <c r="CQ188">
        <v>4.08</v>
      </c>
      <c r="CR188">
        <v>80.7</v>
      </c>
      <c r="CS188" t="s">
        <v>261</v>
      </c>
      <c r="CV188" t="s">
        <v>262</v>
      </c>
      <c r="CX188" t="s">
        <v>263</v>
      </c>
      <c r="CY188" t="s">
        <v>173</v>
      </c>
      <c r="DC188" t="s">
        <v>506</v>
      </c>
      <c r="DD188">
        <v>2</v>
      </c>
      <c r="DE188" t="s">
        <v>307</v>
      </c>
      <c r="DF188" t="s">
        <v>507</v>
      </c>
      <c r="DG188">
        <v>30</v>
      </c>
      <c r="DJ188" t="s">
        <v>250</v>
      </c>
      <c r="DK188" t="s">
        <v>251</v>
      </c>
      <c r="DL188" t="s">
        <v>173</v>
      </c>
      <c r="DM188" t="s">
        <v>173</v>
      </c>
      <c r="DN188" t="s">
        <v>173</v>
      </c>
      <c r="DO188" t="s">
        <v>508</v>
      </c>
      <c r="DP188" t="s">
        <v>172</v>
      </c>
      <c r="DQ188" t="s">
        <v>204</v>
      </c>
      <c r="DR188" t="s">
        <v>509</v>
      </c>
      <c r="DY188">
        <v>71</v>
      </c>
      <c r="EA188" s="117"/>
      <c r="EB188">
        <v>8</v>
      </c>
      <c r="EC188">
        <v>8</v>
      </c>
      <c r="EE188" t="s">
        <v>510</v>
      </c>
      <c r="EF188">
        <v>6</v>
      </c>
      <c r="EU188">
        <v>3500</v>
      </c>
      <c r="EW188">
        <v>179</v>
      </c>
      <c r="EX188">
        <v>176</v>
      </c>
      <c r="EY188">
        <v>179</v>
      </c>
    </row>
    <row r="189" spans="1:155" x14ac:dyDescent="0.35">
      <c r="A189">
        <v>2026</v>
      </c>
      <c r="B189" t="s">
        <v>242</v>
      </c>
      <c r="C189" s="112" t="s">
        <v>239</v>
      </c>
      <c r="D189" t="s">
        <v>513</v>
      </c>
      <c r="E189" t="s">
        <v>245</v>
      </c>
      <c r="F189">
        <v>30</v>
      </c>
      <c r="G189" s="113">
        <v>2</v>
      </c>
      <c r="H189">
        <v>4</v>
      </c>
      <c r="I189" t="s">
        <v>487</v>
      </c>
      <c r="J189">
        <v>52</v>
      </c>
      <c r="K189">
        <v>52</v>
      </c>
      <c r="L189">
        <v>52</v>
      </c>
      <c r="M189">
        <v>75.7</v>
      </c>
      <c r="N189">
        <v>73.2</v>
      </c>
      <c r="O189">
        <v>74.554199999999994</v>
      </c>
      <c r="P189">
        <v>52</v>
      </c>
      <c r="Q189">
        <v>52</v>
      </c>
      <c r="R189">
        <v>52</v>
      </c>
      <c r="U189" t="s">
        <v>215</v>
      </c>
      <c r="V189" t="s">
        <v>488</v>
      </c>
      <c r="W189" t="s">
        <v>489</v>
      </c>
      <c r="Y189">
        <v>1</v>
      </c>
      <c r="Z189" t="s">
        <v>173</v>
      </c>
      <c r="AA189" t="s">
        <v>173</v>
      </c>
      <c r="AB189" t="s">
        <v>277</v>
      </c>
      <c r="AC189" t="s">
        <v>278</v>
      </c>
      <c r="AD189">
        <v>15</v>
      </c>
      <c r="AG189" t="s">
        <v>167</v>
      </c>
      <c r="AH189" t="s">
        <v>416</v>
      </c>
      <c r="AI189" t="s">
        <v>178</v>
      </c>
      <c r="AJ189" t="s">
        <v>179</v>
      </c>
      <c r="AK189" t="s">
        <v>173</v>
      </c>
      <c r="AL189" t="s">
        <v>180</v>
      </c>
      <c r="AQ189">
        <v>91</v>
      </c>
      <c r="AR189">
        <v>24</v>
      </c>
      <c r="AS189">
        <v>950</v>
      </c>
      <c r="AT189">
        <v>950</v>
      </c>
      <c r="BN189" s="114" t="s">
        <v>505</v>
      </c>
      <c r="BO189">
        <v>2</v>
      </c>
      <c r="BP189">
        <v>2</v>
      </c>
      <c r="BQ189">
        <v>5</v>
      </c>
      <c r="BR189" t="s">
        <v>460</v>
      </c>
      <c r="BS189" t="s">
        <v>182</v>
      </c>
      <c r="BT189" t="s">
        <v>218</v>
      </c>
      <c r="BU189" s="115">
        <v>45856</v>
      </c>
      <c r="BV189">
        <v>36961</v>
      </c>
      <c r="BW189" s="116"/>
      <c r="BX189" t="s">
        <v>172</v>
      </c>
      <c r="BY189" t="s">
        <v>173</v>
      </c>
      <c r="CB189" t="s">
        <v>173</v>
      </c>
      <c r="CC189" t="s">
        <v>173</v>
      </c>
      <c r="CE189" t="s">
        <v>173</v>
      </c>
      <c r="CG189" t="s">
        <v>172</v>
      </c>
      <c r="CH189" t="s">
        <v>249</v>
      </c>
      <c r="CI189" t="s">
        <v>173</v>
      </c>
      <c r="CK189" t="s">
        <v>259</v>
      </c>
      <c r="CM189">
        <v>1</v>
      </c>
      <c r="CN189" t="s">
        <v>260</v>
      </c>
      <c r="CP189">
        <v>222</v>
      </c>
      <c r="CQ189">
        <v>4.08</v>
      </c>
      <c r="CR189">
        <v>80.7</v>
      </c>
      <c r="CS189" t="s">
        <v>261</v>
      </c>
      <c r="CV189" t="s">
        <v>262</v>
      </c>
      <c r="CX189" t="s">
        <v>263</v>
      </c>
      <c r="CY189" t="s">
        <v>173</v>
      </c>
      <c r="DC189" t="s">
        <v>506</v>
      </c>
      <c r="DD189">
        <v>2</v>
      </c>
      <c r="DE189" t="s">
        <v>307</v>
      </c>
      <c r="DF189" t="s">
        <v>507</v>
      </c>
      <c r="DG189">
        <v>83</v>
      </c>
      <c r="DJ189" t="s">
        <v>250</v>
      </c>
      <c r="DK189" t="s">
        <v>251</v>
      </c>
      <c r="DL189" t="s">
        <v>173</v>
      </c>
      <c r="DM189" t="s">
        <v>173</v>
      </c>
      <c r="DN189" t="s">
        <v>173</v>
      </c>
      <c r="DO189" t="s">
        <v>508</v>
      </c>
      <c r="DP189" t="s">
        <v>172</v>
      </c>
      <c r="DQ189" t="s">
        <v>204</v>
      </c>
      <c r="DR189" t="s">
        <v>509</v>
      </c>
      <c r="DY189">
        <v>75.400000000000006</v>
      </c>
      <c r="EA189" s="117"/>
      <c r="EB189">
        <v>8</v>
      </c>
      <c r="EC189">
        <v>8</v>
      </c>
      <c r="EE189" t="s">
        <v>510</v>
      </c>
      <c r="EF189">
        <v>6</v>
      </c>
      <c r="EU189">
        <v>3750</v>
      </c>
      <c r="EW189">
        <v>168</v>
      </c>
      <c r="EX189">
        <v>169</v>
      </c>
      <c r="EY189">
        <v>169</v>
      </c>
    </row>
    <row r="190" spans="1:155" x14ac:dyDescent="0.35">
      <c r="A190">
        <v>2026</v>
      </c>
      <c r="B190" t="s">
        <v>242</v>
      </c>
      <c r="C190" s="112" t="s">
        <v>239</v>
      </c>
      <c r="D190" t="s">
        <v>1224</v>
      </c>
      <c r="E190" t="s">
        <v>245</v>
      </c>
      <c r="F190">
        <v>2</v>
      </c>
      <c r="G190" s="113">
        <v>2.4</v>
      </c>
      <c r="H190">
        <v>4</v>
      </c>
      <c r="I190" t="s">
        <v>852</v>
      </c>
      <c r="J190">
        <v>29</v>
      </c>
      <c r="K190">
        <v>32</v>
      </c>
      <c r="L190">
        <v>30</v>
      </c>
      <c r="M190">
        <v>39.200000000000003</v>
      </c>
      <c r="N190">
        <v>46.8</v>
      </c>
      <c r="O190">
        <v>42.290500000000002</v>
      </c>
      <c r="P190">
        <v>29</v>
      </c>
      <c r="Q190">
        <v>32.413600000000002</v>
      </c>
      <c r="R190">
        <v>30</v>
      </c>
      <c r="T190" t="s">
        <v>168</v>
      </c>
      <c r="U190" t="s">
        <v>169</v>
      </c>
      <c r="V190" t="s">
        <v>497</v>
      </c>
      <c r="W190" t="s">
        <v>498</v>
      </c>
      <c r="Y190">
        <v>6</v>
      </c>
      <c r="Z190" t="s">
        <v>173</v>
      </c>
      <c r="AA190" t="s">
        <v>173</v>
      </c>
      <c r="AB190" t="s">
        <v>170</v>
      </c>
      <c r="AC190" t="s">
        <v>232</v>
      </c>
      <c r="AD190">
        <v>15</v>
      </c>
      <c r="AG190" t="s">
        <v>167</v>
      </c>
      <c r="AH190" t="s">
        <v>416</v>
      </c>
      <c r="AI190" t="s">
        <v>178</v>
      </c>
      <c r="AJ190" t="s">
        <v>179</v>
      </c>
      <c r="AK190" t="s">
        <v>173</v>
      </c>
      <c r="AL190" t="s">
        <v>180</v>
      </c>
      <c r="AO190">
        <v>98</v>
      </c>
      <c r="AP190">
        <v>13</v>
      </c>
      <c r="AS190">
        <v>1650</v>
      </c>
      <c r="AT190">
        <v>1650</v>
      </c>
      <c r="BN190" s="114" t="s">
        <v>505</v>
      </c>
      <c r="BO190">
        <v>2</v>
      </c>
      <c r="BP190">
        <v>2</v>
      </c>
      <c r="BQ190">
        <v>5</v>
      </c>
      <c r="BR190" t="s">
        <v>460</v>
      </c>
      <c r="BS190" t="s">
        <v>182</v>
      </c>
      <c r="BT190" t="s">
        <v>183</v>
      </c>
      <c r="BU190" s="115">
        <v>45783</v>
      </c>
      <c r="BV190">
        <v>36538</v>
      </c>
      <c r="BW190" s="116"/>
      <c r="BX190" t="s">
        <v>173</v>
      </c>
      <c r="BY190" t="s">
        <v>173</v>
      </c>
      <c r="CB190" t="s">
        <v>173</v>
      </c>
      <c r="CC190" t="s">
        <v>173</v>
      </c>
      <c r="CE190" t="s">
        <v>173</v>
      </c>
      <c r="CG190" t="s">
        <v>172</v>
      </c>
      <c r="CH190" t="s">
        <v>249</v>
      </c>
      <c r="CI190" t="s">
        <v>173</v>
      </c>
      <c r="CK190" t="s">
        <v>259</v>
      </c>
      <c r="CM190">
        <v>1</v>
      </c>
      <c r="CN190" t="s">
        <v>515</v>
      </c>
      <c r="CP190">
        <v>230</v>
      </c>
      <c r="CQ190">
        <v>5</v>
      </c>
      <c r="CR190">
        <v>36</v>
      </c>
      <c r="CS190" t="s">
        <v>261</v>
      </c>
      <c r="CV190" t="s">
        <v>262</v>
      </c>
      <c r="CX190" t="s">
        <v>263</v>
      </c>
      <c r="CY190" t="s">
        <v>173</v>
      </c>
      <c r="DC190" t="s">
        <v>1225</v>
      </c>
      <c r="DD190">
        <v>2</v>
      </c>
      <c r="DE190" t="s">
        <v>307</v>
      </c>
      <c r="DF190" t="s">
        <v>855</v>
      </c>
      <c r="DG190" t="s">
        <v>1226</v>
      </c>
      <c r="DJ190" t="s">
        <v>250</v>
      </c>
      <c r="DK190" t="s">
        <v>251</v>
      </c>
      <c r="DL190" t="s">
        <v>173</v>
      </c>
      <c r="DM190" t="s">
        <v>173</v>
      </c>
      <c r="DN190" t="s">
        <v>173</v>
      </c>
      <c r="DO190" t="s">
        <v>284</v>
      </c>
      <c r="DP190" t="s">
        <v>172</v>
      </c>
      <c r="DQ190" t="s">
        <v>204</v>
      </c>
      <c r="DR190" t="s">
        <v>509</v>
      </c>
      <c r="DY190">
        <v>42.8</v>
      </c>
      <c r="EA190" s="117"/>
      <c r="EB190">
        <v>6</v>
      </c>
      <c r="EC190">
        <v>6</v>
      </c>
      <c r="EE190" t="s">
        <v>1227</v>
      </c>
      <c r="EF190">
        <v>6</v>
      </c>
      <c r="EU190">
        <v>250</v>
      </c>
      <c r="EW190">
        <v>303</v>
      </c>
      <c r="EX190">
        <v>272</v>
      </c>
      <c r="EY190">
        <v>293</v>
      </c>
    </row>
    <row r="191" spans="1:155" x14ac:dyDescent="0.35">
      <c r="A191">
        <v>2026</v>
      </c>
      <c r="B191" t="s">
        <v>242</v>
      </c>
      <c r="C191" s="112" t="s">
        <v>239</v>
      </c>
      <c r="D191" t="s">
        <v>514</v>
      </c>
      <c r="E191" t="s">
        <v>245</v>
      </c>
      <c r="F191">
        <v>1</v>
      </c>
      <c r="G191" s="113">
        <v>2.5</v>
      </c>
      <c r="H191">
        <v>4</v>
      </c>
      <c r="I191" t="s">
        <v>487</v>
      </c>
      <c r="J191">
        <v>42</v>
      </c>
      <c r="K191">
        <v>41</v>
      </c>
      <c r="L191">
        <v>41</v>
      </c>
      <c r="M191">
        <v>58.761699999999998</v>
      </c>
      <c r="N191">
        <v>58.042700000000004</v>
      </c>
      <c r="O191">
        <v>58.436</v>
      </c>
      <c r="P191">
        <v>42</v>
      </c>
      <c r="Q191">
        <v>41</v>
      </c>
      <c r="R191">
        <v>41</v>
      </c>
      <c r="U191" t="s">
        <v>215</v>
      </c>
      <c r="V191" t="s">
        <v>488</v>
      </c>
      <c r="W191" t="s">
        <v>489</v>
      </c>
      <c r="Y191">
        <v>1</v>
      </c>
      <c r="Z191" t="s">
        <v>173</v>
      </c>
      <c r="AA191" t="s">
        <v>173</v>
      </c>
      <c r="AB191" t="s">
        <v>170</v>
      </c>
      <c r="AC191" t="s">
        <v>232</v>
      </c>
      <c r="AD191">
        <v>15</v>
      </c>
      <c r="AG191" t="s">
        <v>167</v>
      </c>
      <c r="AH191" t="s">
        <v>416</v>
      </c>
      <c r="AI191" t="s">
        <v>178</v>
      </c>
      <c r="AJ191" t="s">
        <v>179</v>
      </c>
      <c r="AK191" t="s">
        <v>173</v>
      </c>
      <c r="AL191" t="s">
        <v>180</v>
      </c>
      <c r="AO191">
        <v>98</v>
      </c>
      <c r="AP191">
        <v>13</v>
      </c>
      <c r="AS191">
        <v>1200</v>
      </c>
      <c r="AT191">
        <v>1200</v>
      </c>
      <c r="BN191" s="114" t="s">
        <v>505</v>
      </c>
      <c r="BO191">
        <v>2</v>
      </c>
      <c r="BP191">
        <v>2</v>
      </c>
      <c r="BQ191">
        <v>5</v>
      </c>
      <c r="BR191" t="s">
        <v>460</v>
      </c>
      <c r="BS191" t="s">
        <v>182</v>
      </c>
      <c r="BT191" t="s">
        <v>218</v>
      </c>
      <c r="BU191" s="115">
        <v>45783</v>
      </c>
      <c r="BV191">
        <v>36537</v>
      </c>
      <c r="BW191" s="116"/>
      <c r="BX191" t="s">
        <v>173</v>
      </c>
      <c r="BY191" t="s">
        <v>173</v>
      </c>
      <c r="CB191" t="s">
        <v>173</v>
      </c>
      <c r="CC191" t="s">
        <v>173</v>
      </c>
      <c r="CE191" t="s">
        <v>173</v>
      </c>
      <c r="CG191" t="s">
        <v>172</v>
      </c>
      <c r="CH191" t="s">
        <v>249</v>
      </c>
      <c r="CI191" t="s">
        <v>173</v>
      </c>
      <c r="CK191" t="s">
        <v>259</v>
      </c>
      <c r="CM191">
        <v>1</v>
      </c>
      <c r="CN191" t="s">
        <v>515</v>
      </c>
      <c r="CP191">
        <v>230</v>
      </c>
      <c r="CQ191">
        <v>5</v>
      </c>
      <c r="CR191">
        <v>36</v>
      </c>
      <c r="CS191" t="s">
        <v>261</v>
      </c>
      <c r="CV191" t="s">
        <v>262</v>
      </c>
      <c r="CX191" t="s">
        <v>263</v>
      </c>
      <c r="CY191" t="s">
        <v>173</v>
      </c>
      <c r="DD191">
        <v>2</v>
      </c>
      <c r="DE191" t="s">
        <v>307</v>
      </c>
      <c r="DF191" t="s">
        <v>507</v>
      </c>
      <c r="DG191">
        <v>40</v>
      </c>
      <c r="DJ191" t="s">
        <v>250</v>
      </c>
      <c r="DK191" t="s">
        <v>251</v>
      </c>
      <c r="DL191" t="s">
        <v>173</v>
      </c>
      <c r="DM191" t="s">
        <v>173</v>
      </c>
      <c r="DN191" t="s">
        <v>173</v>
      </c>
      <c r="DO191" t="s">
        <v>516</v>
      </c>
      <c r="DP191" t="s">
        <v>172</v>
      </c>
      <c r="DQ191" t="s">
        <v>204</v>
      </c>
      <c r="DR191" t="s">
        <v>509</v>
      </c>
      <c r="DY191">
        <v>59.1</v>
      </c>
      <c r="EA191" s="117"/>
      <c r="EB191">
        <v>7</v>
      </c>
      <c r="EC191">
        <v>7</v>
      </c>
      <c r="EE191" t="s">
        <v>517</v>
      </c>
      <c r="EF191">
        <v>6</v>
      </c>
      <c r="EU191">
        <v>2500</v>
      </c>
      <c r="EW191">
        <v>209</v>
      </c>
      <c r="EX191">
        <v>214</v>
      </c>
      <c r="EY191">
        <v>214</v>
      </c>
    </row>
    <row r="192" spans="1:155" x14ac:dyDescent="0.35">
      <c r="A192">
        <v>2026</v>
      </c>
      <c r="B192" t="s">
        <v>444</v>
      </c>
      <c r="C192" s="112" t="s">
        <v>445</v>
      </c>
      <c r="D192" t="s">
        <v>518</v>
      </c>
      <c r="E192" t="s">
        <v>447</v>
      </c>
      <c r="F192">
        <v>3</v>
      </c>
      <c r="G192" s="113">
        <v>2</v>
      </c>
      <c r="H192">
        <v>4</v>
      </c>
      <c r="I192" t="s">
        <v>274</v>
      </c>
      <c r="J192">
        <v>22</v>
      </c>
      <c r="K192">
        <v>31</v>
      </c>
      <c r="L192">
        <v>25</v>
      </c>
      <c r="M192">
        <v>28</v>
      </c>
      <c r="N192">
        <v>42.2</v>
      </c>
      <c r="O192">
        <v>32.996400000000001</v>
      </c>
      <c r="P192">
        <v>22.343900000000001</v>
      </c>
      <c r="Q192">
        <v>30.521999999999998</v>
      </c>
      <c r="R192">
        <v>25.407399999999999</v>
      </c>
      <c r="T192" t="s">
        <v>168</v>
      </c>
      <c r="U192" t="s">
        <v>169</v>
      </c>
      <c r="V192" t="s">
        <v>275</v>
      </c>
      <c r="W192" t="s">
        <v>276</v>
      </c>
      <c r="Y192">
        <v>7</v>
      </c>
      <c r="Z192" t="s">
        <v>173</v>
      </c>
      <c r="AA192" t="s">
        <v>173</v>
      </c>
      <c r="AB192" t="s">
        <v>170</v>
      </c>
      <c r="AC192" t="s">
        <v>232</v>
      </c>
      <c r="AD192">
        <v>15</v>
      </c>
      <c r="AG192" t="s">
        <v>176</v>
      </c>
      <c r="AH192" t="s">
        <v>177</v>
      </c>
      <c r="AI192" t="s">
        <v>178</v>
      </c>
      <c r="AJ192" t="s">
        <v>179</v>
      </c>
      <c r="AK192" t="s">
        <v>173</v>
      </c>
      <c r="AL192" t="s">
        <v>180</v>
      </c>
      <c r="AQ192">
        <v>91</v>
      </c>
      <c r="AR192">
        <v>20</v>
      </c>
      <c r="AS192">
        <v>2500</v>
      </c>
      <c r="AT192">
        <v>2500</v>
      </c>
      <c r="BN192" s="114" t="s">
        <v>198</v>
      </c>
      <c r="BO192">
        <v>2</v>
      </c>
      <c r="BP192">
        <v>2</v>
      </c>
      <c r="BQ192">
        <v>5</v>
      </c>
      <c r="BR192" t="s">
        <v>460</v>
      </c>
      <c r="BS192" t="s">
        <v>182</v>
      </c>
      <c r="BT192" t="s">
        <v>218</v>
      </c>
      <c r="BU192" s="115">
        <v>45768</v>
      </c>
      <c r="BV192">
        <v>36452</v>
      </c>
      <c r="BW192" s="116"/>
      <c r="BX192" t="s">
        <v>172</v>
      </c>
      <c r="BY192" t="s">
        <v>173</v>
      </c>
      <c r="CB192" t="s">
        <v>173</v>
      </c>
      <c r="CC192" t="s">
        <v>173</v>
      </c>
      <c r="CD192" t="s">
        <v>519</v>
      </c>
      <c r="CE192" t="s">
        <v>173</v>
      </c>
      <c r="CG192" t="s">
        <v>172</v>
      </c>
      <c r="CH192" t="s">
        <v>455</v>
      </c>
      <c r="CI192" t="s">
        <v>172</v>
      </c>
      <c r="CJ192" t="s">
        <v>455</v>
      </c>
      <c r="DJ192" t="s">
        <v>201</v>
      </c>
      <c r="DK192" t="s">
        <v>202</v>
      </c>
      <c r="DL192" t="s">
        <v>173</v>
      </c>
      <c r="DM192" t="s">
        <v>173</v>
      </c>
      <c r="DN192" t="s">
        <v>173</v>
      </c>
      <c r="DO192" t="s">
        <v>520</v>
      </c>
      <c r="DP192" t="s">
        <v>172</v>
      </c>
      <c r="DQ192" t="s">
        <v>204</v>
      </c>
      <c r="DY192">
        <v>33.200000000000003</v>
      </c>
      <c r="EA192" s="117"/>
      <c r="EB192">
        <v>5</v>
      </c>
      <c r="EC192">
        <v>5</v>
      </c>
      <c r="EE192" t="s">
        <v>521</v>
      </c>
      <c r="EF192">
        <v>4</v>
      </c>
      <c r="EV192">
        <v>4000</v>
      </c>
      <c r="EW192">
        <v>397</v>
      </c>
      <c r="EX192">
        <v>289</v>
      </c>
      <c r="EY192">
        <v>349</v>
      </c>
    </row>
    <row r="193" spans="1:155" x14ac:dyDescent="0.35">
      <c r="A193">
        <v>2026</v>
      </c>
      <c r="B193" t="s">
        <v>444</v>
      </c>
      <c r="C193" s="112" t="s">
        <v>445</v>
      </c>
      <c r="D193" t="s">
        <v>522</v>
      </c>
      <c r="E193" t="s">
        <v>447</v>
      </c>
      <c r="F193">
        <v>4</v>
      </c>
      <c r="G193" s="113">
        <v>2</v>
      </c>
      <c r="H193">
        <v>4</v>
      </c>
      <c r="I193" t="s">
        <v>274</v>
      </c>
      <c r="J193">
        <v>24</v>
      </c>
      <c r="K193">
        <v>32</v>
      </c>
      <c r="L193">
        <v>27</v>
      </c>
      <c r="M193">
        <v>31.5</v>
      </c>
      <c r="N193">
        <v>46.2</v>
      </c>
      <c r="O193">
        <v>36.7639</v>
      </c>
      <c r="P193">
        <v>24.438199999999998</v>
      </c>
      <c r="Q193">
        <v>32.040500000000002</v>
      </c>
      <c r="R193">
        <v>27.359400000000001</v>
      </c>
      <c r="T193" t="s">
        <v>168</v>
      </c>
      <c r="U193" t="s">
        <v>169</v>
      </c>
      <c r="V193" t="s">
        <v>275</v>
      </c>
      <c r="W193" t="s">
        <v>276</v>
      </c>
      <c r="Y193">
        <v>7</v>
      </c>
      <c r="Z193" t="s">
        <v>173</v>
      </c>
      <c r="AA193" t="s">
        <v>173</v>
      </c>
      <c r="AB193" t="s">
        <v>277</v>
      </c>
      <c r="AC193" t="s">
        <v>278</v>
      </c>
      <c r="AD193">
        <v>15</v>
      </c>
      <c r="AG193" t="s">
        <v>167</v>
      </c>
      <c r="AH193" t="s">
        <v>416</v>
      </c>
      <c r="AI193" t="s">
        <v>178</v>
      </c>
      <c r="AJ193" t="s">
        <v>179</v>
      </c>
      <c r="AK193" t="s">
        <v>173</v>
      </c>
      <c r="AL193" t="s">
        <v>180</v>
      </c>
      <c r="AQ193">
        <v>91</v>
      </c>
      <c r="AR193">
        <v>20</v>
      </c>
      <c r="AS193">
        <v>1850</v>
      </c>
      <c r="AT193">
        <v>1850</v>
      </c>
      <c r="BN193" s="114" t="s">
        <v>198</v>
      </c>
      <c r="BO193">
        <v>2</v>
      </c>
      <c r="BP193">
        <v>2</v>
      </c>
      <c r="BQ193">
        <v>5</v>
      </c>
      <c r="BR193" t="s">
        <v>460</v>
      </c>
      <c r="BS193" t="s">
        <v>182</v>
      </c>
      <c r="BT193" t="s">
        <v>183</v>
      </c>
      <c r="BU193" s="115">
        <v>45768</v>
      </c>
      <c r="BV193">
        <v>36453</v>
      </c>
      <c r="BW193" s="116"/>
      <c r="BX193" t="s">
        <v>172</v>
      </c>
      <c r="BY193" t="s">
        <v>173</v>
      </c>
      <c r="CB193" t="s">
        <v>173</v>
      </c>
      <c r="CC193" t="s">
        <v>173</v>
      </c>
      <c r="CD193" t="s">
        <v>523</v>
      </c>
      <c r="CE193" t="s">
        <v>173</v>
      </c>
      <c r="CG193" t="s">
        <v>172</v>
      </c>
      <c r="CH193" t="s">
        <v>455</v>
      </c>
      <c r="CI193" t="s">
        <v>172</v>
      </c>
      <c r="CJ193" t="s">
        <v>455</v>
      </c>
      <c r="DJ193" t="s">
        <v>201</v>
      </c>
      <c r="DK193" t="s">
        <v>202</v>
      </c>
      <c r="DL193" t="s">
        <v>173</v>
      </c>
      <c r="DM193" t="s">
        <v>173</v>
      </c>
      <c r="DN193" t="s">
        <v>173</v>
      </c>
      <c r="DO193" t="s">
        <v>520</v>
      </c>
      <c r="DP193" t="s">
        <v>172</v>
      </c>
      <c r="DQ193" t="s">
        <v>204</v>
      </c>
      <c r="DY193">
        <v>37</v>
      </c>
      <c r="EA193" s="117"/>
      <c r="EB193">
        <v>5</v>
      </c>
      <c r="EC193">
        <v>5</v>
      </c>
      <c r="EE193" t="s">
        <v>521</v>
      </c>
      <c r="EF193">
        <v>4</v>
      </c>
      <c r="EV193">
        <v>750</v>
      </c>
      <c r="EW193">
        <v>365</v>
      </c>
      <c r="EX193">
        <v>278</v>
      </c>
      <c r="EY193">
        <v>326</v>
      </c>
    </row>
    <row r="194" spans="1:155" x14ac:dyDescent="0.35">
      <c r="A194">
        <v>2026</v>
      </c>
      <c r="B194" t="s">
        <v>524</v>
      </c>
      <c r="C194" s="112" t="s">
        <v>525</v>
      </c>
      <c r="D194" t="s">
        <v>526</v>
      </c>
      <c r="E194" t="s">
        <v>527</v>
      </c>
      <c r="F194">
        <v>281</v>
      </c>
      <c r="G194" s="113">
        <v>2</v>
      </c>
      <c r="H194">
        <v>4</v>
      </c>
      <c r="I194" t="s">
        <v>195</v>
      </c>
      <c r="J194">
        <v>24</v>
      </c>
      <c r="K194">
        <v>34</v>
      </c>
      <c r="L194">
        <v>28</v>
      </c>
      <c r="M194">
        <v>31.4</v>
      </c>
      <c r="N194">
        <v>49.4</v>
      </c>
      <c r="O194">
        <v>37.558399999999999</v>
      </c>
      <c r="P194">
        <v>24.368300000000001</v>
      </c>
      <c r="Q194">
        <v>34.018900000000002</v>
      </c>
      <c r="R194">
        <v>27.9343</v>
      </c>
      <c r="T194" t="s">
        <v>168</v>
      </c>
      <c r="U194" t="s">
        <v>169</v>
      </c>
      <c r="V194" t="s">
        <v>196</v>
      </c>
      <c r="W194" t="s">
        <v>197</v>
      </c>
      <c r="Y194">
        <v>8</v>
      </c>
      <c r="Z194" t="s">
        <v>172</v>
      </c>
      <c r="AA194" t="s">
        <v>173</v>
      </c>
      <c r="AB194" t="s">
        <v>277</v>
      </c>
      <c r="AC194" t="s">
        <v>278</v>
      </c>
      <c r="AD194">
        <v>10</v>
      </c>
      <c r="AG194" t="s">
        <v>216</v>
      </c>
      <c r="AH194" t="s">
        <v>217</v>
      </c>
      <c r="AI194" t="s">
        <v>178</v>
      </c>
      <c r="AJ194" t="s">
        <v>179</v>
      </c>
      <c r="AK194" t="s">
        <v>173</v>
      </c>
      <c r="AL194" t="s">
        <v>180</v>
      </c>
      <c r="AO194">
        <v>102</v>
      </c>
      <c r="AP194">
        <v>14</v>
      </c>
      <c r="AS194">
        <v>2200</v>
      </c>
      <c r="AT194">
        <v>2200</v>
      </c>
      <c r="BN194" s="114" t="s">
        <v>256</v>
      </c>
      <c r="BO194">
        <v>2</v>
      </c>
      <c r="BP194">
        <v>2</v>
      </c>
      <c r="BQ194">
        <v>5</v>
      </c>
      <c r="BR194" t="s">
        <v>460</v>
      </c>
      <c r="BS194" t="s">
        <v>182</v>
      </c>
      <c r="BT194" t="s">
        <v>183</v>
      </c>
      <c r="BU194" s="115">
        <v>45800</v>
      </c>
      <c r="BV194">
        <v>36334</v>
      </c>
      <c r="BW194" s="116"/>
      <c r="BY194" t="s">
        <v>173</v>
      </c>
      <c r="CB194" t="s">
        <v>173</v>
      </c>
      <c r="CC194" t="s">
        <v>173</v>
      </c>
      <c r="CD194" t="s">
        <v>528</v>
      </c>
      <c r="CE194" t="s">
        <v>173</v>
      </c>
      <c r="CG194" t="s">
        <v>172</v>
      </c>
      <c r="CH194" t="s">
        <v>529</v>
      </c>
      <c r="CI194" t="s">
        <v>173</v>
      </c>
      <c r="CK194" t="s">
        <v>259</v>
      </c>
      <c r="CM194">
        <v>1</v>
      </c>
      <c r="CN194" t="s">
        <v>260</v>
      </c>
      <c r="CP194">
        <v>44</v>
      </c>
      <c r="CQ194">
        <v>8.4</v>
      </c>
      <c r="CR194">
        <v>56</v>
      </c>
      <c r="CS194" t="s">
        <v>261</v>
      </c>
      <c r="CV194" t="s">
        <v>262</v>
      </c>
      <c r="CX194" t="s">
        <v>263</v>
      </c>
      <c r="CY194" t="s">
        <v>173</v>
      </c>
      <c r="DD194">
        <v>1</v>
      </c>
      <c r="DE194" t="s">
        <v>530</v>
      </c>
      <c r="DG194">
        <v>10</v>
      </c>
      <c r="DJ194" t="s">
        <v>201</v>
      </c>
      <c r="DK194" t="s">
        <v>202</v>
      </c>
      <c r="DL194" t="s">
        <v>173</v>
      </c>
      <c r="DM194" t="s">
        <v>173</v>
      </c>
      <c r="DN194" t="s">
        <v>173</v>
      </c>
      <c r="DO194" t="s">
        <v>531</v>
      </c>
      <c r="DP194" t="s">
        <v>172</v>
      </c>
      <c r="DQ194" t="s">
        <v>204</v>
      </c>
      <c r="DR194" t="s">
        <v>532</v>
      </c>
      <c r="DY194">
        <v>37.6</v>
      </c>
      <c r="EA194" s="117"/>
      <c r="EB194">
        <v>5</v>
      </c>
      <c r="EC194">
        <v>5</v>
      </c>
      <c r="EE194" t="s">
        <v>533</v>
      </c>
      <c r="EF194">
        <v>4</v>
      </c>
      <c r="EV194">
        <v>2500</v>
      </c>
      <c r="EW194">
        <v>365</v>
      </c>
      <c r="EX194">
        <v>261</v>
      </c>
      <c r="EY194">
        <v>318</v>
      </c>
    </row>
    <row r="195" spans="1:155" x14ac:dyDescent="0.35">
      <c r="A195">
        <v>2026</v>
      </c>
      <c r="B195" t="s">
        <v>481</v>
      </c>
      <c r="C195" s="112" t="s">
        <v>534</v>
      </c>
      <c r="D195" t="s">
        <v>535</v>
      </c>
      <c r="E195" t="s">
        <v>483</v>
      </c>
      <c r="F195">
        <v>541</v>
      </c>
      <c r="G195" s="113">
        <v>1.5</v>
      </c>
      <c r="H195">
        <v>4</v>
      </c>
      <c r="I195" t="s">
        <v>496</v>
      </c>
      <c r="J195">
        <v>29</v>
      </c>
      <c r="K195">
        <v>37</v>
      </c>
      <c r="L195">
        <v>32</v>
      </c>
      <c r="M195">
        <v>38.799999999999997</v>
      </c>
      <c r="N195">
        <v>54.8</v>
      </c>
      <c r="O195">
        <v>44.668900000000001</v>
      </c>
      <c r="P195">
        <v>29.42</v>
      </c>
      <c r="Q195">
        <v>37.295000000000002</v>
      </c>
      <c r="R195">
        <v>32</v>
      </c>
      <c r="T195" t="s">
        <v>168</v>
      </c>
      <c r="U195" t="s">
        <v>169</v>
      </c>
      <c r="V195" t="s">
        <v>497</v>
      </c>
      <c r="W195" t="s">
        <v>498</v>
      </c>
      <c r="Y195">
        <v>7</v>
      </c>
      <c r="Z195" t="s">
        <v>172</v>
      </c>
      <c r="AA195" t="s">
        <v>173</v>
      </c>
      <c r="AB195" t="s">
        <v>277</v>
      </c>
      <c r="AC195" t="s">
        <v>278</v>
      </c>
      <c r="AD195">
        <v>10</v>
      </c>
      <c r="AG195" t="s">
        <v>176</v>
      </c>
      <c r="AH195" t="s">
        <v>177</v>
      </c>
      <c r="AI195" t="s">
        <v>178</v>
      </c>
      <c r="AJ195" t="s">
        <v>179</v>
      </c>
      <c r="AK195" t="s">
        <v>173</v>
      </c>
      <c r="AL195" t="s">
        <v>180</v>
      </c>
      <c r="AO195">
        <v>96</v>
      </c>
      <c r="AP195">
        <v>24</v>
      </c>
      <c r="AS195">
        <v>1950</v>
      </c>
      <c r="AT195">
        <v>1950</v>
      </c>
      <c r="BN195" s="114" t="s">
        <v>198</v>
      </c>
      <c r="BO195">
        <v>2</v>
      </c>
      <c r="BP195">
        <v>2</v>
      </c>
      <c r="BQ195">
        <v>6</v>
      </c>
      <c r="BR195" t="s">
        <v>536</v>
      </c>
      <c r="BS195" t="s">
        <v>182</v>
      </c>
      <c r="BT195" t="s">
        <v>183</v>
      </c>
      <c r="BU195" s="115">
        <v>45888</v>
      </c>
      <c r="BV195">
        <v>36953</v>
      </c>
      <c r="BW195" s="116"/>
      <c r="BX195" t="s">
        <v>173</v>
      </c>
      <c r="BY195" t="s">
        <v>173</v>
      </c>
      <c r="CB195" t="s">
        <v>173</v>
      </c>
      <c r="CC195" t="s">
        <v>173</v>
      </c>
      <c r="CE195" t="s">
        <v>173</v>
      </c>
      <c r="CG195" t="s">
        <v>172</v>
      </c>
      <c r="CH195" t="s">
        <v>484</v>
      </c>
      <c r="CI195" t="s">
        <v>172</v>
      </c>
      <c r="CJ195" t="s">
        <v>485</v>
      </c>
      <c r="DJ195" t="s">
        <v>201</v>
      </c>
      <c r="DK195" t="s">
        <v>202</v>
      </c>
      <c r="DL195" t="s">
        <v>173</v>
      </c>
      <c r="DM195" t="s">
        <v>173</v>
      </c>
      <c r="DN195" t="s">
        <v>173</v>
      </c>
      <c r="DO195" t="s">
        <v>284</v>
      </c>
      <c r="DP195" t="s">
        <v>172</v>
      </c>
      <c r="DQ195" t="s">
        <v>204</v>
      </c>
      <c r="DY195">
        <v>45</v>
      </c>
      <c r="EA195" s="117"/>
      <c r="EB195">
        <v>6</v>
      </c>
      <c r="EC195">
        <v>6</v>
      </c>
      <c r="EE195" t="s">
        <v>537</v>
      </c>
      <c r="EF195">
        <v>6</v>
      </c>
      <c r="EV195">
        <v>1250</v>
      </c>
      <c r="EW195">
        <v>302</v>
      </c>
      <c r="EX195">
        <v>238</v>
      </c>
      <c r="EY195">
        <v>278</v>
      </c>
    </row>
    <row r="196" spans="1:155" x14ac:dyDescent="0.35">
      <c r="A196">
        <v>2026</v>
      </c>
      <c r="B196" t="s">
        <v>481</v>
      </c>
      <c r="C196" s="112" t="s">
        <v>534</v>
      </c>
      <c r="D196" t="s">
        <v>535</v>
      </c>
      <c r="E196" t="s">
        <v>483</v>
      </c>
      <c r="F196">
        <v>544</v>
      </c>
      <c r="G196" s="113">
        <v>2</v>
      </c>
      <c r="H196">
        <v>4</v>
      </c>
      <c r="I196" t="s">
        <v>206</v>
      </c>
      <c r="J196">
        <v>21</v>
      </c>
      <c r="K196">
        <v>28</v>
      </c>
      <c r="L196">
        <v>24</v>
      </c>
      <c r="M196">
        <v>26.799600000000002</v>
      </c>
      <c r="N196">
        <v>40.347000000000001</v>
      </c>
      <c r="O196">
        <v>31.569700000000001</v>
      </c>
      <c r="P196">
        <v>21.106400000000001</v>
      </c>
      <c r="Q196">
        <v>28.348600000000001</v>
      </c>
      <c r="R196">
        <v>23.847999999999999</v>
      </c>
      <c r="T196" t="s">
        <v>168</v>
      </c>
      <c r="U196" t="s">
        <v>169</v>
      </c>
      <c r="V196" t="s">
        <v>207</v>
      </c>
      <c r="W196" t="s">
        <v>208</v>
      </c>
      <c r="Y196">
        <v>6</v>
      </c>
      <c r="Z196" t="s">
        <v>173</v>
      </c>
      <c r="AA196" t="s">
        <v>173</v>
      </c>
      <c r="AB196" t="s">
        <v>277</v>
      </c>
      <c r="AC196" t="s">
        <v>278</v>
      </c>
      <c r="AD196">
        <v>10</v>
      </c>
      <c r="AG196" t="s">
        <v>176</v>
      </c>
      <c r="AH196" t="s">
        <v>177</v>
      </c>
      <c r="AI196" t="s">
        <v>178</v>
      </c>
      <c r="AJ196" t="s">
        <v>179</v>
      </c>
      <c r="AK196" t="s">
        <v>173</v>
      </c>
      <c r="AL196" t="s">
        <v>180</v>
      </c>
      <c r="AO196">
        <v>96</v>
      </c>
      <c r="AP196">
        <v>24</v>
      </c>
      <c r="AS196">
        <v>2600</v>
      </c>
      <c r="AT196">
        <v>2600</v>
      </c>
      <c r="BN196" s="114" t="s">
        <v>198</v>
      </c>
      <c r="BO196">
        <v>2</v>
      </c>
      <c r="BP196">
        <v>2</v>
      </c>
      <c r="BQ196">
        <v>6</v>
      </c>
      <c r="BR196" t="s">
        <v>536</v>
      </c>
      <c r="BS196" t="s">
        <v>182</v>
      </c>
      <c r="BT196" t="s">
        <v>183</v>
      </c>
      <c r="BU196" s="115">
        <v>45888</v>
      </c>
      <c r="BV196">
        <v>36956</v>
      </c>
      <c r="BW196" s="116"/>
      <c r="BX196" t="s">
        <v>173</v>
      </c>
      <c r="BY196" t="s">
        <v>173</v>
      </c>
      <c r="CB196" t="s">
        <v>173</v>
      </c>
      <c r="CC196" t="s">
        <v>173</v>
      </c>
      <c r="CD196" t="s">
        <v>538</v>
      </c>
      <c r="CE196" t="s">
        <v>173</v>
      </c>
      <c r="CG196" t="s">
        <v>172</v>
      </c>
      <c r="CH196" t="s">
        <v>539</v>
      </c>
      <c r="CI196" t="s">
        <v>172</v>
      </c>
      <c r="CJ196" t="s">
        <v>539</v>
      </c>
      <c r="DJ196" t="s">
        <v>201</v>
      </c>
      <c r="DK196" t="s">
        <v>202</v>
      </c>
      <c r="DL196" t="s">
        <v>173</v>
      </c>
      <c r="DM196" t="s">
        <v>173</v>
      </c>
      <c r="DN196" t="s">
        <v>173</v>
      </c>
      <c r="DO196" t="s">
        <v>284</v>
      </c>
      <c r="DP196" t="s">
        <v>173</v>
      </c>
      <c r="DQ196" t="s">
        <v>189</v>
      </c>
      <c r="DY196">
        <v>31.8</v>
      </c>
      <c r="EA196" s="117"/>
      <c r="EB196">
        <v>5</v>
      </c>
      <c r="EC196">
        <v>5</v>
      </c>
      <c r="EE196" t="s">
        <v>540</v>
      </c>
      <c r="EF196">
        <v>5</v>
      </c>
      <c r="EV196">
        <v>4500</v>
      </c>
      <c r="EW196">
        <v>419</v>
      </c>
      <c r="EX196">
        <v>312</v>
      </c>
      <c r="EY196">
        <v>371</v>
      </c>
    </row>
    <row r="197" spans="1:155" x14ac:dyDescent="0.35">
      <c r="A197">
        <v>2026</v>
      </c>
      <c r="B197" t="s">
        <v>481</v>
      </c>
      <c r="C197" s="112" t="s">
        <v>534</v>
      </c>
      <c r="D197" t="s">
        <v>541</v>
      </c>
      <c r="E197" t="s">
        <v>483</v>
      </c>
      <c r="F197">
        <v>542</v>
      </c>
      <c r="G197" s="113">
        <v>1.5</v>
      </c>
      <c r="H197">
        <v>4</v>
      </c>
      <c r="I197" t="s">
        <v>496</v>
      </c>
      <c r="J197">
        <v>29</v>
      </c>
      <c r="K197">
        <v>37</v>
      </c>
      <c r="L197">
        <v>32</v>
      </c>
      <c r="M197">
        <v>38.893799999999999</v>
      </c>
      <c r="N197">
        <v>55.185000000000002</v>
      </c>
      <c r="O197">
        <v>44.852200000000003</v>
      </c>
      <c r="P197">
        <v>29.482500000000002</v>
      </c>
      <c r="Q197">
        <v>37</v>
      </c>
      <c r="R197">
        <v>32</v>
      </c>
      <c r="T197" t="s">
        <v>168</v>
      </c>
      <c r="U197" t="s">
        <v>169</v>
      </c>
      <c r="V197" t="s">
        <v>497</v>
      </c>
      <c r="W197" t="s">
        <v>498</v>
      </c>
      <c r="Y197">
        <v>7</v>
      </c>
      <c r="Z197" t="s">
        <v>172</v>
      </c>
      <c r="AA197" t="s">
        <v>173</v>
      </c>
      <c r="AB197" t="s">
        <v>277</v>
      </c>
      <c r="AC197" t="s">
        <v>278</v>
      </c>
      <c r="AD197">
        <v>10</v>
      </c>
      <c r="AG197" t="s">
        <v>176</v>
      </c>
      <c r="AH197" t="s">
        <v>177</v>
      </c>
      <c r="AI197" t="s">
        <v>178</v>
      </c>
      <c r="AJ197" t="s">
        <v>179</v>
      </c>
      <c r="AK197" t="s">
        <v>173</v>
      </c>
      <c r="AL197" t="s">
        <v>180</v>
      </c>
      <c r="AO197">
        <v>96</v>
      </c>
      <c r="AP197">
        <v>24</v>
      </c>
      <c r="AS197">
        <v>1950</v>
      </c>
      <c r="AT197">
        <v>1950</v>
      </c>
      <c r="BN197" s="114" t="s">
        <v>198</v>
      </c>
      <c r="BO197">
        <v>2</v>
      </c>
      <c r="BP197">
        <v>2</v>
      </c>
      <c r="BQ197">
        <v>6</v>
      </c>
      <c r="BR197" t="s">
        <v>536</v>
      </c>
      <c r="BS197" t="s">
        <v>182</v>
      </c>
      <c r="BT197" t="s">
        <v>183</v>
      </c>
      <c r="BU197" s="115">
        <v>45888</v>
      </c>
      <c r="BV197">
        <v>36954</v>
      </c>
      <c r="BW197" s="116"/>
      <c r="BX197" t="s">
        <v>173</v>
      </c>
      <c r="BY197" t="s">
        <v>173</v>
      </c>
      <c r="CB197" t="s">
        <v>173</v>
      </c>
      <c r="CC197" t="s">
        <v>173</v>
      </c>
      <c r="CE197" t="s">
        <v>173</v>
      </c>
      <c r="CG197" t="s">
        <v>172</v>
      </c>
      <c r="CH197" t="s">
        <v>484</v>
      </c>
      <c r="CI197" t="s">
        <v>172</v>
      </c>
      <c r="CJ197" t="s">
        <v>485</v>
      </c>
      <c r="DJ197" t="s">
        <v>201</v>
      </c>
      <c r="DK197" t="s">
        <v>202</v>
      </c>
      <c r="DL197" t="s">
        <v>173</v>
      </c>
      <c r="DM197" t="s">
        <v>173</v>
      </c>
      <c r="DN197" t="s">
        <v>173</v>
      </c>
      <c r="DO197" t="s">
        <v>284</v>
      </c>
      <c r="DP197" t="s">
        <v>172</v>
      </c>
      <c r="DQ197" t="s">
        <v>204</v>
      </c>
      <c r="DY197">
        <v>45.2</v>
      </c>
      <c r="EA197" s="117"/>
      <c r="EB197">
        <v>6</v>
      </c>
      <c r="EC197">
        <v>6</v>
      </c>
      <c r="EE197" t="s">
        <v>537</v>
      </c>
      <c r="EF197">
        <v>6</v>
      </c>
      <c r="EV197">
        <v>1250</v>
      </c>
      <c r="EW197">
        <v>301</v>
      </c>
      <c r="EX197">
        <v>240</v>
      </c>
      <c r="EY197">
        <v>277</v>
      </c>
    </row>
    <row r="198" spans="1:155" x14ac:dyDescent="0.35">
      <c r="A198">
        <v>2026</v>
      </c>
      <c r="B198" t="s">
        <v>481</v>
      </c>
      <c r="C198" s="112" t="s">
        <v>534</v>
      </c>
      <c r="D198" t="s">
        <v>541</v>
      </c>
      <c r="E198" t="s">
        <v>483</v>
      </c>
      <c r="F198">
        <v>543</v>
      </c>
      <c r="G198" s="113">
        <v>1.5</v>
      </c>
      <c r="H198">
        <v>4</v>
      </c>
      <c r="I198" t="s">
        <v>206</v>
      </c>
      <c r="J198">
        <v>26</v>
      </c>
      <c r="K198">
        <v>36</v>
      </c>
      <c r="L198">
        <v>30</v>
      </c>
      <c r="M198">
        <v>35.4925</v>
      </c>
      <c r="N198">
        <v>53.388199999999998</v>
      </c>
      <c r="O198">
        <v>41.797199999999997</v>
      </c>
      <c r="P198">
        <v>26</v>
      </c>
      <c r="Q198">
        <v>36.445900000000002</v>
      </c>
      <c r="R198">
        <v>30</v>
      </c>
      <c r="T198" t="s">
        <v>168</v>
      </c>
      <c r="U198" t="s">
        <v>169</v>
      </c>
      <c r="V198" t="s">
        <v>207</v>
      </c>
      <c r="W198" t="s">
        <v>208</v>
      </c>
      <c r="Y198">
        <v>6</v>
      </c>
      <c r="Z198" t="s">
        <v>173</v>
      </c>
      <c r="AA198" t="s">
        <v>173</v>
      </c>
      <c r="AB198" t="s">
        <v>277</v>
      </c>
      <c r="AC198" t="s">
        <v>278</v>
      </c>
      <c r="AD198">
        <v>10</v>
      </c>
      <c r="AG198" t="s">
        <v>176</v>
      </c>
      <c r="AH198" t="s">
        <v>177</v>
      </c>
      <c r="AI198" t="s">
        <v>178</v>
      </c>
      <c r="AJ198" t="s">
        <v>179</v>
      </c>
      <c r="AK198" t="s">
        <v>173</v>
      </c>
      <c r="AL198" t="s">
        <v>180</v>
      </c>
      <c r="AO198">
        <v>96</v>
      </c>
      <c r="AP198">
        <v>24</v>
      </c>
      <c r="AS198">
        <v>2100</v>
      </c>
      <c r="AT198">
        <v>2100</v>
      </c>
      <c r="BN198" s="114" t="s">
        <v>198</v>
      </c>
      <c r="BO198">
        <v>2</v>
      </c>
      <c r="BP198">
        <v>2</v>
      </c>
      <c r="BQ198">
        <v>6</v>
      </c>
      <c r="BR198" t="s">
        <v>536</v>
      </c>
      <c r="BS198" t="s">
        <v>182</v>
      </c>
      <c r="BT198" t="s">
        <v>183</v>
      </c>
      <c r="BU198" s="115">
        <v>45888</v>
      </c>
      <c r="BV198">
        <v>36955</v>
      </c>
      <c r="BW198" s="116"/>
      <c r="BX198" t="s">
        <v>173</v>
      </c>
      <c r="BY198" t="s">
        <v>173</v>
      </c>
      <c r="CB198" t="s">
        <v>173</v>
      </c>
      <c r="CC198" t="s">
        <v>173</v>
      </c>
      <c r="CE198" t="s">
        <v>173</v>
      </c>
      <c r="CG198" t="s">
        <v>172</v>
      </c>
      <c r="CH198" t="s">
        <v>484</v>
      </c>
      <c r="CI198" t="s">
        <v>172</v>
      </c>
      <c r="CJ198" t="s">
        <v>485</v>
      </c>
      <c r="DJ198" t="s">
        <v>201</v>
      </c>
      <c r="DK198" t="s">
        <v>202</v>
      </c>
      <c r="DL198" t="s">
        <v>173</v>
      </c>
      <c r="DM198" t="s">
        <v>173</v>
      </c>
      <c r="DN198" t="s">
        <v>173</v>
      </c>
      <c r="DO198" t="s">
        <v>284</v>
      </c>
      <c r="DP198" t="s">
        <v>172</v>
      </c>
      <c r="DQ198" t="s">
        <v>204</v>
      </c>
      <c r="DY198">
        <v>42.1</v>
      </c>
      <c r="EA198" s="117"/>
      <c r="EB198">
        <v>6</v>
      </c>
      <c r="EC198">
        <v>6</v>
      </c>
      <c r="EE198" t="s">
        <v>542</v>
      </c>
      <c r="EF198">
        <v>5</v>
      </c>
      <c r="EV198">
        <v>2000</v>
      </c>
      <c r="EW198">
        <v>339</v>
      </c>
      <c r="EX198">
        <v>241</v>
      </c>
      <c r="EY198">
        <v>293</v>
      </c>
    </row>
    <row r="199" spans="1:155" x14ac:dyDescent="0.35">
      <c r="A199">
        <v>2026</v>
      </c>
      <c r="B199" t="s">
        <v>444</v>
      </c>
      <c r="C199" s="112" t="s">
        <v>458</v>
      </c>
      <c r="D199" t="s">
        <v>1228</v>
      </c>
      <c r="E199" t="s">
        <v>447</v>
      </c>
      <c r="F199">
        <v>16</v>
      </c>
      <c r="G199" s="113">
        <v>3</v>
      </c>
      <c r="H199">
        <v>6</v>
      </c>
      <c r="I199" t="s">
        <v>195</v>
      </c>
      <c r="J199">
        <v>19</v>
      </c>
      <c r="K199">
        <v>27</v>
      </c>
      <c r="L199">
        <v>22</v>
      </c>
      <c r="M199">
        <v>23.4</v>
      </c>
      <c r="N199">
        <v>37.9</v>
      </c>
      <c r="O199">
        <v>28.266500000000001</v>
      </c>
      <c r="P199">
        <v>18.633099999999999</v>
      </c>
      <c r="Q199">
        <v>26.7761</v>
      </c>
      <c r="R199">
        <v>21.587399999999999</v>
      </c>
      <c r="T199" t="s">
        <v>168</v>
      </c>
      <c r="U199" t="s">
        <v>169</v>
      </c>
      <c r="V199" t="s">
        <v>196</v>
      </c>
      <c r="W199" t="s">
        <v>197</v>
      </c>
      <c r="Y199">
        <v>8</v>
      </c>
      <c r="Z199" t="s">
        <v>172</v>
      </c>
      <c r="AA199" t="s">
        <v>173</v>
      </c>
      <c r="AB199" t="s">
        <v>170</v>
      </c>
      <c r="AC199" t="s">
        <v>232</v>
      </c>
      <c r="AD199">
        <v>15</v>
      </c>
      <c r="AG199" t="s">
        <v>176</v>
      </c>
      <c r="AH199" t="s">
        <v>177</v>
      </c>
      <c r="AI199" t="s">
        <v>178</v>
      </c>
      <c r="AJ199" t="s">
        <v>179</v>
      </c>
      <c r="AK199" t="s">
        <v>173</v>
      </c>
      <c r="AL199" t="s">
        <v>180</v>
      </c>
      <c r="AO199">
        <v>111</v>
      </c>
      <c r="AP199">
        <v>13</v>
      </c>
      <c r="AS199">
        <v>2850</v>
      </c>
      <c r="AT199">
        <v>2850</v>
      </c>
      <c r="BN199" s="114" t="s">
        <v>256</v>
      </c>
      <c r="BO199">
        <v>2</v>
      </c>
      <c r="BP199">
        <v>2</v>
      </c>
      <c r="BQ199">
        <v>6</v>
      </c>
      <c r="BR199" t="s">
        <v>536</v>
      </c>
      <c r="BS199" t="s">
        <v>182</v>
      </c>
      <c r="BT199" t="s">
        <v>183</v>
      </c>
      <c r="BU199" s="115">
        <v>45911</v>
      </c>
      <c r="BV199">
        <v>37579</v>
      </c>
      <c r="BW199" s="116"/>
      <c r="BX199" t="s">
        <v>172</v>
      </c>
      <c r="BY199" t="s">
        <v>173</v>
      </c>
      <c r="CB199" t="s">
        <v>173</v>
      </c>
      <c r="CC199" t="s">
        <v>173</v>
      </c>
      <c r="CD199" t="s">
        <v>1229</v>
      </c>
      <c r="CE199" t="s">
        <v>173</v>
      </c>
      <c r="CG199" t="s">
        <v>172</v>
      </c>
      <c r="CH199" t="s">
        <v>1230</v>
      </c>
      <c r="CI199" t="s">
        <v>172</v>
      </c>
      <c r="CJ199" t="s">
        <v>871</v>
      </c>
      <c r="CK199" t="s">
        <v>259</v>
      </c>
      <c r="CM199">
        <v>1</v>
      </c>
      <c r="CN199" t="s">
        <v>260</v>
      </c>
      <c r="CP199">
        <v>48</v>
      </c>
      <c r="CQ199">
        <v>9.5</v>
      </c>
      <c r="CR199">
        <v>51</v>
      </c>
      <c r="CS199" t="s">
        <v>261</v>
      </c>
      <c r="CV199" t="s">
        <v>262</v>
      </c>
      <c r="CX199" t="s">
        <v>263</v>
      </c>
      <c r="CY199" t="s">
        <v>173</v>
      </c>
      <c r="DD199">
        <v>1</v>
      </c>
      <c r="DE199" t="s">
        <v>307</v>
      </c>
      <c r="DF199" t="s">
        <v>464</v>
      </c>
      <c r="DG199">
        <v>8</v>
      </c>
      <c r="DJ199" t="s">
        <v>201</v>
      </c>
      <c r="DK199" t="s">
        <v>202</v>
      </c>
      <c r="DL199" t="s">
        <v>173</v>
      </c>
      <c r="DM199" t="s">
        <v>173</v>
      </c>
      <c r="DN199" t="s">
        <v>173</v>
      </c>
      <c r="DO199" t="s">
        <v>451</v>
      </c>
      <c r="DP199" t="s">
        <v>172</v>
      </c>
      <c r="DQ199" t="s">
        <v>204</v>
      </c>
      <c r="DY199">
        <v>28.5</v>
      </c>
      <c r="EA199" s="117"/>
      <c r="EB199">
        <v>4</v>
      </c>
      <c r="EC199">
        <v>4</v>
      </c>
      <c r="EE199" t="s">
        <v>1231</v>
      </c>
      <c r="EF199">
        <v>4</v>
      </c>
      <c r="EV199">
        <v>5750</v>
      </c>
      <c r="EW199">
        <v>480</v>
      </c>
      <c r="EX199">
        <v>334</v>
      </c>
      <c r="EY199">
        <v>414</v>
      </c>
    </row>
    <row r="200" spans="1:155" x14ac:dyDescent="0.35">
      <c r="A200">
        <v>2026</v>
      </c>
      <c r="B200" t="s">
        <v>444</v>
      </c>
      <c r="C200" s="112" t="s">
        <v>458</v>
      </c>
      <c r="D200" t="s">
        <v>1232</v>
      </c>
      <c r="E200" t="s">
        <v>447</v>
      </c>
      <c r="F200">
        <v>13</v>
      </c>
      <c r="G200" s="113">
        <v>4</v>
      </c>
      <c r="H200">
        <v>8</v>
      </c>
      <c r="I200" t="s">
        <v>195</v>
      </c>
      <c r="J200">
        <v>15</v>
      </c>
      <c r="K200">
        <v>24</v>
      </c>
      <c r="L200">
        <v>18</v>
      </c>
      <c r="M200">
        <v>19.146699999999999</v>
      </c>
      <c r="N200">
        <v>32.799999999999997</v>
      </c>
      <c r="O200">
        <v>23.559899999999999</v>
      </c>
      <c r="P200">
        <v>14.6875</v>
      </c>
      <c r="Q200">
        <v>23.5456</v>
      </c>
      <c r="R200">
        <v>17.680800000000001</v>
      </c>
      <c r="T200" t="s">
        <v>168</v>
      </c>
      <c r="U200" t="s">
        <v>169</v>
      </c>
      <c r="V200" t="s">
        <v>196</v>
      </c>
      <c r="W200" t="s">
        <v>197</v>
      </c>
      <c r="Y200">
        <v>8</v>
      </c>
      <c r="Z200" t="s">
        <v>172</v>
      </c>
      <c r="AA200" t="s">
        <v>173</v>
      </c>
      <c r="AB200" t="s">
        <v>170</v>
      </c>
      <c r="AC200" t="s">
        <v>232</v>
      </c>
      <c r="AD200">
        <v>15</v>
      </c>
      <c r="AG200" t="s">
        <v>176</v>
      </c>
      <c r="AH200" t="s">
        <v>177</v>
      </c>
      <c r="AI200" t="s">
        <v>178</v>
      </c>
      <c r="AJ200" t="s">
        <v>179</v>
      </c>
      <c r="AK200" t="s">
        <v>173</v>
      </c>
      <c r="AL200" t="s">
        <v>180</v>
      </c>
      <c r="AO200">
        <v>111</v>
      </c>
      <c r="AP200">
        <v>13</v>
      </c>
      <c r="AS200">
        <v>3450</v>
      </c>
      <c r="AT200">
        <v>3450</v>
      </c>
      <c r="BN200" s="114" t="s">
        <v>256</v>
      </c>
      <c r="BO200">
        <v>2</v>
      </c>
      <c r="BP200">
        <v>2</v>
      </c>
      <c r="BQ200">
        <v>6</v>
      </c>
      <c r="BR200" t="s">
        <v>536</v>
      </c>
      <c r="BS200" t="s">
        <v>182</v>
      </c>
      <c r="BT200" t="s">
        <v>218</v>
      </c>
      <c r="BU200" s="115">
        <v>45911</v>
      </c>
      <c r="BV200">
        <v>37586</v>
      </c>
      <c r="BW200" s="116"/>
      <c r="BX200" t="s">
        <v>172</v>
      </c>
      <c r="BY200" t="s">
        <v>173</v>
      </c>
      <c r="CB200" t="s">
        <v>173</v>
      </c>
      <c r="CC200" t="s">
        <v>173</v>
      </c>
      <c r="CD200" t="s">
        <v>1233</v>
      </c>
      <c r="CE200" t="s">
        <v>172</v>
      </c>
      <c r="CF200" t="s">
        <v>462</v>
      </c>
      <c r="CG200" t="s">
        <v>172</v>
      </c>
      <c r="CH200" t="s">
        <v>463</v>
      </c>
      <c r="CI200" t="s">
        <v>173</v>
      </c>
      <c r="CK200" t="s">
        <v>259</v>
      </c>
      <c r="CM200">
        <v>1</v>
      </c>
      <c r="CN200" t="s">
        <v>260</v>
      </c>
      <c r="CP200">
        <v>48</v>
      </c>
      <c r="CQ200">
        <v>9.5</v>
      </c>
      <c r="CR200">
        <v>50.1</v>
      </c>
      <c r="CS200" t="s">
        <v>261</v>
      </c>
      <c r="CV200" t="s">
        <v>262</v>
      </c>
      <c r="CX200" t="s">
        <v>263</v>
      </c>
      <c r="CY200" t="s">
        <v>173</v>
      </c>
      <c r="DD200">
        <v>1</v>
      </c>
      <c r="DE200" t="s">
        <v>307</v>
      </c>
      <c r="DF200" t="s">
        <v>464</v>
      </c>
      <c r="DG200">
        <v>8</v>
      </c>
      <c r="DJ200" t="s">
        <v>201</v>
      </c>
      <c r="DK200" t="s">
        <v>202</v>
      </c>
      <c r="DL200" t="s">
        <v>173</v>
      </c>
      <c r="DM200" t="s">
        <v>173</v>
      </c>
      <c r="DN200" t="s">
        <v>173</v>
      </c>
      <c r="DO200" t="s">
        <v>465</v>
      </c>
      <c r="DP200" t="s">
        <v>172</v>
      </c>
      <c r="DQ200" t="s">
        <v>204</v>
      </c>
      <c r="DY200">
        <v>23.7</v>
      </c>
      <c r="EA200" s="117"/>
      <c r="EB200">
        <v>3</v>
      </c>
      <c r="EC200">
        <v>3</v>
      </c>
      <c r="EE200" t="s">
        <v>466</v>
      </c>
      <c r="EF200">
        <v>2</v>
      </c>
      <c r="EV200">
        <v>8750</v>
      </c>
      <c r="EW200">
        <v>605</v>
      </c>
      <c r="EX200">
        <v>377</v>
      </c>
      <c r="EY200">
        <v>502</v>
      </c>
    </row>
    <row r="201" spans="1:155" x14ac:dyDescent="0.35">
      <c r="A201">
        <v>2026</v>
      </c>
      <c r="B201" t="s">
        <v>192</v>
      </c>
      <c r="C201" s="112" t="s">
        <v>192</v>
      </c>
      <c r="D201" t="s">
        <v>543</v>
      </c>
      <c r="E201" t="s">
        <v>194</v>
      </c>
      <c r="F201">
        <v>740</v>
      </c>
      <c r="G201" s="113">
        <v>3</v>
      </c>
      <c r="H201">
        <v>6</v>
      </c>
      <c r="I201" t="s">
        <v>195</v>
      </c>
      <c r="J201">
        <v>25</v>
      </c>
      <c r="K201">
        <v>31</v>
      </c>
      <c r="L201">
        <v>28</v>
      </c>
      <c r="M201">
        <v>32.587000000000003</v>
      </c>
      <c r="N201">
        <v>45.194299999999998</v>
      </c>
      <c r="O201">
        <v>37.264899999999997</v>
      </c>
      <c r="P201">
        <v>25.194600000000001</v>
      </c>
      <c r="Q201">
        <v>31.413</v>
      </c>
      <c r="R201">
        <v>27.6584</v>
      </c>
      <c r="T201" t="s">
        <v>168</v>
      </c>
      <c r="U201" t="s">
        <v>169</v>
      </c>
      <c r="V201" t="s">
        <v>196</v>
      </c>
      <c r="W201" t="s">
        <v>197</v>
      </c>
      <c r="Y201">
        <v>8</v>
      </c>
      <c r="Z201" t="s">
        <v>172</v>
      </c>
      <c r="AA201" t="s">
        <v>173</v>
      </c>
      <c r="AB201" t="s">
        <v>174</v>
      </c>
      <c r="AC201" t="s">
        <v>175</v>
      </c>
      <c r="AD201">
        <v>10</v>
      </c>
      <c r="AG201" t="s">
        <v>176</v>
      </c>
      <c r="AH201" t="s">
        <v>177</v>
      </c>
      <c r="AI201" t="s">
        <v>178</v>
      </c>
      <c r="AJ201" t="s">
        <v>179</v>
      </c>
      <c r="AK201" t="s">
        <v>173</v>
      </c>
      <c r="AL201" t="s">
        <v>180</v>
      </c>
      <c r="AO201">
        <v>110</v>
      </c>
      <c r="AP201">
        <v>14</v>
      </c>
      <c r="AS201">
        <v>2200</v>
      </c>
      <c r="AT201">
        <v>2200</v>
      </c>
      <c r="BN201" s="114" t="s">
        <v>304</v>
      </c>
      <c r="BO201">
        <v>2</v>
      </c>
      <c r="BP201">
        <v>2</v>
      </c>
      <c r="BQ201">
        <v>6</v>
      </c>
      <c r="BR201" t="s">
        <v>536</v>
      </c>
      <c r="BS201" t="s">
        <v>182</v>
      </c>
      <c r="BT201" t="s">
        <v>183</v>
      </c>
      <c r="BU201" s="115">
        <v>45870</v>
      </c>
      <c r="BV201">
        <v>36853</v>
      </c>
      <c r="BW201" s="116"/>
      <c r="BX201" t="s">
        <v>173</v>
      </c>
      <c r="BY201" t="s">
        <v>173</v>
      </c>
      <c r="CB201" t="s">
        <v>173</v>
      </c>
      <c r="CC201" t="s">
        <v>173</v>
      </c>
      <c r="CE201" t="s">
        <v>173</v>
      </c>
      <c r="CG201" t="s">
        <v>172</v>
      </c>
      <c r="CH201" t="s">
        <v>282</v>
      </c>
      <c r="CI201" t="s">
        <v>172</v>
      </c>
      <c r="CJ201" t="s">
        <v>305</v>
      </c>
      <c r="CK201" t="s">
        <v>259</v>
      </c>
      <c r="CM201">
        <v>1</v>
      </c>
      <c r="CN201" t="s">
        <v>260</v>
      </c>
      <c r="CP201">
        <v>44</v>
      </c>
      <c r="CQ201">
        <v>10</v>
      </c>
      <c r="CR201">
        <v>38</v>
      </c>
      <c r="CS201" t="s">
        <v>261</v>
      </c>
      <c r="CV201" t="s">
        <v>262</v>
      </c>
      <c r="CX201" t="s">
        <v>263</v>
      </c>
      <c r="CY201" t="s">
        <v>173</v>
      </c>
      <c r="DC201" t="s">
        <v>544</v>
      </c>
      <c r="DD201">
        <v>1</v>
      </c>
      <c r="DE201" t="s">
        <v>307</v>
      </c>
      <c r="DF201" t="s">
        <v>330</v>
      </c>
      <c r="DG201">
        <v>9</v>
      </c>
      <c r="DJ201" t="s">
        <v>250</v>
      </c>
      <c r="DK201" t="s">
        <v>251</v>
      </c>
      <c r="DL201" t="s">
        <v>173</v>
      </c>
      <c r="DM201" t="s">
        <v>173</v>
      </c>
      <c r="DN201" t="s">
        <v>173</v>
      </c>
      <c r="DO201" t="s">
        <v>309</v>
      </c>
      <c r="DP201" t="s">
        <v>172</v>
      </c>
      <c r="DQ201" t="s">
        <v>204</v>
      </c>
      <c r="DY201">
        <v>37.5</v>
      </c>
      <c r="EA201" s="117"/>
      <c r="EB201">
        <v>5</v>
      </c>
      <c r="EC201">
        <v>5</v>
      </c>
      <c r="EE201" t="s">
        <v>545</v>
      </c>
      <c r="EF201">
        <v>6</v>
      </c>
      <c r="EV201">
        <v>2500</v>
      </c>
      <c r="EW201">
        <v>347</v>
      </c>
      <c r="EX201">
        <v>279</v>
      </c>
      <c r="EY201">
        <v>317</v>
      </c>
    </row>
    <row r="202" spans="1:155" x14ac:dyDescent="0.35">
      <c r="A202">
        <v>2026</v>
      </c>
      <c r="B202" t="s">
        <v>192</v>
      </c>
      <c r="C202" s="112" t="s">
        <v>192</v>
      </c>
      <c r="D202" t="s">
        <v>546</v>
      </c>
      <c r="E202" t="s">
        <v>194</v>
      </c>
      <c r="F202">
        <v>741</v>
      </c>
      <c r="G202" s="113">
        <v>3</v>
      </c>
      <c r="H202">
        <v>6</v>
      </c>
      <c r="I202" t="s">
        <v>195</v>
      </c>
      <c r="J202">
        <v>24</v>
      </c>
      <c r="K202">
        <v>31</v>
      </c>
      <c r="L202">
        <v>27</v>
      </c>
      <c r="M202">
        <v>31.418099999999999</v>
      </c>
      <c r="N202">
        <v>44.145299999999999</v>
      </c>
      <c r="O202">
        <v>36.101799999999997</v>
      </c>
      <c r="P202">
        <v>24.381</v>
      </c>
      <c r="Q202">
        <v>30.755400000000002</v>
      </c>
      <c r="R202">
        <v>26.8888</v>
      </c>
      <c r="T202" t="s">
        <v>168</v>
      </c>
      <c r="U202" t="s">
        <v>169</v>
      </c>
      <c r="V202" t="s">
        <v>196</v>
      </c>
      <c r="W202" t="s">
        <v>197</v>
      </c>
      <c r="Y202">
        <v>8</v>
      </c>
      <c r="Z202" t="s">
        <v>172</v>
      </c>
      <c r="AA202" t="s">
        <v>173</v>
      </c>
      <c r="AB202" t="s">
        <v>170</v>
      </c>
      <c r="AC202" t="s">
        <v>232</v>
      </c>
      <c r="AD202">
        <v>10</v>
      </c>
      <c r="AG202" t="s">
        <v>176</v>
      </c>
      <c r="AH202" t="s">
        <v>177</v>
      </c>
      <c r="AI202" t="s">
        <v>178</v>
      </c>
      <c r="AJ202" t="s">
        <v>179</v>
      </c>
      <c r="AK202" t="s">
        <v>173</v>
      </c>
      <c r="AL202" t="s">
        <v>180</v>
      </c>
      <c r="AO202">
        <v>110</v>
      </c>
      <c r="AP202">
        <v>14</v>
      </c>
      <c r="AS202">
        <v>2300</v>
      </c>
      <c r="AT202">
        <v>2300</v>
      </c>
      <c r="BN202" s="114" t="s">
        <v>304</v>
      </c>
      <c r="BO202">
        <v>2</v>
      </c>
      <c r="BP202">
        <v>2</v>
      </c>
      <c r="BQ202">
        <v>6</v>
      </c>
      <c r="BR202" t="s">
        <v>536</v>
      </c>
      <c r="BS202" t="s">
        <v>182</v>
      </c>
      <c r="BT202" t="s">
        <v>183</v>
      </c>
      <c r="BU202" s="115">
        <v>45870</v>
      </c>
      <c r="BV202">
        <v>36852</v>
      </c>
      <c r="BW202" s="116"/>
      <c r="BX202" t="s">
        <v>173</v>
      </c>
      <c r="BY202" t="s">
        <v>173</v>
      </c>
      <c r="CB202" t="s">
        <v>173</v>
      </c>
      <c r="CC202" t="s">
        <v>173</v>
      </c>
      <c r="CE202" t="s">
        <v>173</v>
      </c>
      <c r="CG202" t="s">
        <v>172</v>
      </c>
      <c r="CH202" t="s">
        <v>282</v>
      </c>
      <c r="CI202" t="s">
        <v>172</v>
      </c>
      <c r="CJ202" t="s">
        <v>305</v>
      </c>
      <c r="CK202" t="s">
        <v>259</v>
      </c>
      <c r="CM202">
        <v>1</v>
      </c>
      <c r="CN202" t="s">
        <v>260</v>
      </c>
      <c r="CP202">
        <v>44</v>
      </c>
      <c r="CQ202">
        <v>10</v>
      </c>
      <c r="CR202">
        <v>38</v>
      </c>
      <c r="CS202" t="s">
        <v>261</v>
      </c>
      <c r="CV202" t="s">
        <v>262</v>
      </c>
      <c r="CX202" t="s">
        <v>263</v>
      </c>
      <c r="CY202" t="s">
        <v>173</v>
      </c>
      <c r="DC202" t="s">
        <v>544</v>
      </c>
      <c r="DD202">
        <v>1</v>
      </c>
      <c r="DE202" t="s">
        <v>307</v>
      </c>
      <c r="DF202" t="s">
        <v>330</v>
      </c>
      <c r="DG202">
        <v>9</v>
      </c>
      <c r="DJ202" t="s">
        <v>250</v>
      </c>
      <c r="DK202" t="s">
        <v>251</v>
      </c>
      <c r="DL202" t="s">
        <v>173</v>
      </c>
      <c r="DM202" t="s">
        <v>173</v>
      </c>
      <c r="DN202" t="s">
        <v>173</v>
      </c>
      <c r="DO202" t="s">
        <v>309</v>
      </c>
      <c r="DP202" t="s">
        <v>172</v>
      </c>
      <c r="DQ202" t="s">
        <v>204</v>
      </c>
      <c r="DY202">
        <v>36.299999999999997</v>
      </c>
      <c r="EA202" s="117"/>
      <c r="EB202">
        <v>5</v>
      </c>
      <c r="EC202">
        <v>5</v>
      </c>
      <c r="EE202" t="s">
        <v>545</v>
      </c>
      <c r="EF202">
        <v>6</v>
      </c>
      <c r="EV202">
        <v>3000</v>
      </c>
      <c r="EW202">
        <v>359</v>
      </c>
      <c r="EX202">
        <v>285</v>
      </c>
      <c r="EY202">
        <v>326</v>
      </c>
    </row>
    <row r="203" spans="1:155" x14ac:dyDescent="0.35">
      <c r="A203">
        <v>2026</v>
      </c>
      <c r="B203" t="s">
        <v>192</v>
      </c>
      <c r="C203" s="112" t="s">
        <v>192</v>
      </c>
      <c r="D203" t="s">
        <v>547</v>
      </c>
      <c r="E203" t="s">
        <v>194</v>
      </c>
      <c r="F203">
        <v>760</v>
      </c>
      <c r="G203" s="113">
        <v>4.4000000000000004</v>
      </c>
      <c r="H203">
        <v>8</v>
      </c>
      <c r="I203" t="s">
        <v>195</v>
      </c>
      <c r="J203">
        <v>18</v>
      </c>
      <c r="K203">
        <v>25</v>
      </c>
      <c r="L203">
        <v>20</v>
      </c>
      <c r="M203">
        <v>22.0593</v>
      </c>
      <c r="N203">
        <v>35.6783</v>
      </c>
      <c r="O203">
        <v>26.634399999999999</v>
      </c>
      <c r="P203">
        <v>17.642600000000002</v>
      </c>
      <c r="Q203">
        <v>25.333400000000001</v>
      </c>
      <c r="R203">
        <v>20.434100000000001</v>
      </c>
      <c r="T203" t="s">
        <v>168</v>
      </c>
      <c r="U203" t="s">
        <v>169</v>
      </c>
      <c r="V203" t="s">
        <v>196</v>
      </c>
      <c r="W203" t="s">
        <v>197</v>
      </c>
      <c r="Y203">
        <v>8</v>
      </c>
      <c r="Z203" t="s">
        <v>172</v>
      </c>
      <c r="AA203" t="s">
        <v>173</v>
      </c>
      <c r="AB203" t="s">
        <v>170</v>
      </c>
      <c r="AC203" t="s">
        <v>232</v>
      </c>
      <c r="AD203">
        <v>10</v>
      </c>
      <c r="AG203" t="s">
        <v>176</v>
      </c>
      <c r="AH203" t="s">
        <v>177</v>
      </c>
      <c r="AI203" t="s">
        <v>178</v>
      </c>
      <c r="AJ203" t="s">
        <v>179</v>
      </c>
      <c r="AK203" t="s">
        <v>173</v>
      </c>
      <c r="AL203" t="s">
        <v>180</v>
      </c>
      <c r="AO203">
        <v>110</v>
      </c>
      <c r="AP203">
        <v>14</v>
      </c>
      <c r="AS203">
        <v>3100</v>
      </c>
      <c r="AT203">
        <v>3100</v>
      </c>
      <c r="BN203" s="114" t="s">
        <v>256</v>
      </c>
      <c r="BO203">
        <v>2</v>
      </c>
      <c r="BP203">
        <v>2</v>
      </c>
      <c r="BQ203">
        <v>6</v>
      </c>
      <c r="BR203" t="s">
        <v>536</v>
      </c>
      <c r="BS203" t="s">
        <v>182</v>
      </c>
      <c r="BT203" t="s">
        <v>183</v>
      </c>
      <c r="BU203" s="115">
        <v>45870</v>
      </c>
      <c r="BV203">
        <v>36861</v>
      </c>
      <c r="BW203" s="116"/>
      <c r="BX203" t="s">
        <v>173</v>
      </c>
      <c r="BY203" t="s">
        <v>173</v>
      </c>
      <c r="CB203" t="s">
        <v>173</v>
      </c>
      <c r="CC203" t="s">
        <v>173</v>
      </c>
      <c r="CE203" t="s">
        <v>173</v>
      </c>
      <c r="CG203" t="s">
        <v>172</v>
      </c>
      <c r="CH203" t="s">
        <v>282</v>
      </c>
      <c r="CI203" t="s">
        <v>172</v>
      </c>
      <c r="CJ203" t="s">
        <v>283</v>
      </c>
      <c r="CK203" t="s">
        <v>259</v>
      </c>
      <c r="CM203">
        <v>1</v>
      </c>
      <c r="CN203" t="s">
        <v>260</v>
      </c>
      <c r="CP203">
        <v>44</v>
      </c>
      <c r="CQ203">
        <v>10</v>
      </c>
      <c r="CR203">
        <v>38</v>
      </c>
      <c r="CS203" t="s">
        <v>261</v>
      </c>
      <c r="CV203" t="s">
        <v>262</v>
      </c>
      <c r="CX203" t="s">
        <v>263</v>
      </c>
      <c r="CY203" t="s">
        <v>173</v>
      </c>
      <c r="DC203" t="s">
        <v>548</v>
      </c>
      <c r="DD203">
        <v>1</v>
      </c>
      <c r="DE203" t="s">
        <v>307</v>
      </c>
      <c r="DF203" t="s">
        <v>330</v>
      </c>
      <c r="DG203">
        <v>9</v>
      </c>
      <c r="DJ203" t="s">
        <v>201</v>
      </c>
      <c r="DK203" t="s">
        <v>202</v>
      </c>
      <c r="DL203" t="s">
        <v>173</v>
      </c>
      <c r="DM203" t="s">
        <v>173</v>
      </c>
      <c r="DN203" t="s">
        <v>173</v>
      </c>
      <c r="DO203" t="s">
        <v>266</v>
      </c>
      <c r="DP203" t="s">
        <v>172</v>
      </c>
      <c r="DQ203" t="s">
        <v>204</v>
      </c>
      <c r="DY203">
        <v>26.8</v>
      </c>
      <c r="EA203" s="117"/>
      <c r="EB203">
        <v>4</v>
      </c>
      <c r="EC203">
        <v>4</v>
      </c>
      <c r="EE203" t="s">
        <v>549</v>
      </c>
      <c r="EF203">
        <v>4</v>
      </c>
      <c r="EV203">
        <v>7000</v>
      </c>
      <c r="EW203">
        <v>494</v>
      </c>
      <c r="EX203">
        <v>344</v>
      </c>
      <c r="EY203">
        <v>427</v>
      </c>
    </row>
    <row r="204" spans="1:155" x14ac:dyDescent="0.35">
      <c r="A204">
        <v>2026</v>
      </c>
      <c r="B204" t="s">
        <v>400</v>
      </c>
      <c r="C204" s="112" t="s">
        <v>401</v>
      </c>
      <c r="D204" t="s">
        <v>550</v>
      </c>
      <c r="E204" t="s">
        <v>403</v>
      </c>
      <c r="F204">
        <v>10</v>
      </c>
      <c r="G204" s="113">
        <v>2.5</v>
      </c>
      <c r="H204">
        <v>4</v>
      </c>
      <c r="I204" t="s">
        <v>195</v>
      </c>
      <c r="J204">
        <v>20</v>
      </c>
      <c r="K204">
        <v>29</v>
      </c>
      <c r="L204">
        <v>23</v>
      </c>
      <c r="M204">
        <v>25.573</v>
      </c>
      <c r="N204">
        <v>40.779600000000002</v>
      </c>
      <c r="O204">
        <v>30.729500000000002</v>
      </c>
      <c r="P204">
        <v>20.220300000000002</v>
      </c>
      <c r="Q204">
        <v>28.624700000000001</v>
      </c>
      <c r="R204">
        <v>23.2986</v>
      </c>
      <c r="T204" t="s">
        <v>168</v>
      </c>
      <c r="U204" t="s">
        <v>169</v>
      </c>
      <c r="V204" t="s">
        <v>196</v>
      </c>
      <c r="W204" t="s">
        <v>197</v>
      </c>
      <c r="Y204">
        <v>8</v>
      </c>
      <c r="Z204" t="s">
        <v>172</v>
      </c>
      <c r="AA204" t="s">
        <v>173</v>
      </c>
      <c r="AB204" t="s">
        <v>170</v>
      </c>
      <c r="AC204" t="s">
        <v>232</v>
      </c>
      <c r="AD204">
        <v>15</v>
      </c>
      <c r="AG204" t="s">
        <v>176</v>
      </c>
      <c r="AH204" t="s">
        <v>177</v>
      </c>
      <c r="AI204" t="s">
        <v>178</v>
      </c>
      <c r="AJ204" t="s">
        <v>179</v>
      </c>
      <c r="AK204" t="s">
        <v>173</v>
      </c>
      <c r="AL204" t="s">
        <v>180</v>
      </c>
      <c r="AO204">
        <v>107</v>
      </c>
      <c r="AP204">
        <v>15</v>
      </c>
      <c r="AS204">
        <v>2700</v>
      </c>
      <c r="AT204">
        <v>2700</v>
      </c>
      <c r="BN204" s="114" t="s">
        <v>247</v>
      </c>
      <c r="BO204">
        <v>2</v>
      </c>
      <c r="BP204">
        <v>2</v>
      </c>
      <c r="BQ204">
        <v>6</v>
      </c>
      <c r="BR204" t="s">
        <v>536</v>
      </c>
      <c r="BS204" t="s">
        <v>182</v>
      </c>
      <c r="BT204" t="s">
        <v>183</v>
      </c>
      <c r="BU204" s="115">
        <v>45821</v>
      </c>
      <c r="BV204">
        <v>36712</v>
      </c>
      <c r="BW204" s="116"/>
      <c r="BX204" t="s">
        <v>173</v>
      </c>
      <c r="BY204" t="s">
        <v>173</v>
      </c>
      <c r="CB204" t="s">
        <v>173</v>
      </c>
      <c r="CC204" t="s">
        <v>173</v>
      </c>
      <c r="CE204" t="s">
        <v>173</v>
      </c>
      <c r="CG204" t="s">
        <v>172</v>
      </c>
      <c r="CH204" t="s">
        <v>551</v>
      </c>
      <c r="CI204" t="s">
        <v>173</v>
      </c>
      <c r="DJ204" t="s">
        <v>250</v>
      </c>
      <c r="DK204" t="s">
        <v>251</v>
      </c>
      <c r="DN204" t="s">
        <v>173</v>
      </c>
      <c r="DO204" t="s">
        <v>552</v>
      </c>
      <c r="DP204" t="s">
        <v>172</v>
      </c>
      <c r="DQ204" t="s">
        <v>204</v>
      </c>
      <c r="DY204">
        <v>30.9</v>
      </c>
      <c r="EA204" s="117"/>
      <c r="EB204">
        <v>5</v>
      </c>
      <c r="EC204">
        <v>5</v>
      </c>
      <c r="EE204" t="s">
        <v>553</v>
      </c>
      <c r="EF204">
        <v>6</v>
      </c>
      <c r="EV204">
        <v>5000</v>
      </c>
      <c r="EW204">
        <v>439</v>
      </c>
      <c r="EX204">
        <v>311</v>
      </c>
      <c r="EY204">
        <v>382</v>
      </c>
    </row>
    <row r="205" spans="1:155" x14ac:dyDescent="0.35">
      <c r="A205">
        <v>2026</v>
      </c>
      <c r="B205" t="s">
        <v>400</v>
      </c>
      <c r="C205" s="112" t="s">
        <v>401</v>
      </c>
      <c r="D205" t="s">
        <v>550</v>
      </c>
      <c r="E205" t="s">
        <v>403</v>
      </c>
      <c r="F205">
        <v>12</v>
      </c>
      <c r="G205" s="113">
        <v>3.5</v>
      </c>
      <c r="H205">
        <v>6</v>
      </c>
      <c r="I205" t="s">
        <v>195</v>
      </c>
      <c r="J205">
        <v>15</v>
      </c>
      <c r="K205">
        <v>24</v>
      </c>
      <c r="L205">
        <v>18</v>
      </c>
      <c r="M205">
        <v>18.4544</v>
      </c>
      <c r="N205">
        <v>30.226900000000001</v>
      </c>
      <c r="O205">
        <v>22.376100000000001</v>
      </c>
      <c r="P205">
        <v>15.4526</v>
      </c>
      <c r="Q205">
        <v>23.568999999999999</v>
      </c>
      <c r="R205">
        <v>18.2864</v>
      </c>
      <c r="T205" t="s">
        <v>168</v>
      </c>
      <c r="U205" t="s">
        <v>169</v>
      </c>
      <c r="V205" t="s">
        <v>196</v>
      </c>
      <c r="W205" t="s">
        <v>197</v>
      </c>
      <c r="Y205">
        <v>8</v>
      </c>
      <c r="Z205" t="s">
        <v>172</v>
      </c>
      <c r="AA205" t="s">
        <v>173</v>
      </c>
      <c r="AB205" t="s">
        <v>170</v>
      </c>
      <c r="AC205" t="s">
        <v>232</v>
      </c>
      <c r="AD205">
        <v>15</v>
      </c>
      <c r="AG205" t="s">
        <v>176</v>
      </c>
      <c r="AH205" t="s">
        <v>177</v>
      </c>
      <c r="AI205" t="s">
        <v>178</v>
      </c>
      <c r="AJ205" t="s">
        <v>179</v>
      </c>
      <c r="AK205" t="s">
        <v>173</v>
      </c>
      <c r="AL205" t="s">
        <v>180</v>
      </c>
      <c r="AO205">
        <v>107</v>
      </c>
      <c r="AP205">
        <v>15</v>
      </c>
      <c r="AS205">
        <v>3450</v>
      </c>
      <c r="AT205">
        <v>3450</v>
      </c>
      <c r="BN205" s="114" t="s">
        <v>247</v>
      </c>
      <c r="BO205">
        <v>2</v>
      </c>
      <c r="BP205">
        <v>2</v>
      </c>
      <c r="BQ205">
        <v>6</v>
      </c>
      <c r="BR205" t="s">
        <v>536</v>
      </c>
      <c r="BS205" t="s">
        <v>182</v>
      </c>
      <c r="BT205" t="s">
        <v>218</v>
      </c>
      <c r="BU205" s="115">
        <v>45821</v>
      </c>
      <c r="BV205">
        <v>36711</v>
      </c>
      <c r="BW205" s="116"/>
      <c r="BX205" t="s">
        <v>173</v>
      </c>
      <c r="BY205" t="s">
        <v>173</v>
      </c>
      <c r="CB205" t="s">
        <v>173</v>
      </c>
      <c r="CC205" t="s">
        <v>173</v>
      </c>
      <c r="CE205" t="s">
        <v>173</v>
      </c>
      <c r="CG205" t="s">
        <v>172</v>
      </c>
      <c r="CH205" t="s">
        <v>551</v>
      </c>
      <c r="CI205" t="s">
        <v>173</v>
      </c>
      <c r="DJ205" t="s">
        <v>250</v>
      </c>
      <c r="DK205" t="s">
        <v>251</v>
      </c>
      <c r="DN205" t="s">
        <v>173</v>
      </c>
      <c r="DO205" t="s">
        <v>552</v>
      </c>
      <c r="DP205" t="s">
        <v>172</v>
      </c>
      <c r="DQ205" t="s">
        <v>204</v>
      </c>
      <c r="DY205">
        <v>22.5</v>
      </c>
      <c r="EA205" s="117"/>
      <c r="EB205">
        <v>3</v>
      </c>
      <c r="EC205">
        <v>3</v>
      </c>
      <c r="EE205" t="s">
        <v>554</v>
      </c>
      <c r="EF205">
        <v>5</v>
      </c>
      <c r="EV205">
        <v>8750</v>
      </c>
      <c r="EW205">
        <v>574</v>
      </c>
      <c r="EX205">
        <v>377</v>
      </c>
      <c r="EY205">
        <v>485</v>
      </c>
    </row>
    <row r="206" spans="1:155" x14ac:dyDescent="0.35">
      <c r="A206">
        <v>2026</v>
      </c>
      <c r="B206" t="s">
        <v>400</v>
      </c>
      <c r="C206" s="112" t="s">
        <v>401</v>
      </c>
      <c r="D206" t="s">
        <v>555</v>
      </c>
      <c r="E206" t="s">
        <v>403</v>
      </c>
      <c r="F206">
        <v>18</v>
      </c>
      <c r="G206" s="113">
        <v>3.5</v>
      </c>
      <c r="H206">
        <v>6</v>
      </c>
      <c r="I206" t="s">
        <v>195</v>
      </c>
      <c r="J206">
        <v>18</v>
      </c>
      <c r="K206">
        <v>26</v>
      </c>
      <c r="L206">
        <v>21</v>
      </c>
      <c r="M206">
        <v>22.6</v>
      </c>
      <c r="N206">
        <v>36.1</v>
      </c>
      <c r="O206">
        <v>27.172699999999999</v>
      </c>
      <c r="P206">
        <v>18.043099999999999</v>
      </c>
      <c r="Q206">
        <v>25.6084</v>
      </c>
      <c r="R206">
        <v>20.8095</v>
      </c>
      <c r="T206" t="s">
        <v>168</v>
      </c>
      <c r="U206" t="s">
        <v>169</v>
      </c>
      <c r="V206" t="s">
        <v>196</v>
      </c>
      <c r="W206" t="s">
        <v>197</v>
      </c>
      <c r="Y206">
        <v>8</v>
      </c>
      <c r="Z206" t="s">
        <v>172</v>
      </c>
      <c r="AA206" t="s">
        <v>173</v>
      </c>
      <c r="AB206" t="s">
        <v>170</v>
      </c>
      <c r="AC206" t="s">
        <v>232</v>
      </c>
      <c r="AD206">
        <v>15</v>
      </c>
      <c r="AG206" t="s">
        <v>176</v>
      </c>
      <c r="AH206" t="s">
        <v>177</v>
      </c>
      <c r="AI206" t="s">
        <v>178</v>
      </c>
      <c r="AJ206" t="s">
        <v>179</v>
      </c>
      <c r="AK206" t="s">
        <v>173</v>
      </c>
      <c r="AL206" t="s">
        <v>180</v>
      </c>
      <c r="AO206">
        <v>109</v>
      </c>
      <c r="AP206">
        <v>12</v>
      </c>
      <c r="AS206">
        <v>2950</v>
      </c>
      <c r="AT206">
        <v>2950</v>
      </c>
      <c r="BN206" s="114" t="s">
        <v>247</v>
      </c>
      <c r="BO206">
        <v>2</v>
      </c>
      <c r="BP206">
        <v>2</v>
      </c>
      <c r="BQ206">
        <v>6</v>
      </c>
      <c r="BR206" t="s">
        <v>536</v>
      </c>
      <c r="BS206" t="s">
        <v>182</v>
      </c>
      <c r="BT206" t="s">
        <v>183</v>
      </c>
      <c r="BU206" s="115">
        <v>45778</v>
      </c>
      <c r="BV206">
        <v>36535</v>
      </c>
      <c r="BW206" s="116"/>
      <c r="BX206" t="s">
        <v>173</v>
      </c>
      <c r="BY206" t="s">
        <v>173</v>
      </c>
      <c r="CB206" t="s">
        <v>173</v>
      </c>
      <c r="CC206" t="s">
        <v>173</v>
      </c>
      <c r="CE206" t="s">
        <v>173</v>
      </c>
      <c r="CG206" t="s">
        <v>172</v>
      </c>
      <c r="CH206" t="s">
        <v>556</v>
      </c>
      <c r="CI206" t="s">
        <v>173</v>
      </c>
      <c r="DJ206" t="s">
        <v>250</v>
      </c>
      <c r="DK206" t="s">
        <v>251</v>
      </c>
      <c r="DN206" t="s">
        <v>173</v>
      </c>
      <c r="DO206" t="s">
        <v>266</v>
      </c>
      <c r="DP206" t="s">
        <v>172</v>
      </c>
      <c r="DQ206" t="s">
        <v>204</v>
      </c>
      <c r="DY206">
        <v>27.4</v>
      </c>
      <c r="EA206" s="117"/>
      <c r="EB206">
        <v>4</v>
      </c>
      <c r="EC206">
        <v>4</v>
      </c>
      <c r="EE206" t="s">
        <v>557</v>
      </c>
      <c r="EF206">
        <v>4</v>
      </c>
      <c r="EV206">
        <v>6250</v>
      </c>
      <c r="EW206">
        <v>491</v>
      </c>
      <c r="EX206">
        <v>347</v>
      </c>
      <c r="EY206">
        <v>426</v>
      </c>
    </row>
    <row r="207" spans="1:155" x14ac:dyDescent="0.35">
      <c r="A207">
        <v>2026</v>
      </c>
      <c r="B207" t="s">
        <v>400</v>
      </c>
      <c r="C207" s="112" t="s">
        <v>401</v>
      </c>
      <c r="D207" t="s">
        <v>1234</v>
      </c>
      <c r="E207" t="s">
        <v>403</v>
      </c>
      <c r="F207">
        <v>23</v>
      </c>
      <c r="G207" s="113">
        <v>3.5</v>
      </c>
      <c r="H207">
        <v>6</v>
      </c>
      <c r="I207" t="s">
        <v>195</v>
      </c>
      <c r="J207">
        <v>17</v>
      </c>
      <c r="K207">
        <v>24</v>
      </c>
      <c r="L207">
        <v>20</v>
      </c>
      <c r="M207">
        <v>22.7</v>
      </c>
      <c r="N207">
        <v>35</v>
      </c>
      <c r="O207">
        <v>26.964200000000002</v>
      </c>
      <c r="P207">
        <v>17.2531</v>
      </c>
      <c r="Q207">
        <v>24.4848</v>
      </c>
      <c r="R207">
        <v>19.8977</v>
      </c>
      <c r="T207" t="s">
        <v>341</v>
      </c>
      <c r="U207" t="s">
        <v>342</v>
      </c>
      <c r="V207" t="s">
        <v>196</v>
      </c>
      <c r="W207" t="s">
        <v>197</v>
      </c>
      <c r="Y207">
        <v>8</v>
      </c>
      <c r="Z207" t="s">
        <v>172</v>
      </c>
      <c r="AA207" t="s">
        <v>173</v>
      </c>
      <c r="AB207" t="s">
        <v>170</v>
      </c>
      <c r="AC207" t="s">
        <v>232</v>
      </c>
      <c r="AD207">
        <v>15</v>
      </c>
      <c r="AG207" t="s">
        <v>176</v>
      </c>
      <c r="AH207" t="s">
        <v>177</v>
      </c>
      <c r="AI207" t="s">
        <v>178</v>
      </c>
      <c r="AJ207" t="s">
        <v>179</v>
      </c>
      <c r="AK207" t="s">
        <v>173</v>
      </c>
      <c r="AL207" t="s">
        <v>180</v>
      </c>
      <c r="AO207">
        <v>109</v>
      </c>
      <c r="AP207">
        <v>11</v>
      </c>
      <c r="AS207">
        <v>3100</v>
      </c>
      <c r="AT207">
        <v>3100</v>
      </c>
      <c r="BN207" s="114" t="s">
        <v>304</v>
      </c>
      <c r="BO207">
        <v>2</v>
      </c>
      <c r="BP207">
        <v>2</v>
      </c>
      <c r="BQ207">
        <v>6</v>
      </c>
      <c r="BR207" t="s">
        <v>536</v>
      </c>
      <c r="BS207" t="s">
        <v>182</v>
      </c>
      <c r="BT207" t="s">
        <v>218</v>
      </c>
      <c r="BU207" s="115">
        <v>45778</v>
      </c>
      <c r="BV207">
        <v>36534</v>
      </c>
      <c r="BW207" s="116"/>
      <c r="BX207" t="s">
        <v>173</v>
      </c>
      <c r="BY207" t="s">
        <v>173</v>
      </c>
      <c r="CB207" t="s">
        <v>173</v>
      </c>
      <c r="CC207" t="s">
        <v>173</v>
      </c>
      <c r="CD207" t="s">
        <v>1235</v>
      </c>
      <c r="CE207" t="s">
        <v>173</v>
      </c>
      <c r="CG207" t="s">
        <v>172</v>
      </c>
      <c r="CH207" t="s">
        <v>556</v>
      </c>
      <c r="CI207" t="s">
        <v>173</v>
      </c>
      <c r="CK207" t="s">
        <v>259</v>
      </c>
      <c r="CM207">
        <v>1</v>
      </c>
      <c r="CN207" t="s">
        <v>260</v>
      </c>
      <c r="CP207">
        <v>45</v>
      </c>
      <c r="CQ207">
        <v>9.8000000000000007</v>
      </c>
      <c r="CR207">
        <v>17.5</v>
      </c>
      <c r="CS207" t="s">
        <v>261</v>
      </c>
      <c r="CV207" t="s">
        <v>262</v>
      </c>
      <c r="CX207" t="s">
        <v>493</v>
      </c>
      <c r="CY207" t="s">
        <v>173</v>
      </c>
      <c r="DC207" t="s">
        <v>1094</v>
      </c>
      <c r="DD207">
        <v>1</v>
      </c>
      <c r="DE207" t="s">
        <v>307</v>
      </c>
      <c r="DF207" t="s">
        <v>1236</v>
      </c>
      <c r="DG207">
        <v>12</v>
      </c>
      <c r="DJ207" t="s">
        <v>250</v>
      </c>
      <c r="DK207" t="s">
        <v>251</v>
      </c>
      <c r="DL207" t="s">
        <v>173</v>
      </c>
      <c r="DM207" t="s">
        <v>173</v>
      </c>
      <c r="DN207" t="s">
        <v>173</v>
      </c>
      <c r="DO207" t="s">
        <v>266</v>
      </c>
      <c r="DP207" t="s">
        <v>172</v>
      </c>
      <c r="DQ207" t="s">
        <v>204</v>
      </c>
      <c r="DY207">
        <v>27.2</v>
      </c>
      <c r="EA207" s="117"/>
      <c r="EB207">
        <v>4</v>
      </c>
      <c r="EC207">
        <v>4</v>
      </c>
      <c r="EE207" t="s">
        <v>1237</v>
      </c>
      <c r="EF207">
        <v>4</v>
      </c>
      <c r="EV207">
        <v>7000</v>
      </c>
      <c r="EW207">
        <v>505</v>
      </c>
      <c r="EX207">
        <v>363</v>
      </c>
      <c r="EY207">
        <v>441</v>
      </c>
    </row>
    <row r="208" spans="1:155" x14ac:dyDescent="0.35">
      <c r="A208">
        <v>2026</v>
      </c>
      <c r="B208" t="s">
        <v>481</v>
      </c>
      <c r="C208" s="112" t="s">
        <v>481</v>
      </c>
      <c r="D208" t="s">
        <v>559</v>
      </c>
      <c r="E208" t="s">
        <v>483</v>
      </c>
      <c r="F208">
        <v>25</v>
      </c>
      <c r="G208" s="113">
        <v>2</v>
      </c>
      <c r="H208">
        <v>4</v>
      </c>
      <c r="I208" t="s">
        <v>496</v>
      </c>
      <c r="J208">
        <v>30</v>
      </c>
      <c r="K208">
        <v>38</v>
      </c>
      <c r="L208">
        <v>34</v>
      </c>
      <c r="M208">
        <v>41.2</v>
      </c>
      <c r="N208">
        <v>57.6</v>
      </c>
      <c r="O208">
        <v>47.2545</v>
      </c>
      <c r="P208">
        <v>30</v>
      </c>
      <c r="Q208">
        <v>38</v>
      </c>
      <c r="R208">
        <v>34.145899999999997</v>
      </c>
      <c r="U208" t="s">
        <v>215</v>
      </c>
      <c r="V208" t="s">
        <v>497</v>
      </c>
      <c r="W208" t="s">
        <v>498</v>
      </c>
      <c r="Y208">
        <v>7</v>
      </c>
      <c r="Z208" t="s">
        <v>172</v>
      </c>
      <c r="AA208" t="s">
        <v>173</v>
      </c>
      <c r="AB208" t="s">
        <v>277</v>
      </c>
      <c r="AC208" t="s">
        <v>278</v>
      </c>
      <c r="AD208">
        <v>10</v>
      </c>
      <c r="AG208" t="s">
        <v>167</v>
      </c>
      <c r="AH208" t="s">
        <v>416</v>
      </c>
      <c r="AI208" t="s">
        <v>178</v>
      </c>
      <c r="AJ208" t="s">
        <v>179</v>
      </c>
      <c r="AK208" t="s">
        <v>173</v>
      </c>
      <c r="AL208" t="s">
        <v>180</v>
      </c>
      <c r="AQ208">
        <v>99</v>
      </c>
      <c r="AR208">
        <v>24</v>
      </c>
      <c r="AS208">
        <v>1450</v>
      </c>
      <c r="AT208">
        <v>1450</v>
      </c>
      <c r="BN208" s="114" t="s">
        <v>198</v>
      </c>
      <c r="BO208">
        <v>2</v>
      </c>
      <c r="BP208">
        <v>2</v>
      </c>
      <c r="BQ208">
        <v>6</v>
      </c>
      <c r="BR208" t="s">
        <v>536</v>
      </c>
      <c r="BS208" t="s">
        <v>182</v>
      </c>
      <c r="BT208" t="s">
        <v>183</v>
      </c>
      <c r="BU208" s="115">
        <v>45870</v>
      </c>
      <c r="BV208">
        <v>36946</v>
      </c>
      <c r="BW208" s="116"/>
      <c r="BX208" t="s">
        <v>173</v>
      </c>
      <c r="BY208" t="s">
        <v>173</v>
      </c>
      <c r="CB208" t="s">
        <v>173</v>
      </c>
      <c r="CC208" t="s">
        <v>173</v>
      </c>
      <c r="CE208" t="s">
        <v>173</v>
      </c>
      <c r="CG208" t="s">
        <v>172</v>
      </c>
      <c r="CH208" t="s">
        <v>490</v>
      </c>
      <c r="CI208" t="s">
        <v>173</v>
      </c>
      <c r="DJ208" t="s">
        <v>201</v>
      </c>
      <c r="DK208" t="s">
        <v>202</v>
      </c>
      <c r="DL208" t="s">
        <v>173</v>
      </c>
      <c r="DM208" t="s">
        <v>173</v>
      </c>
      <c r="DN208" t="s">
        <v>173</v>
      </c>
      <c r="DO208" t="s">
        <v>284</v>
      </c>
      <c r="DP208" t="s">
        <v>172</v>
      </c>
      <c r="DQ208" t="s">
        <v>204</v>
      </c>
      <c r="DY208">
        <v>48</v>
      </c>
      <c r="EA208" s="117"/>
      <c r="EB208">
        <v>6</v>
      </c>
      <c r="EC208">
        <v>6</v>
      </c>
      <c r="EE208" t="s">
        <v>560</v>
      </c>
      <c r="EF208">
        <v>6</v>
      </c>
      <c r="EU208">
        <v>1250</v>
      </c>
      <c r="EW208">
        <v>295</v>
      </c>
      <c r="EX208">
        <v>233</v>
      </c>
      <c r="EY208">
        <v>268</v>
      </c>
    </row>
    <row r="209" spans="1:155" x14ac:dyDescent="0.35">
      <c r="A209">
        <v>2026</v>
      </c>
      <c r="B209" t="s">
        <v>481</v>
      </c>
      <c r="C209" s="112" t="s">
        <v>481</v>
      </c>
      <c r="D209" t="s">
        <v>559</v>
      </c>
      <c r="E209" t="s">
        <v>483</v>
      </c>
      <c r="F209">
        <v>34</v>
      </c>
      <c r="G209" s="113">
        <v>2</v>
      </c>
      <c r="H209">
        <v>4</v>
      </c>
      <c r="I209" t="s">
        <v>487</v>
      </c>
      <c r="J209">
        <v>50</v>
      </c>
      <c r="K209">
        <v>45</v>
      </c>
      <c r="L209">
        <v>48</v>
      </c>
      <c r="M209">
        <v>71.5</v>
      </c>
      <c r="N209">
        <v>65.7</v>
      </c>
      <c r="O209">
        <v>68.768100000000004</v>
      </c>
      <c r="P209">
        <v>50.063200000000002</v>
      </c>
      <c r="Q209">
        <v>45.175600000000003</v>
      </c>
      <c r="R209">
        <v>47.738999999999997</v>
      </c>
      <c r="U209" t="s">
        <v>215</v>
      </c>
      <c r="V209" t="s">
        <v>488</v>
      </c>
      <c r="W209" t="s">
        <v>489</v>
      </c>
      <c r="Y209">
        <v>1</v>
      </c>
      <c r="Z209" t="s">
        <v>172</v>
      </c>
      <c r="AA209" t="s">
        <v>173</v>
      </c>
      <c r="AB209" t="s">
        <v>277</v>
      </c>
      <c r="AC209" t="s">
        <v>278</v>
      </c>
      <c r="AD209">
        <v>10</v>
      </c>
      <c r="AG209" t="s">
        <v>167</v>
      </c>
      <c r="AH209" t="s">
        <v>416</v>
      </c>
      <c r="AI209" t="s">
        <v>178</v>
      </c>
      <c r="AJ209" t="s">
        <v>179</v>
      </c>
      <c r="AK209" t="s">
        <v>173</v>
      </c>
      <c r="AL209" t="s">
        <v>180</v>
      </c>
      <c r="AQ209">
        <v>99</v>
      </c>
      <c r="AR209">
        <v>24</v>
      </c>
      <c r="AS209">
        <v>1050</v>
      </c>
      <c r="AT209">
        <v>1050</v>
      </c>
      <c r="BN209" s="114" t="s">
        <v>492</v>
      </c>
      <c r="BO209">
        <v>2</v>
      </c>
      <c r="BP209">
        <v>2</v>
      </c>
      <c r="BQ209">
        <v>6</v>
      </c>
      <c r="BR209" t="s">
        <v>536</v>
      </c>
      <c r="BS209" t="s">
        <v>182</v>
      </c>
      <c r="BT209" t="s">
        <v>218</v>
      </c>
      <c r="BU209" s="115">
        <v>45825</v>
      </c>
      <c r="BV209">
        <v>36700</v>
      </c>
      <c r="BW209" s="116"/>
      <c r="BX209" t="s">
        <v>173</v>
      </c>
      <c r="BY209" t="s">
        <v>173</v>
      </c>
      <c r="CB209" t="s">
        <v>173</v>
      </c>
      <c r="CC209" t="s">
        <v>173</v>
      </c>
      <c r="CE209" t="s">
        <v>173</v>
      </c>
      <c r="CG209" t="s">
        <v>172</v>
      </c>
      <c r="CH209" t="s">
        <v>490</v>
      </c>
      <c r="CI209" t="s">
        <v>173</v>
      </c>
      <c r="CK209" t="s">
        <v>259</v>
      </c>
      <c r="CM209">
        <v>1</v>
      </c>
      <c r="CN209" t="s">
        <v>260</v>
      </c>
      <c r="CP209">
        <v>263</v>
      </c>
      <c r="CQ209">
        <v>4.07</v>
      </c>
      <c r="CR209">
        <v>77.3</v>
      </c>
      <c r="CS209" t="s">
        <v>261</v>
      </c>
      <c r="CV209" t="s">
        <v>262</v>
      </c>
      <c r="CX209" t="s">
        <v>493</v>
      </c>
      <c r="CY209" t="s">
        <v>173</v>
      </c>
      <c r="DD209">
        <v>1</v>
      </c>
      <c r="DE209" t="s">
        <v>307</v>
      </c>
      <c r="DF209" t="s">
        <v>494</v>
      </c>
      <c r="DG209">
        <v>181</v>
      </c>
      <c r="DJ209" t="s">
        <v>201</v>
      </c>
      <c r="DK209" t="s">
        <v>202</v>
      </c>
      <c r="DL209" t="s">
        <v>173</v>
      </c>
      <c r="DM209" t="s">
        <v>173</v>
      </c>
      <c r="DN209" t="s">
        <v>173</v>
      </c>
      <c r="DO209" t="s">
        <v>284</v>
      </c>
      <c r="DP209" t="s">
        <v>172</v>
      </c>
      <c r="DQ209" t="s">
        <v>204</v>
      </c>
      <c r="DY209">
        <v>69.099999999999994</v>
      </c>
      <c r="EA209" s="117"/>
      <c r="EB209">
        <v>8</v>
      </c>
      <c r="EC209">
        <v>8</v>
      </c>
      <c r="EE209" t="s">
        <v>495</v>
      </c>
      <c r="EF209">
        <v>6</v>
      </c>
      <c r="EU209">
        <v>3250</v>
      </c>
      <c r="EW209">
        <v>177</v>
      </c>
      <c r="EX209">
        <v>196</v>
      </c>
      <c r="EY209">
        <v>186</v>
      </c>
    </row>
    <row r="210" spans="1:155" x14ac:dyDescent="0.35">
      <c r="A210">
        <v>2026</v>
      </c>
      <c r="B210" t="s">
        <v>400</v>
      </c>
      <c r="C210" s="112" t="s">
        <v>561</v>
      </c>
      <c r="D210" t="s">
        <v>562</v>
      </c>
      <c r="E210" t="s">
        <v>403</v>
      </c>
      <c r="F210">
        <v>38</v>
      </c>
      <c r="G210" s="113">
        <v>2.5</v>
      </c>
      <c r="H210">
        <v>4</v>
      </c>
      <c r="I210" t="s">
        <v>195</v>
      </c>
      <c r="J210">
        <v>24</v>
      </c>
      <c r="K210">
        <v>33</v>
      </c>
      <c r="L210">
        <v>27</v>
      </c>
      <c r="M210">
        <v>30.4</v>
      </c>
      <c r="N210">
        <v>48.448700000000002</v>
      </c>
      <c r="O210">
        <v>36.522599999999997</v>
      </c>
      <c r="P210">
        <v>23.667400000000001</v>
      </c>
      <c r="Q210">
        <v>33.433700000000002</v>
      </c>
      <c r="R210">
        <v>27.249300000000002</v>
      </c>
      <c r="U210" t="s">
        <v>215</v>
      </c>
      <c r="V210" t="s">
        <v>196</v>
      </c>
      <c r="W210" t="s">
        <v>197</v>
      </c>
      <c r="Y210">
        <v>8</v>
      </c>
      <c r="Z210" t="s">
        <v>172</v>
      </c>
      <c r="AA210" t="s">
        <v>173</v>
      </c>
      <c r="AB210" t="s">
        <v>170</v>
      </c>
      <c r="AC210" t="s">
        <v>232</v>
      </c>
      <c r="AD210">
        <v>15</v>
      </c>
      <c r="AG210" t="s">
        <v>167</v>
      </c>
      <c r="AH210" t="s">
        <v>416</v>
      </c>
      <c r="AI210" t="s">
        <v>178</v>
      </c>
      <c r="AJ210" t="s">
        <v>179</v>
      </c>
      <c r="AK210" t="s">
        <v>173</v>
      </c>
      <c r="AL210" t="s">
        <v>180</v>
      </c>
      <c r="AO210">
        <v>104</v>
      </c>
      <c r="AP210">
        <v>16</v>
      </c>
      <c r="AS210">
        <v>1850</v>
      </c>
      <c r="AT210">
        <v>1850</v>
      </c>
      <c r="BN210" s="114" t="s">
        <v>247</v>
      </c>
      <c r="BO210">
        <v>2</v>
      </c>
      <c r="BP210">
        <v>2</v>
      </c>
      <c r="BQ210">
        <v>6</v>
      </c>
      <c r="BR210" t="s">
        <v>536</v>
      </c>
      <c r="BS210" t="s">
        <v>182</v>
      </c>
      <c r="BT210" t="s">
        <v>183</v>
      </c>
      <c r="BU210" s="115">
        <v>45839</v>
      </c>
      <c r="BV210">
        <v>36761</v>
      </c>
      <c r="BW210" s="116"/>
      <c r="BX210" t="s">
        <v>173</v>
      </c>
      <c r="BY210" t="s">
        <v>173</v>
      </c>
      <c r="CB210" t="s">
        <v>173</v>
      </c>
      <c r="CC210" t="s">
        <v>173</v>
      </c>
      <c r="CE210" t="s">
        <v>173</v>
      </c>
      <c r="CG210" t="s">
        <v>172</v>
      </c>
      <c r="CH210" t="s">
        <v>563</v>
      </c>
      <c r="CI210" t="s">
        <v>173</v>
      </c>
      <c r="DJ210" t="s">
        <v>250</v>
      </c>
      <c r="DK210" t="s">
        <v>251</v>
      </c>
      <c r="DN210" t="s">
        <v>173</v>
      </c>
      <c r="DO210" t="s">
        <v>564</v>
      </c>
      <c r="DP210" t="s">
        <v>173</v>
      </c>
      <c r="DQ210" t="s">
        <v>189</v>
      </c>
      <c r="DY210">
        <v>36.799999999999997</v>
      </c>
      <c r="EA210" s="117"/>
      <c r="EB210">
        <v>5</v>
      </c>
      <c r="EC210">
        <v>5</v>
      </c>
      <c r="EE210" t="s">
        <v>565</v>
      </c>
      <c r="EF210">
        <v>6</v>
      </c>
      <c r="EV210">
        <v>750</v>
      </c>
      <c r="EW210">
        <v>376</v>
      </c>
      <c r="EX210">
        <v>267</v>
      </c>
      <c r="EY210">
        <v>327</v>
      </c>
    </row>
    <row r="211" spans="1:155" x14ac:dyDescent="0.35">
      <c r="A211">
        <v>2026</v>
      </c>
      <c r="B211" t="s">
        <v>400</v>
      </c>
      <c r="C211" s="112" t="s">
        <v>561</v>
      </c>
      <c r="D211" t="s">
        <v>566</v>
      </c>
      <c r="E211" t="s">
        <v>403</v>
      </c>
      <c r="F211">
        <v>39</v>
      </c>
      <c r="G211" s="113">
        <v>2.5</v>
      </c>
      <c r="H211">
        <v>4</v>
      </c>
      <c r="I211" t="s">
        <v>195</v>
      </c>
      <c r="J211">
        <v>25</v>
      </c>
      <c r="K211">
        <v>36</v>
      </c>
      <c r="L211">
        <v>29</v>
      </c>
      <c r="M211">
        <v>31.7</v>
      </c>
      <c r="N211">
        <v>53</v>
      </c>
      <c r="O211">
        <v>38.698599999999999</v>
      </c>
      <c r="P211">
        <v>24.5777</v>
      </c>
      <c r="Q211">
        <v>36.211500000000001</v>
      </c>
      <c r="R211">
        <v>28.7315</v>
      </c>
      <c r="U211" t="s">
        <v>215</v>
      </c>
      <c r="V211" t="s">
        <v>196</v>
      </c>
      <c r="W211" t="s">
        <v>197</v>
      </c>
      <c r="Y211">
        <v>8</v>
      </c>
      <c r="Z211" t="s">
        <v>172</v>
      </c>
      <c r="AA211" t="s">
        <v>173</v>
      </c>
      <c r="AB211" t="s">
        <v>277</v>
      </c>
      <c r="AC211" t="s">
        <v>278</v>
      </c>
      <c r="AD211">
        <v>15</v>
      </c>
      <c r="AG211" t="s">
        <v>167</v>
      </c>
      <c r="AH211" t="s">
        <v>416</v>
      </c>
      <c r="AI211" t="s">
        <v>178</v>
      </c>
      <c r="AJ211" t="s">
        <v>179</v>
      </c>
      <c r="AK211" t="s">
        <v>173</v>
      </c>
      <c r="AL211" t="s">
        <v>180</v>
      </c>
      <c r="AO211">
        <v>104</v>
      </c>
      <c r="AP211">
        <v>16</v>
      </c>
      <c r="AS211">
        <v>1700</v>
      </c>
      <c r="AT211">
        <v>1700</v>
      </c>
      <c r="BN211" s="114" t="s">
        <v>247</v>
      </c>
      <c r="BO211">
        <v>2</v>
      </c>
      <c r="BP211">
        <v>2</v>
      </c>
      <c r="BQ211">
        <v>6</v>
      </c>
      <c r="BR211" t="s">
        <v>536</v>
      </c>
      <c r="BS211" t="s">
        <v>182</v>
      </c>
      <c r="BT211" t="s">
        <v>183</v>
      </c>
      <c r="BU211" s="115">
        <v>45839</v>
      </c>
      <c r="BV211">
        <v>36764</v>
      </c>
      <c r="BW211" s="116"/>
      <c r="BX211" t="s">
        <v>173</v>
      </c>
      <c r="BY211" t="s">
        <v>173</v>
      </c>
      <c r="CB211" t="s">
        <v>173</v>
      </c>
      <c r="CC211" t="s">
        <v>173</v>
      </c>
      <c r="CE211" t="s">
        <v>173</v>
      </c>
      <c r="CG211" t="s">
        <v>172</v>
      </c>
      <c r="CH211" t="s">
        <v>563</v>
      </c>
      <c r="CI211" t="s">
        <v>173</v>
      </c>
      <c r="DJ211" t="s">
        <v>250</v>
      </c>
      <c r="DK211" t="s">
        <v>251</v>
      </c>
      <c r="DN211" t="s">
        <v>173</v>
      </c>
      <c r="DO211" t="s">
        <v>564</v>
      </c>
      <c r="DP211" t="s">
        <v>173</v>
      </c>
      <c r="DQ211" t="s">
        <v>189</v>
      </c>
      <c r="DR211" t="s">
        <v>569</v>
      </c>
      <c r="DY211">
        <v>39</v>
      </c>
      <c r="EA211" s="117"/>
      <c r="EB211">
        <v>6</v>
      </c>
      <c r="EC211">
        <v>6</v>
      </c>
      <c r="EE211" t="s">
        <v>565</v>
      </c>
      <c r="EF211">
        <v>6</v>
      </c>
      <c r="EU211">
        <v>0</v>
      </c>
      <c r="EW211">
        <v>362</v>
      </c>
      <c r="EX211">
        <v>246</v>
      </c>
      <c r="EY211">
        <v>310</v>
      </c>
    </row>
    <row r="212" spans="1:155" x14ac:dyDescent="0.35">
      <c r="A212">
        <v>2026</v>
      </c>
      <c r="B212" t="s">
        <v>400</v>
      </c>
      <c r="C212" s="112" t="s">
        <v>561</v>
      </c>
      <c r="D212" t="s">
        <v>566</v>
      </c>
      <c r="E212" t="s">
        <v>403</v>
      </c>
      <c r="F212">
        <v>41</v>
      </c>
      <c r="G212" s="113">
        <v>2.5</v>
      </c>
      <c r="H212">
        <v>4</v>
      </c>
      <c r="I212" t="s">
        <v>289</v>
      </c>
      <c r="J212">
        <v>23</v>
      </c>
      <c r="K212">
        <v>32</v>
      </c>
      <c r="L212">
        <v>27</v>
      </c>
      <c r="M212">
        <v>28.882999999999999</v>
      </c>
      <c r="N212">
        <v>45.457700000000003</v>
      </c>
      <c r="O212">
        <v>34.552300000000002</v>
      </c>
      <c r="P212">
        <v>23.381</v>
      </c>
      <c r="Q212">
        <v>32.018099999999997</v>
      </c>
      <c r="R212">
        <v>26.6114</v>
      </c>
      <c r="T212" t="s">
        <v>168</v>
      </c>
      <c r="U212" t="s">
        <v>169</v>
      </c>
      <c r="V212" t="s">
        <v>275</v>
      </c>
      <c r="W212" t="s">
        <v>276</v>
      </c>
      <c r="Y212">
        <v>8</v>
      </c>
      <c r="Z212" t="s">
        <v>173</v>
      </c>
      <c r="AA212" t="s">
        <v>173</v>
      </c>
      <c r="AB212" t="s">
        <v>277</v>
      </c>
      <c r="AC212" t="s">
        <v>278</v>
      </c>
      <c r="AD212">
        <v>15</v>
      </c>
      <c r="AG212" t="s">
        <v>167</v>
      </c>
      <c r="AH212" t="s">
        <v>416</v>
      </c>
      <c r="AI212" t="s">
        <v>178</v>
      </c>
      <c r="AJ212" t="s">
        <v>179</v>
      </c>
      <c r="AK212" t="s">
        <v>173</v>
      </c>
      <c r="AL212" t="s">
        <v>180</v>
      </c>
      <c r="AO212">
        <v>104</v>
      </c>
      <c r="AP212">
        <v>16</v>
      </c>
      <c r="AS212">
        <v>1850</v>
      </c>
      <c r="AT212">
        <v>1850</v>
      </c>
      <c r="BN212" s="114" t="s">
        <v>247</v>
      </c>
      <c r="BO212">
        <v>2</v>
      </c>
      <c r="BP212">
        <v>2</v>
      </c>
      <c r="BQ212">
        <v>6</v>
      </c>
      <c r="BR212" t="s">
        <v>536</v>
      </c>
      <c r="BS212" t="s">
        <v>182</v>
      </c>
      <c r="BT212" t="s">
        <v>218</v>
      </c>
      <c r="BU212" s="115">
        <v>45839</v>
      </c>
      <c r="BV212">
        <v>36769</v>
      </c>
      <c r="BW212" s="116"/>
      <c r="BX212" t="s">
        <v>173</v>
      </c>
      <c r="BY212" t="s">
        <v>173</v>
      </c>
      <c r="CB212" t="s">
        <v>173</v>
      </c>
      <c r="CC212" t="s">
        <v>173</v>
      </c>
      <c r="CE212" t="s">
        <v>173</v>
      </c>
      <c r="CG212" t="s">
        <v>172</v>
      </c>
      <c r="CH212" t="s">
        <v>567</v>
      </c>
      <c r="CI212" t="s">
        <v>173</v>
      </c>
      <c r="DJ212" t="s">
        <v>250</v>
      </c>
      <c r="DK212" t="s">
        <v>251</v>
      </c>
      <c r="DN212" t="s">
        <v>173</v>
      </c>
      <c r="DO212" t="s">
        <v>552</v>
      </c>
      <c r="DP212" t="s">
        <v>173</v>
      </c>
      <c r="DQ212" t="s">
        <v>189</v>
      </c>
      <c r="DY212">
        <v>34.799999999999997</v>
      </c>
      <c r="EA212" s="117"/>
      <c r="EB212">
        <v>5</v>
      </c>
      <c r="EC212">
        <v>5</v>
      </c>
      <c r="EE212" t="s">
        <v>568</v>
      </c>
      <c r="EF212">
        <v>4</v>
      </c>
      <c r="EV212">
        <v>750</v>
      </c>
      <c r="EW212">
        <v>378</v>
      </c>
      <c r="EX212">
        <v>277</v>
      </c>
      <c r="EY212">
        <v>333</v>
      </c>
    </row>
    <row r="213" spans="1:155" x14ac:dyDescent="0.35">
      <c r="A213">
        <v>2026</v>
      </c>
      <c r="B213" t="s">
        <v>400</v>
      </c>
      <c r="C213" s="112" t="s">
        <v>561</v>
      </c>
      <c r="D213" t="s">
        <v>570</v>
      </c>
      <c r="E213" t="s">
        <v>403</v>
      </c>
      <c r="F213">
        <v>40</v>
      </c>
      <c r="G213" s="113">
        <v>2.5</v>
      </c>
      <c r="H213">
        <v>4</v>
      </c>
      <c r="I213" t="s">
        <v>195</v>
      </c>
      <c r="J213">
        <v>28</v>
      </c>
      <c r="K213">
        <v>38</v>
      </c>
      <c r="L213">
        <v>32</v>
      </c>
      <c r="M213">
        <v>36.200000000000003</v>
      </c>
      <c r="N213">
        <v>56.599299999999999</v>
      </c>
      <c r="O213">
        <v>43.207700000000003</v>
      </c>
      <c r="P213">
        <v>27.671700000000001</v>
      </c>
      <c r="Q213">
        <v>38.369599999999998</v>
      </c>
      <c r="R213">
        <v>31.6416</v>
      </c>
      <c r="U213" t="s">
        <v>215</v>
      </c>
      <c r="V213" t="s">
        <v>196</v>
      </c>
      <c r="W213" t="s">
        <v>197</v>
      </c>
      <c r="Y213">
        <v>8</v>
      </c>
      <c r="Z213" t="s">
        <v>172</v>
      </c>
      <c r="AA213" t="s">
        <v>173</v>
      </c>
      <c r="AB213" t="s">
        <v>277</v>
      </c>
      <c r="AC213" t="s">
        <v>278</v>
      </c>
      <c r="AD213">
        <v>15</v>
      </c>
      <c r="AG213" t="s">
        <v>167</v>
      </c>
      <c r="AH213" t="s">
        <v>416</v>
      </c>
      <c r="AI213" t="s">
        <v>178</v>
      </c>
      <c r="AJ213" t="s">
        <v>179</v>
      </c>
      <c r="AK213" t="s">
        <v>173</v>
      </c>
      <c r="AL213" t="s">
        <v>180</v>
      </c>
      <c r="AO213">
        <v>104</v>
      </c>
      <c r="AP213">
        <v>16</v>
      </c>
      <c r="AS213">
        <v>1550</v>
      </c>
      <c r="AT213">
        <v>1550</v>
      </c>
      <c r="BN213" s="114" t="s">
        <v>247</v>
      </c>
      <c r="BO213">
        <v>2</v>
      </c>
      <c r="BP213">
        <v>2</v>
      </c>
      <c r="BQ213">
        <v>6</v>
      </c>
      <c r="BR213" t="s">
        <v>536</v>
      </c>
      <c r="BS213" t="s">
        <v>182</v>
      </c>
      <c r="BT213" t="s">
        <v>183</v>
      </c>
      <c r="BU213" s="115">
        <v>45839</v>
      </c>
      <c r="BV213">
        <v>36767</v>
      </c>
      <c r="BW213" s="116"/>
      <c r="BX213" t="s">
        <v>173</v>
      </c>
      <c r="BY213" t="s">
        <v>173</v>
      </c>
      <c r="CB213" t="s">
        <v>173</v>
      </c>
      <c r="CC213" t="s">
        <v>173</v>
      </c>
      <c r="CE213" t="s">
        <v>173</v>
      </c>
      <c r="CG213" t="s">
        <v>172</v>
      </c>
      <c r="CH213" t="s">
        <v>563</v>
      </c>
      <c r="CI213" t="s">
        <v>173</v>
      </c>
      <c r="DJ213" t="s">
        <v>250</v>
      </c>
      <c r="DK213" t="s">
        <v>251</v>
      </c>
      <c r="DN213" t="s">
        <v>173</v>
      </c>
      <c r="DO213" t="s">
        <v>564</v>
      </c>
      <c r="DP213" t="s">
        <v>172</v>
      </c>
      <c r="DQ213" t="s">
        <v>204</v>
      </c>
      <c r="DR213" t="s">
        <v>571</v>
      </c>
      <c r="DY213">
        <v>43.5</v>
      </c>
      <c r="EA213" s="117"/>
      <c r="EB213">
        <v>6</v>
      </c>
      <c r="EC213">
        <v>6</v>
      </c>
      <c r="EE213" t="s">
        <v>565</v>
      </c>
      <c r="EF213">
        <v>6</v>
      </c>
      <c r="EU213">
        <v>750</v>
      </c>
      <c r="EW213">
        <v>322</v>
      </c>
      <c r="EX213">
        <v>232</v>
      </c>
      <c r="EY213">
        <v>281</v>
      </c>
    </row>
    <row r="214" spans="1:155" x14ac:dyDescent="0.35">
      <c r="A214">
        <v>2026</v>
      </c>
      <c r="B214" t="s">
        <v>400</v>
      </c>
      <c r="C214" s="112" t="s">
        <v>561</v>
      </c>
      <c r="D214" t="s">
        <v>572</v>
      </c>
      <c r="E214" t="s">
        <v>403</v>
      </c>
      <c r="F214">
        <v>42</v>
      </c>
      <c r="G214" s="113">
        <v>2</v>
      </c>
      <c r="H214">
        <v>4</v>
      </c>
      <c r="I214" t="s">
        <v>573</v>
      </c>
      <c r="J214">
        <v>44</v>
      </c>
      <c r="K214">
        <v>51</v>
      </c>
      <c r="L214">
        <v>47</v>
      </c>
      <c r="M214">
        <v>56.3</v>
      </c>
      <c r="N214">
        <v>67</v>
      </c>
      <c r="O214">
        <v>60.659300000000002</v>
      </c>
      <c r="P214">
        <v>44.412399999999998</v>
      </c>
      <c r="Q214">
        <v>51.085700000000003</v>
      </c>
      <c r="R214">
        <v>47.186199999999999</v>
      </c>
      <c r="U214" t="s">
        <v>215</v>
      </c>
      <c r="V214" t="s">
        <v>275</v>
      </c>
      <c r="W214" t="s">
        <v>276</v>
      </c>
      <c r="Y214">
        <v>6</v>
      </c>
      <c r="Z214" t="s">
        <v>173</v>
      </c>
      <c r="AA214" t="s">
        <v>173</v>
      </c>
      <c r="AB214" t="s">
        <v>277</v>
      </c>
      <c r="AC214" t="s">
        <v>278</v>
      </c>
      <c r="AD214">
        <v>15</v>
      </c>
      <c r="AG214" t="s">
        <v>167</v>
      </c>
      <c r="AH214" t="s">
        <v>416</v>
      </c>
      <c r="AI214" t="s">
        <v>178</v>
      </c>
      <c r="AJ214" t="s">
        <v>179</v>
      </c>
      <c r="AK214" t="s">
        <v>173</v>
      </c>
      <c r="AL214" t="s">
        <v>180</v>
      </c>
      <c r="AO214">
        <v>104</v>
      </c>
      <c r="AP214">
        <v>16</v>
      </c>
      <c r="AS214">
        <v>1050</v>
      </c>
      <c r="AT214">
        <v>1050</v>
      </c>
      <c r="BN214" s="114" t="s">
        <v>492</v>
      </c>
      <c r="BO214">
        <v>2</v>
      </c>
      <c r="BP214">
        <v>2</v>
      </c>
      <c r="BQ214">
        <v>6</v>
      </c>
      <c r="BR214" t="s">
        <v>536</v>
      </c>
      <c r="BS214" t="s">
        <v>182</v>
      </c>
      <c r="BT214" t="s">
        <v>218</v>
      </c>
      <c r="BU214" s="115">
        <v>45839</v>
      </c>
      <c r="BV214">
        <v>36770</v>
      </c>
      <c r="BW214" s="116"/>
      <c r="BX214" t="s">
        <v>173</v>
      </c>
      <c r="BY214" t="s">
        <v>173</v>
      </c>
      <c r="CB214" t="s">
        <v>173</v>
      </c>
      <c r="CC214" t="s">
        <v>173</v>
      </c>
      <c r="CE214" t="s">
        <v>173</v>
      </c>
      <c r="CG214" t="s">
        <v>172</v>
      </c>
      <c r="CH214" t="s">
        <v>574</v>
      </c>
      <c r="CI214" t="s">
        <v>173</v>
      </c>
      <c r="CK214" t="s">
        <v>259</v>
      </c>
      <c r="CM214">
        <v>1</v>
      </c>
      <c r="CN214" t="s">
        <v>260</v>
      </c>
      <c r="CP214">
        <v>270</v>
      </c>
      <c r="CQ214">
        <v>5.5</v>
      </c>
      <c r="CR214">
        <v>41.3</v>
      </c>
      <c r="CS214" t="s">
        <v>261</v>
      </c>
      <c r="CV214" t="s">
        <v>262</v>
      </c>
      <c r="CX214" t="s">
        <v>493</v>
      </c>
      <c r="CY214" t="s">
        <v>172</v>
      </c>
      <c r="DD214">
        <v>1</v>
      </c>
      <c r="DE214" t="s">
        <v>307</v>
      </c>
      <c r="DF214" t="s">
        <v>330</v>
      </c>
      <c r="DG214">
        <v>39</v>
      </c>
      <c r="DJ214" t="s">
        <v>201</v>
      </c>
      <c r="DK214" t="s">
        <v>202</v>
      </c>
      <c r="DL214" t="s">
        <v>173</v>
      </c>
      <c r="DM214" t="s">
        <v>173</v>
      </c>
      <c r="DN214" t="s">
        <v>173</v>
      </c>
      <c r="DO214" t="s">
        <v>575</v>
      </c>
      <c r="DP214" t="s">
        <v>172</v>
      </c>
      <c r="DQ214" t="s">
        <v>204</v>
      </c>
      <c r="DY214">
        <v>61</v>
      </c>
      <c r="EA214" s="117"/>
      <c r="EB214">
        <v>8</v>
      </c>
      <c r="EC214">
        <v>8</v>
      </c>
      <c r="EE214" t="s">
        <v>576</v>
      </c>
      <c r="EF214">
        <v>6</v>
      </c>
      <c r="EU214">
        <v>3250</v>
      </c>
      <c r="EW214">
        <v>199</v>
      </c>
      <c r="EX214">
        <v>174</v>
      </c>
      <c r="EY214">
        <v>188</v>
      </c>
    </row>
    <row r="215" spans="1:155" x14ac:dyDescent="0.35">
      <c r="A215">
        <v>2026</v>
      </c>
      <c r="B215" t="s">
        <v>400</v>
      </c>
      <c r="C215" s="112" t="s">
        <v>561</v>
      </c>
      <c r="D215" t="s">
        <v>577</v>
      </c>
      <c r="E215" t="s">
        <v>403</v>
      </c>
      <c r="F215">
        <v>43</v>
      </c>
      <c r="G215" s="113">
        <v>2</v>
      </c>
      <c r="H215">
        <v>4</v>
      </c>
      <c r="I215" t="s">
        <v>573</v>
      </c>
      <c r="J215">
        <v>47</v>
      </c>
      <c r="K215">
        <v>56</v>
      </c>
      <c r="L215">
        <v>51</v>
      </c>
      <c r="M215">
        <v>61.5</v>
      </c>
      <c r="N215">
        <v>69.599999999999994</v>
      </c>
      <c r="O215">
        <v>64.898799999999994</v>
      </c>
      <c r="P215">
        <v>46.823999999999998</v>
      </c>
      <c r="Q215">
        <v>56.304699999999997</v>
      </c>
      <c r="R215">
        <v>50.662799999999997</v>
      </c>
      <c r="U215" t="s">
        <v>215</v>
      </c>
      <c r="V215" t="s">
        <v>275</v>
      </c>
      <c r="W215" t="s">
        <v>276</v>
      </c>
      <c r="Y215">
        <v>6</v>
      </c>
      <c r="Z215" t="s">
        <v>173</v>
      </c>
      <c r="AA215" t="s">
        <v>173</v>
      </c>
      <c r="AB215" t="s">
        <v>277</v>
      </c>
      <c r="AC215" t="s">
        <v>278</v>
      </c>
      <c r="AD215">
        <v>15</v>
      </c>
      <c r="AG215" t="s">
        <v>167</v>
      </c>
      <c r="AH215" t="s">
        <v>416</v>
      </c>
      <c r="AI215" t="s">
        <v>178</v>
      </c>
      <c r="AJ215" t="s">
        <v>179</v>
      </c>
      <c r="AK215" t="s">
        <v>173</v>
      </c>
      <c r="AL215" t="s">
        <v>180</v>
      </c>
      <c r="AO215">
        <v>104</v>
      </c>
      <c r="AP215">
        <v>16</v>
      </c>
      <c r="AS215">
        <v>950</v>
      </c>
      <c r="AT215">
        <v>950</v>
      </c>
      <c r="BN215" s="114" t="s">
        <v>492</v>
      </c>
      <c r="BO215">
        <v>2</v>
      </c>
      <c r="BP215">
        <v>2</v>
      </c>
      <c r="BQ215">
        <v>6</v>
      </c>
      <c r="BR215" t="s">
        <v>536</v>
      </c>
      <c r="BS215" t="s">
        <v>182</v>
      </c>
      <c r="BT215" t="s">
        <v>218</v>
      </c>
      <c r="BU215" s="115">
        <v>45839</v>
      </c>
      <c r="BV215">
        <v>36772</v>
      </c>
      <c r="BW215" s="116"/>
      <c r="BX215" t="s">
        <v>172</v>
      </c>
      <c r="BY215" t="s">
        <v>173</v>
      </c>
      <c r="CB215" t="s">
        <v>173</v>
      </c>
      <c r="CC215" t="s">
        <v>173</v>
      </c>
      <c r="CE215" t="s">
        <v>173</v>
      </c>
      <c r="CG215" t="s">
        <v>172</v>
      </c>
      <c r="CH215" t="s">
        <v>574</v>
      </c>
      <c r="CI215" t="s">
        <v>173</v>
      </c>
      <c r="CK215" t="s">
        <v>259</v>
      </c>
      <c r="CM215">
        <v>1</v>
      </c>
      <c r="CN215" t="s">
        <v>260</v>
      </c>
      <c r="CP215">
        <v>270</v>
      </c>
      <c r="CQ215">
        <v>5.5</v>
      </c>
      <c r="CR215">
        <v>41.3</v>
      </c>
      <c r="CS215" t="s">
        <v>261</v>
      </c>
      <c r="CV215" t="s">
        <v>262</v>
      </c>
      <c r="CX215" t="s">
        <v>493</v>
      </c>
      <c r="CY215" t="s">
        <v>172</v>
      </c>
      <c r="DD215">
        <v>1</v>
      </c>
      <c r="DE215" t="s">
        <v>307</v>
      </c>
      <c r="DF215" t="s">
        <v>330</v>
      </c>
      <c r="DG215">
        <v>39</v>
      </c>
      <c r="DJ215" t="s">
        <v>201</v>
      </c>
      <c r="DK215" t="s">
        <v>202</v>
      </c>
      <c r="DL215" t="s">
        <v>173</v>
      </c>
      <c r="DM215" t="s">
        <v>173</v>
      </c>
      <c r="DN215" t="s">
        <v>173</v>
      </c>
      <c r="DO215" t="s">
        <v>575</v>
      </c>
      <c r="DP215" t="s">
        <v>172</v>
      </c>
      <c r="DQ215" t="s">
        <v>204</v>
      </c>
      <c r="DY215">
        <v>65.3</v>
      </c>
      <c r="EA215" s="117"/>
      <c r="EB215">
        <v>8</v>
      </c>
      <c r="EC215">
        <v>8</v>
      </c>
      <c r="EE215" t="s">
        <v>576</v>
      </c>
      <c r="EF215">
        <v>6</v>
      </c>
      <c r="EU215">
        <v>3750</v>
      </c>
      <c r="EW215">
        <v>189</v>
      </c>
      <c r="EX215">
        <v>158</v>
      </c>
      <c r="EY215">
        <v>175</v>
      </c>
    </row>
    <row r="216" spans="1:155" x14ac:dyDescent="0.35">
      <c r="A216">
        <v>2026</v>
      </c>
      <c r="B216" t="s">
        <v>578</v>
      </c>
      <c r="C216" s="112" t="s">
        <v>579</v>
      </c>
      <c r="D216" t="s">
        <v>580</v>
      </c>
      <c r="E216" t="s">
        <v>581</v>
      </c>
      <c r="F216">
        <v>6</v>
      </c>
      <c r="G216" s="113">
        <v>2.5</v>
      </c>
      <c r="H216">
        <v>4</v>
      </c>
      <c r="I216" t="s">
        <v>195</v>
      </c>
      <c r="J216">
        <v>25</v>
      </c>
      <c r="K216">
        <v>36</v>
      </c>
      <c r="L216">
        <v>29</v>
      </c>
      <c r="M216">
        <v>31.8</v>
      </c>
      <c r="N216">
        <v>52.7</v>
      </c>
      <c r="O216">
        <v>38.707900000000002</v>
      </c>
      <c r="P216">
        <v>24.647500000000001</v>
      </c>
      <c r="Q216">
        <v>36.030099999999997</v>
      </c>
      <c r="R216">
        <v>28.732099999999999</v>
      </c>
      <c r="U216" t="s">
        <v>215</v>
      </c>
      <c r="V216" t="s">
        <v>196</v>
      </c>
      <c r="W216" t="s">
        <v>197</v>
      </c>
      <c r="Y216">
        <v>8</v>
      </c>
      <c r="Z216" t="s">
        <v>172</v>
      </c>
      <c r="AA216" t="s">
        <v>173</v>
      </c>
      <c r="AB216" t="s">
        <v>277</v>
      </c>
      <c r="AC216" t="s">
        <v>278</v>
      </c>
      <c r="AD216">
        <v>15</v>
      </c>
      <c r="AG216" t="s">
        <v>167</v>
      </c>
      <c r="AH216" t="s">
        <v>416</v>
      </c>
      <c r="AI216" t="s">
        <v>178</v>
      </c>
      <c r="AJ216" t="s">
        <v>179</v>
      </c>
      <c r="AK216" t="s">
        <v>173</v>
      </c>
      <c r="AL216" t="s">
        <v>180</v>
      </c>
      <c r="AO216">
        <v>105</v>
      </c>
      <c r="AP216">
        <v>16</v>
      </c>
      <c r="AS216">
        <v>1700</v>
      </c>
      <c r="AT216">
        <v>1700</v>
      </c>
      <c r="BN216" s="114" t="s">
        <v>247</v>
      </c>
      <c r="BO216">
        <v>2</v>
      </c>
      <c r="BP216">
        <v>2</v>
      </c>
      <c r="BQ216">
        <v>6</v>
      </c>
      <c r="BR216" t="s">
        <v>536</v>
      </c>
      <c r="BS216" t="s">
        <v>182</v>
      </c>
      <c r="BT216" t="s">
        <v>183</v>
      </c>
      <c r="BU216" s="115">
        <v>45764</v>
      </c>
      <c r="BV216">
        <v>36372</v>
      </c>
      <c r="BW216" s="116"/>
      <c r="BX216" t="s">
        <v>173</v>
      </c>
      <c r="BY216" t="s">
        <v>173</v>
      </c>
      <c r="CB216" t="s">
        <v>173</v>
      </c>
      <c r="CC216" t="s">
        <v>173</v>
      </c>
      <c r="CE216" t="s">
        <v>173</v>
      </c>
      <c r="CG216" t="s">
        <v>172</v>
      </c>
      <c r="CH216" t="s">
        <v>563</v>
      </c>
      <c r="CI216" t="s">
        <v>173</v>
      </c>
      <c r="DJ216" t="s">
        <v>250</v>
      </c>
      <c r="DK216" t="s">
        <v>251</v>
      </c>
      <c r="DN216" t="s">
        <v>173</v>
      </c>
      <c r="DO216" t="s">
        <v>585</v>
      </c>
      <c r="DP216" t="s">
        <v>173</v>
      </c>
      <c r="DQ216" t="s">
        <v>189</v>
      </c>
      <c r="DY216">
        <v>39</v>
      </c>
      <c r="EA216" s="117"/>
      <c r="EB216">
        <v>6</v>
      </c>
      <c r="EC216">
        <v>6</v>
      </c>
      <c r="EE216" t="s">
        <v>586</v>
      </c>
      <c r="EF216">
        <v>6</v>
      </c>
      <c r="EU216">
        <v>0</v>
      </c>
      <c r="EW216">
        <v>361</v>
      </c>
      <c r="EX216">
        <v>247</v>
      </c>
      <c r="EY216">
        <v>310</v>
      </c>
    </row>
    <row r="217" spans="1:155" x14ac:dyDescent="0.35">
      <c r="A217">
        <v>2026</v>
      </c>
      <c r="B217" t="s">
        <v>578</v>
      </c>
      <c r="C217" s="112" t="s">
        <v>579</v>
      </c>
      <c r="D217" t="s">
        <v>580</v>
      </c>
      <c r="E217" t="s">
        <v>581</v>
      </c>
      <c r="F217">
        <v>8</v>
      </c>
      <c r="G217" s="113">
        <v>2.5</v>
      </c>
      <c r="H217">
        <v>4</v>
      </c>
      <c r="I217" t="s">
        <v>289</v>
      </c>
      <c r="J217">
        <v>23</v>
      </c>
      <c r="K217">
        <v>33</v>
      </c>
      <c r="L217">
        <v>27</v>
      </c>
      <c r="M217">
        <v>28.824999999999999</v>
      </c>
      <c r="N217">
        <v>46.531599999999997</v>
      </c>
      <c r="O217">
        <v>34.780799999999999</v>
      </c>
      <c r="P217">
        <v>23.3386</v>
      </c>
      <c r="Q217">
        <v>32.642800000000001</v>
      </c>
      <c r="R217">
        <v>26.772500000000001</v>
      </c>
      <c r="T217" t="s">
        <v>168</v>
      </c>
      <c r="U217" t="s">
        <v>169</v>
      </c>
      <c r="V217" t="s">
        <v>275</v>
      </c>
      <c r="W217" t="s">
        <v>276</v>
      </c>
      <c r="Y217">
        <v>8</v>
      </c>
      <c r="Z217" t="s">
        <v>173</v>
      </c>
      <c r="AA217" t="s">
        <v>173</v>
      </c>
      <c r="AB217" t="s">
        <v>277</v>
      </c>
      <c r="AC217" t="s">
        <v>278</v>
      </c>
      <c r="AD217">
        <v>15</v>
      </c>
      <c r="AG217" t="s">
        <v>167</v>
      </c>
      <c r="AH217" t="s">
        <v>416</v>
      </c>
      <c r="AI217" t="s">
        <v>178</v>
      </c>
      <c r="AJ217" t="s">
        <v>179</v>
      </c>
      <c r="AK217" t="s">
        <v>173</v>
      </c>
      <c r="AL217" t="s">
        <v>180</v>
      </c>
      <c r="AO217">
        <v>105</v>
      </c>
      <c r="AP217">
        <v>16</v>
      </c>
      <c r="AS217">
        <v>1850</v>
      </c>
      <c r="AT217">
        <v>1850</v>
      </c>
      <c r="BN217" s="114" t="s">
        <v>247</v>
      </c>
      <c r="BO217">
        <v>2</v>
      </c>
      <c r="BP217">
        <v>2</v>
      </c>
      <c r="BQ217">
        <v>6</v>
      </c>
      <c r="BR217" t="s">
        <v>536</v>
      </c>
      <c r="BS217" t="s">
        <v>182</v>
      </c>
      <c r="BT217" t="s">
        <v>218</v>
      </c>
      <c r="BU217" s="115">
        <v>45764</v>
      </c>
      <c r="BV217">
        <v>36373</v>
      </c>
      <c r="BW217" s="116"/>
      <c r="BX217" t="s">
        <v>173</v>
      </c>
      <c r="BY217" t="s">
        <v>173</v>
      </c>
      <c r="CB217" t="s">
        <v>173</v>
      </c>
      <c r="CC217" t="s">
        <v>173</v>
      </c>
      <c r="CE217" t="s">
        <v>173</v>
      </c>
      <c r="CG217" t="s">
        <v>172</v>
      </c>
      <c r="CH217" t="s">
        <v>582</v>
      </c>
      <c r="CI217" t="s">
        <v>173</v>
      </c>
      <c r="DJ217" t="s">
        <v>250</v>
      </c>
      <c r="DK217" t="s">
        <v>251</v>
      </c>
      <c r="DN217" t="s">
        <v>173</v>
      </c>
      <c r="DO217" t="s">
        <v>583</v>
      </c>
      <c r="DP217" t="s">
        <v>173</v>
      </c>
      <c r="DQ217" t="s">
        <v>189</v>
      </c>
      <c r="DY217">
        <v>35</v>
      </c>
      <c r="EA217" s="117"/>
      <c r="EB217">
        <v>5</v>
      </c>
      <c r="EC217">
        <v>5</v>
      </c>
      <c r="EE217" t="s">
        <v>584</v>
      </c>
      <c r="EF217">
        <v>4</v>
      </c>
      <c r="EV217">
        <v>750</v>
      </c>
      <c r="EW217">
        <v>380</v>
      </c>
      <c r="EX217">
        <v>273</v>
      </c>
      <c r="EY217">
        <v>331</v>
      </c>
    </row>
    <row r="218" spans="1:155" x14ac:dyDescent="0.35">
      <c r="A218">
        <v>2026</v>
      </c>
      <c r="B218" t="s">
        <v>578</v>
      </c>
      <c r="C218" s="112" t="s">
        <v>579</v>
      </c>
      <c r="D218" t="s">
        <v>587</v>
      </c>
      <c r="E218" t="s">
        <v>581</v>
      </c>
      <c r="F218">
        <v>5</v>
      </c>
      <c r="G218" s="113">
        <v>2.5</v>
      </c>
      <c r="H218">
        <v>4</v>
      </c>
      <c r="I218" t="s">
        <v>195</v>
      </c>
      <c r="J218">
        <v>24</v>
      </c>
      <c r="K218">
        <v>33</v>
      </c>
      <c r="L218">
        <v>27</v>
      </c>
      <c r="M218">
        <v>30.3</v>
      </c>
      <c r="N218">
        <v>47.7</v>
      </c>
      <c r="O218">
        <v>36.250599999999999</v>
      </c>
      <c r="P218">
        <v>23.597100000000001</v>
      </c>
      <c r="Q218">
        <v>32.971299999999999</v>
      </c>
      <c r="R218">
        <v>27.059100000000001</v>
      </c>
      <c r="U218" t="s">
        <v>215</v>
      </c>
      <c r="V218" t="s">
        <v>196</v>
      </c>
      <c r="W218" t="s">
        <v>197</v>
      </c>
      <c r="Y218">
        <v>8</v>
      </c>
      <c r="Z218" t="s">
        <v>172</v>
      </c>
      <c r="AA218" t="s">
        <v>173</v>
      </c>
      <c r="AB218" t="s">
        <v>170</v>
      </c>
      <c r="AC218" t="s">
        <v>232</v>
      </c>
      <c r="AD218">
        <v>15</v>
      </c>
      <c r="AG218" t="s">
        <v>167</v>
      </c>
      <c r="AH218" t="s">
        <v>416</v>
      </c>
      <c r="AI218" t="s">
        <v>178</v>
      </c>
      <c r="AJ218" t="s">
        <v>179</v>
      </c>
      <c r="AK218" t="s">
        <v>173</v>
      </c>
      <c r="AL218" t="s">
        <v>180</v>
      </c>
      <c r="AO218">
        <v>105</v>
      </c>
      <c r="AP218">
        <v>16</v>
      </c>
      <c r="AS218">
        <v>1850</v>
      </c>
      <c r="AT218">
        <v>1850</v>
      </c>
      <c r="BN218" s="114" t="s">
        <v>247</v>
      </c>
      <c r="BO218">
        <v>2</v>
      </c>
      <c r="BP218">
        <v>2</v>
      </c>
      <c r="BQ218">
        <v>6</v>
      </c>
      <c r="BR218" t="s">
        <v>536</v>
      </c>
      <c r="BS218" t="s">
        <v>182</v>
      </c>
      <c r="BT218" t="s">
        <v>183</v>
      </c>
      <c r="BU218" s="115">
        <v>45764</v>
      </c>
      <c r="BV218">
        <v>36371</v>
      </c>
      <c r="BW218" s="116"/>
      <c r="BX218" t="s">
        <v>173</v>
      </c>
      <c r="BY218" t="s">
        <v>173</v>
      </c>
      <c r="CB218" t="s">
        <v>173</v>
      </c>
      <c r="CC218" t="s">
        <v>173</v>
      </c>
      <c r="CE218" t="s">
        <v>173</v>
      </c>
      <c r="CG218" t="s">
        <v>172</v>
      </c>
      <c r="CH218" t="s">
        <v>563</v>
      </c>
      <c r="CI218" t="s">
        <v>173</v>
      </c>
      <c r="DJ218" t="s">
        <v>250</v>
      </c>
      <c r="DK218" t="s">
        <v>251</v>
      </c>
      <c r="DN218" t="s">
        <v>173</v>
      </c>
      <c r="DO218" t="s">
        <v>585</v>
      </c>
      <c r="DP218" t="s">
        <v>173</v>
      </c>
      <c r="DQ218" t="s">
        <v>189</v>
      </c>
      <c r="DY218">
        <v>36.5</v>
      </c>
      <c r="EA218" s="117"/>
      <c r="EB218">
        <v>5</v>
      </c>
      <c r="EC218">
        <v>5</v>
      </c>
      <c r="EE218" t="s">
        <v>586</v>
      </c>
      <c r="EF218">
        <v>6</v>
      </c>
      <c r="EV218">
        <v>750</v>
      </c>
      <c r="EW218">
        <v>377</v>
      </c>
      <c r="EX218">
        <v>270</v>
      </c>
      <c r="EY218">
        <v>329</v>
      </c>
    </row>
    <row r="219" spans="1:155" x14ac:dyDescent="0.35">
      <c r="A219">
        <v>2026</v>
      </c>
      <c r="B219" t="s">
        <v>578</v>
      </c>
      <c r="C219" s="112" t="s">
        <v>579</v>
      </c>
      <c r="D219" t="s">
        <v>588</v>
      </c>
      <c r="E219" t="s">
        <v>581</v>
      </c>
      <c r="F219">
        <v>7</v>
      </c>
      <c r="G219" s="113">
        <v>2.5</v>
      </c>
      <c r="H219">
        <v>4</v>
      </c>
      <c r="I219" t="s">
        <v>195</v>
      </c>
      <c r="J219">
        <v>26</v>
      </c>
      <c r="K219">
        <v>37</v>
      </c>
      <c r="L219">
        <v>30</v>
      </c>
      <c r="M219">
        <v>33.200000000000003</v>
      </c>
      <c r="N219">
        <v>55</v>
      </c>
      <c r="O219">
        <v>40.407200000000003</v>
      </c>
      <c r="P219">
        <v>25.6188</v>
      </c>
      <c r="Q219">
        <v>37.4148</v>
      </c>
      <c r="R219">
        <v>29.854399999999998</v>
      </c>
      <c r="U219" t="s">
        <v>215</v>
      </c>
      <c r="V219" t="s">
        <v>196</v>
      </c>
      <c r="W219" t="s">
        <v>197</v>
      </c>
      <c r="Y219">
        <v>8</v>
      </c>
      <c r="Z219" t="s">
        <v>172</v>
      </c>
      <c r="AA219" t="s">
        <v>173</v>
      </c>
      <c r="AB219" t="s">
        <v>277</v>
      </c>
      <c r="AC219" t="s">
        <v>278</v>
      </c>
      <c r="AD219">
        <v>15</v>
      </c>
      <c r="AG219" t="s">
        <v>167</v>
      </c>
      <c r="AH219" t="s">
        <v>416</v>
      </c>
      <c r="AI219" t="s">
        <v>178</v>
      </c>
      <c r="AJ219" t="s">
        <v>179</v>
      </c>
      <c r="AK219" t="s">
        <v>173</v>
      </c>
      <c r="AL219" t="s">
        <v>180</v>
      </c>
      <c r="AO219">
        <v>105</v>
      </c>
      <c r="AP219">
        <v>16</v>
      </c>
      <c r="AS219">
        <v>1650</v>
      </c>
      <c r="AT219">
        <v>1650</v>
      </c>
      <c r="BN219" s="114" t="s">
        <v>247</v>
      </c>
      <c r="BO219">
        <v>2</v>
      </c>
      <c r="BP219">
        <v>2</v>
      </c>
      <c r="BQ219">
        <v>6</v>
      </c>
      <c r="BR219" t="s">
        <v>536</v>
      </c>
      <c r="BS219" t="s">
        <v>182</v>
      </c>
      <c r="BT219" t="s">
        <v>183</v>
      </c>
      <c r="BU219" s="115">
        <v>45764</v>
      </c>
      <c r="BV219">
        <v>36374</v>
      </c>
      <c r="BW219" s="116"/>
      <c r="BX219" t="s">
        <v>173</v>
      </c>
      <c r="BY219" t="s">
        <v>173</v>
      </c>
      <c r="CB219" t="s">
        <v>173</v>
      </c>
      <c r="CC219" t="s">
        <v>173</v>
      </c>
      <c r="CE219" t="s">
        <v>173</v>
      </c>
      <c r="CG219" t="s">
        <v>172</v>
      </c>
      <c r="CH219" t="s">
        <v>563</v>
      </c>
      <c r="CI219" t="s">
        <v>173</v>
      </c>
      <c r="DJ219" t="s">
        <v>250</v>
      </c>
      <c r="DK219" t="s">
        <v>251</v>
      </c>
      <c r="DN219" t="s">
        <v>173</v>
      </c>
      <c r="DO219" t="s">
        <v>585</v>
      </c>
      <c r="DP219" t="s">
        <v>172</v>
      </c>
      <c r="DQ219" t="s">
        <v>204</v>
      </c>
      <c r="DR219" t="s">
        <v>571</v>
      </c>
      <c r="DY219">
        <v>40.700000000000003</v>
      </c>
      <c r="EA219" s="117"/>
      <c r="EB219">
        <v>6</v>
      </c>
      <c r="EC219">
        <v>6</v>
      </c>
      <c r="EE219" t="s">
        <v>586</v>
      </c>
      <c r="EF219">
        <v>6</v>
      </c>
      <c r="EU219">
        <v>250</v>
      </c>
      <c r="EW219">
        <v>347</v>
      </c>
      <c r="EX219">
        <v>238</v>
      </c>
      <c r="EY219">
        <v>298</v>
      </c>
    </row>
    <row r="220" spans="1:155" x14ac:dyDescent="0.35">
      <c r="A220">
        <v>2026</v>
      </c>
      <c r="B220" t="s">
        <v>228</v>
      </c>
      <c r="C220" s="112" t="s">
        <v>228</v>
      </c>
      <c r="D220" t="s">
        <v>589</v>
      </c>
      <c r="E220" t="s">
        <v>230</v>
      </c>
      <c r="F220">
        <v>521</v>
      </c>
      <c r="G220" s="113">
        <v>3</v>
      </c>
      <c r="H220">
        <v>6</v>
      </c>
      <c r="I220" t="s">
        <v>231</v>
      </c>
      <c r="J220">
        <v>20</v>
      </c>
      <c r="K220">
        <v>29</v>
      </c>
      <c r="L220">
        <v>23</v>
      </c>
      <c r="M220">
        <v>25.6</v>
      </c>
      <c r="N220">
        <v>40.799999999999997</v>
      </c>
      <c r="O220">
        <v>30.7562</v>
      </c>
      <c r="P220">
        <v>20.239899999999999</v>
      </c>
      <c r="Q220">
        <v>28.637799999999999</v>
      </c>
      <c r="R220">
        <v>23.316800000000001</v>
      </c>
      <c r="T220" t="s">
        <v>341</v>
      </c>
      <c r="U220" t="s">
        <v>342</v>
      </c>
      <c r="V220" t="s">
        <v>170</v>
      </c>
      <c r="W220" t="s">
        <v>171</v>
      </c>
      <c r="Y220">
        <v>9</v>
      </c>
      <c r="Z220" t="s">
        <v>172</v>
      </c>
      <c r="AA220" t="s">
        <v>173</v>
      </c>
      <c r="AB220" t="s">
        <v>170</v>
      </c>
      <c r="AC220" t="s">
        <v>232</v>
      </c>
      <c r="AD220">
        <v>10</v>
      </c>
      <c r="AG220" t="s">
        <v>216</v>
      </c>
      <c r="AH220" t="s">
        <v>217</v>
      </c>
      <c r="AI220" t="s">
        <v>178</v>
      </c>
      <c r="AJ220" t="s">
        <v>179</v>
      </c>
      <c r="AK220" t="s">
        <v>173</v>
      </c>
      <c r="AL220" t="s">
        <v>180</v>
      </c>
      <c r="AO220">
        <v>112</v>
      </c>
      <c r="AP220">
        <v>13</v>
      </c>
      <c r="AS220">
        <v>2700</v>
      </c>
      <c r="AT220">
        <v>2700</v>
      </c>
      <c r="BN220" s="114" t="s">
        <v>256</v>
      </c>
      <c r="BO220">
        <v>2</v>
      </c>
      <c r="BP220">
        <v>2</v>
      </c>
      <c r="BQ220">
        <v>6</v>
      </c>
      <c r="BR220" t="s">
        <v>536</v>
      </c>
      <c r="BS220" t="s">
        <v>182</v>
      </c>
      <c r="BT220" t="s">
        <v>183</v>
      </c>
      <c r="BU220" s="115">
        <v>45884</v>
      </c>
      <c r="BV220">
        <v>37134</v>
      </c>
      <c r="BW220" s="116"/>
      <c r="BY220" t="s">
        <v>173</v>
      </c>
      <c r="CB220" t="s">
        <v>173</v>
      </c>
      <c r="CC220" t="s">
        <v>173</v>
      </c>
      <c r="CD220" t="s">
        <v>589</v>
      </c>
      <c r="CE220" t="s">
        <v>173</v>
      </c>
      <c r="CG220" t="s">
        <v>172</v>
      </c>
      <c r="CH220" t="s">
        <v>362</v>
      </c>
      <c r="CI220" t="s">
        <v>172</v>
      </c>
      <c r="CJ220" t="s">
        <v>344</v>
      </c>
      <c r="CK220" t="s">
        <v>259</v>
      </c>
      <c r="CM220">
        <v>1</v>
      </c>
      <c r="CN220" t="s">
        <v>260</v>
      </c>
      <c r="CP220">
        <v>48</v>
      </c>
      <c r="CQ220">
        <v>17.5</v>
      </c>
      <c r="CR220">
        <v>78.2</v>
      </c>
      <c r="CS220" t="s">
        <v>261</v>
      </c>
      <c r="CV220" t="s">
        <v>262</v>
      </c>
      <c r="CX220" t="s">
        <v>263</v>
      </c>
      <c r="CY220" t="s">
        <v>173</v>
      </c>
      <c r="DC220" t="s">
        <v>364</v>
      </c>
      <c r="DD220">
        <v>1</v>
      </c>
      <c r="DE220" t="s">
        <v>307</v>
      </c>
      <c r="DF220" t="s">
        <v>356</v>
      </c>
      <c r="DG220">
        <v>17</v>
      </c>
      <c r="DJ220" t="s">
        <v>201</v>
      </c>
      <c r="DK220" t="s">
        <v>202</v>
      </c>
      <c r="DL220" t="s">
        <v>173</v>
      </c>
      <c r="DM220" t="s">
        <v>173</v>
      </c>
      <c r="DN220" t="s">
        <v>173</v>
      </c>
      <c r="DO220" t="s">
        <v>347</v>
      </c>
      <c r="DP220" t="s">
        <v>172</v>
      </c>
      <c r="DQ220" t="s">
        <v>204</v>
      </c>
      <c r="DR220" t="s">
        <v>589</v>
      </c>
      <c r="DY220">
        <v>31</v>
      </c>
      <c r="EA220" s="117"/>
      <c r="EB220">
        <v>5</v>
      </c>
      <c r="EC220">
        <v>5</v>
      </c>
      <c r="EE220" t="s">
        <v>366</v>
      </c>
      <c r="EF220">
        <v>6</v>
      </c>
      <c r="EV220">
        <v>5000</v>
      </c>
      <c r="EW220">
        <v>438</v>
      </c>
      <c r="EX220">
        <v>309</v>
      </c>
      <c r="EY220">
        <v>380</v>
      </c>
    </row>
    <row r="221" spans="1:155" x14ac:dyDescent="0.35">
      <c r="A221">
        <v>2026</v>
      </c>
      <c r="B221" t="s">
        <v>228</v>
      </c>
      <c r="C221" s="112" t="s">
        <v>228</v>
      </c>
      <c r="D221" t="s">
        <v>590</v>
      </c>
      <c r="E221" t="s">
        <v>230</v>
      </c>
      <c r="F221">
        <v>806</v>
      </c>
      <c r="G221" s="113">
        <v>4</v>
      </c>
      <c r="H221">
        <v>8</v>
      </c>
      <c r="I221" t="s">
        <v>231</v>
      </c>
      <c r="J221">
        <v>17</v>
      </c>
      <c r="K221">
        <v>27</v>
      </c>
      <c r="L221">
        <v>20</v>
      </c>
      <c r="M221">
        <v>21.2</v>
      </c>
      <c r="N221">
        <v>38</v>
      </c>
      <c r="O221">
        <v>26.465199999999999</v>
      </c>
      <c r="P221">
        <v>16.6616</v>
      </c>
      <c r="Q221">
        <v>27.365100000000002</v>
      </c>
      <c r="R221">
        <v>20.220700000000001</v>
      </c>
      <c r="T221" t="s">
        <v>168</v>
      </c>
      <c r="U221" t="s">
        <v>169</v>
      </c>
      <c r="V221" t="s">
        <v>170</v>
      </c>
      <c r="W221" t="s">
        <v>171</v>
      </c>
      <c r="Y221">
        <v>9</v>
      </c>
      <c r="Z221" t="s">
        <v>172</v>
      </c>
      <c r="AA221" t="s">
        <v>173</v>
      </c>
      <c r="AB221" t="s">
        <v>170</v>
      </c>
      <c r="AC221" t="s">
        <v>232</v>
      </c>
      <c r="AD221">
        <v>10</v>
      </c>
      <c r="AG221" t="s">
        <v>216</v>
      </c>
      <c r="AH221" t="s">
        <v>217</v>
      </c>
      <c r="AI221" t="s">
        <v>178</v>
      </c>
      <c r="AJ221" t="s">
        <v>179</v>
      </c>
      <c r="AK221" t="s">
        <v>173</v>
      </c>
      <c r="AL221" t="s">
        <v>180</v>
      </c>
      <c r="AO221">
        <v>112</v>
      </c>
      <c r="AP221">
        <v>13</v>
      </c>
      <c r="AS221">
        <v>3100</v>
      </c>
      <c r="AT221">
        <v>3100</v>
      </c>
      <c r="BN221" s="114" t="s">
        <v>256</v>
      </c>
      <c r="BO221">
        <v>2</v>
      </c>
      <c r="BP221">
        <v>2</v>
      </c>
      <c r="BQ221">
        <v>6</v>
      </c>
      <c r="BR221" t="s">
        <v>536</v>
      </c>
      <c r="BS221" t="s">
        <v>182</v>
      </c>
      <c r="BT221" t="s">
        <v>218</v>
      </c>
      <c r="BU221" s="115">
        <v>45834</v>
      </c>
      <c r="BV221">
        <v>36899</v>
      </c>
      <c r="BW221" s="116"/>
      <c r="BY221" t="s">
        <v>173</v>
      </c>
      <c r="CB221" t="s">
        <v>173</v>
      </c>
      <c r="CC221" t="s">
        <v>173</v>
      </c>
      <c r="CE221" t="s">
        <v>173</v>
      </c>
      <c r="CG221" t="s">
        <v>172</v>
      </c>
      <c r="CH221" t="s">
        <v>234</v>
      </c>
      <c r="CI221" t="s">
        <v>173</v>
      </c>
      <c r="CK221" t="s">
        <v>259</v>
      </c>
      <c r="CM221">
        <v>1</v>
      </c>
      <c r="CN221" t="s">
        <v>260</v>
      </c>
      <c r="CP221">
        <v>48</v>
      </c>
      <c r="CQ221">
        <v>20</v>
      </c>
      <c r="CR221">
        <v>80</v>
      </c>
      <c r="CS221" t="s">
        <v>261</v>
      </c>
      <c r="CV221" t="s">
        <v>262</v>
      </c>
      <c r="CX221" t="s">
        <v>263</v>
      </c>
      <c r="CY221" t="s">
        <v>173</v>
      </c>
      <c r="DC221" t="s">
        <v>591</v>
      </c>
      <c r="DD221">
        <v>1</v>
      </c>
      <c r="DE221" t="s">
        <v>307</v>
      </c>
      <c r="DF221" t="s">
        <v>592</v>
      </c>
      <c r="DG221">
        <v>17</v>
      </c>
      <c r="DJ221" t="s">
        <v>201</v>
      </c>
      <c r="DK221" t="s">
        <v>202</v>
      </c>
      <c r="DL221" t="s">
        <v>173</v>
      </c>
      <c r="DM221" t="s">
        <v>173</v>
      </c>
      <c r="DN221" t="s">
        <v>173</v>
      </c>
      <c r="DO221" t="s">
        <v>203</v>
      </c>
      <c r="DP221" t="s">
        <v>172</v>
      </c>
      <c r="DQ221" t="s">
        <v>204</v>
      </c>
      <c r="DR221" t="s">
        <v>590</v>
      </c>
      <c r="DY221">
        <v>26.7</v>
      </c>
      <c r="EA221" s="117"/>
      <c r="EB221">
        <v>4</v>
      </c>
      <c r="EC221">
        <v>4</v>
      </c>
      <c r="EE221" t="s">
        <v>593</v>
      </c>
      <c r="EF221">
        <v>4</v>
      </c>
      <c r="EV221">
        <v>7000</v>
      </c>
      <c r="EW221">
        <v>532</v>
      </c>
      <c r="EX221">
        <v>324</v>
      </c>
      <c r="EY221">
        <v>438</v>
      </c>
    </row>
    <row r="222" spans="1:155" x14ac:dyDescent="0.35">
      <c r="A222">
        <v>2026</v>
      </c>
      <c r="B222" t="s">
        <v>228</v>
      </c>
      <c r="C222" s="112" t="s">
        <v>228</v>
      </c>
      <c r="D222" t="s">
        <v>594</v>
      </c>
      <c r="E222" t="s">
        <v>230</v>
      </c>
      <c r="F222">
        <v>805</v>
      </c>
      <c r="G222" s="113">
        <v>4</v>
      </c>
      <c r="H222">
        <v>8</v>
      </c>
      <c r="I222" t="s">
        <v>231</v>
      </c>
      <c r="J222">
        <v>16</v>
      </c>
      <c r="K222">
        <v>27</v>
      </c>
      <c r="L222">
        <v>20</v>
      </c>
      <c r="M222">
        <v>20.6</v>
      </c>
      <c r="N222">
        <v>36.9</v>
      </c>
      <c r="O222">
        <v>25.710799999999999</v>
      </c>
      <c r="P222">
        <v>16.0579</v>
      </c>
      <c r="Q222">
        <v>26.700800000000001</v>
      </c>
      <c r="R222">
        <v>19.567799999999998</v>
      </c>
      <c r="T222" t="s">
        <v>168</v>
      </c>
      <c r="U222" t="s">
        <v>169</v>
      </c>
      <c r="V222" t="s">
        <v>170</v>
      </c>
      <c r="W222" t="s">
        <v>171</v>
      </c>
      <c r="Y222">
        <v>9</v>
      </c>
      <c r="Z222" t="s">
        <v>172</v>
      </c>
      <c r="AA222" t="s">
        <v>173</v>
      </c>
      <c r="AB222" t="s">
        <v>170</v>
      </c>
      <c r="AC222" t="s">
        <v>232</v>
      </c>
      <c r="AD222">
        <v>10</v>
      </c>
      <c r="AG222" t="s">
        <v>216</v>
      </c>
      <c r="AH222" t="s">
        <v>217</v>
      </c>
      <c r="AI222" t="s">
        <v>178</v>
      </c>
      <c r="AJ222" t="s">
        <v>179</v>
      </c>
      <c r="AK222" t="s">
        <v>173</v>
      </c>
      <c r="AL222" t="s">
        <v>180</v>
      </c>
      <c r="AO222">
        <v>115</v>
      </c>
      <c r="AP222">
        <v>12</v>
      </c>
      <c r="AS222">
        <v>3100</v>
      </c>
      <c r="AT222">
        <v>3100</v>
      </c>
      <c r="BN222" s="114" t="s">
        <v>256</v>
      </c>
      <c r="BO222">
        <v>2</v>
      </c>
      <c r="BP222">
        <v>2</v>
      </c>
      <c r="BQ222">
        <v>6</v>
      </c>
      <c r="BR222" t="s">
        <v>536</v>
      </c>
      <c r="BS222" t="s">
        <v>182</v>
      </c>
      <c r="BT222" t="s">
        <v>218</v>
      </c>
      <c r="BU222" s="115">
        <v>45834</v>
      </c>
      <c r="BV222">
        <v>36898</v>
      </c>
      <c r="BW222" s="116"/>
      <c r="BY222" t="s">
        <v>173</v>
      </c>
      <c r="CB222" t="s">
        <v>173</v>
      </c>
      <c r="CC222" t="s">
        <v>173</v>
      </c>
      <c r="CE222" t="s">
        <v>173</v>
      </c>
      <c r="CG222" t="s">
        <v>172</v>
      </c>
      <c r="CH222" t="s">
        <v>234</v>
      </c>
      <c r="CI222" t="s">
        <v>173</v>
      </c>
      <c r="CK222" t="s">
        <v>259</v>
      </c>
      <c r="CM222">
        <v>1</v>
      </c>
      <c r="CN222" t="s">
        <v>260</v>
      </c>
      <c r="CP222">
        <v>48</v>
      </c>
      <c r="CQ222">
        <v>20</v>
      </c>
      <c r="CR222">
        <v>80</v>
      </c>
      <c r="CS222" t="s">
        <v>261</v>
      </c>
      <c r="CV222" t="s">
        <v>262</v>
      </c>
      <c r="CX222" t="s">
        <v>263</v>
      </c>
      <c r="CY222" t="s">
        <v>173</v>
      </c>
      <c r="DC222" t="s">
        <v>591</v>
      </c>
      <c r="DD222">
        <v>1</v>
      </c>
      <c r="DE222" t="s">
        <v>307</v>
      </c>
      <c r="DF222" t="s">
        <v>592</v>
      </c>
      <c r="DG222">
        <v>17</v>
      </c>
      <c r="DJ222" t="s">
        <v>201</v>
      </c>
      <c r="DK222" t="s">
        <v>202</v>
      </c>
      <c r="DL222" t="s">
        <v>173</v>
      </c>
      <c r="DM222" t="s">
        <v>173</v>
      </c>
      <c r="DN222" t="s">
        <v>173</v>
      </c>
      <c r="DO222" t="s">
        <v>203</v>
      </c>
      <c r="DP222" t="s">
        <v>172</v>
      </c>
      <c r="DQ222" t="s">
        <v>204</v>
      </c>
      <c r="DR222" t="s">
        <v>594</v>
      </c>
      <c r="DY222">
        <v>25.9</v>
      </c>
      <c r="EA222" s="117"/>
      <c r="EB222">
        <v>4</v>
      </c>
      <c r="EC222">
        <v>4</v>
      </c>
      <c r="EE222" t="s">
        <v>593</v>
      </c>
      <c r="EF222">
        <v>4</v>
      </c>
      <c r="EV222">
        <v>7000</v>
      </c>
      <c r="EW222">
        <v>549</v>
      </c>
      <c r="EX222">
        <v>330</v>
      </c>
      <c r="EY222">
        <v>451</v>
      </c>
    </row>
    <row r="223" spans="1:155" x14ac:dyDescent="0.35">
      <c r="A223">
        <v>2026</v>
      </c>
      <c r="B223" t="s">
        <v>228</v>
      </c>
      <c r="C223" s="112" t="s">
        <v>228</v>
      </c>
      <c r="D223" t="s">
        <v>595</v>
      </c>
      <c r="E223" t="s">
        <v>230</v>
      </c>
      <c r="F223">
        <v>807</v>
      </c>
      <c r="G223" s="113">
        <v>6</v>
      </c>
      <c r="H223">
        <v>12</v>
      </c>
      <c r="I223" t="s">
        <v>231</v>
      </c>
      <c r="J223">
        <v>12</v>
      </c>
      <c r="K223">
        <v>20</v>
      </c>
      <c r="L223">
        <v>15</v>
      </c>
      <c r="M223">
        <v>14.5</v>
      </c>
      <c r="N223">
        <v>28.1</v>
      </c>
      <c r="O223">
        <v>18.537299999999998</v>
      </c>
      <c r="P223">
        <v>11.8909</v>
      </c>
      <c r="Q223">
        <v>20.300999999999998</v>
      </c>
      <c r="R223">
        <v>14.615600000000001</v>
      </c>
      <c r="S223" t="s">
        <v>167</v>
      </c>
      <c r="T223" t="s">
        <v>168</v>
      </c>
      <c r="U223" t="s">
        <v>169</v>
      </c>
      <c r="V223" t="s">
        <v>170</v>
      </c>
      <c r="W223" t="s">
        <v>171</v>
      </c>
      <c r="Y223">
        <v>9</v>
      </c>
      <c r="Z223" t="s">
        <v>172</v>
      </c>
      <c r="AA223" t="s">
        <v>173</v>
      </c>
      <c r="AB223" t="s">
        <v>170</v>
      </c>
      <c r="AC223" t="s">
        <v>232</v>
      </c>
      <c r="AD223">
        <v>10</v>
      </c>
      <c r="AG223" t="s">
        <v>216</v>
      </c>
      <c r="AH223" t="s">
        <v>217</v>
      </c>
      <c r="AI223" t="s">
        <v>178</v>
      </c>
      <c r="AJ223" t="s">
        <v>179</v>
      </c>
      <c r="AK223" t="s">
        <v>173</v>
      </c>
      <c r="AL223" t="s">
        <v>180</v>
      </c>
      <c r="AO223">
        <v>115</v>
      </c>
      <c r="AP223">
        <v>12</v>
      </c>
      <c r="AS223">
        <v>4150</v>
      </c>
      <c r="AT223">
        <v>4150</v>
      </c>
      <c r="BN223" s="114"/>
      <c r="BO223">
        <v>2</v>
      </c>
      <c r="BP223">
        <v>1</v>
      </c>
      <c r="BQ223">
        <v>6</v>
      </c>
      <c r="BR223" t="s">
        <v>536</v>
      </c>
      <c r="BS223" t="s">
        <v>182</v>
      </c>
      <c r="BT223" t="s">
        <v>183</v>
      </c>
      <c r="BU223" s="115">
        <v>45824</v>
      </c>
      <c r="BV223">
        <v>36808</v>
      </c>
      <c r="BW223" s="116"/>
      <c r="BY223" t="s">
        <v>173</v>
      </c>
      <c r="CB223" t="s">
        <v>173</v>
      </c>
      <c r="CC223" t="s">
        <v>173</v>
      </c>
      <c r="CE223" t="s">
        <v>173</v>
      </c>
      <c r="CG223" t="s">
        <v>172</v>
      </c>
      <c r="CH223" t="s">
        <v>234</v>
      </c>
      <c r="CI223" t="s">
        <v>173</v>
      </c>
      <c r="DJ223" t="s">
        <v>186</v>
      </c>
      <c r="DK223" t="s">
        <v>187</v>
      </c>
      <c r="DN223" t="s">
        <v>173</v>
      </c>
      <c r="DO223" t="s">
        <v>596</v>
      </c>
      <c r="DP223" t="s">
        <v>172</v>
      </c>
      <c r="DQ223" t="s">
        <v>204</v>
      </c>
      <c r="DY223">
        <v>18.7</v>
      </c>
      <c r="EA223" s="117"/>
      <c r="EB223">
        <v>2</v>
      </c>
      <c r="EC223">
        <v>2</v>
      </c>
      <c r="EE223" t="s">
        <v>597</v>
      </c>
      <c r="EF223">
        <v>2</v>
      </c>
      <c r="EV223">
        <v>12250</v>
      </c>
      <c r="EW223">
        <v>741</v>
      </c>
      <c r="EX223">
        <v>435</v>
      </c>
      <c r="EY223">
        <v>603</v>
      </c>
    </row>
    <row r="224" spans="1:155" x14ac:dyDescent="0.35">
      <c r="A224">
        <v>2026</v>
      </c>
      <c r="B224" t="s">
        <v>286</v>
      </c>
      <c r="C224" s="112" t="s">
        <v>286</v>
      </c>
      <c r="D224" t="s">
        <v>1238</v>
      </c>
      <c r="E224" t="s">
        <v>288</v>
      </c>
      <c r="F224">
        <v>601</v>
      </c>
      <c r="G224" s="113">
        <v>2.9</v>
      </c>
      <c r="H224">
        <v>6</v>
      </c>
      <c r="I224" t="s">
        <v>289</v>
      </c>
      <c r="J224">
        <v>18</v>
      </c>
      <c r="K224">
        <v>25</v>
      </c>
      <c r="L224">
        <v>21</v>
      </c>
      <c r="M224">
        <v>23.5</v>
      </c>
      <c r="N224">
        <v>36.299999999999997</v>
      </c>
      <c r="O224">
        <v>27.932200000000002</v>
      </c>
      <c r="P224">
        <v>18</v>
      </c>
      <c r="Q224">
        <v>25</v>
      </c>
      <c r="R224">
        <v>21.328800000000001</v>
      </c>
      <c r="T224" t="s">
        <v>168</v>
      </c>
      <c r="U224" t="s">
        <v>169</v>
      </c>
      <c r="V224" t="s">
        <v>275</v>
      </c>
      <c r="W224" t="s">
        <v>276</v>
      </c>
      <c r="Y224">
        <v>8</v>
      </c>
      <c r="Z224" t="s">
        <v>173</v>
      </c>
      <c r="AA224" t="s">
        <v>173</v>
      </c>
      <c r="AB224" t="s">
        <v>174</v>
      </c>
      <c r="AC224" t="s">
        <v>175</v>
      </c>
      <c r="AD224">
        <v>10</v>
      </c>
      <c r="AG224" t="s">
        <v>216</v>
      </c>
      <c r="AH224" t="s">
        <v>217</v>
      </c>
      <c r="AI224" t="s">
        <v>178</v>
      </c>
      <c r="AJ224" t="s">
        <v>179</v>
      </c>
      <c r="AK224" t="s">
        <v>173</v>
      </c>
      <c r="AL224" t="s">
        <v>180</v>
      </c>
      <c r="AQ224">
        <v>98</v>
      </c>
      <c r="AR224">
        <v>27</v>
      </c>
      <c r="AS224">
        <v>2950</v>
      </c>
      <c r="AT224">
        <v>2950</v>
      </c>
      <c r="BN224" s="114" t="s">
        <v>198</v>
      </c>
      <c r="BO224">
        <v>2</v>
      </c>
      <c r="BP224">
        <v>2</v>
      </c>
      <c r="BQ224">
        <v>6</v>
      </c>
      <c r="BR224" t="s">
        <v>536</v>
      </c>
      <c r="BS224" t="s">
        <v>182</v>
      </c>
      <c r="BT224" t="s">
        <v>183</v>
      </c>
      <c r="BU224" s="115">
        <v>45892</v>
      </c>
      <c r="BV224">
        <v>37430</v>
      </c>
      <c r="BW224" s="116"/>
      <c r="BY224" t="s">
        <v>173</v>
      </c>
      <c r="CB224" t="s">
        <v>173</v>
      </c>
      <c r="CC224" t="s">
        <v>173</v>
      </c>
      <c r="CE224" t="s">
        <v>173</v>
      </c>
      <c r="CG224" t="s">
        <v>172</v>
      </c>
      <c r="CH224" t="s">
        <v>1006</v>
      </c>
      <c r="CI224" t="s">
        <v>172</v>
      </c>
      <c r="CJ224" t="s">
        <v>291</v>
      </c>
      <c r="DJ224" t="s">
        <v>201</v>
      </c>
      <c r="DK224" t="s">
        <v>202</v>
      </c>
      <c r="DN224" t="s">
        <v>173</v>
      </c>
      <c r="DO224" t="s">
        <v>188</v>
      </c>
      <c r="DP224" t="s">
        <v>172</v>
      </c>
      <c r="DQ224" t="s">
        <v>204</v>
      </c>
      <c r="DY224">
        <v>28.1</v>
      </c>
      <c r="EA224" s="117"/>
      <c r="EB224">
        <v>4</v>
      </c>
      <c r="EC224">
        <v>4</v>
      </c>
      <c r="EE224" t="s">
        <v>1239</v>
      </c>
      <c r="EF224">
        <v>4</v>
      </c>
      <c r="EV224">
        <v>6250</v>
      </c>
      <c r="EW224">
        <v>493</v>
      </c>
      <c r="EX224">
        <v>355</v>
      </c>
      <c r="EY224">
        <v>431</v>
      </c>
    </row>
    <row r="225" spans="1:155" x14ac:dyDescent="0.35">
      <c r="A225">
        <v>2026</v>
      </c>
      <c r="B225" t="s">
        <v>286</v>
      </c>
      <c r="C225" s="112" t="s">
        <v>286</v>
      </c>
      <c r="D225" t="s">
        <v>1240</v>
      </c>
      <c r="E225" t="s">
        <v>288</v>
      </c>
      <c r="F225">
        <v>630</v>
      </c>
      <c r="G225" s="113">
        <v>2.9</v>
      </c>
      <c r="H225">
        <v>6</v>
      </c>
      <c r="I225" t="s">
        <v>289</v>
      </c>
      <c r="J225">
        <v>18</v>
      </c>
      <c r="K225">
        <v>25</v>
      </c>
      <c r="L225">
        <v>21</v>
      </c>
      <c r="M225">
        <v>23.7</v>
      </c>
      <c r="N225">
        <v>36.700000000000003</v>
      </c>
      <c r="O225">
        <v>28.194199999999999</v>
      </c>
      <c r="P225">
        <v>18</v>
      </c>
      <c r="Q225">
        <v>25</v>
      </c>
      <c r="R225">
        <v>21</v>
      </c>
      <c r="T225" t="s">
        <v>168</v>
      </c>
      <c r="U225" t="s">
        <v>169</v>
      </c>
      <c r="V225" t="s">
        <v>275</v>
      </c>
      <c r="W225" t="s">
        <v>276</v>
      </c>
      <c r="Y225">
        <v>8</v>
      </c>
      <c r="Z225" t="s">
        <v>173</v>
      </c>
      <c r="AA225" t="s">
        <v>173</v>
      </c>
      <c r="AB225" t="s">
        <v>170</v>
      </c>
      <c r="AC225" t="s">
        <v>232</v>
      </c>
      <c r="AD225">
        <v>10</v>
      </c>
      <c r="AG225" t="s">
        <v>216</v>
      </c>
      <c r="AH225" t="s">
        <v>217</v>
      </c>
      <c r="AI225" t="s">
        <v>178</v>
      </c>
      <c r="AJ225" t="s">
        <v>179</v>
      </c>
      <c r="AK225" t="s">
        <v>173</v>
      </c>
      <c r="AL225" t="s">
        <v>180</v>
      </c>
      <c r="AQ225">
        <v>98</v>
      </c>
      <c r="AR225">
        <v>27</v>
      </c>
      <c r="AS225">
        <v>2950</v>
      </c>
      <c r="AT225">
        <v>2950</v>
      </c>
      <c r="BN225" s="114" t="s">
        <v>198</v>
      </c>
      <c r="BO225">
        <v>2</v>
      </c>
      <c r="BP225">
        <v>2</v>
      </c>
      <c r="BQ225">
        <v>6</v>
      </c>
      <c r="BR225" t="s">
        <v>536</v>
      </c>
      <c r="BS225" t="s">
        <v>182</v>
      </c>
      <c r="BT225" t="s">
        <v>183</v>
      </c>
      <c r="BU225" s="115">
        <v>45892</v>
      </c>
      <c r="BV225">
        <v>37431</v>
      </c>
      <c r="BW225" s="116"/>
      <c r="BY225" t="s">
        <v>173</v>
      </c>
      <c r="CB225" t="s">
        <v>173</v>
      </c>
      <c r="CC225" t="s">
        <v>173</v>
      </c>
      <c r="CE225" t="s">
        <v>173</v>
      </c>
      <c r="CG225" t="s">
        <v>172</v>
      </c>
      <c r="CH225" t="s">
        <v>1006</v>
      </c>
      <c r="CI225" t="s">
        <v>172</v>
      </c>
      <c r="CJ225" t="s">
        <v>291</v>
      </c>
      <c r="DJ225" t="s">
        <v>201</v>
      </c>
      <c r="DK225" t="s">
        <v>202</v>
      </c>
      <c r="DN225" t="s">
        <v>173</v>
      </c>
      <c r="DO225" t="s">
        <v>188</v>
      </c>
      <c r="DP225" t="s">
        <v>172</v>
      </c>
      <c r="DQ225" t="s">
        <v>204</v>
      </c>
      <c r="DY225">
        <v>27.3</v>
      </c>
      <c r="EA225" s="117"/>
      <c r="EB225">
        <v>4</v>
      </c>
      <c r="EC225">
        <v>4</v>
      </c>
      <c r="EE225" t="s">
        <v>1239</v>
      </c>
      <c r="EF225">
        <v>4</v>
      </c>
      <c r="EV225">
        <v>6250</v>
      </c>
      <c r="EW225">
        <v>496</v>
      </c>
      <c r="EX225">
        <v>356</v>
      </c>
      <c r="EY225">
        <v>425</v>
      </c>
    </row>
    <row r="226" spans="1:155" x14ac:dyDescent="0.35">
      <c r="A226">
        <v>2026</v>
      </c>
      <c r="B226" t="s">
        <v>598</v>
      </c>
      <c r="C226" s="112" t="s">
        <v>599</v>
      </c>
      <c r="D226" t="s">
        <v>600</v>
      </c>
      <c r="E226" t="s">
        <v>601</v>
      </c>
      <c r="F226">
        <v>16</v>
      </c>
      <c r="G226" s="113">
        <v>6.7</v>
      </c>
      <c r="H226">
        <v>12</v>
      </c>
      <c r="I226" t="s">
        <v>195</v>
      </c>
      <c r="J226">
        <v>12</v>
      </c>
      <c r="K226">
        <v>19</v>
      </c>
      <c r="L226">
        <v>14</v>
      </c>
      <c r="M226">
        <v>14.6</v>
      </c>
      <c r="N226">
        <v>26.2</v>
      </c>
      <c r="O226">
        <v>18.232600000000001</v>
      </c>
      <c r="P226">
        <v>11.9689</v>
      </c>
      <c r="Q226">
        <v>19.011600000000001</v>
      </c>
      <c r="R226">
        <v>14.363200000000001</v>
      </c>
      <c r="S226" t="s">
        <v>167</v>
      </c>
      <c r="T226" t="s">
        <v>168</v>
      </c>
      <c r="U226" t="s">
        <v>169</v>
      </c>
      <c r="V226" t="s">
        <v>196</v>
      </c>
      <c r="W226" t="s">
        <v>197</v>
      </c>
      <c r="Y226">
        <v>8</v>
      </c>
      <c r="Z226" t="s">
        <v>172</v>
      </c>
      <c r="AA226" t="s">
        <v>173</v>
      </c>
      <c r="AB226" t="s">
        <v>170</v>
      </c>
      <c r="AC226" t="s">
        <v>232</v>
      </c>
      <c r="AD226">
        <v>10</v>
      </c>
      <c r="AG226" t="s">
        <v>176</v>
      </c>
      <c r="AH226" t="s">
        <v>177</v>
      </c>
      <c r="AI226" t="s">
        <v>178</v>
      </c>
      <c r="AJ226" t="s">
        <v>179</v>
      </c>
      <c r="AK226" t="s">
        <v>173</v>
      </c>
      <c r="AL226" t="s">
        <v>180</v>
      </c>
      <c r="AO226">
        <v>111</v>
      </c>
      <c r="AP226">
        <v>13</v>
      </c>
      <c r="AS226">
        <v>4450</v>
      </c>
      <c r="AT226">
        <v>4450</v>
      </c>
      <c r="BN226" s="114" t="s">
        <v>198</v>
      </c>
      <c r="BO226">
        <v>2</v>
      </c>
      <c r="BP226">
        <v>2</v>
      </c>
      <c r="BQ226">
        <v>6</v>
      </c>
      <c r="BR226" t="s">
        <v>536</v>
      </c>
      <c r="BS226" t="s">
        <v>182</v>
      </c>
      <c r="BT226" t="s">
        <v>183</v>
      </c>
      <c r="BU226" s="115">
        <v>45870</v>
      </c>
      <c r="BV226">
        <v>37150</v>
      </c>
      <c r="BW226" s="116"/>
      <c r="BX226" t="s">
        <v>173</v>
      </c>
      <c r="BY226" t="s">
        <v>173</v>
      </c>
      <c r="CB226" t="s">
        <v>173</v>
      </c>
      <c r="CC226" t="s">
        <v>173</v>
      </c>
      <c r="CD226" t="s">
        <v>602</v>
      </c>
      <c r="CE226" t="s">
        <v>173</v>
      </c>
      <c r="CG226" t="s">
        <v>172</v>
      </c>
      <c r="CH226" t="s">
        <v>199</v>
      </c>
      <c r="CI226" t="s">
        <v>173</v>
      </c>
      <c r="DJ226" t="s">
        <v>201</v>
      </c>
      <c r="DK226" t="s">
        <v>202</v>
      </c>
      <c r="DN226" t="s">
        <v>173</v>
      </c>
      <c r="DO226" t="s">
        <v>266</v>
      </c>
      <c r="DP226" t="s">
        <v>173</v>
      </c>
      <c r="DQ226" t="s">
        <v>189</v>
      </c>
      <c r="DY226">
        <v>18.399999999999999</v>
      </c>
      <c r="EA226" s="117"/>
      <c r="EB226">
        <v>2</v>
      </c>
      <c r="EC226">
        <v>2</v>
      </c>
      <c r="EE226" t="s">
        <v>603</v>
      </c>
      <c r="EF226">
        <v>2</v>
      </c>
      <c r="EV226">
        <v>13750</v>
      </c>
      <c r="EW226">
        <v>732</v>
      </c>
      <c r="EX226">
        <v>459</v>
      </c>
      <c r="EY226">
        <v>609</v>
      </c>
    </row>
    <row r="227" spans="1:155" x14ac:dyDescent="0.35">
      <c r="A227">
        <v>2026</v>
      </c>
      <c r="B227" t="s">
        <v>598</v>
      </c>
      <c r="C227" s="112" t="s">
        <v>599</v>
      </c>
      <c r="D227" t="s">
        <v>604</v>
      </c>
      <c r="E227" t="s">
        <v>601</v>
      </c>
      <c r="F227">
        <v>14</v>
      </c>
      <c r="G227" s="113">
        <v>6.7</v>
      </c>
      <c r="H227">
        <v>12</v>
      </c>
      <c r="I227" t="s">
        <v>195</v>
      </c>
      <c r="J227">
        <v>12</v>
      </c>
      <c r="K227">
        <v>19</v>
      </c>
      <c r="L227">
        <v>14</v>
      </c>
      <c r="M227">
        <v>14.6</v>
      </c>
      <c r="N227">
        <v>26.2</v>
      </c>
      <c r="O227">
        <v>18.232600000000001</v>
      </c>
      <c r="P227">
        <v>11.9689</v>
      </c>
      <c r="Q227">
        <v>19.011600000000001</v>
      </c>
      <c r="R227">
        <v>14.363200000000001</v>
      </c>
      <c r="S227" t="s">
        <v>167</v>
      </c>
      <c r="T227" t="s">
        <v>168</v>
      </c>
      <c r="U227" t="s">
        <v>169</v>
      </c>
      <c r="V227" t="s">
        <v>196</v>
      </c>
      <c r="W227" t="s">
        <v>197</v>
      </c>
      <c r="Y227">
        <v>8</v>
      </c>
      <c r="Z227" t="s">
        <v>172</v>
      </c>
      <c r="AA227" t="s">
        <v>173</v>
      </c>
      <c r="AB227" t="s">
        <v>170</v>
      </c>
      <c r="AC227" t="s">
        <v>232</v>
      </c>
      <c r="AD227">
        <v>10</v>
      </c>
      <c r="AG227" t="s">
        <v>176</v>
      </c>
      <c r="AH227" t="s">
        <v>177</v>
      </c>
      <c r="AI227" t="s">
        <v>178</v>
      </c>
      <c r="AJ227" t="s">
        <v>179</v>
      </c>
      <c r="AK227" t="s">
        <v>173</v>
      </c>
      <c r="AL227" t="s">
        <v>180</v>
      </c>
      <c r="AO227">
        <v>111</v>
      </c>
      <c r="AP227">
        <v>13</v>
      </c>
      <c r="AS227">
        <v>4450</v>
      </c>
      <c r="AT227">
        <v>4450</v>
      </c>
      <c r="BN227" s="114" t="s">
        <v>198</v>
      </c>
      <c r="BO227">
        <v>2</v>
      </c>
      <c r="BP227">
        <v>2</v>
      </c>
      <c r="BQ227">
        <v>6</v>
      </c>
      <c r="BR227" t="s">
        <v>536</v>
      </c>
      <c r="BS227" t="s">
        <v>182</v>
      </c>
      <c r="BT227" t="s">
        <v>183</v>
      </c>
      <c r="BU227" s="115">
        <v>45870</v>
      </c>
      <c r="BV227">
        <v>37149</v>
      </c>
      <c r="BW227" s="116"/>
      <c r="BX227" t="s">
        <v>173</v>
      </c>
      <c r="BY227" t="s">
        <v>173</v>
      </c>
      <c r="CB227" t="s">
        <v>173</v>
      </c>
      <c r="CC227" t="s">
        <v>173</v>
      </c>
      <c r="CD227" t="s">
        <v>605</v>
      </c>
      <c r="CE227" t="s">
        <v>173</v>
      </c>
      <c r="CG227" t="s">
        <v>172</v>
      </c>
      <c r="CH227" t="s">
        <v>199</v>
      </c>
      <c r="CI227" t="s">
        <v>173</v>
      </c>
      <c r="DJ227" t="s">
        <v>201</v>
      </c>
      <c r="DK227" t="s">
        <v>202</v>
      </c>
      <c r="DN227" t="s">
        <v>173</v>
      </c>
      <c r="DO227" t="s">
        <v>266</v>
      </c>
      <c r="DP227" t="s">
        <v>173</v>
      </c>
      <c r="DQ227" t="s">
        <v>189</v>
      </c>
      <c r="DY227">
        <v>18.399999999999999</v>
      </c>
      <c r="EA227" s="117"/>
      <c r="EB227">
        <v>2</v>
      </c>
      <c r="EC227">
        <v>2</v>
      </c>
      <c r="EE227" t="s">
        <v>603</v>
      </c>
      <c r="EF227">
        <v>2</v>
      </c>
      <c r="EV227">
        <v>13750</v>
      </c>
      <c r="EW227">
        <v>732</v>
      </c>
      <c r="EX227">
        <v>459</v>
      </c>
      <c r="EY227">
        <v>609</v>
      </c>
    </row>
    <row r="228" spans="1:155" x14ac:dyDescent="0.35">
      <c r="A228">
        <v>2026</v>
      </c>
      <c r="B228" t="s">
        <v>598</v>
      </c>
      <c r="C228" s="112" t="s">
        <v>599</v>
      </c>
      <c r="D228" t="s">
        <v>606</v>
      </c>
      <c r="E228" t="s">
        <v>601</v>
      </c>
      <c r="F228">
        <v>15</v>
      </c>
      <c r="G228" s="113">
        <v>6.7</v>
      </c>
      <c r="H228">
        <v>12</v>
      </c>
      <c r="I228" t="s">
        <v>195</v>
      </c>
      <c r="J228">
        <v>12</v>
      </c>
      <c r="K228">
        <v>19</v>
      </c>
      <c r="L228">
        <v>14</v>
      </c>
      <c r="M228">
        <v>14.6</v>
      </c>
      <c r="N228">
        <v>26.2</v>
      </c>
      <c r="O228">
        <v>18.232600000000001</v>
      </c>
      <c r="P228">
        <v>11.9689</v>
      </c>
      <c r="Q228">
        <v>19.011600000000001</v>
      </c>
      <c r="R228">
        <v>14.363200000000001</v>
      </c>
      <c r="S228" t="s">
        <v>167</v>
      </c>
      <c r="T228" t="s">
        <v>168</v>
      </c>
      <c r="U228" t="s">
        <v>169</v>
      </c>
      <c r="V228" t="s">
        <v>196</v>
      </c>
      <c r="W228" t="s">
        <v>197</v>
      </c>
      <c r="Y228">
        <v>8</v>
      </c>
      <c r="Z228" t="s">
        <v>172</v>
      </c>
      <c r="AA228" t="s">
        <v>173</v>
      </c>
      <c r="AB228" t="s">
        <v>170</v>
      </c>
      <c r="AC228" t="s">
        <v>232</v>
      </c>
      <c r="AD228">
        <v>10</v>
      </c>
      <c r="AG228" t="s">
        <v>176</v>
      </c>
      <c r="AH228" t="s">
        <v>177</v>
      </c>
      <c r="AI228" t="s">
        <v>178</v>
      </c>
      <c r="AJ228" t="s">
        <v>179</v>
      </c>
      <c r="AK228" t="s">
        <v>173</v>
      </c>
      <c r="AL228" t="s">
        <v>180</v>
      </c>
      <c r="AO228">
        <v>120</v>
      </c>
      <c r="AP228">
        <v>13</v>
      </c>
      <c r="AS228">
        <v>4450</v>
      </c>
      <c r="AT228">
        <v>4450</v>
      </c>
      <c r="BN228" s="114" t="s">
        <v>198</v>
      </c>
      <c r="BO228">
        <v>2</v>
      </c>
      <c r="BP228">
        <v>2</v>
      </c>
      <c r="BQ228">
        <v>6</v>
      </c>
      <c r="BR228" t="s">
        <v>536</v>
      </c>
      <c r="BS228" t="s">
        <v>182</v>
      </c>
      <c r="BT228" t="s">
        <v>183</v>
      </c>
      <c r="BU228" s="115">
        <v>45870</v>
      </c>
      <c r="BV228">
        <v>37151</v>
      </c>
      <c r="BW228" s="116"/>
      <c r="BX228" t="s">
        <v>173</v>
      </c>
      <c r="BY228" t="s">
        <v>173</v>
      </c>
      <c r="CB228" t="s">
        <v>173</v>
      </c>
      <c r="CC228" t="s">
        <v>173</v>
      </c>
      <c r="CD228" t="s">
        <v>605</v>
      </c>
      <c r="CE228" t="s">
        <v>173</v>
      </c>
      <c r="CG228" t="s">
        <v>172</v>
      </c>
      <c r="CH228" t="s">
        <v>199</v>
      </c>
      <c r="CI228" t="s">
        <v>173</v>
      </c>
      <c r="DJ228" t="s">
        <v>201</v>
      </c>
      <c r="DK228" t="s">
        <v>202</v>
      </c>
      <c r="DN228" t="s">
        <v>173</v>
      </c>
      <c r="DO228" t="s">
        <v>266</v>
      </c>
      <c r="DP228" t="s">
        <v>173</v>
      </c>
      <c r="DQ228" t="s">
        <v>189</v>
      </c>
      <c r="DY228">
        <v>18.399999999999999</v>
      </c>
      <c r="EA228" s="117"/>
      <c r="EB228">
        <v>2</v>
      </c>
      <c r="EC228">
        <v>2</v>
      </c>
      <c r="EE228" t="s">
        <v>603</v>
      </c>
      <c r="EF228">
        <v>2</v>
      </c>
      <c r="EV228">
        <v>13750</v>
      </c>
      <c r="EW228">
        <v>732</v>
      </c>
      <c r="EX228">
        <v>459</v>
      </c>
      <c r="EY228">
        <v>609</v>
      </c>
    </row>
    <row r="229" spans="1:155" x14ac:dyDescent="0.35">
      <c r="A229">
        <v>2026</v>
      </c>
      <c r="B229" t="s">
        <v>598</v>
      </c>
      <c r="C229" s="112" t="s">
        <v>599</v>
      </c>
      <c r="D229" t="s">
        <v>607</v>
      </c>
      <c r="E229" t="s">
        <v>601</v>
      </c>
      <c r="F229">
        <v>12</v>
      </c>
      <c r="G229" s="113">
        <v>6.7</v>
      </c>
      <c r="H229">
        <v>12</v>
      </c>
      <c r="I229" t="s">
        <v>195</v>
      </c>
      <c r="J229">
        <v>12</v>
      </c>
      <c r="K229">
        <v>19</v>
      </c>
      <c r="L229">
        <v>14</v>
      </c>
      <c r="M229">
        <v>14.6</v>
      </c>
      <c r="N229">
        <v>26.2</v>
      </c>
      <c r="O229">
        <v>18.232600000000001</v>
      </c>
      <c r="P229">
        <v>11.9689</v>
      </c>
      <c r="Q229">
        <v>19.011600000000001</v>
      </c>
      <c r="R229">
        <v>14.363200000000001</v>
      </c>
      <c r="S229" t="s">
        <v>167</v>
      </c>
      <c r="T229" t="s">
        <v>168</v>
      </c>
      <c r="U229" t="s">
        <v>169</v>
      </c>
      <c r="V229" t="s">
        <v>196</v>
      </c>
      <c r="W229" t="s">
        <v>197</v>
      </c>
      <c r="Y229">
        <v>8</v>
      </c>
      <c r="Z229" t="s">
        <v>172</v>
      </c>
      <c r="AA229" t="s">
        <v>173</v>
      </c>
      <c r="AB229" t="s">
        <v>174</v>
      </c>
      <c r="AC229" t="s">
        <v>175</v>
      </c>
      <c r="AD229">
        <v>10</v>
      </c>
      <c r="AG229" t="s">
        <v>176</v>
      </c>
      <c r="AH229" t="s">
        <v>177</v>
      </c>
      <c r="AI229" t="s">
        <v>178</v>
      </c>
      <c r="AJ229" t="s">
        <v>179</v>
      </c>
      <c r="AK229" t="s">
        <v>173</v>
      </c>
      <c r="AL229" t="s">
        <v>180</v>
      </c>
      <c r="AO229">
        <v>116</v>
      </c>
      <c r="AP229">
        <v>15</v>
      </c>
      <c r="AS229">
        <v>4450</v>
      </c>
      <c r="AT229">
        <v>4450</v>
      </c>
      <c r="BN229" s="114" t="s">
        <v>198</v>
      </c>
      <c r="BO229">
        <v>2</v>
      </c>
      <c r="BP229">
        <v>2</v>
      </c>
      <c r="BQ229">
        <v>6</v>
      </c>
      <c r="BR229" t="s">
        <v>536</v>
      </c>
      <c r="BS229" t="s">
        <v>182</v>
      </c>
      <c r="BT229" t="s">
        <v>183</v>
      </c>
      <c r="BU229" s="115">
        <v>45870</v>
      </c>
      <c r="BV229">
        <v>37157</v>
      </c>
      <c r="BW229" s="116"/>
      <c r="BX229" t="s">
        <v>173</v>
      </c>
      <c r="BY229" t="s">
        <v>173</v>
      </c>
      <c r="CB229" t="s">
        <v>173</v>
      </c>
      <c r="CC229" t="s">
        <v>173</v>
      </c>
      <c r="CD229" t="s">
        <v>605</v>
      </c>
      <c r="CE229" t="s">
        <v>173</v>
      </c>
      <c r="CG229" t="s">
        <v>172</v>
      </c>
      <c r="CH229" t="s">
        <v>199</v>
      </c>
      <c r="CI229" t="s">
        <v>173</v>
      </c>
      <c r="DJ229" t="s">
        <v>201</v>
      </c>
      <c r="DK229" t="s">
        <v>202</v>
      </c>
      <c r="DN229" t="s">
        <v>173</v>
      </c>
      <c r="DO229" t="s">
        <v>266</v>
      </c>
      <c r="DP229" t="s">
        <v>173</v>
      </c>
      <c r="DQ229" t="s">
        <v>189</v>
      </c>
      <c r="DY229">
        <v>18.399999999999999</v>
      </c>
      <c r="EA229" s="117"/>
      <c r="EB229">
        <v>2</v>
      </c>
      <c r="EC229">
        <v>2</v>
      </c>
      <c r="EE229" t="s">
        <v>603</v>
      </c>
      <c r="EF229">
        <v>2</v>
      </c>
      <c r="EV229">
        <v>13750</v>
      </c>
      <c r="EW229">
        <v>732</v>
      </c>
      <c r="EX229">
        <v>459</v>
      </c>
      <c r="EY229">
        <v>609</v>
      </c>
    </row>
    <row r="230" spans="1:155" x14ac:dyDescent="0.35">
      <c r="A230">
        <v>2026</v>
      </c>
      <c r="B230" t="s">
        <v>598</v>
      </c>
      <c r="C230" s="112" t="s">
        <v>599</v>
      </c>
      <c r="D230" t="s">
        <v>608</v>
      </c>
      <c r="E230" t="s">
        <v>601</v>
      </c>
      <c r="F230">
        <v>13</v>
      </c>
      <c r="G230" s="113">
        <v>6.7</v>
      </c>
      <c r="H230">
        <v>12</v>
      </c>
      <c r="I230" t="s">
        <v>195</v>
      </c>
      <c r="J230">
        <v>12</v>
      </c>
      <c r="K230">
        <v>19</v>
      </c>
      <c r="L230">
        <v>14</v>
      </c>
      <c r="M230">
        <v>14.6</v>
      </c>
      <c r="N230">
        <v>26.2</v>
      </c>
      <c r="O230">
        <v>18.232600000000001</v>
      </c>
      <c r="P230">
        <v>11.9689</v>
      </c>
      <c r="Q230">
        <v>19.011600000000001</v>
      </c>
      <c r="R230">
        <v>14.363200000000001</v>
      </c>
      <c r="S230" t="s">
        <v>167</v>
      </c>
      <c r="T230" t="s">
        <v>168</v>
      </c>
      <c r="U230" t="s">
        <v>169</v>
      </c>
      <c r="V230" t="s">
        <v>196</v>
      </c>
      <c r="W230" t="s">
        <v>197</v>
      </c>
      <c r="Y230">
        <v>8</v>
      </c>
      <c r="Z230" t="s">
        <v>172</v>
      </c>
      <c r="AA230" t="s">
        <v>173</v>
      </c>
      <c r="AB230" t="s">
        <v>174</v>
      </c>
      <c r="AC230" t="s">
        <v>175</v>
      </c>
      <c r="AD230">
        <v>10</v>
      </c>
      <c r="AG230" t="s">
        <v>176</v>
      </c>
      <c r="AH230" t="s">
        <v>177</v>
      </c>
      <c r="AI230" t="s">
        <v>178</v>
      </c>
      <c r="AJ230" t="s">
        <v>179</v>
      </c>
      <c r="AK230" t="s">
        <v>173</v>
      </c>
      <c r="AL230" t="s">
        <v>180</v>
      </c>
      <c r="AO230">
        <v>127</v>
      </c>
      <c r="AP230">
        <v>15</v>
      </c>
      <c r="AS230">
        <v>4450</v>
      </c>
      <c r="AT230">
        <v>4450</v>
      </c>
      <c r="BN230" s="114" t="s">
        <v>198</v>
      </c>
      <c r="BO230">
        <v>2</v>
      </c>
      <c r="BP230">
        <v>2</v>
      </c>
      <c r="BQ230">
        <v>6</v>
      </c>
      <c r="BR230" t="s">
        <v>536</v>
      </c>
      <c r="BS230" t="s">
        <v>182</v>
      </c>
      <c r="BT230" t="s">
        <v>183</v>
      </c>
      <c r="BU230" s="115">
        <v>45870</v>
      </c>
      <c r="BV230">
        <v>37158</v>
      </c>
      <c r="BW230" s="116"/>
      <c r="BX230" t="s">
        <v>173</v>
      </c>
      <c r="BY230" t="s">
        <v>173</v>
      </c>
      <c r="CB230" t="s">
        <v>173</v>
      </c>
      <c r="CC230" t="s">
        <v>173</v>
      </c>
      <c r="CD230" t="s">
        <v>605</v>
      </c>
      <c r="CE230" t="s">
        <v>173</v>
      </c>
      <c r="CG230" t="s">
        <v>172</v>
      </c>
      <c r="CH230" t="s">
        <v>199</v>
      </c>
      <c r="CI230" t="s">
        <v>173</v>
      </c>
      <c r="DJ230" t="s">
        <v>201</v>
      </c>
      <c r="DK230" t="s">
        <v>202</v>
      </c>
      <c r="DN230" t="s">
        <v>173</v>
      </c>
      <c r="DO230" t="s">
        <v>266</v>
      </c>
      <c r="DP230" t="s">
        <v>173</v>
      </c>
      <c r="DQ230" t="s">
        <v>189</v>
      </c>
      <c r="DY230">
        <v>18.399999999999999</v>
      </c>
      <c r="EA230" s="117"/>
      <c r="EB230">
        <v>2</v>
      </c>
      <c r="EC230">
        <v>2</v>
      </c>
      <c r="EE230" t="s">
        <v>603</v>
      </c>
      <c r="EF230">
        <v>2</v>
      </c>
      <c r="EV230">
        <v>13750</v>
      </c>
      <c r="EW230">
        <v>732</v>
      </c>
      <c r="EX230">
        <v>459</v>
      </c>
      <c r="EY230">
        <v>609</v>
      </c>
    </row>
    <row r="231" spans="1:155" x14ac:dyDescent="0.35">
      <c r="A231">
        <v>2026</v>
      </c>
      <c r="B231" t="s">
        <v>211</v>
      </c>
      <c r="C231" s="112" t="s">
        <v>609</v>
      </c>
      <c r="D231" t="s">
        <v>610</v>
      </c>
      <c r="E231" t="s">
        <v>214</v>
      </c>
      <c r="F231">
        <v>131</v>
      </c>
      <c r="G231" s="113">
        <v>1.2</v>
      </c>
      <c r="H231">
        <v>3</v>
      </c>
      <c r="I231" t="s">
        <v>611</v>
      </c>
      <c r="J231">
        <v>28</v>
      </c>
      <c r="K231">
        <v>32</v>
      </c>
      <c r="L231">
        <v>30</v>
      </c>
      <c r="M231">
        <v>36.9</v>
      </c>
      <c r="N231">
        <v>50.3</v>
      </c>
      <c r="O231">
        <v>41.926099999999998</v>
      </c>
      <c r="P231">
        <v>28.145199999999999</v>
      </c>
      <c r="Q231">
        <v>32</v>
      </c>
      <c r="R231">
        <v>30</v>
      </c>
      <c r="T231" t="s">
        <v>168</v>
      </c>
      <c r="U231" t="s">
        <v>169</v>
      </c>
      <c r="V231" t="s">
        <v>170</v>
      </c>
      <c r="W231" t="s">
        <v>171</v>
      </c>
      <c r="Y231">
        <v>6</v>
      </c>
      <c r="Z231" t="s">
        <v>172</v>
      </c>
      <c r="AA231" t="s">
        <v>173</v>
      </c>
      <c r="AB231" t="s">
        <v>277</v>
      </c>
      <c r="AC231" t="s">
        <v>278</v>
      </c>
      <c r="AD231">
        <v>10</v>
      </c>
      <c r="AG231" t="s">
        <v>167</v>
      </c>
      <c r="AH231" t="s">
        <v>416</v>
      </c>
      <c r="AI231" t="s">
        <v>178</v>
      </c>
      <c r="AJ231" t="s">
        <v>179</v>
      </c>
      <c r="AK231" t="s">
        <v>173</v>
      </c>
      <c r="AL231" t="s">
        <v>180</v>
      </c>
      <c r="AO231">
        <v>94</v>
      </c>
      <c r="AP231">
        <v>24</v>
      </c>
      <c r="AS231">
        <v>1650</v>
      </c>
      <c r="AT231">
        <v>1650</v>
      </c>
      <c r="BN231" s="114" t="s">
        <v>198</v>
      </c>
      <c r="BO231">
        <v>2</v>
      </c>
      <c r="BP231">
        <v>2</v>
      </c>
      <c r="BQ231">
        <v>7</v>
      </c>
      <c r="BR231" t="s">
        <v>612</v>
      </c>
      <c r="BS231" t="s">
        <v>182</v>
      </c>
      <c r="BT231" t="s">
        <v>613</v>
      </c>
      <c r="BU231" s="115">
        <v>45845</v>
      </c>
      <c r="BV231">
        <v>36662</v>
      </c>
      <c r="BW231" s="116"/>
      <c r="BX231" t="s">
        <v>173</v>
      </c>
      <c r="BY231" t="s">
        <v>173</v>
      </c>
      <c r="CB231" t="s">
        <v>173</v>
      </c>
      <c r="CC231" t="s">
        <v>173</v>
      </c>
      <c r="CD231" t="s">
        <v>614</v>
      </c>
      <c r="CE231" t="s">
        <v>173</v>
      </c>
      <c r="CG231" t="s">
        <v>172</v>
      </c>
      <c r="CH231" t="s">
        <v>615</v>
      </c>
      <c r="CI231" t="s">
        <v>173</v>
      </c>
      <c r="DJ231" t="s">
        <v>201</v>
      </c>
      <c r="DK231" t="s">
        <v>202</v>
      </c>
      <c r="DN231" t="s">
        <v>173</v>
      </c>
      <c r="DO231" t="s">
        <v>203</v>
      </c>
      <c r="DP231" t="s">
        <v>172</v>
      </c>
      <c r="DQ231" t="s">
        <v>204</v>
      </c>
      <c r="DY231">
        <v>42.2</v>
      </c>
      <c r="EA231" s="117"/>
      <c r="EB231">
        <v>6</v>
      </c>
      <c r="EC231">
        <v>6</v>
      </c>
      <c r="EE231" t="s">
        <v>616</v>
      </c>
      <c r="EF231">
        <v>6</v>
      </c>
      <c r="EU231">
        <v>250</v>
      </c>
      <c r="EW231">
        <v>316</v>
      </c>
      <c r="EX231">
        <v>277</v>
      </c>
      <c r="EY231">
        <v>296</v>
      </c>
    </row>
    <row r="232" spans="1:155" x14ac:dyDescent="0.35">
      <c r="A232">
        <v>2026</v>
      </c>
      <c r="B232" t="s">
        <v>211</v>
      </c>
      <c r="C232" s="112" t="s">
        <v>609</v>
      </c>
      <c r="D232" t="s">
        <v>617</v>
      </c>
      <c r="E232" t="s">
        <v>214</v>
      </c>
      <c r="F232">
        <v>120</v>
      </c>
      <c r="G232" s="113">
        <v>1.2</v>
      </c>
      <c r="H232">
        <v>3</v>
      </c>
      <c r="I232" t="s">
        <v>611</v>
      </c>
      <c r="J232">
        <v>28</v>
      </c>
      <c r="K232">
        <v>32</v>
      </c>
      <c r="L232">
        <v>30</v>
      </c>
      <c r="M232">
        <v>37.200000000000003</v>
      </c>
      <c r="N232">
        <v>52.1</v>
      </c>
      <c r="O232">
        <v>42.694600000000001</v>
      </c>
      <c r="P232">
        <v>28.3475</v>
      </c>
      <c r="Q232">
        <v>32</v>
      </c>
      <c r="R232">
        <v>30.193999999999999</v>
      </c>
      <c r="T232" t="s">
        <v>168</v>
      </c>
      <c r="U232" t="s">
        <v>169</v>
      </c>
      <c r="V232" t="s">
        <v>170</v>
      </c>
      <c r="W232" t="s">
        <v>171</v>
      </c>
      <c r="Y232">
        <v>6</v>
      </c>
      <c r="Z232" t="s">
        <v>172</v>
      </c>
      <c r="AA232" t="s">
        <v>173</v>
      </c>
      <c r="AB232" t="s">
        <v>277</v>
      </c>
      <c r="AC232" t="s">
        <v>278</v>
      </c>
      <c r="AD232">
        <v>85</v>
      </c>
      <c r="AF232">
        <v>393</v>
      </c>
      <c r="AG232" t="s">
        <v>167</v>
      </c>
      <c r="AH232" t="s">
        <v>416</v>
      </c>
      <c r="AI232" t="s">
        <v>178</v>
      </c>
      <c r="AJ232" t="s">
        <v>179</v>
      </c>
      <c r="AK232" t="s">
        <v>173</v>
      </c>
      <c r="AL232" t="s">
        <v>180</v>
      </c>
      <c r="AO232">
        <v>94</v>
      </c>
      <c r="AP232">
        <v>24</v>
      </c>
      <c r="AS232">
        <v>1650</v>
      </c>
      <c r="AT232">
        <v>1650</v>
      </c>
      <c r="AU232">
        <v>20</v>
      </c>
      <c r="AV232">
        <v>24</v>
      </c>
      <c r="AW232">
        <v>22</v>
      </c>
      <c r="AX232">
        <v>26.9</v>
      </c>
      <c r="AY232">
        <v>38</v>
      </c>
      <c r="AZ232">
        <v>30.9711</v>
      </c>
      <c r="BA232">
        <v>20.4986</v>
      </c>
      <c r="BB232">
        <v>23.927499999999998</v>
      </c>
      <c r="BC232">
        <v>21.9116</v>
      </c>
      <c r="BD232">
        <v>288</v>
      </c>
      <c r="BE232" t="s">
        <v>618</v>
      </c>
      <c r="BF232" t="s">
        <v>619</v>
      </c>
      <c r="BG232" t="s">
        <v>178</v>
      </c>
      <c r="BH232" t="s">
        <v>179</v>
      </c>
      <c r="BI232">
        <v>1950</v>
      </c>
      <c r="BJ232">
        <v>307</v>
      </c>
      <c r="BK232">
        <v>262</v>
      </c>
      <c r="BL232">
        <v>287</v>
      </c>
      <c r="BM232">
        <v>1950</v>
      </c>
      <c r="BN232" s="114" t="s">
        <v>620</v>
      </c>
      <c r="BO232">
        <v>2</v>
      </c>
      <c r="BP232">
        <v>2</v>
      </c>
      <c r="BQ232">
        <v>7</v>
      </c>
      <c r="BR232" t="s">
        <v>612</v>
      </c>
      <c r="BS232" t="s">
        <v>182</v>
      </c>
      <c r="BT232" t="s">
        <v>613</v>
      </c>
      <c r="BU232" s="115">
        <v>45845</v>
      </c>
      <c r="BV232">
        <v>36664</v>
      </c>
      <c r="BW232" s="116"/>
      <c r="BX232" t="s">
        <v>173</v>
      </c>
      <c r="BY232" t="s">
        <v>173</v>
      </c>
      <c r="CB232" t="s">
        <v>173</v>
      </c>
      <c r="CC232" t="s">
        <v>173</v>
      </c>
      <c r="CD232" t="s">
        <v>614</v>
      </c>
      <c r="CE232" t="s">
        <v>173</v>
      </c>
      <c r="CG232" t="s">
        <v>172</v>
      </c>
      <c r="CH232" t="s">
        <v>615</v>
      </c>
      <c r="CI232" t="s">
        <v>173</v>
      </c>
      <c r="DJ232" t="s">
        <v>201</v>
      </c>
      <c r="DK232" t="s">
        <v>202</v>
      </c>
      <c r="DN232" t="s">
        <v>173</v>
      </c>
      <c r="DO232" t="s">
        <v>203</v>
      </c>
      <c r="DP232" t="s">
        <v>172</v>
      </c>
      <c r="DQ232" t="s">
        <v>204</v>
      </c>
      <c r="DY232">
        <v>43</v>
      </c>
      <c r="EA232" s="117"/>
      <c r="EB232">
        <v>6</v>
      </c>
      <c r="EC232">
        <v>6</v>
      </c>
      <c r="ED232">
        <v>6</v>
      </c>
      <c r="EE232" t="s">
        <v>621</v>
      </c>
      <c r="EF232">
        <v>6</v>
      </c>
      <c r="EU232">
        <v>250</v>
      </c>
      <c r="EW232">
        <v>314</v>
      </c>
      <c r="EX232">
        <v>277</v>
      </c>
      <c r="EY232">
        <v>297</v>
      </c>
    </row>
    <row r="233" spans="1:155" x14ac:dyDescent="0.35">
      <c r="A233">
        <v>2026</v>
      </c>
      <c r="B233" t="s">
        <v>211</v>
      </c>
      <c r="C233" s="112" t="s">
        <v>212</v>
      </c>
      <c r="D233" t="s">
        <v>622</v>
      </c>
      <c r="E233" t="s">
        <v>214</v>
      </c>
      <c r="F233">
        <v>130</v>
      </c>
      <c r="G233" s="113">
        <v>1.2</v>
      </c>
      <c r="H233">
        <v>3</v>
      </c>
      <c r="I233" t="s">
        <v>611</v>
      </c>
      <c r="J233">
        <v>28</v>
      </c>
      <c r="K233">
        <v>31</v>
      </c>
      <c r="L233">
        <v>29</v>
      </c>
      <c r="M233">
        <v>35.939700000000002</v>
      </c>
      <c r="N233">
        <v>48.250399999999999</v>
      </c>
      <c r="O233">
        <v>40.601300000000002</v>
      </c>
      <c r="P233">
        <v>27.563700000000001</v>
      </c>
      <c r="Q233">
        <v>30.959299999999999</v>
      </c>
      <c r="R233">
        <v>28.994800000000001</v>
      </c>
      <c r="T233" t="s">
        <v>168</v>
      </c>
      <c r="U233" t="s">
        <v>169</v>
      </c>
      <c r="V233" t="s">
        <v>170</v>
      </c>
      <c r="W233" t="s">
        <v>171</v>
      </c>
      <c r="Y233">
        <v>6</v>
      </c>
      <c r="Z233" t="s">
        <v>172</v>
      </c>
      <c r="AA233" t="s">
        <v>173</v>
      </c>
      <c r="AB233" t="s">
        <v>277</v>
      </c>
      <c r="AC233" t="s">
        <v>278</v>
      </c>
      <c r="AD233">
        <v>10</v>
      </c>
      <c r="AG233" t="s">
        <v>167</v>
      </c>
      <c r="AH233" t="s">
        <v>416</v>
      </c>
      <c r="AI233" t="s">
        <v>178</v>
      </c>
      <c r="AJ233" t="s">
        <v>179</v>
      </c>
      <c r="AK233" t="s">
        <v>173</v>
      </c>
      <c r="AL233" t="s">
        <v>180</v>
      </c>
      <c r="AO233">
        <v>98</v>
      </c>
      <c r="AP233">
        <v>25</v>
      </c>
      <c r="AS233">
        <v>1700</v>
      </c>
      <c r="AT233">
        <v>1700</v>
      </c>
      <c r="BN233" s="114" t="s">
        <v>198</v>
      </c>
      <c r="BO233">
        <v>2</v>
      </c>
      <c r="BP233">
        <v>2</v>
      </c>
      <c r="BQ233">
        <v>7</v>
      </c>
      <c r="BR233" t="s">
        <v>612</v>
      </c>
      <c r="BS233" t="s">
        <v>182</v>
      </c>
      <c r="BT233" t="s">
        <v>613</v>
      </c>
      <c r="BU233" s="115">
        <v>45845</v>
      </c>
      <c r="BV233">
        <v>36663</v>
      </c>
      <c r="BW233" s="116"/>
      <c r="BX233" t="s">
        <v>173</v>
      </c>
      <c r="BY233" t="s">
        <v>173</v>
      </c>
      <c r="CB233" t="s">
        <v>173</v>
      </c>
      <c r="CC233" t="s">
        <v>173</v>
      </c>
      <c r="CD233" t="s">
        <v>614</v>
      </c>
      <c r="CE233" t="s">
        <v>173</v>
      </c>
      <c r="CG233" t="s">
        <v>172</v>
      </c>
      <c r="CH233" t="s">
        <v>615</v>
      </c>
      <c r="CI233" t="s">
        <v>173</v>
      </c>
      <c r="DJ233" t="s">
        <v>201</v>
      </c>
      <c r="DK233" t="s">
        <v>202</v>
      </c>
      <c r="DN233" t="s">
        <v>173</v>
      </c>
      <c r="DO233" t="s">
        <v>203</v>
      </c>
      <c r="DP233" t="s">
        <v>172</v>
      </c>
      <c r="DQ233" t="s">
        <v>204</v>
      </c>
      <c r="DY233">
        <v>41.6</v>
      </c>
      <c r="EA233" s="117"/>
      <c r="EB233">
        <v>6</v>
      </c>
      <c r="EC233">
        <v>6</v>
      </c>
      <c r="EE233" t="s">
        <v>616</v>
      </c>
      <c r="EF233">
        <v>6</v>
      </c>
      <c r="EU233">
        <v>0</v>
      </c>
      <c r="EW233">
        <v>323</v>
      </c>
      <c r="EX233">
        <v>277</v>
      </c>
      <c r="EY233">
        <v>302</v>
      </c>
    </row>
    <row r="234" spans="1:155" x14ac:dyDescent="0.35">
      <c r="A234">
        <v>2026</v>
      </c>
      <c r="B234" t="s">
        <v>211</v>
      </c>
      <c r="C234" s="112" t="s">
        <v>212</v>
      </c>
      <c r="D234" t="s">
        <v>623</v>
      </c>
      <c r="E234" t="s">
        <v>214</v>
      </c>
      <c r="F234">
        <v>121</v>
      </c>
      <c r="G234" s="113">
        <v>1.2</v>
      </c>
      <c r="H234">
        <v>3</v>
      </c>
      <c r="I234" t="s">
        <v>611</v>
      </c>
      <c r="J234">
        <v>28</v>
      </c>
      <c r="K234">
        <v>32</v>
      </c>
      <c r="L234">
        <v>30</v>
      </c>
      <c r="M234">
        <v>38.1</v>
      </c>
      <c r="N234">
        <v>51.5</v>
      </c>
      <c r="O234">
        <v>43.1526</v>
      </c>
      <c r="P234">
        <v>28</v>
      </c>
      <c r="Q234">
        <v>32</v>
      </c>
      <c r="R234">
        <v>30</v>
      </c>
      <c r="T234" t="s">
        <v>168</v>
      </c>
      <c r="U234" t="s">
        <v>169</v>
      </c>
      <c r="V234" t="s">
        <v>170</v>
      </c>
      <c r="W234" t="s">
        <v>171</v>
      </c>
      <c r="Y234">
        <v>6</v>
      </c>
      <c r="Z234" t="s">
        <v>172</v>
      </c>
      <c r="AA234" t="s">
        <v>173</v>
      </c>
      <c r="AB234" t="s">
        <v>277</v>
      </c>
      <c r="AC234" t="s">
        <v>278</v>
      </c>
      <c r="AD234">
        <v>85</v>
      </c>
      <c r="AF234">
        <v>393</v>
      </c>
      <c r="AG234" t="s">
        <v>167</v>
      </c>
      <c r="AH234" t="s">
        <v>416</v>
      </c>
      <c r="AI234" t="s">
        <v>178</v>
      </c>
      <c r="AJ234" t="s">
        <v>179</v>
      </c>
      <c r="AK234" t="s">
        <v>173</v>
      </c>
      <c r="AL234" t="s">
        <v>180</v>
      </c>
      <c r="AO234">
        <v>98</v>
      </c>
      <c r="AP234">
        <v>25</v>
      </c>
      <c r="AS234">
        <v>1650</v>
      </c>
      <c r="AT234">
        <v>1650</v>
      </c>
      <c r="AU234">
        <v>21</v>
      </c>
      <c r="AV234">
        <v>24</v>
      </c>
      <c r="AW234">
        <v>22</v>
      </c>
      <c r="AX234">
        <v>27.6</v>
      </c>
      <c r="AY234">
        <v>37.700000000000003</v>
      </c>
      <c r="AZ234">
        <v>31.383500000000002</v>
      </c>
      <c r="BA234">
        <v>20.973199999999999</v>
      </c>
      <c r="BB234">
        <v>23.977900000000002</v>
      </c>
      <c r="BC234">
        <v>22.226500000000001</v>
      </c>
      <c r="BD234">
        <v>288</v>
      </c>
      <c r="BE234" t="s">
        <v>618</v>
      </c>
      <c r="BF234" t="s">
        <v>619</v>
      </c>
      <c r="BG234" t="s">
        <v>178</v>
      </c>
      <c r="BH234" t="s">
        <v>179</v>
      </c>
      <c r="BI234">
        <v>1950</v>
      </c>
      <c r="BJ234">
        <v>302</v>
      </c>
      <c r="BK234">
        <v>263</v>
      </c>
      <c r="BL234">
        <v>285</v>
      </c>
      <c r="BM234">
        <v>1950</v>
      </c>
      <c r="BN234" s="114" t="s">
        <v>620</v>
      </c>
      <c r="BO234">
        <v>2</v>
      </c>
      <c r="BP234">
        <v>2</v>
      </c>
      <c r="BQ234">
        <v>7</v>
      </c>
      <c r="BR234" t="s">
        <v>612</v>
      </c>
      <c r="BS234" t="s">
        <v>182</v>
      </c>
      <c r="BT234" t="s">
        <v>613</v>
      </c>
      <c r="BU234" s="115">
        <v>45845</v>
      </c>
      <c r="BV234">
        <v>36665</v>
      </c>
      <c r="BW234" s="116"/>
      <c r="BX234" t="s">
        <v>173</v>
      </c>
      <c r="BY234" t="s">
        <v>173</v>
      </c>
      <c r="CB234" t="s">
        <v>173</v>
      </c>
      <c r="CC234" t="s">
        <v>173</v>
      </c>
      <c r="CD234" t="s">
        <v>614</v>
      </c>
      <c r="CE234" t="s">
        <v>173</v>
      </c>
      <c r="CG234" t="s">
        <v>172</v>
      </c>
      <c r="CH234" t="s">
        <v>615</v>
      </c>
      <c r="CI234" t="s">
        <v>173</v>
      </c>
      <c r="DJ234" t="s">
        <v>201</v>
      </c>
      <c r="DK234" t="s">
        <v>202</v>
      </c>
      <c r="DN234" t="s">
        <v>173</v>
      </c>
      <c r="DO234" t="s">
        <v>203</v>
      </c>
      <c r="DP234" t="s">
        <v>172</v>
      </c>
      <c r="DQ234" t="s">
        <v>204</v>
      </c>
      <c r="DY234">
        <v>44.2</v>
      </c>
      <c r="EA234" s="117"/>
      <c r="EB234">
        <v>6</v>
      </c>
      <c r="EC234">
        <v>6</v>
      </c>
      <c r="ED234">
        <v>6</v>
      </c>
      <c r="EE234" t="s">
        <v>621</v>
      </c>
      <c r="EF234">
        <v>6</v>
      </c>
      <c r="EU234">
        <v>250</v>
      </c>
      <c r="EW234">
        <v>318</v>
      </c>
      <c r="EX234">
        <v>277</v>
      </c>
      <c r="EY234">
        <v>296</v>
      </c>
    </row>
    <row r="235" spans="1:155" x14ac:dyDescent="0.35">
      <c r="A235">
        <v>2026</v>
      </c>
      <c r="B235" t="s">
        <v>481</v>
      </c>
      <c r="C235" s="112" t="s">
        <v>481</v>
      </c>
      <c r="D235" t="s">
        <v>624</v>
      </c>
      <c r="E235" t="s">
        <v>483</v>
      </c>
      <c r="F235">
        <v>321</v>
      </c>
      <c r="G235" s="113">
        <v>2</v>
      </c>
      <c r="H235">
        <v>4</v>
      </c>
      <c r="I235" t="s">
        <v>487</v>
      </c>
      <c r="J235">
        <v>25</v>
      </c>
      <c r="K235">
        <v>30</v>
      </c>
      <c r="L235">
        <v>27</v>
      </c>
      <c r="M235">
        <v>31.954999999999998</v>
      </c>
      <c r="N235">
        <v>43.334000000000003</v>
      </c>
      <c r="O235">
        <v>36.236899999999999</v>
      </c>
      <c r="P235">
        <v>24.755400000000002</v>
      </c>
      <c r="Q235">
        <v>30.244700000000002</v>
      </c>
      <c r="R235">
        <v>26.957100000000001</v>
      </c>
      <c r="U235" t="s">
        <v>215</v>
      </c>
      <c r="V235" t="s">
        <v>488</v>
      </c>
      <c r="W235" t="s">
        <v>489</v>
      </c>
      <c r="Y235">
        <v>1</v>
      </c>
      <c r="Z235" t="s">
        <v>172</v>
      </c>
      <c r="AA235" t="s">
        <v>173</v>
      </c>
      <c r="AB235" t="s">
        <v>170</v>
      </c>
      <c r="AC235" t="s">
        <v>232</v>
      </c>
      <c r="AD235">
        <v>10</v>
      </c>
      <c r="AG235" t="s">
        <v>167</v>
      </c>
      <c r="AH235" t="s">
        <v>416</v>
      </c>
      <c r="AI235" t="s">
        <v>178</v>
      </c>
      <c r="AJ235" t="s">
        <v>179</v>
      </c>
      <c r="AK235" t="s">
        <v>173</v>
      </c>
      <c r="AL235" t="s">
        <v>180</v>
      </c>
      <c r="AO235">
        <v>99</v>
      </c>
      <c r="AP235">
        <v>24</v>
      </c>
      <c r="AS235">
        <v>1850</v>
      </c>
      <c r="AT235">
        <v>1850</v>
      </c>
      <c r="BN235" s="114"/>
      <c r="BO235">
        <v>2</v>
      </c>
      <c r="BP235">
        <v>2</v>
      </c>
      <c r="BQ235">
        <v>7</v>
      </c>
      <c r="BR235" t="s">
        <v>612</v>
      </c>
      <c r="BS235" t="s">
        <v>182</v>
      </c>
      <c r="BT235" t="s">
        <v>183</v>
      </c>
      <c r="BU235" s="115">
        <v>45775</v>
      </c>
      <c r="BV235">
        <v>36367</v>
      </c>
      <c r="BW235" s="116"/>
      <c r="BX235" t="s">
        <v>173</v>
      </c>
      <c r="BY235" t="s">
        <v>173</v>
      </c>
      <c r="CB235" t="s">
        <v>173</v>
      </c>
      <c r="CC235" t="s">
        <v>173</v>
      </c>
      <c r="CE235" t="s">
        <v>173</v>
      </c>
      <c r="CG235" t="s">
        <v>172</v>
      </c>
      <c r="CH235" t="s">
        <v>484</v>
      </c>
      <c r="CI235" t="s">
        <v>172</v>
      </c>
      <c r="CJ235" t="s">
        <v>485</v>
      </c>
      <c r="DJ235" t="s">
        <v>186</v>
      </c>
      <c r="DK235" t="s">
        <v>187</v>
      </c>
      <c r="DL235" t="s">
        <v>173</v>
      </c>
      <c r="DM235" t="s">
        <v>173</v>
      </c>
      <c r="DN235" t="s">
        <v>173</v>
      </c>
      <c r="DO235" t="s">
        <v>284</v>
      </c>
      <c r="DP235" t="s">
        <v>173</v>
      </c>
      <c r="DQ235" t="s">
        <v>189</v>
      </c>
      <c r="DY235">
        <v>36.5</v>
      </c>
      <c r="EA235" s="117"/>
      <c r="EB235">
        <v>5</v>
      </c>
      <c r="EC235">
        <v>5</v>
      </c>
      <c r="EE235" t="s">
        <v>625</v>
      </c>
      <c r="EF235">
        <v>6</v>
      </c>
      <c r="EV235">
        <v>750</v>
      </c>
      <c r="EW235">
        <v>357</v>
      </c>
      <c r="EX235">
        <v>292</v>
      </c>
      <c r="EY235">
        <v>328</v>
      </c>
    </row>
    <row r="236" spans="1:155" x14ac:dyDescent="0.35">
      <c r="A236">
        <v>2026</v>
      </c>
      <c r="B236" t="s">
        <v>481</v>
      </c>
      <c r="C236" s="112" t="s">
        <v>481</v>
      </c>
      <c r="D236" t="s">
        <v>626</v>
      </c>
      <c r="E236" t="s">
        <v>483</v>
      </c>
      <c r="F236">
        <v>323</v>
      </c>
      <c r="G236" s="113">
        <v>2</v>
      </c>
      <c r="H236">
        <v>4</v>
      </c>
      <c r="I236" t="s">
        <v>487</v>
      </c>
      <c r="J236">
        <v>26</v>
      </c>
      <c r="K236">
        <v>32</v>
      </c>
      <c r="L236">
        <v>28</v>
      </c>
      <c r="M236">
        <v>33.7881</v>
      </c>
      <c r="N236">
        <v>45.644300000000001</v>
      </c>
      <c r="O236">
        <v>38.260300000000001</v>
      </c>
      <c r="P236">
        <v>26.0243</v>
      </c>
      <c r="Q236">
        <v>31.694099999999999</v>
      </c>
      <c r="R236">
        <v>28.302700000000002</v>
      </c>
      <c r="U236" t="s">
        <v>215</v>
      </c>
      <c r="V236" t="s">
        <v>488</v>
      </c>
      <c r="W236" t="s">
        <v>489</v>
      </c>
      <c r="Y236">
        <v>1</v>
      </c>
      <c r="Z236" t="s">
        <v>172</v>
      </c>
      <c r="AA236" t="s">
        <v>173</v>
      </c>
      <c r="AB236" t="s">
        <v>277</v>
      </c>
      <c r="AC236" t="s">
        <v>278</v>
      </c>
      <c r="AD236">
        <v>10</v>
      </c>
      <c r="AG236" t="s">
        <v>167</v>
      </c>
      <c r="AH236" t="s">
        <v>416</v>
      </c>
      <c r="AI236" t="s">
        <v>178</v>
      </c>
      <c r="AJ236" t="s">
        <v>179</v>
      </c>
      <c r="AK236" t="s">
        <v>173</v>
      </c>
      <c r="AL236" t="s">
        <v>180</v>
      </c>
      <c r="AO236">
        <v>99</v>
      </c>
      <c r="AP236">
        <v>24</v>
      </c>
      <c r="AS236">
        <v>1750</v>
      </c>
      <c r="AT236">
        <v>1750</v>
      </c>
      <c r="BN236" s="114"/>
      <c r="BO236">
        <v>2</v>
      </c>
      <c r="BP236">
        <v>2</v>
      </c>
      <c r="BQ236">
        <v>7</v>
      </c>
      <c r="BR236" t="s">
        <v>612</v>
      </c>
      <c r="BS236" t="s">
        <v>182</v>
      </c>
      <c r="BT236" t="s">
        <v>183</v>
      </c>
      <c r="BU236" s="115">
        <v>45775</v>
      </c>
      <c r="BV236">
        <v>36368</v>
      </c>
      <c r="BW236" s="116"/>
      <c r="BX236" t="s">
        <v>173</v>
      </c>
      <c r="BY236" t="s">
        <v>173</v>
      </c>
      <c r="CB236" t="s">
        <v>173</v>
      </c>
      <c r="CC236" t="s">
        <v>173</v>
      </c>
      <c r="CE236" t="s">
        <v>173</v>
      </c>
      <c r="CG236" t="s">
        <v>172</v>
      </c>
      <c r="CH236" t="s">
        <v>484</v>
      </c>
      <c r="CI236" t="s">
        <v>172</v>
      </c>
      <c r="CJ236" t="s">
        <v>485</v>
      </c>
      <c r="DJ236" t="s">
        <v>186</v>
      </c>
      <c r="DK236" t="s">
        <v>187</v>
      </c>
      <c r="DL236" t="s">
        <v>173</v>
      </c>
      <c r="DM236" t="s">
        <v>173</v>
      </c>
      <c r="DN236" t="s">
        <v>173</v>
      </c>
      <c r="DO236" t="s">
        <v>284</v>
      </c>
      <c r="DP236" t="s">
        <v>173</v>
      </c>
      <c r="DQ236" t="s">
        <v>189</v>
      </c>
      <c r="DY236">
        <v>38.6</v>
      </c>
      <c r="EA236" s="117"/>
      <c r="EB236">
        <v>5</v>
      </c>
      <c r="EC236">
        <v>5</v>
      </c>
      <c r="EE236" t="s">
        <v>625</v>
      </c>
      <c r="EF236">
        <v>6</v>
      </c>
      <c r="EV236">
        <v>250</v>
      </c>
      <c r="EW236">
        <v>338</v>
      </c>
      <c r="EX236">
        <v>278</v>
      </c>
      <c r="EY236">
        <v>311</v>
      </c>
    </row>
    <row r="237" spans="1:155" x14ac:dyDescent="0.35">
      <c r="A237">
        <v>2026</v>
      </c>
      <c r="B237" t="s">
        <v>228</v>
      </c>
      <c r="C237" s="112" t="s">
        <v>228</v>
      </c>
      <c r="D237" t="s">
        <v>627</v>
      </c>
      <c r="E237" t="s">
        <v>230</v>
      </c>
      <c r="F237">
        <v>183</v>
      </c>
      <c r="G237" s="113">
        <v>2</v>
      </c>
      <c r="H237">
        <v>4</v>
      </c>
      <c r="I237" t="s">
        <v>428</v>
      </c>
      <c r="J237">
        <v>22</v>
      </c>
      <c r="K237">
        <v>30</v>
      </c>
      <c r="L237">
        <v>25</v>
      </c>
      <c r="M237">
        <v>28.6</v>
      </c>
      <c r="N237">
        <v>42.8</v>
      </c>
      <c r="O237">
        <v>33.619300000000003</v>
      </c>
      <c r="P237">
        <v>22.394400000000001</v>
      </c>
      <c r="Q237">
        <v>29.907599999999999</v>
      </c>
      <c r="R237">
        <v>25.248699999999999</v>
      </c>
      <c r="T237" t="s">
        <v>168</v>
      </c>
      <c r="U237" t="s">
        <v>169</v>
      </c>
      <c r="V237" t="s">
        <v>429</v>
      </c>
      <c r="W237" t="s">
        <v>430</v>
      </c>
      <c r="Y237">
        <v>8</v>
      </c>
      <c r="Z237" t="s">
        <v>172</v>
      </c>
      <c r="AA237" t="s">
        <v>173</v>
      </c>
      <c r="AB237" t="s">
        <v>170</v>
      </c>
      <c r="AC237" t="s">
        <v>232</v>
      </c>
      <c r="AD237">
        <v>10</v>
      </c>
      <c r="AG237" t="s">
        <v>216</v>
      </c>
      <c r="AH237" t="s">
        <v>217</v>
      </c>
      <c r="AI237" t="s">
        <v>178</v>
      </c>
      <c r="AJ237" t="s">
        <v>179</v>
      </c>
      <c r="AK237" t="s">
        <v>173</v>
      </c>
      <c r="AL237" t="s">
        <v>180</v>
      </c>
      <c r="AO237">
        <v>99</v>
      </c>
      <c r="AP237">
        <v>9</v>
      </c>
      <c r="AS237">
        <v>2500</v>
      </c>
      <c r="AT237">
        <v>2500</v>
      </c>
      <c r="BN237" s="114" t="s">
        <v>256</v>
      </c>
      <c r="BO237">
        <v>2</v>
      </c>
      <c r="BP237">
        <v>2</v>
      </c>
      <c r="BQ237">
        <v>7</v>
      </c>
      <c r="BR237" t="s">
        <v>612</v>
      </c>
      <c r="BS237" t="s">
        <v>182</v>
      </c>
      <c r="BT237" t="s">
        <v>183</v>
      </c>
      <c r="BU237" s="115">
        <v>45805</v>
      </c>
      <c r="BV237">
        <v>36685</v>
      </c>
      <c r="BW237" s="116"/>
      <c r="BY237" t="s">
        <v>173</v>
      </c>
      <c r="CB237" t="s">
        <v>173</v>
      </c>
      <c r="CC237" t="s">
        <v>173</v>
      </c>
      <c r="CE237" t="s">
        <v>173</v>
      </c>
      <c r="CG237" t="s">
        <v>172</v>
      </c>
      <c r="CH237" t="s">
        <v>234</v>
      </c>
      <c r="CI237" t="s">
        <v>172</v>
      </c>
      <c r="CJ237" t="s">
        <v>438</v>
      </c>
      <c r="CK237" t="s">
        <v>259</v>
      </c>
      <c r="CM237">
        <v>1</v>
      </c>
      <c r="CN237" t="s">
        <v>260</v>
      </c>
      <c r="CP237">
        <v>48</v>
      </c>
      <c r="CQ237">
        <v>7.6</v>
      </c>
      <c r="CR237">
        <v>53</v>
      </c>
      <c r="CS237" t="s">
        <v>261</v>
      </c>
      <c r="CV237" t="s">
        <v>262</v>
      </c>
      <c r="CX237" t="s">
        <v>263</v>
      </c>
      <c r="CY237" t="s">
        <v>173</v>
      </c>
      <c r="DD237">
        <v>1</v>
      </c>
      <c r="DE237" t="s">
        <v>307</v>
      </c>
      <c r="DF237" t="s">
        <v>356</v>
      </c>
      <c r="DG237">
        <v>10</v>
      </c>
      <c r="DJ237" t="s">
        <v>201</v>
      </c>
      <c r="DK237" t="s">
        <v>202</v>
      </c>
      <c r="DL237" t="s">
        <v>173</v>
      </c>
      <c r="DM237" t="s">
        <v>173</v>
      </c>
      <c r="DN237" t="s">
        <v>173</v>
      </c>
      <c r="DO237" t="s">
        <v>235</v>
      </c>
      <c r="DP237" t="s">
        <v>172</v>
      </c>
      <c r="DQ237" t="s">
        <v>204</v>
      </c>
      <c r="DR237" t="s">
        <v>627</v>
      </c>
      <c r="DY237">
        <v>33.799999999999997</v>
      </c>
      <c r="EA237" s="117"/>
      <c r="EB237">
        <v>5</v>
      </c>
      <c r="EC237">
        <v>5</v>
      </c>
      <c r="EE237" t="s">
        <v>628</v>
      </c>
      <c r="EF237">
        <v>5</v>
      </c>
      <c r="EV237">
        <v>4000</v>
      </c>
      <c r="EW237">
        <v>395</v>
      </c>
      <c r="EX237">
        <v>296</v>
      </c>
      <c r="EY237">
        <v>350</v>
      </c>
    </row>
    <row r="238" spans="1:155" x14ac:dyDescent="0.35">
      <c r="A238">
        <v>2026</v>
      </c>
      <c r="B238" t="s">
        <v>228</v>
      </c>
      <c r="C238" s="112" t="s">
        <v>228</v>
      </c>
      <c r="D238" t="s">
        <v>629</v>
      </c>
      <c r="E238" t="s">
        <v>230</v>
      </c>
      <c r="F238">
        <v>310</v>
      </c>
      <c r="G238" s="113">
        <v>2</v>
      </c>
      <c r="H238">
        <v>4</v>
      </c>
      <c r="I238" t="s">
        <v>231</v>
      </c>
      <c r="J238">
        <v>19</v>
      </c>
      <c r="K238">
        <v>26</v>
      </c>
      <c r="L238">
        <v>22</v>
      </c>
      <c r="M238">
        <v>24.4</v>
      </c>
      <c r="N238">
        <v>36.700000000000003</v>
      </c>
      <c r="O238">
        <v>28.733499999999999</v>
      </c>
      <c r="P238">
        <v>19.366299999999999</v>
      </c>
      <c r="Q238">
        <v>25.998699999999999</v>
      </c>
      <c r="R238">
        <v>21.877800000000001</v>
      </c>
      <c r="T238" t="s">
        <v>168</v>
      </c>
      <c r="U238" t="s">
        <v>169</v>
      </c>
      <c r="V238" t="s">
        <v>170</v>
      </c>
      <c r="W238" t="s">
        <v>171</v>
      </c>
      <c r="Y238">
        <v>9</v>
      </c>
      <c r="Z238" t="s">
        <v>172</v>
      </c>
      <c r="AA238" t="s">
        <v>173</v>
      </c>
      <c r="AB238" t="s">
        <v>170</v>
      </c>
      <c r="AC238" t="s">
        <v>232</v>
      </c>
      <c r="AD238">
        <v>10</v>
      </c>
      <c r="AG238" t="s">
        <v>216</v>
      </c>
      <c r="AH238" t="s">
        <v>217</v>
      </c>
      <c r="AI238" t="s">
        <v>178</v>
      </c>
      <c r="AJ238" t="s">
        <v>179</v>
      </c>
      <c r="AK238" t="s">
        <v>173</v>
      </c>
      <c r="AL238" t="s">
        <v>180</v>
      </c>
      <c r="AO238">
        <v>98</v>
      </c>
      <c r="AP238">
        <v>24</v>
      </c>
      <c r="AS238">
        <v>2850</v>
      </c>
      <c r="AT238">
        <v>2850</v>
      </c>
      <c r="BN238" s="114" t="s">
        <v>256</v>
      </c>
      <c r="BO238">
        <v>2</v>
      </c>
      <c r="BP238">
        <v>2</v>
      </c>
      <c r="BQ238">
        <v>7</v>
      </c>
      <c r="BR238" t="s">
        <v>612</v>
      </c>
      <c r="BS238" t="s">
        <v>182</v>
      </c>
      <c r="BT238" t="s">
        <v>183</v>
      </c>
      <c r="BU238" s="115">
        <v>45868</v>
      </c>
      <c r="BV238">
        <v>37226</v>
      </c>
      <c r="BW238" s="116"/>
      <c r="BY238" t="s">
        <v>173</v>
      </c>
      <c r="CB238" t="s">
        <v>173</v>
      </c>
      <c r="CC238" t="s">
        <v>173</v>
      </c>
      <c r="CD238" t="s">
        <v>257</v>
      </c>
      <c r="CE238" t="s">
        <v>173</v>
      </c>
      <c r="CG238" t="s">
        <v>172</v>
      </c>
      <c r="CH238" t="s">
        <v>234</v>
      </c>
      <c r="CI238" t="s">
        <v>172</v>
      </c>
      <c r="CJ238" t="s">
        <v>258</v>
      </c>
      <c r="CK238" t="s">
        <v>259</v>
      </c>
      <c r="CM238">
        <v>1</v>
      </c>
      <c r="CN238" t="s">
        <v>260</v>
      </c>
      <c r="CP238">
        <v>48</v>
      </c>
      <c r="CQ238">
        <v>11.3</v>
      </c>
      <c r="CR238">
        <v>78.2</v>
      </c>
      <c r="CS238" t="s">
        <v>261</v>
      </c>
      <c r="CV238" t="s">
        <v>262</v>
      </c>
      <c r="CX238" t="s">
        <v>263</v>
      </c>
      <c r="CY238" t="s">
        <v>173</v>
      </c>
      <c r="DC238" t="s">
        <v>264</v>
      </c>
      <c r="DD238">
        <v>1</v>
      </c>
      <c r="DE238" t="s">
        <v>265</v>
      </c>
      <c r="DG238">
        <v>10</v>
      </c>
      <c r="DJ238" t="s">
        <v>201</v>
      </c>
      <c r="DK238" t="s">
        <v>202</v>
      </c>
      <c r="DL238" t="s">
        <v>173</v>
      </c>
      <c r="DM238" t="s">
        <v>173</v>
      </c>
      <c r="DN238" t="s">
        <v>173</v>
      </c>
      <c r="DO238" t="s">
        <v>266</v>
      </c>
      <c r="DP238" t="s">
        <v>172</v>
      </c>
      <c r="DQ238" t="s">
        <v>204</v>
      </c>
      <c r="DR238" t="s">
        <v>629</v>
      </c>
      <c r="DY238">
        <v>28.9</v>
      </c>
      <c r="EA238" s="117"/>
      <c r="EB238">
        <v>4</v>
      </c>
      <c r="EC238">
        <v>4</v>
      </c>
      <c r="EE238" t="s">
        <v>267</v>
      </c>
      <c r="EF238">
        <v>4</v>
      </c>
      <c r="EV238">
        <v>5750</v>
      </c>
      <c r="EW238">
        <v>459</v>
      </c>
      <c r="EX238">
        <v>342</v>
      </c>
      <c r="EY238">
        <v>406</v>
      </c>
    </row>
    <row r="239" spans="1:155" x14ac:dyDescent="0.35">
      <c r="A239">
        <v>2026</v>
      </c>
      <c r="B239" t="s">
        <v>228</v>
      </c>
      <c r="C239" s="112" t="s">
        <v>228</v>
      </c>
      <c r="D239" t="s">
        <v>630</v>
      </c>
      <c r="E239" t="s">
        <v>230</v>
      </c>
      <c r="F239">
        <v>311</v>
      </c>
      <c r="G239" s="113">
        <v>2</v>
      </c>
      <c r="H239">
        <v>4</v>
      </c>
      <c r="I239" t="s">
        <v>231</v>
      </c>
      <c r="J239">
        <v>19</v>
      </c>
      <c r="K239">
        <v>25</v>
      </c>
      <c r="L239">
        <v>22</v>
      </c>
      <c r="M239">
        <v>24.1</v>
      </c>
      <c r="N239">
        <v>35.9</v>
      </c>
      <c r="O239">
        <v>28.2834</v>
      </c>
      <c r="P239">
        <v>19.146799999999999</v>
      </c>
      <c r="Q239">
        <v>25.478000000000002</v>
      </c>
      <c r="R239">
        <v>21.557400000000001</v>
      </c>
      <c r="T239" t="s">
        <v>168</v>
      </c>
      <c r="U239" t="s">
        <v>169</v>
      </c>
      <c r="V239" t="s">
        <v>170</v>
      </c>
      <c r="W239" t="s">
        <v>171</v>
      </c>
      <c r="Y239">
        <v>9</v>
      </c>
      <c r="Z239" t="s">
        <v>172</v>
      </c>
      <c r="AA239" t="s">
        <v>173</v>
      </c>
      <c r="AB239" t="s">
        <v>170</v>
      </c>
      <c r="AC239" t="s">
        <v>232</v>
      </c>
      <c r="AD239">
        <v>10</v>
      </c>
      <c r="AG239" t="s">
        <v>216</v>
      </c>
      <c r="AH239" t="s">
        <v>217</v>
      </c>
      <c r="AI239" t="s">
        <v>178</v>
      </c>
      <c r="AJ239" t="s">
        <v>179</v>
      </c>
      <c r="AK239" t="s">
        <v>173</v>
      </c>
      <c r="AL239" t="s">
        <v>180</v>
      </c>
      <c r="AO239">
        <v>95</v>
      </c>
      <c r="AP239">
        <v>22</v>
      </c>
      <c r="AS239">
        <v>2850</v>
      </c>
      <c r="AT239">
        <v>2850</v>
      </c>
      <c r="BN239" s="114" t="s">
        <v>256</v>
      </c>
      <c r="BO239">
        <v>2</v>
      </c>
      <c r="BP239">
        <v>2</v>
      </c>
      <c r="BQ239">
        <v>7</v>
      </c>
      <c r="BR239" t="s">
        <v>612</v>
      </c>
      <c r="BS239" t="s">
        <v>182</v>
      </c>
      <c r="BT239" t="s">
        <v>183</v>
      </c>
      <c r="BU239" s="115">
        <v>45868</v>
      </c>
      <c r="BV239">
        <v>37229</v>
      </c>
      <c r="BW239" s="116"/>
      <c r="BY239" t="s">
        <v>173</v>
      </c>
      <c r="CB239" t="s">
        <v>173</v>
      </c>
      <c r="CC239" t="s">
        <v>173</v>
      </c>
      <c r="CD239" t="s">
        <v>257</v>
      </c>
      <c r="CE239" t="s">
        <v>173</v>
      </c>
      <c r="CG239" t="s">
        <v>172</v>
      </c>
      <c r="CH239" t="s">
        <v>234</v>
      </c>
      <c r="CI239" t="s">
        <v>172</v>
      </c>
      <c r="CJ239" t="s">
        <v>258</v>
      </c>
      <c r="CK239" t="s">
        <v>259</v>
      </c>
      <c r="CM239">
        <v>1</v>
      </c>
      <c r="CN239" t="s">
        <v>260</v>
      </c>
      <c r="CP239">
        <v>48</v>
      </c>
      <c r="CQ239">
        <v>11.3</v>
      </c>
      <c r="CR239">
        <v>78.2</v>
      </c>
      <c r="CS239" t="s">
        <v>261</v>
      </c>
      <c r="CV239" t="s">
        <v>262</v>
      </c>
      <c r="CX239" t="s">
        <v>263</v>
      </c>
      <c r="CY239" t="s">
        <v>173</v>
      </c>
      <c r="DC239" t="s">
        <v>264</v>
      </c>
      <c r="DD239">
        <v>1</v>
      </c>
      <c r="DE239" t="s">
        <v>265</v>
      </c>
      <c r="DG239">
        <v>10</v>
      </c>
      <c r="DJ239" t="s">
        <v>201</v>
      </c>
      <c r="DK239" t="s">
        <v>202</v>
      </c>
      <c r="DL239" t="s">
        <v>173</v>
      </c>
      <c r="DM239" t="s">
        <v>173</v>
      </c>
      <c r="DN239" t="s">
        <v>173</v>
      </c>
      <c r="DO239" t="s">
        <v>266</v>
      </c>
      <c r="DP239" t="s">
        <v>172</v>
      </c>
      <c r="DQ239" t="s">
        <v>204</v>
      </c>
      <c r="DR239" t="s">
        <v>630</v>
      </c>
      <c r="DY239">
        <v>28.5</v>
      </c>
      <c r="EA239" s="117"/>
      <c r="EB239">
        <v>4</v>
      </c>
      <c r="EC239">
        <v>4</v>
      </c>
      <c r="EE239" t="s">
        <v>267</v>
      </c>
      <c r="EF239">
        <v>4</v>
      </c>
      <c r="EV239">
        <v>5750</v>
      </c>
      <c r="EW239">
        <v>463</v>
      </c>
      <c r="EX239">
        <v>348</v>
      </c>
      <c r="EY239">
        <v>411</v>
      </c>
    </row>
    <row r="240" spans="1:155" x14ac:dyDescent="0.35">
      <c r="A240">
        <v>2026</v>
      </c>
      <c r="B240" t="s">
        <v>228</v>
      </c>
      <c r="C240" s="112" t="s">
        <v>228</v>
      </c>
      <c r="D240" t="s">
        <v>631</v>
      </c>
      <c r="E240" t="s">
        <v>230</v>
      </c>
      <c r="F240">
        <v>430</v>
      </c>
      <c r="G240" s="113">
        <v>3</v>
      </c>
      <c r="H240">
        <v>6</v>
      </c>
      <c r="I240" t="s">
        <v>231</v>
      </c>
      <c r="J240">
        <v>19</v>
      </c>
      <c r="K240">
        <v>24</v>
      </c>
      <c r="L240">
        <v>21</v>
      </c>
      <c r="M240">
        <v>24.049900000000001</v>
      </c>
      <c r="N240">
        <v>33.799999999999997</v>
      </c>
      <c r="O240">
        <v>27.637499999999999</v>
      </c>
      <c r="P240">
        <v>19.110199999999999</v>
      </c>
      <c r="Q240">
        <v>24.1023</v>
      </c>
      <c r="R240">
        <v>21.074400000000001</v>
      </c>
      <c r="T240" t="s">
        <v>632</v>
      </c>
      <c r="U240" t="s">
        <v>307</v>
      </c>
      <c r="V240" t="s">
        <v>170</v>
      </c>
      <c r="W240" t="s">
        <v>171</v>
      </c>
      <c r="Y240">
        <v>9</v>
      </c>
      <c r="Z240" t="s">
        <v>172</v>
      </c>
      <c r="AA240" t="s">
        <v>173</v>
      </c>
      <c r="AB240" t="s">
        <v>170</v>
      </c>
      <c r="AC240" t="s">
        <v>232</v>
      </c>
      <c r="AD240">
        <v>10</v>
      </c>
      <c r="AG240" t="s">
        <v>216</v>
      </c>
      <c r="AH240" t="s">
        <v>217</v>
      </c>
      <c r="AI240" t="s">
        <v>178</v>
      </c>
      <c r="AJ240" t="s">
        <v>179</v>
      </c>
      <c r="AK240" t="s">
        <v>173</v>
      </c>
      <c r="AL240" t="s">
        <v>180</v>
      </c>
      <c r="AO240">
        <v>96</v>
      </c>
      <c r="AP240">
        <v>13</v>
      </c>
      <c r="AS240">
        <v>2950</v>
      </c>
      <c r="AT240">
        <v>2950</v>
      </c>
      <c r="BN240" s="114" t="s">
        <v>256</v>
      </c>
      <c r="BO240">
        <v>2</v>
      </c>
      <c r="BP240">
        <v>2</v>
      </c>
      <c r="BQ240">
        <v>7</v>
      </c>
      <c r="BR240" t="s">
        <v>612</v>
      </c>
      <c r="BS240" t="s">
        <v>182</v>
      </c>
      <c r="BT240" t="s">
        <v>183</v>
      </c>
      <c r="BU240" s="115">
        <v>45849</v>
      </c>
      <c r="BV240">
        <v>36809</v>
      </c>
      <c r="BW240" s="116"/>
      <c r="BY240" t="s">
        <v>173</v>
      </c>
      <c r="CB240" t="s">
        <v>173</v>
      </c>
      <c r="CC240" t="s">
        <v>173</v>
      </c>
      <c r="CD240" t="s">
        <v>633</v>
      </c>
      <c r="CE240" t="s">
        <v>173</v>
      </c>
      <c r="CG240" t="s">
        <v>172</v>
      </c>
      <c r="CH240" t="s">
        <v>234</v>
      </c>
      <c r="CI240" t="s">
        <v>172</v>
      </c>
      <c r="CJ240" t="s">
        <v>634</v>
      </c>
      <c r="CK240" t="s">
        <v>259</v>
      </c>
      <c r="CM240">
        <v>1</v>
      </c>
      <c r="CN240" t="s">
        <v>260</v>
      </c>
      <c r="CP240">
        <v>48</v>
      </c>
      <c r="CQ240">
        <v>20</v>
      </c>
      <c r="CR240">
        <v>80</v>
      </c>
      <c r="CS240" t="s">
        <v>261</v>
      </c>
      <c r="CV240" t="s">
        <v>262</v>
      </c>
      <c r="CX240" t="s">
        <v>263</v>
      </c>
      <c r="CY240" t="s">
        <v>173</v>
      </c>
      <c r="DD240">
        <v>1</v>
      </c>
      <c r="DE240" t="s">
        <v>307</v>
      </c>
      <c r="DF240" t="s">
        <v>356</v>
      </c>
      <c r="DG240">
        <v>16</v>
      </c>
      <c r="DJ240" t="s">
        <v>201</v>
      </c>
      <c r="DK240" t="s">
        <v>202</v>
      </c>
      <c r="DL240" t="s">
        <v>173</v>
      </c>
      <c r="DM240" t="s">
        <v>173</v>
      </c>
      <c r="DN240" t="s">
        <v>173</v>
      </c>
      <c r="DO240" t="s">
        <v>203</v>
      </c>
      <c r="DP240" t="s">
        <v>172</v>
      </c>
      <c r="DQ240" t="s">
        <v>204</v>
      </c>
      <c r="DY240">
        <v>27.8</v>
      </c>
      <c r="EA240" s="117"/>
      <c r="EB240">
        <v>4</v>
      </c>
      <c r="EC240">
        <v>4</v>
      </c>
      <c r="EE240" t="s">
        <v>635</v>
      </c>
      <c r="EF240">
        <v>5</v>
      </c>
      <c r="EV240">
        <v>6250</v>
      </c>
      <c r="EW240">
        <v>464</v>
      </c>
      <c r="EX240">
        <v>369</v>
      </c>
      <c r="EY240">
        <v>421</v>
      </c>
    </row>
    <row r="241" spans="1:155" x14ac:dyDescent="0.35">
      <c r="A241">
        <v>2026</v>
      </c>
      <c r="B241" t="s">
        <v>228</v>
      </c>
      <c r="C241" s="112" t="s">
        <v>228</v>
      </c>
      <c r="D241" t="s">
        <v>636</v>
      </c>
      <c r="E241" t="s">
        <v>230</v>
      </c>
      <c r="F241">
        <v>550</v>
      </c>
      <c r="G241" s="113">
        <v>3</v>
      </c>
      <c r="H241">
        <v>6</v>
      </c>
      <c r="I241" t="s">
        <v>231</v>
      </c>
      <c r="J241">
        <v>19</v>
      </c>
      <c r="K241">
        <v>24</v>
      </c>
      <c r="L241">
        <v>21</v>
      </c>
      <c r="M241">
        <v>23.6996</v>
      </c>
      <c r="N241">
        <v>33.589300000000001</v>
      </c>
      <c r="O241">
        <v>27.319199999999999</v>
      </c>
      <c r="P241">
        <v>18.853300000000001</v>
      </c>
      <c r="Q241">
        <v>23.9635</v>
      </c>
      <c r="R241">
        <v>20.854500000000002</v>
      </c>
      <c r="T241" t="s">
        <v>632</v>
      </c>
      <c r="U241" t="s">
        <v>307</v>
      </c>
      <c r="V241" t="s">
        <v>170</v>
      </c>
      <c r="W241" t="s">
        <v>171</v>
      </c>
      <c r="Y241">
        <v>9</v>
      </c>
      <c r="Z241" t="s">
        <v>172</v>
      </c>
      <c r="AA241" t="s">
        <v>173</v>
      </c>
      <c r="AB241" t="s">
        <v>170</v>
      </c>
      <c r="AC241" t="s">
        <v>232</v>
      </c>
      <c r="AD241">
        <v>10</v>
      </c>
      <c r="AG241" t="s">
        <v>216</v>
      </c>
      <c r="AH241" t="s">
        <v>217</v>
      </c>
      <c r="AI241" t="s">
        <v>178</v>
      </c>
      <c r="AJ241" t="s">
        <v>179</v>
      </c>
      <c r="AK241" t="s">
        <v>173</v>
      </c>
      <c r="AL241" t="s">
        <v>180</v>
      </c>
      <c r="AO241">
        <v>96</v>
      </c>
      <c r="AP241">
        <v>13</v>
      </c>
      <c r="AS241">
        <v>2950</v>
      </c>
      <c r="AT241">
        <v>2950</v>
      </c>
      <c r="BN241" s="114" t="s">
        <v>256</v>
      </c>
      <c r="BO241">
        <v>2</v>
      </c>
      <c r="BP241">
        <v>2</v>
      </c>
      <c r="BQ241">
        <v>7</v>
      </c>
      <c r="BR241" t="s">
        <v>612</v>
      </c>
      <c r="BS241" t="s">
        <v>182</v>
      </c>
      <c r="BT241" t="s">
        <v>183</v>
      </c>
      <c r="BU241" s="115">
        <v>45849</v>
      </c>
      <c r="BV241">
        <v>36810</v>
      </c>
      <c r="BW241" s="116"/>
      <c r="BY241" t="s">
        <v>173</v>
      </c>
      <c r="CB241" t="s">
        <v>173</v>
      </c>
      <c r="CC241" t="s">
        <v>173</v>
      </c>
      <c r="CD241" t="s">
        <v>637</v>
      </c>
      <c r="CE241" t="s">
        <v>173</v>
      </c>
      <c r="CG241" t="s">
        <v>172</v>
      </c>
      <c r="CH241" t="s">
        <v>234</v>
      </c>
      <c r="CI241" t="s">
        <v>172</v>
      </c>
      <c r="CJ241" t="s">
        <v>634</v>
      </c>
      <c r="CK241" t="s">
        <v>259</v>
      </c>
      <c r="CM241">
        <v>1</v>
      </c>
      <c r="CN241" t="s">
        <v>260</v>
      </c>
      <c r="CP241">
        <v>48</v>
      </c>
      <c r="CQ241">
        <v>20</v>
      </c>
      <c r="CR241">
        <v>80</v>
      </c>
      <c r="CS241" t="s">
        <v>261</v>
      </c>
      <c r="CV241" t="s">
        <v>262</v>
      </c>
      <c r="CX241" t="s">
        <v>263</v>
      </c>
      <c r="CY241" t="s">
        <v>173</v>
      </c>
      <c r="DD241">
        <v>1</v>
      </c>
      <c r="DE241" t="s">
        <v>307</v>
      </c>
      <c r="DF241" t="s">
        <v>356</v>
      </c>
      <c r="DG241">
        <v>16</v>
      </c>
      <c r="DJ241" t="s">
        <v>201</v>
      </c>
      <c r="DK241" t="s">
        <v>202</v>
      </c>
      <c r="DL241" t="s">
        <v>173</v>
      </c>
      <c r="DM241" t="s">
        <v>173</v>
      </c>
      <c r="DN241" t="s">
        <v>173</v>
      </c>
      <c r="DO241" t="s">
        <v>203</v>
      </c>
      <c r="DP241" t="s">
        <v>172</v>
      </c>
      <c r="DQ241" t="s">
        <v>204</v>
      </c>
      <c r="DY241">
        <v>27.5</v>
      </c>
      <c r="EA241" s="117"/>
      <c r="EB241">
        <v>4</v>
      </c>
      <c r="EC241">
        <v>4</v>
      </c>
      <c r="EE241" t="s">
        <v>635</v>
      </c>
      <c r="EF241">
        <v>5</v>
      </c>
      <c r="EV241">
        <v>6250</v>
      </c>
      <c r="EW241">
        <v>467</v>
      </c>
      <c r="EX241">
        <v>368</v>
      </c>
      <c r="EY241">
        <v>422</v>
      </c>
    </row>
    <row r="242" spans="1:155" x14ac:dyDescent="0.35">
      <c r="A242">
        <v>2026</v>
      </c>
      <c r="B242" t="s">
        <v>228</v>
      </c>
      <c r="C242" s="112" t="s">
        <v>228</v>
      </c>
      <c r="D242" t="s">
        <v>638</v>
      </c>
      <c r="E242" t="s">
        <v>230</v>
      </c>
      <c r="F242">
        <v>530</v>
      </c>
      <c r="G242" s="113">
        <v>4</v>
      </c>
      <c r="H242">
        <v>8</v>
      </c>
      <c r="I242" t="s">
        <v>231</v>
      </c>
      <c r="J242">
        <v>15</v>
      </c>
      <c r="K242">
        <v>21</v>
      </c>
      <c r="L242">
        <v>17</v>
      </c>
      <c r="M242">
        <v>19.049900000000001</v>
      </c>
      <c r="N242">
        <v>28.799700000000001</v>
      </c>
      <c r="O242">
        <v>22.473600000000001</v>
      </c>
      <c r="P242">
        <v>15.3872</v>
      </c>
      <c r="Q242">
        <v>20.773</v>
      </c>
      <c r="R242">
        <v>17.419599999999999</v>
      </c>
      <c r="T242" t="s">
        <v>168</v>
      </c>
      <c r="U242" t="s">
        <v>169</v>
      </c>
      <c r="V242" t="s">
        <v>170</v>
      </c>
      <c r="W242" t="s">
        <v>171</v>
      </c>
      <c r="Y242">
        <v>9</v>
      </c>
      <c r="Z242" t="s">
        <v>172</v>
      </c>
      <c r="AA242" t="s">
        <v>173</v>
      </c>
      <c r="AB242" t="s">
        <v>170</v>
      </c>
      <c r="AC242" t="s">
        <v>232</v>
      </c>
      <c r="AD242">
        <v>10</v>
      </c>
      <c r="AG242" t="s">
        <v>216</v>
      </c>
      <c r="AH242" t="s">
        <v>217</v>
      </c>
      <c r="AI242" t="s">
        <v>178</v>
      </c>
      <c r="AJ242" t="s">
        <v>179</v>
      </c>
      <c r="AK242" t="s">
        <v>173</v>
      </c>
      <c r="AL242" t="s">
        <v>180</v>
      </c>
      <c r="AO242">
        <v>96</v>
      </c>
      <c r="AP242">
        <v>13</v>
      </c>
      <c r="AS242">
        <v>3650</v>
      </c>
      <c r="AT242">
        <v>3650</v>
      </c>
      <c r="BN242" s="114" t="s">
        <v>198</v>
      </c>
      <c r="BO242">
        <v>2</v>
      </c>
      <c r="BP242">
        <v>2</v>
      </c>
      <c r="BQ242">
        <v>7</v>
      </c>
      <c r="BR242" t="s">
        <v>612</v>
      </c>
      <c r="BS242" t="s">
        <v>182</v>
      </c>
      <c r="BT242" t="s">
        <v>183</v>
      </c>
      <c r="BU242" s="115">
        <v>45852</v>
      </c>
      <c r="BV242">
        <v>36608</v>
      </c>
      <c r="BW242" s="116"/>
      <c r="BY242" t="s">
        <v>173</v>
      </c>
      <c r="CB242" t="s">
        <v>173</v>
      </c>
      <c r="CC242" t="s">
        <v>173</v>
      </c>
      <c r="CD242" t="s">
        <v>638</v>
      </c>
      <c r="CE242" t="s">
        <v>172</v>
      </c>
      <c r="CF242" t="s">
        <v>638</v>
      </c>
      <c r="CG242" t="s">
        <v>172</v>
      </c>
      <c r="CH242" t="s">
        <v>639</v>
      </c>
      <c r="CI242" t="s">
        <v>173</v>
      </c>
      <c r="DJ242" t="s">
        <v>201</v>
      </c>
      <c r="DK242" t="s">
        <v>202</v>
      </c>
      <c r="DN242" t="s">
        <v>173</v>
      </c>
      <c r="DO242" t="s">
        <v>235</v>
      </c>
      <c r="DP242" t="s">
        <v>172</v>
      </c>
      <c r="DQ242" t="s">
        <v>204</v>
      </c>
      <c r="DR242" t="s">
        <v>638</v>
      </c>
      <c r="DY242">
        <v>22.6</v>
      </c>
      <c r="EA242" s="117"/>
      <c r="EB242">
        <v>3</v>
      </c>
      <c r="EC242">
        <v>3</v>
      </c>
      <c r="EE242" t="s">
        <v>640</v>
      </c>
      <c r="EF242">
        <v>4</v>
      </c>
      <c r="EV242">
        <v>9750</v>
      </c>
      <c r="EW242">
        <v>579</v>
      </c>
      <c r="EX242">
        <v>430</v>
      </c>
      <c r="EY242">
        <v>512</v>
      </c>
    </row>
    <row r="243" spans="1:155" x14ac:dyDescent="0.35">
      <c r="A243">
        <v>2026</v>
      </c>
      <c r="B243" t="s">
        <v>641</v>
      </c>
      <c r="C243" s="112" t="s">
        <v>641</v>
      </c>
      <c r="D243" t="s">
        <v>642</v>
      </c>
      <c r="E243" t="s">
        <v>643</v>
      </c>
      <c r="F243">
        <v>6</v>
      </c>
      <c r="G243" s="113">
        <v>2</v>
      </c>
      <c r="H243">
        <v>4</v>
      </c>
      <c r="I243" t="s">
        <v>644</v>
      </c>
      <c r="J243">
        <v>27</v>
      </c>
      <c r="K243">
        <v>33</v>
      </c>
      <c r="L243">
        <v>29</v>
      </c>
      <c r="M243">
        <v>34.700000000000003</v>
      </c>
      <c r="N243">
        <v>48.5</v>
      </c>
      <c r="O243">
        <v>39.795499999999997</v>
      </c>
      <c r="P243">
        <v>26.650099999999998</v>
      </c>
      <c r="Q243">
        <v>33.465299999999999</v>
      </c>
      <c r="R243">
        <v>29.338799999999999</v>
      </c>
      <c r="U243" t="s">
        <v>215</v>
      </c>
      <c r="V243" t="s">
        <v>497</v>
      </c>
      <c r="W243" t="s">
        <v>498</v>
      </c>
      <c r="Y243">
        <v>8</v>
      </c>
      <c r="Z243" t="s">
        <v>172</v>
      </c>
      <c r="AA243" t="s">
        <v>173</v>
      </c>
      <c r="AB243" t="s">
        <v>170</v>
      </c>
      <c r="AC243" t="s">
        <v>232</v>
      </c>
      <c r="AD243">
        <v>15</v>
      </c>
      <c r="AG243" t="s">
        <v>167</v>
      </c>
      <c r="AH243" t="s">
        <v>416</v>
      </c>
      <c r="AI243" t="s">
        <v>178</v>
      </c>
      <c r="AJ243" t="s">
        <v>179</v>
      </c>
      <c r="AK243" t="s">
        <v>173</v>
      </c>
      <c r="AL243" t="s">
        <v>180</v>
      </c>
      <c r="AO243">
        <v>100</v>
      </c>
      <c r="AP243">
        <v>20</v>
      </c>
      <c r="AS243">
        <v>1700</v>
      </c>
      <c r="AT243">
        <v>1700</v>
      </c>
      <c r="BN243" s="114" t="s">
        <v>198</v>
      </c>
      <c r="BO243">
        <v>2</v>
      </c>
      <c r="BP243">
        <v>2</v>
      </c>
      <c r="BQ243">
        <v>7</v>
      </c>
      <c r="BR243" t="s">
        <v>612</v>
      </c>
      <c r="BS243" t="s">
        <v>182</v>
      </c>
      <c r="BT243" t="s">
        <v>183</v>
      </c>
      <c r="BU243" s="115">
        <v>45872</v>
      </c>
      <c r="BV243">
        <v>37286</v>
      </c>
      <c r="BW243" s="116"/>
      <c r="BX243" t="s">
        <v>173</v>
      </c>
      <c r="BY243" t="s">
        <v>173</v>
      </c>
      <c r="CB243" t="s">
        <v>173</v>
      </c>
      <c r="CC243" t="s">
        <v>173</v>
      </c>
      <c r="CE243" t="s">
        <v>173</v>
      </c>
      <c r="CG243" t="s">
        <v>172</v>
      </c>
      <c r="CH243" t="s">
        <v>645</v>
      </c>
      <c r="CI243" t="s">
        <v>173</v>
      </c>
      <c r="DJ243" t="s">
        <v>201</v>
      </c>
      <c r="DK243" t="s">
        <v>202</v>
      </c>
      <c r="DN243" t="s">
        <v>173</v>
      </c>
      <c r="DO243" t="s">
        <v>646</v>
      </c>
      <c r="DP243" t="s">
        <v>172</v>
      </c>
      <c r="DQ243" t="s">
        <v>204</v>
      </c>
      <c r="DY243">
        <v>39.799999999999997</v>
      </c>
      <c r="EA243" s="117"/>
      <c r="EB243">
        <v>6</v>
      </c>
      <c r="EC243">
        <v>6</v>
      </c>
      <c r="EE243" t="s">
        <v>647</v>
      </c>
      <c r="EF243">
        <v>6</v>
      </c>
      <c r="EU243">
        <v>0</v>
      </c>
      <c r="EW243">
        <v>331</v>
      </c>
      <c r="EX243">
        <v>264</v>
      </c>
      <c r="EY243">
        <v>301</v>
      </c>
    </row>
    <row r="244" spans="1:155" x14ac:dyDescent="0.35">
      <c r="A244">
        <v>2026</v>
      </c>
      <c r="B244" t="s">
        <v>641</v>
      </c>
      <c r="C244" s="112" t="s">
        <v>641</v>
      </c>
      <c r="D244" t="s">
        <v>642</v>
      </c>
      <c r="E244" t="s">
        <v>643</v>
      </c>
      <c r="F244">
        <v>9</v>
      </c>
      <c r="G244" s="113">
        <v>2.5</v>
      </c>
      <c r="H244">
        <v>4</v>
      </c>
      <c r="I244" t="s">
        <v>644</v>
      </c>
      <c r="J244">
        <v>26</v>
      </c>
      <c r="K244">
        <v>33</v>
      </c>
      <c r="L244">
        <v>29</v>
      </c>
      <c r="M244">
        <v>33.799999999999997</v>
      </c>
      <c r="N244">
        <v>47.5</v>
      </c>
      <c r="O244">
        <v>38.841200000000001</v>
      </c>
      <c r="P244">
        <v>26.032499999999999</v>
      </c>
      <c r="Q244">
        <v>32.8476</v>
      </c>
      <c r="R244">
        <v>28.7133</v>
      </c>
      <c r="U244" t="s">
        <v>215</v>
      </c>
      <c r="V244" t="s">
        <v>497</v>
      </c>
      <c r="W244" t="s">
        <v>498</v>
      </c>
      <c r="Y244">
        <v>8</v>
      </c>
      <c r="Z244" t="s">
        <v>172</v>
      </c>
      <c r="AA244" t="s">
        <v>173</v>
      </c>
      <c r="AB244" t="s">
        <v>170</v>
      </c>
      <c r="AC244" t="s">
        <v>232</v>
      </c>
      <c r="AD244">
        <v>15</v>
      </c>
      <c r="AG244" t="s">
        <v>167</v>
      </c>
      <c r="AH244" t="s">
        <v>416</v>
      </c>
      <c r="AI244" t="s">
        <v>178</v>
      </c>
      <c r="AJ244" t="s">
        <v>179</v>
      </c>
      <c r="AK244" t="s">
        <v>173</v>
      </c>
      <c r="AL244" t="s">
        <v>180</v>
      </c>
      <c r="AO244">
        <v>100</v>
      </c>
      <c r="AP244">
        <v>20</v>
      </c>
      <c r="AS244">
        <v>1700</v>
      </c>
      <c r="AT244">
        <v>1700</v>
      </c>
      <c r="BN244" s="114" t="s">
        <v>198</v>
      </c>
      <c r="BO244">
        <v>2</v>
      </c>
      <c r="BP244">
        <v>2</v>
      </c>
      <c r="BQ244">
        <v>7</v>
      </c>
      <c r="BR244" t="s">
        <v>612</v>
      </c>
      <c r="BS244" t="s">
        <v>182</v>
      </c>
      <c r="BT244" t="s">
        <v>183</v>
      </c>
      <c r="BU244" s="115">
        <v>45872</v>
      </c>
      <c r="BV244">
        <v>37287</v>
      </c>
      <c r="BW244" s="116"/>
      <c r="BX244" t="s">
        <v>173</v>
      </c>
      <c r="BY244" t="s">
        <v>173</v>
      </c>
      <c r="CB244" t="s">
        <v>173</v>
      </c>
      <c r="CC244" t="s">
        <v>173</v>
      </c>
      <c r="CE244" t="s">
        <v>173</v>
      </c>
      <c r="CG244" t="s">
        <v>172</v>
      </c>
      <c r="CH244" t="s">
        <v>645</v>
      </c>
      <c r="CI244" t="s">
        <v>173</v>
      </c>
      <c r="DJ244" t="s">
        <v>201</v>
      </c>
      <c r="DK244" t="s">
        <v>202</v>
      </c>
      <c r="DN244" t="s">
        <v>173</v>
      </c>
      <c r="DO244" t="s">
        <v>646</v>
      </c>
      <c r="DP244" t="s">
        <v>172</v>
      </c>
      <c r="DQ244" t="s">
        <v>204</v>
      </c>
      <c r="DY244">
        <v>38.799999999999997</v>
      </c>
      <c r="EA244" s="117"/>
      <c r="EB244">
        <v>6</v>
      </c>
      <c r="EC244">
        <v>6</v>
      </c>
      <c r="EE244" t="s">
        <v>648</v>
      </c>
      <c r="EF244">
        <v>6</v>
      </c>
      <c r="EU244">
        <v>0</v>
      </c>
      <c r="EW244">
        <v>343</v>
      </c>
      <c r="EX244">
        <v>272</v>
      </c>
      <c r="EY244">
        <v>311</v>
      </c>
    </row>
    <row r="245" spans="1:155" x14ac:dyDescent="0.35">
      <c r="A245">
        <v>2026</v>
      </c>
      <c r="B245" t="s">
        <v>524</v>
      </c>
      <c r="C245" s="112" t="s">
        <v>525</v>
      </c>
      <c r="D245" t="s">
        <v>649</v>
      </c>
      <c r="E245" t="s">
        <v>527</v>
      </c>
      <c r="F245">
        <v>241</v>
      </c>
      <c r="G245" s="113">
        <v>2</v>
      </c>
      <c r="H245">
        <v>4</v>
      </c>
      <c r="I245" t="s">
        <v>195</v>
      </c>
      <c r="J245">
        <v>23</v>
      </c>
      <c r="K245">
        <v>31</v>
      </c>
      <c r="L245">
        <v>26</v>
      </c>
      <c r="M245">
        <v>30</v>
      </c>
      <c r="N245">
        <v>44.7</v>
      </c>
      <c r="O245">
        <v>35.200000000000003</v>
      </c>
      <c r="P245">
        <v>23.3858</v>
      </c>
      <c r="Q245">
        <v>31.1035</v>
      </c>
      <c r="R245">
        <v>26.325199999999999</v>
      </c>
      <c r="T245" t="s">
        <v>168</v>
      </c>
      <c r="U245" t="s">
        <v>169</v>
      </c>
      <c r="V245" t="s">
        <v>196</v>
      </c>
      <c r="W245" t="s">
        <v>197</v>
      </c>
      <c r="Y245">
        <v>8</v>
      </c>
      <c r="Z245" t="s">
        <v>172</v>
      </c>
      <c r="AA245" t="s">
        <v>173</v>
      </c>
      <c r="AB245" t="s">
        <v>170</v>
      </c>
      <c r="AC245" t="s">
        <v>232</v>
      </c>
      <c r="AD245">
        <v>10</v>
      </c>
      <c r="AG245" t="s">
        <v>216</v>
      </c>
      <c r="AH245" t="s">
        <v>217</v>
      </c>
      <c r="AI245" t="s">
        <v>178</v>
      </c>
      <c r="AJ245" t="s">
        <v>179</v>
      </c>
      <c r="AK245" t="s">
        <v>173</v>
      </c>
      <c r="AL245" t="s">
        <v>180</v>
      </c>
      <c r="AO245">
        <v>94</v>
      </c>
      <c r="AP245">
        <v>29</v>
      </c>
      <c r="AS245">
        <v>2400</v>
      </c>
      <c r="AT245">
        <v>2400</v>
      </c>
      <c r="BN245" s="114" t="s">
        <v>256</v>
      </c>
      <c r="BO245">
        <v>2</v>
      </c>
      <c r="BP245">
        <v>2</v>
      </c>
      <c r="BQ245">
        <v>7</v>
      </c>
      <c r="BR245" t="s">
        <v>612</v>
      </c>
      <c r="BS245" t="s">
        <v>182</v>
      </c>
      <c r="BT245" t="s">
        <v>183</v>
      </c>
      <c r="BU245" s="115">
        <v>45800</v>
      </c>
      <c r="BV245">
        <v>36333</v>
      </c>
      <c r="BW245" s="116"/>
      <c r="BY245" t="s">
        <v>173</v>
      </c>
      <c r="CB245" t="s">
        <v>173</v>
      </c>
      <c r="CC245" t="s">
        <v>173</v>
      </c>
      <c r="CD245" t="s">
        <v>528</v>
      </c>
      <c r="CE245" t="s">
        <v>173</v>
      </c>
      <c r="CG245" t="s">
        <v>172</v>
      </c>
      <c r="CH245" t="s">
        <v>529</v>
      </c>
      <c r="CI245" t="s">
        <v>173</v>
      </c>
      <c r="CK245" t="s">
        <v>259</v>
      </c>
      <c r="CM245">
        <v>1</v>
      </c>
      <c r="CN245" t="s">
        <v>260</v>
      </c>
      <c r="CP245">
        <v>44</v>
      </c>
      <c r="CQ245">
        <v>8.4</v>
      </c>
      <c r="CR245">
        <v>56</v>
      </c>
      <c r="CS245" t="s">
        <v>261</v>
      </c>
      <c r="CV245" t="s">
        <v>262</v>
      </c>
      <c r="CX245" t="s">
        <v>263</v>
      </c>
      <c r="CY245" t="s">
        <v>173</v>
      </c>
      <c r="DD245">
        <v>1</v>
      </c>
      <c r="DE245" t="s">
        <v>530</v>
      </c>
      <c r="DG245">
        <v>10</v>
      </c>
      <c r="DJ245" t="s">
        <v>201</v>
      </c>
      <c r="DK245" t="s">
        <v>202</v>
      </c>
      <c r="DL245" t="s">
        <v>173</v>
      </c>
      <c r="DM245" t="s">
        <v>173</v>
      </c>
      <c r="DN245" t="s">
        <v>173</v>
      </c>
      <c r="DO245" t="s">
        <v>531</v>
      </c>
      <c r="DP245" t="s">
        <v>172</v>
      </c>
      <c r="DQ245" t="s">
        <v>204</v>
      </c>
      <c r="DR245" t="s">
        <v>532</v>
      </c>
      <c r="DY245">
        <v>35.200000000000003</v>
      </c>
      <c r="EA245" s="117"/>
      <c r="EB245">
        <v>5</v>
      </c>
      <c r="EC245">
        <v>5</v>
      </c>
      <c r="EE245" t="s">
        <v>533</v>
      </c>
      <c r="EF245">
        <v>4</v>
      </c>
      <c r="EV245">
        <v>3500</v>
      </c>
      <c r="EW245">
        <v>380</v>
      </c>
      <c r="EX245">
        <v>286</v>
      </c>
      <c r="EY245">
        <v>338</v>
      </c>
    </row>
    <row r="246" spans="1:155" x14ac:dyDescent="0.35">
      <c r="A246">
        <v>2026</v>
      </c>
      <c r="B246" t="s">
        <v>444</v>
      </c>
      <c r="C246" s="112" t="s">
        <v>458</v>
      </c>
      <c r="D246" t="s">
        <v>1241</v>
      </c>
      <c r="E246" t="s">
        <v>447</v>
      </c>
      <c r="F246">
        <v>19</v>
      </c>
      <c r="G246" s="113">
        <v>3</v>
      </c>
      <c r="H246">
        <v>6</v>
      </c>
      <c r="I246" t="s">
        <v>274</v>
      </c>
      <c r="J246">
        <v>21</v>
      </c>
      <c r="K246">
        <v>30</v>
      </c>
      <c r="L246">
        <v>24</v>
      </c>
      <c r="M246">
        <v>26.9</v>
      </c>
      <c r="N246">
        <v>40.700000000000003</v>
      </c>
      <c r="O246">
        <v>31.743400000000001</v>
      </c>
      <c r="P246">
        <v>21.2454</v>
      </c>
      <c r="Q246">
        <v>29.5428</v>
      </c>
      <c r="R246">
        <v>24.318999999999999</v>
      </c>
      <c r="T246" t="s">
        <v>168</v>
      </c>
      <c r="U246" t="s">
        <v>169</v>
      </c>
      <c r="V246" t="s">
        <v>275</v>
      </c>
      <c r="W246" t="s">
        <v>276</v>
      </c>
      <c r="Y246">
        <v>7</v>
      </c>
      <c r="Z246" t="s">
        <v>173</v>
      </c>
      <c r="AA246" t="s">
        <v>173</v>
      </c>
      <c r="AB246" t="s">
        <v>170</v>
      </c>
      <c r="AC246" t="s">
        <v>232</v>
      </c>
      <c r="AD246">
        <v>15</v>
      </c>
      <c r="AG246" t="s">
        <v>176</v>
      </c>
      <c r="AH246" t="s">
        <v>177</v>
      </c>
      <c r="AI246" t="s">
        <v>178</v>
      </c>
      <c r="AJ246" t="s">
        <v>179</v>
      </c>
      <c r="AK246" t="s">
        <v>173</v>
      </c>
      <c r="AL246" t="s">
        <v>180</v>
      </c>
      <c r="AO246">
        <v>101</v>
      </c>
      <c r="AP246">
        <v>30</v>
      </c>
      <c r="AS246">
        <v>2600</v>
      </c>
      <c r="AT246">
        <v>2600</v>
      </c>
      <c r="BN246" s="114" t="s">
        <v>256</v>
      </c>
      <c r="BO246">
        <v>2</v>
      </c>
      <c r="BP246">
        <v>2</v>
      </c>
      <c r="BQ246">
        <v>8</v>
      </c>
      <c r="BR246" t="s">
        <v>651</v>
      </c>
      <c r="BS246" t="s">
        <v>182</v>
      </c>
      <c r="BT246" t="s">
        <v>218</v>
      </c>
      <c r="BU246" s="115">
        <v>45911</v>
      </c>
      <c r="BV246">
        <v>37578</v>
      </c>
      <c r="BW246" s="116"/>
      <c r="BX246" t="s">
        <v>172</v>
      </c>
      <c r="BY246" t="s">
        <v>173</v>
      </c>
      <c r="CB246" t="s">
        <v>173</v>
      </c>
      <c r="CC246" t="s">
        <v>173</v>
      </c>
      <c r="CD246" t="s">
        <v>1242</v>
      </c>
      <c r="CE246" t="s">
        <v>173</v>
      </c>
      <c r="CG246" t="s">
        <v>172</v>
      </c>
      <c r="CH246" t="s">
        <v>1243</v>
      </c>
      <c r="CI246" t="s">
        <v>172</v>
      </c>
      <c r="CJ246" t="s">
        <v>871</v>
      </c>
      <c r="CK246" t="s">
        <v>259</v>
      </c>
      <c r="CM246">
        <v>1</v>
      </c>
      <c r="CN246" t="s">
        <v>260</v>
      </c>
      <c r="CP246">
        <v>48</v>
      </c>
      <c r="CQ246">
        <v>9.5</v>
      </c>
      <c r="CR246">
        <v>51</v>
      </c>
      <c r="CS246" t="s">
        <v>261</v>
      </c>
      <c r="CV246" t="s">
        <v>262</v>
      </c>
      <c r="CX246" t="s">
        <v>263</v>
      </c>
      <c r="CY246" t="s">
        <v>173</v>
      </c>
      <c r="DD246">
        <v>1</v>
      </c>
      <c r="DE246" t="s">
        <v>307</v>
      </c>
      <c r="DF246" t="s">
        <v>464</v>
      </c>
      <c r="DG246">
        <v>8</v>
      </c>
      <c r="DJ246" t="s">
        <v>201</v>
      </c>
      <c r="DK246" t="s">
        <v>202</v>
      </c>
      <c r="DL246" t="s">
        <v>173</v>
      </c>
      <c r="DM246" t="s">
        <v>173</v>
      </c>
      <c r="DN246" t="s">
        <v>173</v>
      </c>
      <c r="DO246" t="s">
        <v>451</v>
      </c>
      <c r="DP246" t="s">
        <v>172</v>
      </c>
      <c r="DQ246" t="s">
        <v>204</v>
      </c>
      <c r="DY246">
        <v>32</v>
      </c>
      <c r="EA246" s="117"/>
      <c r="EB246">
        <v>5</v>
      </c>
      <c r="EC246">
        <v>5</v>
      </c>
      <c r="EE246" t="s">
        <v>1244</v>
      </c>
      <c r="EF246">
        <v>4</v>
      </c>
      <c r="EV246">
        <v>4500</v>
      </c>
      <c r="EW246">
        <v>418</v>
      </c>
      <c r="EX246">
        <v>300</v>
      </c>
      <c r="EY246">
        <v>365</v>
      </c>
    </row>
    <row r="247" spans="1:155" x14ac:dyDescent="0.35">
      <c r="A247">
        <v>2026</v>
      </c>
      <c r="B247" t="s">
        <v>444</v>
      </c>
      <c r="C247" s="112" t="s">
        <v>458</v>
      </c>
      <c r="D247" t="s">
        <v>650</v>
      </c>
      <c r="E247" t="s">
        <v>447</v>
      </c>
      <c r="F247">
        <v>20</v>
      </c>
      <c r="G247" s="113">
        <v>4</v>
      </c>
      <c r="H247">
        <v>8</v>
      </c>
      <c r="I247" t="s">
        <v>195</v>
      </c>
      <c r="J247">
        <v>14</v>
      </c>
      <c r="K247">
        <v>21</v>
      </c>
      <c r="L247">
        <v>16</v>
      </c>
      <c r="M247">
        <v>16.88</v>
      </c>
      <c r="N247">
        <v>27.498000000000001</v>
      </c>
      <c r="O247">
        <v>20.4299</v>
      </c>
      <c r="P247">
        <v>13.765499999999999</v>
      </c>
      <c r="Q247">
        <v>21.129300000000001</v>
      </c>
      <c r="R247">
        <v>16.325900000000001</v>
      </c>
      <c r="S247" t="s">
        <v>167</v>
      </c>
      <c r="T247" t="s">
        <v>168</v>
      </c>
      <c r="U247" t="s">
        <v>169</v>
      </c>
      <c r="V247" t="s">
        <v>196</v>
      </c>
      <c r="W247" t="s">
        <v>197</v>
      </c>
      <c r="Y247">
        <v>8</v>
      </c>
      <c r="Z247" t="s">
        <v>172</v>
      </c>
      <c r="AA247" t="s">
        <v>173</v>
      </c>
      <c r="AB247" t="s">
        <v>170</v>
      </c>
      <c r="AC247" t="s">
        <v>232</v>
      </c>
      <c r="AD247">
        <v>15</v>
      </c>
      <c r="AG247" t="s">
        <v>176</v>
      </c>
      <c r="AH247" t="s">
        <v>177</v>
      </c>
      <c r="AI247" t="s">
        <v>178</v>
      </c>
      <c r="AJ247" t="s">
        <v>179</v>
      </c>
      <c r="AK247" t="s">
        <v>173</v>
      </c>
      <c r="AL247" t="s">
        <v>180</v>
      </c>
      <c r="AO247">
        <v>101</v>
      </c>
      <c r="AP247">
        <v>30</v>
      </c>
      <c r="AS247">
        <v>3900</v>
      </c>
      <c r="AT247">
        <v>3900</v>
      </c>
      <c r="BN247" s="114" t="s">
        <v>256</v>
      </c>
      <c r="BO247">
        <v>2</v>
      </c>
      <c r="BP247">
        <v>2</v>
      </c>
      <c r="BQ247">
        <v>8</v>
      </c>
      <c r="BR247" t="s">
        <v>651</v>
      </c>
      <c r="BS247" t="s">
        <v>182</v>
      </c>
      <c r="BT247" t="s">
        <v>218</v>
      </c>
      <c r="BU247" s="115">
        <v>45805</v>
      </c>
      <c r="BV247">
        <v>36688</v>
      </c>
      <c r="BW247" s="116"/>
      <c r="BX247" t="s">
        <v>173</v>
      </c>
      <c r="BY247" t="s">
        <v>173</v>
      </c>
      <c r="CB247" t="s">
        <v>173</v>
      </c>
      <c r="CC247" t="s">
        <v>173</v>
      </c>
      <c r="CD247" t="s">
        <v>461</v>
      </c>
      <c r="CE247" t="s">
        <v>172</v>
      </c>
      <c r="CF247" t="s">
        <v>462</v>
      </c>
      <c r="CG247" t="s">
        <v>172</v>
      </c>
      <c r="CH247" t="s">
        <v>463</v>
      </c>
      <c r="CI247" t="s">
        <v>173</v>
      </c>
      <c r="CK247" t="s">
        <v>259</v>
      </c>
      <c r="CM247">
        <v>1</v>
      </c>
      <c r="CN247" t="s">
        <v>260</v>
      </c>
      <c r="CP247">
        <v>48</v>
      </c>
      <c r="CQ247">
        <v>9.5</v>
      </c>
      <c r="CR247">
        <v>50.1</v>
      </c>
      <c r="CS247" t="s">
        <v>261</v>
      </c>
      <c r="CV247" t="s">
        <v>262</v>
      </c>
      <c r="CX247" t="s">
        <v>263</v>
      </c>
      <c r="CY247" t="s">
        <v>173</v>
      </c>
      <c r="DD247">
        <v>1</v>
      </c>
      <c r="DE247" t="s">
        <v>307</v>
      </c>
      <c r="DF247" t="s">
        <v>464</v>
      </c>
      <c r="DG247">
        <v>8</v>
      </c>
      <c r="DJ247" t="s">
        <v>201</v>
      </c>
      <c r="DK247" t="s">
        <v>202</v>
      </c>
      <c r="DL247" t="s">
        <v>173</v>
      </c>
      <c r="DM247" t="s">
        <v>173</v>
      </c>
      <c r="DN247" t="s">
        <v>173</v>
      </c>
      <c r="DO247" t="s">
        <v>465</v>
      </c>
      <c r="DP247" t="s">
        <v>172</v>
      </c>
      <c r="DQ247" t="s">
        <v>204</v>
      </c>
      <c r="DY247">
        <v>20.6</v>
      </c>
      <c r="EA247" s="117"/>
      <c r="EB247">
        <v>3</v>
      </c>
      <c r="EC247">
        <v>3</v>
      </c>
      <c r="EE247" t="s">
        <v>466</v>
      </c>
      <c r="EF247">
        <v>2</v>
      </c>
      <c r="EV247">
        <v>11000</v>
      </c>
      <c r="EW247">
        <v>645</v>
      </c>
      <c r="EX247">
        <v>422</v>
      </c>
      <c r="EY247">
        <v>545</v>
      </c>
    </row>
    <row r="248" spans="1:155" x14ac:dyDescent="0.35">
      <c r="A248">
        <v>2026</v>
      </c>
      <c r="B248" t="s">
        <v>481</v>
      </c>
      <c r="C248" s="112" t="s">
        <v>481</v>
      </c>
      <c r="D248" t="s">
        <v>652</v>
      </c>
      <c r="E248" t="s">
        <v>483</v>
      </c>
      <c r="F248">
        <v>202</v>
      </c>
      <c r="G248" s="113">
        <v>1.5</v>
      </c>
      <c r="H248">
        <v>4</v>
      </c>
      <c r="I248" t="s">
        <v>487</v>
      </c>
      <c r="J248">
        <v>28</v>
      </c>
      <c r="K248">
        <v>33</v>
      </c>
      <c r="L248">
        <v>30</v>
      </c>
      <c r="M248">
        <v>36.5</v>
      </c>
      <c r="N248">
        <v>49.525399999999998</v>
      </c>
      <c r="O248">
        <v>41.399700000000003</v>
      </c>
      <c r="P248">
        <v>27.8749</v>
      </c>
      <c r="Q248">
        <v>33</v>
      </c>
      <c r="R248">
        <v>30.368300000000001</v>
      </c>
      <c r="T248" t="s">
        <v>168</v>
      </c>
      <c r="U248" t="s">
        <v>169</v>
      </c>
      <c r="V248" t="s">
        <v>488</v>
      </c>
      <c r="W248" t="s">
        <v>489</v>
      </c>
      <c r="Y248">
        <v>1</v>
      </c>
      <c r="Z248" t="s">
        <v>172</v>
      </c>
      <c r="AA248" t="s">
        <v>173</v>
      </c>
      <c r="AB248" t="s">
        <v>277</v>
      </c>
      <c r="AC248" t="s">
        <v>278</v>
      </c>
      <c r="AD248">
        <v>10</v>
      </c>
      <c r="AG248" t="s">
        <v>167</v>
      </c>
      <c r="AH248" t="s">
        <v>416</v>
      </c>
      <c r="AI248" t="s">
        <v>178</v>
      </c>
      <c r="AJ248" t="s">
        <v>179</v>
      </c>
      <c r="AK248" t="s">
        <v>173</v>
      </c>
      <c r="AL248" t="s">
        <v>180</v>
      </c>
      <c r="AO248">
        <v>106</v>
      </c>
      <c r="AP248">
        <v>39</v>
      </c>
      <c r="AS248">
        <v>1650</v>
      </c>
      <c r="AT248">
        <v>1650</v>
      </c>
      <c r="BN248" s="114" t="s">
        <v>198</v>
      </c>
      <c r="BO248">
        <v>2</v>
      </c>
      <c r="BP248">
        <v>2</v>
      </c>
      <c r="BQ248">
        <v>8</v>
      </c>
      <c r="BR248" t="s">
        <v>651</v>
      </c>
      <c r="BS248" t="s">
        <v>182</v>
      </c>
      <c r="BT248" t="s">
        <v>183</v>
      </c>
      <c r="BU248" s="115">
        <v>45804</v>
      </c>
      <c r="BV248">
        <v>36451</v>
      </c>
      <c r="BW248" s="116"/>
      <c r="BX248" t="s">
        <v>173</v>
      </c>
      <c r="BY248" t="s">
        <v>173</v>
      </c>
      <c r="CB248" t="s">
        <v>173</v>
      </c>
      <c r="CC248" t="s">
        <v>173</v>
      </c>
      <c r="CE248" t="s">
        <v>173</v>
      </c>
      <c r="CG248" t="s">
        <v>172</v>
      </c>
      <c r="CH248" t="s">
        <v>653</v>
      </c>
      <c r="CI248" t="s">
        <v>172</v>
      </c>
      <c r="CJ248" t="s">
        <v>485</v>
      </c>
      <c r="DJ248" t="s">
        <v>201</v>
      </c>
      <c r="DK248" t="s">
        <v>202</v>
      </c>
      <c r="DL248" t="s">
        <v>173</v>
      </c>
      <c r="DM248" t="s">
        <v>173</v>
      </c>
      <c r="DN248" t="s">
        <v>173</v>
      </c>
      <c r="DO248" t="s">
        <v>284</v>
      </c>
      <c r="DP248" t="s">
        <v>172</v>
      </c>
      <c r="DQ248" t="s">
        <v>204</v>
      </c>
      <c r="DY248">
        <v>41.7</v>
      </c>
      <c r="EA248" s="117"/>
      <c r="EB248">
        <v>6</v>
      </c>
      <c r="EC248">
        <v>6</v>
      </c>
      <c r="EE248" t="s">
        <v>654</v>
      </c>
      <c r="EF248">
        <v>6</v>
      </c>
      <c r="EU248">
        <v>250</v>
      </c>
      <c r="EW248">
        <v>318</v>
      </c>
      <c r="EX248">
        <v>269</v>
      </c>
      <c r="EY248">
        <v>296</v>
      </c>
    </row>
    <row r="249" spans="1:155" x14ac:dyDescent="0.35">
      <c r="A249">
        <v>2026</v>
      </c>
      <c r="B249" t="s">
        <v>481</v>
      </c>
      <c r="C249" s="112" t="s">
        <v>481</v>
      </c>
      <c r="D249" t="s">
        <v>652</v>
      </c>
      <c r="E249" t="s">
        <v>483</v>
      </c>
      <c r="F249">
        <v>212</v>
      </c>
      <c r="G249" s="113">
        <v>2</v>
      </c>
      <c r="H249">
        <v>4</v>
      </c>
      <c r="I249" t="s">
        <v>487</v>
      </c>
      <c r="J249">
        <v>43</v>
      </c>
      <c r="K249">
        <v>36</v>
      </c>
      <c r="L249">
        <v>40</v>
      </c>
      <c r="M249">
        <v>61</v>
      </c>
      <c r="N249">
        <v>54.747799999999998</v>
      </c>
      <c r="O249">
        <v>58.0184</v>
      </c>
      <c r="P249">
        <v>43.273099999999999</v>
      </c>
      <c r="Q249">
        <v>36</v>
      </c>
      <c r="R249">
        <v>40.345199999999998</v>
      </c>
      <c r="U249" t="s">
        <v>215</v>
      </c>
      <c r="V249" t="s">
        <v>488</v>
      </c>
      <c r="W249" t="s">
        <v>489</v>
      </c>
      <c r="Y249">
        <v>1</v>
      </c>
      <c r="Z249" t="s">
        <v>172</v>
      </c>
      <c r="AA249" t="s">
        <v>173</v>
      </c>
      <c r="AB249" t="s">
        <v>277</v>
      </c>
      <c r="AC249" t="s">
        <v>278</v>
      </c>
      <c r="AD249">
        <v>10</v>
      </c>
      <c r="AG249" t="s">
        <v>167</v>
      </c>
      <c r="AH249" t="s">
        <v>416</v>
      </c>
      <c r="AI249" t="s">
        <v>178</v>
      </c>
      <c r="AJ249" t="s">
        <v>179</v>
      </c>
      <c r="AK249" t="s">
        <v>173</v>
      </c>
      <c r="AL249" t="s">
        <v>180</v>
      </c>
      <c r="AO249">
        <v>106</v>
      </c>
      <c r="AP249">
        <v>39</v>
      </c>
      <c r="AS249">
        <v>1250</v>
      </c>
      <c r="AT249">
        <v>1250</v>
      </c>
      <c r="BN249" s="114" t="s">
        <v>492</v>
      </c>
      <c r="BO249">
        <v>2</v>
      </c>
      <c r="BP249">
        <v>2</v>
      </c>
      <c r="BQ249">
        <v>8</v>
      </c>
      <c r="BR249" t="s">
        <v>651</v>
      </c>
      <c r="BS249" t="s">
        <v>182</v>
      </c>
      <c r="BT249" t="s">
        <v>183</v>
      </c>
      <c r="BU249" s="115">
        <v>45804</v>
      </c>
      <c r="BV249">
        <v>36365</v>
      </c>
      <c r="BW249" s="116"/>
      <c r="BX249" t="s">
        <v>173</v>
      </c>
      <c r="BY249" t="s">
        <v>173</v>
      </c>
      <c r="CB249" t="s">
        <v>173</v>
      </c>
      <c r="CC249" t="s">
        <v>173</v>
      </c>
      <c r="CE249" t="s">
        <v>173</v>
      </c>
      <c r="CG249" t="s">
        <v>172</v>
      </c>
      <c r="CH249" t="s">
        <v>490</v>
      </c>
      <c r="CI249" t="s">
        <v>173</v>
      </c>
      <c r="CK249" t="s">
        <v>259</v>
      </c>
      <c r="CM249">
        <v>1</v>
      </c>
      <c r="CN249" t="s">
        <v>260</v>
      </c>
      <c r="CP249">
        <v>263</v>
      </c>
      <c r="CQ249">
        <v>4.0999999999999996</v>
      </c>
      <c r="CR249">
        <v>77.3</v>
      </c>
      <c r="CS249" t="s">
        <v>261</v>
      </c>
      <c r="CV249" t="s">
        <v>262</v>
      </c>
      <c r="CX249" t="s">
        <v>493</v>
      </c>
      <c r="CY249" t="s">
        <v>173</v>
      </c>
      <c r="DD249">
        <v>1</v>
      </c>
      <c r="DE249" t="s">
        <v>307</v>
      </c>
      <c r="DF249" t="s">
        <v>494</v>
      </c>
      <c r="DG249">
        <v>135</v>
      </c>
      <c r="DJ249" t="s">
        <v>201</v>
      </c>
      <c r="DK249" t="s">
        <v>202</v>
      </c>
      <c r="DL249" t="s">
        <v>173</v>
      </c>
      <c r="DM249" t="s">
        <v>173</v>
      </c>
      <c r="DN249" t="s">
        <v>173</v>
      </c>
      <c r="DO249" t="s">
        <v>284</v>
      </c>
      <c r="DP249" t="s">
        <v>172</v>
      </c>
      <c r="DQ249" t="s">
        <v>204</v>
      </c>
      <c r="DY249">
        <v>58.3</v>
      </c>
      <c r="EA249" s="117"/>
      <c r="EB249">
        <v>7</v>
      </c>
      <c r="EC249">
        <v>7</v>
      </c>
      <c r="EE249" t="s">
        <v>655</v>
      </c>
      <c r="EF249">
        <v>7</v>
      </c>
      <c r="EU249">
        <v>2250</v>
      </c>
      <c r="EW249">
        <v>205</v>
      </c>
      <c r="EX249">
        <v>246</v>
      </c>
      <c r="EY249">
        <v>223</v>
      </c>
    </row>
    <row r="250" spans="1:155" x14ac:dyDescent="0.35">
      <c r="A250">
        <v>2026</v>
      </c>
      <c r="B250" t="s">
        <v>228</v>
      </c>
      <c r="C250" s="112" t="s">
        <v>228</v>
      </c>
      <c r="D250" t="s">
        <v>656</v>
      </c>
      <c r="E250" t="s">
        <v>230</v>
      </c>
      <c r="F250">
        <v>184</v>
      </c>
      <c r="G250" s="113">
        <v>2</v>
      </c>
      <c r="H250">
        <v>4</v>
      </c>
      <c r="I250" t="s">
        <v>428</v>
      </c>
      <c r="J250">
        <v>21</v>
      </c>
      <c r="K250">
        <v>27</v>
      </c>
      <c r="L250">
        <v>23</v>
      </c>
      <c r="M250">
        <v>26</v>
      </c>
      <c r="N250">
        <v>37.700000000000003</v>
      </c>
      <c r="O250">
        <v>30.220400000000001</v>
      </c>
      <c r="P250">
        <v>20.529599999999999</v>
      </c>
      <c r="Q250">
        <v>26.646899999999999</v>
      </c>
      <c r="R250">
        <v>22.8948</v>
      </c>
      <c r="T250" t="s">
        <v>168</v>
      </c>
      <c r="U250" t="s">
        <v>169</v>
      </c>
      <c r="V250" t="s">
        <v>429</v>
      </c>
      <c r="W250" t="s">
        <v>430</v>
      </c>
      <c r="Y250">
        <v>8</v>
      </c>
      <c r="Z250" t="s">
        <v>172</v>
      </c>
      <c r="AA250" t="s">
        <v>173</v>
      </c>
      <c r="AB250" t="s">
        <v>170</v>
      </c>
      <c r="AC250" t="s">
        <v>232</v>
      </c>
      <c r="AD250">
        <v>10</v>
      </c>
      <c r="AG250" t="s">
        <v>216</v>
      </c>
      <c r="AH250" t="s">
        <v>217</v>
      </c>
      <c r="AI250" t="s">
        <v>178</v>
      </c>
      <c r="AJ250" t="s">
        <v>179</v>
      </c>
      <c r="AK250" t="s">
        <v>173</v>
      </c>
      <c r="AL250" t="s">
        <v>180</v>
      </c>
      <c r="AO250">
        <v>125</v>
      </c>
      <c r="AP250">
        <v>12</v>
      </c>
      <c r="AS250">
        <v>2700</v>
      </c>
      <c r="AT250">
        <v>2700</v>
      </c>
      <c r="BN250" s="114" t="s">
        <v>256</v>
      </c>
      <c r="BO250">
        <v>2</v>
      </c>
      <c r="BP250">
        <v>2</v>
      </c>
      <c r="BQ250">
        <v>8</v>
      </c>
      <c r="BR250" t="s">
        <v>651</v>
      </c>
      <c r="BS250" t="s">
        <v>182</v>
      </c>
      <c r="BT250" t="s">
        <v>183</v>
      </c>
      <c r="BU250" s="115">
        <v>45805</v>
      </c>
      <c r="BV250">
        <v>36683</v>
      </c>
      <c r="BW250" s="116"/>
      <c r="BY250" t="s">
        <v>173</v>
      </c>
      <c r="CB250" t="s">
        <v>173</v>
      </c>
      <c r="CC250" t="s">
        <v>173</v>
      </c>
      <c r="CE250" t="s">
        <v>173</v>
      </c>
      <c r="CG250" t="s">
        <v>172</v>
      </c>
      <c r="CH250" t="s">
        <v>234</v>
      </c>
      <c r="CI250" t="s">
        <v>172</v>
      </c>
      <c r="CJ250" t="s">
        <v>438</v>
      </c>
      <c r="CK250" t="s">
        <v>259</v>
      </c>
      <c r="CM250">
        <v>1</v>
      </c>
      <c r="CN250" t="s">
        <v>260</v>
      </c>
      <c r="CP250">
        <v>48</v>
      </c>
      <c r="CQ250">
        <v>7.6</v>
      </c>
      <c r="CR250">
        <v>53</v>
      </c>
      <c r="CS250" t="s">
        <v>261</v>
      </c>
      <c r="CV250" t="s">
        <v>262</v>
      </c>
      <c r="CX250" t="s">
        <v>263</v>
      </c>
      <c r="CY250" t="s">
        <v>173</v>
      </c>
      <c r="DD250">
        <v>1</v>
      </c>
      <c r="DE250" t="s">
        <v>307</v>
      </c>
      <c r="DF250" t="s">
        <v>356</v>
      </c>
      <c r="DG250">
        <v>10</v>
      </c>
      <c r="DJ250" t="s">
        <v>201</v>
      </c>
      <c r="DK250" t="s">
        <v>202</v>
      </c>
      <c r="DL250" t="s">
        <v>173</v>
      </c>
      <c r="DM250" t="s">
        <v>173</v>
      </c>
      <c r="DN250" t="s">
        <v>173</v>
      </c>
      <c r="DO250" t="s">
        <v>235</v>
      </c>
      <c r="DP250" t="s">
        <v>172</v>
      </c>
      <c r="DQ250" t="s">
        <v>204</v>
      </c>
      <c r="DR250" t="s">
        <v>656</v>
      </c>
      <c r="DY250">
        <v>30.4</v>
      </c>
      <c r="EA250" s="117"/>
      <c r="EB250">
        <v>5</v>
      </c>
      <c r="EC250">
        <v>5</v>
      </c>
      <c r="EE250" t="s">
        <v>628</v>
      </c>
      <c r="EF250">
        <v>5</v>
      </c>
      <c r="EV250">
        <v>5000</v>
      </c>
      <c r="EW250">
        <v>432</v>
      </c>
      <c r="EX250">
        <v>333</v>
      </c>
      <c r="EY250">
        <v>387</v>
      </c>
    </row>
    <row r="251" spans="1:155" x14ac:dyDescent="0.35">
      <c r="A251">
        <v>2026</v>
      </c>
      <c r="B251" t="s">
        <v>228</v>
      </c>
      <c r="C251" s="112" t="s">
        <v>228</v>
      </c>
      <c r="D251" t="s">
        <v>657</v>
      </c>
      <c r="E251" t="s">
        <v>230</v>
      </c>
      <c r="F251">
        <v>303</v>
      </c>
      <c r="G251" s="113">
        <v>3</v>
      </c>
      <c r="H251">
        <v>6</v>
      </c>
      <c r="I251" t="s">
        <v>231</v>
      </c>
      <c r="J251">
        <v>22</v>
      </c>
      <c r="K251">
        <v>31</v>
      </c>
      <c r="L251">
        <v>25</v>
      </c>
      <c r="M251">
        <v>28.2</v>
      </c>
      <c r="N251">
        <v>44.2</v>
      </c>
      <c r="O251">
        <v>33.687600000000003</v>
      </c>
      <c r="P251">
        <v>22.1096</v>
      </c>
      <c r="Q251">
        <v>30.7898</v>
      </c>
      <c r="R251">
        <v>25.321999999999999</v>
      </c>
      <c r="T251" t="s">
        <v>341</v>
      </c>
      <c r="U251" t="s">
        <v>342</v>
      </c>
      <c r="V251" t="s">
        <v>170</v>
      </c>
      <c r="W251" t="s">
        <v>171</v>
      </c>
      <c r="Y251">
        <v>9</v>
      </c>
      <c r="Z251" t="s">
        <v>172</v>
      </c>
      <c r="AA251" t="s">
        <v>173</v>
      </c>
      <c r="AB251" t="s">
        <v>170</v>
      </c>
      <c r="AC251" t="s">
        <v>232</v>
      </c>
      <c r="AD251">
        <v>10</v>
      </c>
      <c r="AG251" t="s">
        <v>216</v>
      </c>
      <c r="AH251" t="s">
        <v>217</v>
      </c>
      <c r="AI251" t="s">
        <v>178</v>
      </c>
      <c r="AJ251" t="s">
        <v>179</v>
      </c>
      <c r="AK251" t="s">
        <v>173</v>
      </c>
      <c r="AL251" t="s">
        <v>180</v>
      </c>
      <c r="AO251">
        <v>102</v>
      </c>
      <c r="AP251">
        <v>33</v>
      </c>
      <c r="AS251">
        <v>2500</v>
      </c>
      <c r="AT251">
        <v>2500</v>
      </c>
      <c r="BN251" s="114" t="s">
        <v>256</v>
      </c>
      <c r="BO251">
        <v>2</v>
      </c>
      <c r="BP251">
        <v>2</v>
      </c>
      <c r="BQ251">
        <v>8</v>
      </c>
      <c r="BR251" t="s">
        <v>651</v>
      </c>
      <c r="BS251" t="s">
        <v>182</v>
      </c>
      <c r="BT251" t="s">
        <v>183</v>
      </c>
      <c r="BU251" s="115">
        <v>45884</v>
      </c>
      <c r="BV251">
        <v>37130</v>
      </c>
      <c r="BW251" s="116"/>
      <c r="BY251" t="s">
        <v>173</v>
      </c>
      <c r="CB251" t="s">
        <v>173</v>
      </c>
      <c r="CC251" t="s">
        <v>173</v>
      </c>
      <c r="CD251" t="s">
        <v>361</v>
      </c>
      <c r="CE251" t="s">
        <v>173</v>
      </c>
      <c r="CG251" t="s">
        <v>172</v>
      </c>
      <c r="CH251" t="s">
        <v>362</v>
      </c>
      <c r="CI251" t="s">
        <v>172</v>
      </c>
      <c r="CJ251" t="s">
        <v>363</v>
      </c>
      <c r="CK251" t="s">
        <v>259</v>
      </c>
      <c r="CM251">
        <v>1</v>
      </c>
      <c r="CN251" t="s">
        <v>260</v>
      </c>
      <c r="CP251">
        <v>48</v>
      </c>
      <c r="CQ251">
        <v>17.5</v>
      </c>
      <c r="CR251">
        <v>78.2</v>
      </c>
      <c r="CS251" t="s">
        <v>261</v>
      </c>
      <c r="CV251" t="s">
        <v>262</v>
      </c>
      <c r="CX251" t="s">
        <v>263</v>
      </c>
      <c r="CY251" t="s">
        <v>173</v>
      </c>
      <c r="DC251" t="s">
        <v>364</v>
      </c>
      <c r="DD251">
        <v>1</v>
      </c>
      <c r="DE251" t="s">
        <v>307</v>
      </c>
      <c r="DF251" t="s">
        <v>356</v>
      </c>
      <c r="DG251">
        <v>17</v>
      </c>
      <c r="DJ251" t="s">
        <v>201</v>
      </c>
      <c r="DK251" t="s">
        <v>202</v>
      </c>
      <c r="DL251" t="s">
        <v>173</v>
      </c>
      <c r="DM251" t="s">
        <v>173</v>
      </c>
      <c r="DN251" t="s">
        <v>173</v>
      </c>
      <c r="DO251" t="s">
        <v>347</v>
      </c>
      <c r="DP251" t="s">
        <v>172</v>
      </c>
      <c r="DQ251" t="s">
        <v>204</v>
      </c>
      <c r="DR251" t="s">
        <v>658</v>
      </c>
      <c r="DY251">
        <v>33.9</v>
      </c>
      <c r="EA251" s="117"/>
      <c r="EB251">
        <v>5</v>
      </c>
      <c r="EC251">
        <v>5</v>
      </c>
      <c r="EE251" t="s">
        <v>366</v>
      </c>
      <c r="EF251">
        <v>6</v>
      </c>
      <c r="EV251">
        <v>4000</v>
      </c>
      <c r="EW251">
        <v>402</v>
      </c>
      <c r="EX251">
        <v>289</v>
      </c>
      <c r="EY251">
        <v>351</v>
      </c>
    </row>
    <row r="252" spans="1:155" x14ac:dyDescent="0.35">
      <c r="A252">
        <v>2026</v>
      </c>
      <c r="B252" t="s">
        <v>524</v>
      </c>
      <c r="C252" s="112" t="s">
        <v>525</v>
      </c>
      <c r="D252" t="s">
        <v>659</v>
      </c>
      <c r="E252" t="s">
        <v>527</v>
      </c>
      <c r="F252">
        <v>220</v>
      </c>
      <c r="G252" s="113">
        <v>2</v>
      </c>
      <c r="H252">
        <v>4</v>
      </c>
      <c r="I252" t="s">
        <v>195</v>
      </c>
      <c r="J252">
        <v>22</v>
      </c>
      <c r="K252">
        <v>29</v>
      </c>
      <c r="L252">
        <v>25</v>
      </c>
      <c r="M252">
        <v>28.4</v>
      </c>
      <c r="N252">
        <v>41.4</v>
      </c>
      <c r="O252">
        <v>33.073399999999999</v>
      </c>
      <c r="P252">
        <v>22.252099999999999</v>
      </c>
      <c r="Q252">
        <v>29.0199</v>
      </c>
      <c r="R252">
        <v>24.8612</v>
      </c>
      <c r="T252" t="s">
        <v>341</v>
      </c>
      <c r="U252" t="s">
        <v>342</v>
      </c>
      <c r="V252" t="s">
        <v>196</v>
      </c>
      <c r="W252" t="s">
        <v>197</v>
      </c>
      <c r="Y252">
        <v>8</v>
      </c>
      <c r="Z252" t="s">
        <v>172</v>
      </c>
      <c r="AA252" t="s">
        <v>173</v>
      </c>
      <c r="AB252" t="s">
        <v>170</v>
      </c>
      <c r="AC252" t="s">
        <v>232</v>
      </c>
      <c r="AD252">
        <v>10</v>
      </c>
      <c r="AG252" t="s">
        <v>216</v>
      </c>
      <c r="AH252" t="s">
        <v>217</v>
      </c>
      <c r="AI252" t="s">
        <v>178</v>
      </c>
      <c r="AJ252" t="s">
        <v>179</v>
      </c>
      <c r="AK252" t="s">
        <v>173</v>
      </c>
      <c r="AL252" t="s">
        <v>180</v>
      </c>
      <c r="AO252">
        <v>98</v>
      </c>
      <c r="AP252">
        <v>34</v>
      </c>
      <c r="AS252">
        <v>2500</v>
      </c>
      <c r="AT252">
        <v>2500</v>
      </c>
      <c r="BN252" s="114" t="s">
        <v>256</v>
      </c>
      <c r="BO252">
        <v>2</v>
      </c>
      <c r="BP252">
        <v>2</v>
      </c>
      <c r="BQ252">
        <v>8</v>
      </c>
      <c r="BR252" t="s">
        <v>651</v>
      </c>
      <c r="BS252" t="s">
        <v>182</v>
      </c>
      <c r="BT252" t="s">
        <v>183</v>
      </c>
      <c r="BU252" s="115">
        <v>45800</v>
      </c>
      <c r="BV252">
        <v>36335</v>
      </c>
      <c r="BW252" s="116"/>
      <c r="BY252" t="s">
        <v>173</v>
      </c>
      <c r="CB252" t="s">
        <v>173</v>
      </c>
      <c r="CC252" t="s">
        <v>173</v>
      </c>
      <c r="CD252" t="s">
        <v>660</v>
      </c>
      <c r="CE252" t="s">
        <v>173</v>
      </c>
      <c r="CG252" t="s">
        <v>172</v>
      </c>
      <c r="CH252" t="s">
        <v>529</v>
      </c>
      <c r="CI252" t="s">
        <v>173</v>
      </c>
      <c r="CK252" t="s">
        <v>259</v>
      </c>
      <c r="CM252">
        <v>1</v>
      </c>
      <c r="CN252" t="s">
        <v>260</v>
      </c>
      <c r="CP252">
        <v>44</v>
      </c>
      <c r="CQ252">
        <v>8.4</v>
      </c>
      <c r="CR252">
        <v>56</v>
      </c>
      <c r="CS252" t="s">
        <v>261</v>
      </c>
      <c r="CV252" t="s">
        <v>262</v>
      </c>
      <c r="CX252" t="s">
        <v>263</v>
      </c>
      <c r="CY252" t="s">
        <v>173</v>
      </c>
      <c r="DD252">
        <v>1</v>
      </c>
      <c r="DE252" t="s">
        <v>530</v>
      </c>
      <c r="DG252">
        <v>10</v>
      </c>
      <c r="DJ252" t="s">
        <v>201</v>
      </c>
      <c r="DK252" t="s">
        <v>202</v>
      </c>
      <c r="DL252" t="s">
        <v>173</v>
      </c>
      <c r="DM252" t="s">
        <v>173</v>
      </c>
      <c r="DN252" t="s">
        <v>173</v>
      </c>
      <c r="DO252" t="s">
        <v>661</v>
      </c>
      <c r="DP252" t="s">
        <v>172</v>
      </c>
      <c r="DQ252" t="s">
        <v>204</v>
      </c>
      <c r="DR252" t="s">
        <v>532</v>
      </c>
      <c r="DY252">
        <v>33.1</v>
      </c>
      <c r="EA252" s="117"/>
      <c r="EB252">
        <v>5</v>
      </c>
      <c r="EC252">
        <v>5</v>
      </c>
      <c r="EE252" t="s">
        <v>662</v>
      </c>
      <c r="EF252">
        <v>6</v>
      </c>
      <c r="EV252">
        <v>4000</v>
      </c>
      <c r="EW252">
        <v>399</v>
      </c>
      <c r="EX252">
        <v>307</v>
      </c>
      <c r="EY252">
        <v>358</v>
      </c>
    </row>
    <row r="253" spans="1:155" x14ac:dyDescent="0.35">
      <c r="A253">
        <v>2026</v>
      </c>
      <c r="B253" t="s">
        <v>211</v>
      </c>
      <c r="C253" s="112" t="s">
        <v>212</v>
      </c>
      <c r="D253" t="s">
        <v>663</v>
      </c>
      <c r="E253" t="s">
        <v>214</v>
      </c>
      <c r="F253">
        <v>512</v>
      </c>
      <c r="G253" s="113">
        <v>2.7</v>
      </c>
      <c r="H253">
        <v>4</v>
      </c>
      <c r="I253" t="s">
        <v>166</v>
      </c>
      <c r="J253">
        <v>19</v>
      </c>
      <c r="K253">
        <v>24</v>
      </c>
      <c r="L253">
        <v>21</v>
      </c>
      <c r="M253">
        <v>24.1</v>
      </c>
      <c r="N253">
        <v>36.9</v>
      </c>
      <c r="O253">
        <v>28.5578</v>
      </c>
      <c r="P253">
        <v>19.127700000000001</v>
      </c>
      <c r="Q253">
        <v>24.2331</v>
      </c>
      <c r="R253">
        <v>21.131</v>
      </c>
      <c r="T253" t="s">
        <v>168</v>
      </c>
      <c r="U253" t="s">
        <v>169</v>
      </c>
      <c r="V253" t="s">
        <v>170</v>
      </c>
      <c r="W253" t="s">
        <v>171</v>
      </c>
      <c r="Y253">
        <v>8</v>
      </c>
      <c r="Z253" t="s">
        <v>172</v>
      </c>
      <c r="AA253" t="s">
        <v>173</v>
      </c>
      <c r="AB253" t="s">
        <v>174</v>
      </c>
      <c r="AC253" t="s">
        <v>175</v>
      </c>
      <c r="AD253">
        <v>10</v>
      </c>
      <c r="AG253" t="s">
        <v>167</v>
      </c>
      <c r="AH253" t="s">
        <v>416</v>
      </c>
      <c r="AI253" t="s">
        <v>178</v>
      </c>
      <c r="AJ253" t="s">
        <v>179</v>
      </c>
      <c r="AK253" t="s">
        <v>664</v>
      </c>
      <c r="AL253" t="s">
        <v>665</v>
      </c>
      <c r="AS253">
        <v>2350</v>
      </c>
      <c r="AT253">
        <v>2350</v>
      </c>
      <c r="BN253" s="114" t="s">
        <v>198</v>
      </c>
      <c r="BO253">
        <v>2</v>
      </c>
      <c r="BP253">
        <v>2</v>
      </c>
      <c r="BQ253">
        <v>12</v>
      </c>
      <c r="BR253" t="s">
        <v>666</v>
      </c>
      <c r="BT253" t="s">
        <v>218</v>
      </c>
      <c r="BU253" s="115">
        <v>45838</v>
      </c>
      <c r="BV253">
        <v>36844</v>
      </c>
      <c r="BW253" s="116"/>
      <c r="BX253" t="s">
        <v>173</v>
      </c>
      <c r="BY253" t="s">
        <v>173</v>
      </c>
      <c r="CB253" t="s">
        <v>173</v>
      </c>
      <c r="CC253" t="s">
        <v>173</v>
      </c>
      <c r="CD253" t="s">
        <v>392</v>
      </c>
      <c r="CE253" t="s">
        <v>172</v>
      </c>
      <c r="CF253" t="s">
        <v>220</v>
      </c>
      <c r="CG253" t="s">
        <v>172</v>
      </c>
      <c r="CH253" t="s">
        <v>224</v>
      </c>
      <c r="CI253" t="s">
        <v>172</v>
      </c>
      <c r="CJ253" t="s">
        <v>390</v>
      </c>
      <c r="DJ253" t="s">
        <v>201</v>
      </c>
      <c r="DK253" t="s">
        <v>202</v>
      </c>
      <c r="DN253" t="s">
        <v>173</v>
      </c>
      <c r="DO253" t="s">
        <v>203</v>
      </c>
      <c r="DP253" t="s">
        <v>172</v>
      </c>
      <c r="DQ253" t="s">
        <v>204</v>
      </c>
      <c r="EA253" s="117"/>
      <c r="EB253">
        <v>4</v>
      </c>
      <c r="EC253">
        <v>4</v>
      </c>
      <c r="EE253" t="s">
        <v>667</v>
      </c>
      <c r="EF253">
        <v>6</v>
      </c>
      <c r="EV253">
        <v>3250</v>
      </c>
      <c r="EW253">
        <v>462</v>
      </c>
      <c r="EX253">
        <v>367</v>
      </c>
      <c r="EY253">
        <v>420</v>
      </c>
    </row>
    <row r="254" spans="1:155" x14ac:dyDescent="0.35">
      <c r="A254">
        <v>2026</v>
      </c>
      <c r="B254" t="s">
        <v>211</v>
      </c>
      <c r="C254" s="112" t="s">
        <v>212</v>
      </c>
      <c r="D254" t="s">
        <v>668</v>
      </c>
      <c r="E254" t="s">
        <v>214</v>
      </c>
      <c r="F254">
        <v>701</v>
      </c>
      <c r="G254" s="113">
        <v>3</v>
      </c>
      <c r="H254">
        <v>6</v>
      </c>
      <c r="I254" t="s">
        <v>669</v>
      </c>
      <c r="J254">
        <v>23</v>
      </c>
      <c r="K254">
        <v>28</v>
      </c>
      <c r="L254">
        <v>25</v>
      </c>
      <c r="M254">
        <v>29.882899999999999</v>
      </c>
      <c r="N254">
        <v>44.578600000000002</v>
      </c>
      <c r="O254">
        <v>35.088099999999997</v>
      </c>
      <c r="P254">
        <v>23.3032</v>
      </c>
      <c r="Q254">
        <v>28.2285</v>
      </c>
      <c r="R254">
        <v>25.288799999999998</v>
      </c>
      <c r="T254" t="s">
        <v>168</v>
      </c>
      <c r="U254" t="s">
        <v>169</v>
      </c>
      <c r="V254" t="s">
        <v>170</v>
      </c>
      <c r="W254" t="s">
        <v>171</v>
      </c>
      <c r="Y254">
        <v>10</v>
      </c>
      <c r="Z254" t="s">
        <v>172</v>
      </c>
      <c r="AA254" t="s">
        <v>173</v>
      </c>
      <c r="AB254" t="s">
        <v>174</v>
      </c>
      <c r="AC254" t="s">
        <v>175</v>
      </c>
      <c r="AE254">
        <v>20</v>
      </c>
      <c r="AG254" t="s">
        <v>670</v>
      </c>
      <c r="AH254" t="s">
        <v>671</v>
      </c>
      <c r="AI254" t="s">
        <v>178</v>
      </c>
      <c r="AJ254" t="s">
        <v>179</v>
      </c>
      <c r="AK254" t="s">
        <v>664</v>
      </c>
      <c r="AL254" t="s">
        <v>665</v>
      </c>
      <c r="AS254">
        <v>2150</v>
      </c>
      <c r="AT254">
        <v>2150</v>
      </c>
      <c r="BN254" s="114"/>
      <c r="BO254">
        <v>2</v>
      </c>
      <c r="BP254">
        <v>2</v>
      </c>
      <c r="BQ254">
        <v>12</v>
      </c>
      <c r="BR254" t="s">
        <v>666</v>
      </c>
      <c r="BT254" t="s">
        <v>613</v>
      </c>
      <c r="BU254" s="115">
        <v>45839</v>
      </c>
      <c r="BV254">
        <v>36900</v>
      </c>
      <c r="BW254" s="116"/>
      <c r="BX254" t="s">
        <v>173</v>
      </c>
      <c r="BY254" t="s">
        <v>173</v>
      </c>
      <c r="CB254" t="s">
        <v>173</v>
      </c>
      <c r="CC254" t="s">
        <v>173</v>
      </c>
      <c r="CE254" t="s">
        <v>173</v>
      </c>
      <c r="CG254" t="s">
        <v>173</v>
      </c>
      <c r="CI254" t="s">
        <v>173</v>
      </c>
      <c r="DJ254" t="s">
        <v>672</v>
      </c>
      <c r="DK254" t="s">
        <v>673</v>
      </c>
      <c r="DN254" t="s">
        <v>173</v>
      </c>
      <c r="DO254" t="s">
        <v>203</v>
      </c>
      <c r="DP254" t="s">
        <v>172</v>
      </c>
      <c r="DQ254" t="s">
        <v>204</v>
      </c>
      <c r="EA254" s="117"/>
      <c r="EB254">
        <v>5</v>
      </c>
      <c r="EC254">
        <v>4</v>
      </c>
      <c r="EE254" t="s">
        <v>674</v>
      </c>
      <c r="EF254">
        <v>4</v>
      </c>
      <c r="EV254">
        <v>2250</v>
      </c>
      <c r="EW254">
        <v>437</v>
      </c>
      <c r="EX254">
        <v>360</v>
      </c>
      <c r="EY254">
        <v>402</v>
      </c>
    </row>
    <row r="255" spans="1:155" x14ac:dyDescent="0.35">
      <c r="A255">
        <v>2026</v>
      </c>
      <c r="B255" t="s">
        <v>211</v>
      </c>
      <c r="C255" s="112" t="s">
        <v>212</v>
      </c>
      <c r="D255" t="s">
        <v>675</v>
      </c>
      <c r="E255" t="s">
        <v>214</v>
      </c>
      <c r="F255">
        <v>565</v>
      </c>
      <c r="G255" s="113">
        <v>5.3</v>
      </c>
      <c r="H255">
        <v>8</v>
      </c>
      <c r="I255" t="s">
        <v>669</v>
      </c>
      <c r="J255">
        <v>16</v>
      </c>
      <c r="K255">
        <v>21</v>
      </c>
      <c r="L255">
        <v>18</v>
      </c>
      <c r="M255">
        <v>20.988099999999999</v>
      </c>
      <c r="N255">
        <v>31.812200000000001</v>
      </c>
      <c r="O255">
        <v>24.782599999999999</v>
      </c>
      <c r="P255">
        <v>16.402100000000001</v>
      </c>
      <c r="Q255">
        <v>20.7105</v>
      </c>
      <c r="R255">
        <v>18.0961</v>
      </c>
      <c r="U255" t="s">
        <v>215</v>
      </c>
      <c r="V255" t="s">
        <v>170</v>
      </c>
      <c r="W255" t="s">
        <v>171</v>
      </c>
      <c r="Y255">
        <v>10</v>
      </c>
      <c r="Z255" t="s">
        <v>172</v>
      </c>
      <c r="AA255" t="s">
        <v>173</v>
      </c>
      <c r="AB255" t="s">
        <v>174</v>
      </c>
      <c r="AC255" t="s">
        <v>175</v>
      </c>
      <c r="AD255">
        <v>10</v>
      </c>
      <c r="AG255" t="s">
        <v>167</v>
      </c>
      <c r="AH255" t="s">
        <v>416</v>
      </c>
      <c r="AI255" t="s">
        <v>178</v>
      </c>
      <c r="AJ255" t="s">
        <v>179</v>
      </c>
      <c r="AK255" t="s">
        <v>664</v>
      </c>
      <c r="AL255" t="s">
        <v>665</v>
      </c>
      <c r="AS255">
        <v>2750</v>
      </c>
      <c r="AT255">
        <v>2750</v>
      </c>
      <c r="BN255" s="114" t="s">
        <v>198</v>
      </c>
      <c r="BO255">
        <v>1</v>
      </c>
      <c r="BP255">
        <v>1</v>
      </c>
      <c r="BQ255">
        <v>12</v>
      </c>
      <c r="BR255" t="s">
        <v>666</v>
      </c>
      <c r="BT255" t="s">
        <v>218</v>
      </c>
      <c r="BU255" s="115">
        <v>45838</v>
      </c>
      <c r="BV255">
        <v>36882</v>
      </c>
      <c r="BW255" s="116"/>
      <c r="BX255" t="s">
        <v>173</v>
      </c>
      <c r="BY255" t="s">
        <v>173</v>
      </c>
      <c r="CB255" t="s">
        <v>173</v>
      </c>
      <c r="CC255" t="s">
        <v>173</v>
      </c>
      <c r="CE255" t="s">
        <v>172</v>
      </c>
      <c r="CF255" t="s">
        <v>676</v>
      </c>
      <c r="CG255" t="s">
        <v>172</v>
      </c>
      <c r="CH255" t="s">
        <v>677</v>
      </c>
      <c r="CI255" t="s">
        <v>173</v>
      </c>
      <c r="DJ255" t="s">
        <v>201</v>
      </c>
      <c r="DK255" t="s">
        <v>202</v>
      </c>
      <c r="DN255" t="s">
        <v>173</v>
      </c>
      <c r="DO255" t="s">
        <v>203</v>
      </c>
      <c r="DP255" t="s">
        <v>172</v>
      </c>
      <c r="DQ255" t="s">
        <v>204</v>
      </c>
      <c r="DR255" t="s">
        <v>678</v>
      </c>
      <c r="EA255" s="117"/>
      <c r="EB255">
        <v>3</v>
      </c>
      <c r="EC255">
        <v>3</v>
      </c>
      <c r="EE255" t="s">
        <v>679</v>
      </c>
      <c r="EF255">
        <v>6</v>
      </c>
      <c r="EV255">
        <v>5250</v>
      </c>
      <c r="EW255">
        <v>539</v>
      </c>
      <c r="EX255">
        <v>429</v>
      </c>
      <c r="EY255">
        <v>490</v>
      </c>
    </row>
    <row r="256" spans="1:155" x14ac:dyDescent="0.35">
      <c r="A256">
        <v>2026</v>
      </c>
      <c r="B256" t="s">
        <v>211</v>
      </c>
      <c r="C256" s="112" t="s">
        <v>212</v>
      </c>
      <c r="D256" t="s">
        <v>680</v>
      </c>
      <c r="E256" t="s">
        <v>214</v>
      </c>
      <c r="F256">
        <v>571</v>
      </c>
      <c r="G256" s="113">
        <v>5.3</v>
      </c>
      <c r="H256">
        <v>8</v>
      </c>
      <c r="I256" t="s">
        <v>669</v>
      </c>
      <c r="J256">
        <v>16</v>
      </c>
      <c r="K256">
        <v>20</v>
      </c>
      <c r="L256">
        <v>17</v>
      </c>
      <c r="M256">
        <v>20.6</v>
      </c>
      <c r="N256">
        <v>32</v>
      </c>
      <c r="O256">
        <v>24.532900000000001</v>
      </c>
      <c r="P256">
        <v>15.7163</v>
      </c>
      <c r="Q256">
        <v>19.6175</v>
      </c>
      <c r="R256">
        <v>17.260999999999999</v>
      </c>
      <c r="U256" t="s">
        <v>215</v>
      </c>
      <c r="V256" t="s">
        <v>170</v>
      </c>
      <c r="W256" t="s">
        <v>171</v>
      </c>
      <c r="Y256">
        <v>10</v>
      </c>
      <c r="Z256" t="s">
        <v>172</v>
      </c>
      <c r="AA256" t="s">
        <v>173</v>
      </c>
      <c r="AB256" t="s">
        <v>174</v>
      </c>
      <c r="AC256" t="s">
        <v>175</v>
      </c>
      <c r="AD256">
        <v>10</v>
      </c>
      <c r="AG256" t="s">
        <v>167</v>
      </c>
      <c r="AH256" t="s">
        <v>416</v>
      </c>
      <c r="AI256" t="s">
        <v>178</v>
      </c>
      <c r="AJ256" t="s">
        <v>179</v>
      </c>
      <c r="AK256" t="s">
        <v>664</v>
      </c>
      <c r="AL256" t="s">
        <v>665</v>
      </c>
      <c r="AS256">
        <v>2900</v>
      </c>
      <c r="AT256">
        <v>2900</v>
      </c>
      <c r="BN256" s="114" t="s">
        <v>198</v>
      </c>
      <c r="BO256">
        <v>1</v>
      </c>
      <c r="BP256">
        <v>1</v>
      </c>
      <c r="BQ256">
        <v>12</v>
      </c>
      <c r="BR256" t="s">
        <v>666</v>
      </c>
      <c r="BT256" t="s">
        <v>218</v>
      </c>
      <c r="BU256" s="115">
        <v>45838</v>
      </c>
      <c r="BV256">
        <v>36865</v>
      </c>
      <c r="BW256" s="116"/>
      <c r="BX256" t="s">
        <v>173</v>
      </c>
      <c r="BY256" t="s">
        <v>173</v>
      </c>
      <c r="CB256" t="s">
        <v>173</v>
      </c>
      <c r="CC256" t="s">
        <v>173</v>
      </c>
      <c r="CE256" t="s">
        <v>172</v>
      </c>
      <c r="CF256" t="s">
        <v>676</v>
      </c>
      <c r="CG256" t="s">
        <v>172</v>
      </c>
      <c r="CH256" t="s">
        <v>677</v>
      </c>
      <c r="CI256" t="s">
        <v>173</v>
      </c>
      <c r="DJ256" t="s">
        <v>201</v>
      </c>
      <c r="DK256" t="s">
        <v>202</v>
      </c>
      <c r="DN256" t="s">
        <v>173</v>
      </c>
      <c r="DO256" t="s">
        <v>203</v>
      </c>
      <c r="DP256" t="s">
        <v>172</v>
      </c>
      <c r="DQ256" t="s">
        <v>204</v>
      </c>
      <c r="EA256" s="117"/>
      <c r="EB256">
        <v>3</v>
      </c>
      <c r="EC256">
        <v>3</v>
      </c>
      <c r="EE256" t="s">
        <v>679</v>
      </c>
      <c r="EF256">
        <v>6</v>
      </c>
      <c r="EV256">
        <v>6000</v>
      </c>
      <c r="EW256">
        <v>562</v>
      </c>
      <c r="EX256">
        <v>454</v>
      </c>
      <c r="EY256">
        <v>513</v>
      </c>
    </row>
    <row r="257" spans="1:155" x14ac:dyDescent="0.35">
      <c r="A257">
        <v>2026</v>
      </c>
      <c r="B257" t="s">
        <v>211</v>
      </c>
      <c r="C257" s="112" t="s">
        <v>212</v>
      </c>
      <c r="D257" t="s">
        <v>681</v>
      </c>
      <c r="E257" t="s">
        <v>214</v>
      </c>
      <c r="F257">
        <v>510</v>
      </c>
      <c r="G257" s="113">
        <v>2.7</v>
      </c>
      <c r="H257">
        <v>4</v>
      </c>
      <c r="I257" t="s">
        <v>166</v>
      </c>
      <c r="J257">
        <v>18</v>
      </c>
      <c r="K257">
        <v>21</v>
      </c>
      <c r="L257">
        <v>20</v>
      </c>
      <c r="M257">
        <v>23.463999999999999</v>
      </c>
      <c r="N257">
        <v>34.987000000000002</v>
      </c>
      <c r="O257">
        <v>27.546600000000002</v>
      </c>
      <c r="P257">
        <v>18.217099999999999</v>
      </c>
      <c r="Q257">
        <v>21.437000000000001</v>
      </c>
      <c r="R257">
        <v>19.537700000000001</v>
      </c>
      <c r="T257" t="s">
        <v>168</v>
      </c>
      <c r="U257" t="s">
        <v>169</v>
      </c>
      <c r="V257" t="s">
        <v>170</v>
      </c>
      <c r="W257" t="s">
        <v>171</v>
      </c>
      <c r="Y257">
        <v>8</v>
      </c>
      <c r="Z257" t="s">
        <v>172</v>
      </c>
      <c r="AA257" t="s">
        <v>173</v>
      </c>
      <c r="AB257" t="s">
        <v>174</v>
      </c>
      <c r="AC257" t="s">
        <v>175</v>
      </c>
      <c r="AD257">
        <v>10</v>
      </c>
      <c r="AG257" t="s">
        <v>167</v>
      </c>
      <c r="AH257" t="s">
        <v>416</v>
      </c>
      <c r="AI257" t="s">
        <v>178</v>
      </c>
      <c r="AJ257" t="s">
        <v>179</v>
      </c>
      <c r="AK257" t="s">
        <v>664</v>
      </c>
      <c r="AL257" t="s">
        <v>665</v>
      </c>
      <c r="AS257">
        <v>2500</v>
      </c>
      <c r="AT257">
        <v>2500</v>
      </c>
      <c r="BN257" s="114" t="s">
        <v>198</v>
      </c>
      <c r="BO257">
        <v>2</v>
      </c>
      <c r="BP257">
        <v>2</v>
      </c>
      <c r="BQ257">
        <v>12</v>
      </c>
      <c r="BR257" t="s">
        <v>666</v>
      </c>
      <c r="BT257" t="s">
        <v>218</v>
      </c>
      <c r="BU257" s="115">
        <v>45838</v>
      </c>
      <c r="BV257">
        <v>36842</v>
      </c>
      <c r="BW257" s="116"/>
      <c r="BX257" t="s">
        <v>173</v>
      </c>
      <c r="BY257" t="s">
        <v>173</v>
      </c>
      <c r="CB257" t="s">
        <v>173</v>
      </c>
      <c r="CC257" t="s">
        <v>173</v>
      </c>
      <c r="CD257" t="s">
        <v>392</v>
      </c>
      <c r="CE257" t="s">
        <v>172</v>
      </c>
      <c r="CF257" t="s">
        <v>220</v>
      </c>
      <c r="CG257" t="s">
        <v>172</v>
      </c>
      <c r="CH257" t="s">
        <v>224</v>
      </c>
      <c r="CI257" t="s">
        <v>172</v>
      </c>
      <c r="CJ257" t="s">
        <v>390</v>
      </c>
      <c r="DJ257" t="s">
        <v>201</v>
      </c>
      <c r="DK257" t="s">
        <v>202</v>
      </c>
      <c r="DN257" t="s">
        <v>173</v>
      </c>
      <c r="DO257" t="s">
        <v>203</v>
      </c>
      <c r="DP257" t="s">
        <v>172</v>
      </c>
      <c r="DQ257" t="s">
        <v>204</v>
      </c>
      <c r="EA257" s="117"/>
      <c r="EB257">
        <v>4</v>
      </c>
      <c r="EC257">
        <v>4</v>
      </c>
      <c r="EE257" t="s">
        <v>667</v>
      </c>
      <c r="EF257">
        <v>6</v>
      </c>
      <c r="EV257">
        <v>4000</v>
      </c>
      <c r="EW257">
        <v>502</v>
      </c>
      <c r="EX257">
        <v>420</v>
      </c>
      <c r="EY257">
        <v>465</v>
      </c>
    </row>
    <row r="258" spans="1:155" x14ac:dyDescent="0.35">
      <c r="A258">
        <v>2026</v>
      </c>
      <c r="B258" t="s">
        <v>211</v>
      </c>
      <c r="C258" s="112" t="s">
        <v>212</v>
      </c>
      <c r="D258" t="s">
        <v>682</v>
      </c>
      <c r="E258" t="s">
        <v>214</v>
      </c>
      <c r="F258">
        <v>507</v>
      </c>
      <c r="G258" s="113">
        <v>2.7</v>
      </c>
      <c r="H258">
        <v>4</v>
      </c>
      <c r="I258" t="s">
        <v>166</v>
      </c>
      <c r="J258">
        <v>17</v>
      </c>
      <c r="K258">
        <v>21</v>
      </c>
      <c r="L258">
        <v>19</v>
      </c>
      <c r="M258">
        <v>22.2</v>
      </c>
      <c r="N258">
        <v>34.1</v>
      </c>
      <c r="O258">
        <v>26.335699999999999</v>
      </c>
      <c r="P258">
        <v>17.460899999999999</v>
      </c>
      <c r="Q258">
        <v>20.831499999999998</v>
      </c>
      <c r="R258">
        <v>18.832100000000001</v>
      </c>
      <c r="T258" t="s">
        <v>168</v>
      </c>
      <c r="U258" t="s">
        <v>169</v>
      </c>
      <c r="V258" t="s">
        <v>170</v>
      </c>
      <c r="W258" t="s">
        <v>171</v>
      </c>
      <c r="Y258">
        <v>8</v>
      </c>
      <c r="Z258" t="s">
        <v>172</v>
      </c>
      <c r="AA258" t="s">
        <v>173</v>
      </c>
      <c r="AB258" t="s">
        <v>174</v>
      </c>
      <c r="AC258" t="s">
        <v>175</v>
      </c>
      <c r="AD258">
        <v>10</v>
      </c>
      <c r="AG258" t="s">
        <v>167</v>
      </c>
      <c r="AH258" t="s">
        <v>416</v>
      </c>
      <c r="AI258" t="s">
        <v>178</v>
      </c>
      <c r="AJ258" t="s">
        <v>179</v>
      </c>
      <c r="AK258" t="s">
        <v>664</v>
      </c>
      <c r="AL258" t="s">
        <v>665</v>
      </c>
      <c r="AS258">
        <v>2600</v>
      </c>
      <c r="AT258">
        <v>2600</v>
      </c>
      <c r="BN258" s="114" t="s">
        <v>198</v>
      </c>
      <c r="BO258">
        <v>2</v>
      </c>
      <c r="BP258">
        <v>2</v>
      </c>
      <c r="BQ258">
        <v>12</v>
      </c>
      <c r="BR258" t="s">
        <v>666</v>
      </c>
      <c r="BT258" t="s">
        <v>218</v>
      </c>
      <c r="BU258" s="115">
        <v>45838</v>
      </c>
      <c r="BV258">
        <v>36862</v>
      </c>
      <c r="BW258" s="116"/>
      <c r="BX258" t="s">
        <v>173</v>
      </c>
      <c r="BY258" t="s">
        <v>173</v>
      </c>
      <c r="CB258" t="s">
        <v>173</v>
      </c>
      <c r="CC258" t="s">
        <v>173</v>
      </c>
      <c r="CD258" t="s">
        <v>392</v>
      </c>
      <c r="CE258" t="s">
        <v>172</v>
      </c>
      <c r="CF258" t="s">
        <v>220</v>
      </c>
      <c r="CG258" t="s">
        <v>172</v>
      </c>
      <c r="CH258" t="s">
        <v>224</v>
      </c>
      <c r="CI258" t="s">
        <v>172</v>
      </c>
      <c r="CJ258" t="s">
        <v>390</v>
      </c>
      <c r="DJ258" t="s">
        <v>201</v>
      </c>
      <c r="DK258" t="s">
        <v>202</v>
      </c>
      <c r="DN258" t="s">
        <v>173</v>
      </c>
      <c r="DO258" t="s">
        <v>203</v>
      </c>
      <c r="DP258" t="s">
        <v>172</v>
      </c>
      <c r="DQ258" t="s">
        <v>204</v>
      </c>
      <c r="DR258" t="s">
        <v>678</v>
      </c>
      <c r="EA258" s="117"/>
      <c r="EB258">
        <v>4</v>
      </c>
      <c r="EC258">
        <v>4</v>
      </c>
      <c r="EE258" t="s">
        <v>667</v>
      </c>
      <c r="EF258">
        <v>6</v>
      </c>
      <c r="EV258">
        <v>4500</v>
      </c>
      <c r="EW258">
        <v>509</v>
      </c>
      <c r="EX258">
        <v>426</v>
      </c>
      <c r="EY258">
        <v>472</v>
      </c>
    </row>
    <row r="259" spans="1:155" x14ac:dyDescent="0.35">
      <c r="A259">
        <v>2026</v>
      </c>
      <c r="B259" t="s">
        <v>211</v>
      </c>
      <c r="C259" s="112" t="s">
        <v>683</v>
      </c>
      <c r="D259" t="s">
        <v>1245</v>
      </c>
      <c r="E259" t="s">
        <v>214</v>
      </c>
      <c r="F259">
        <v>511</v>
      </c>
      <c r="G259" s="113">
        <v>2.7</v>
      </c>
      <c r="H259">
        <v>4</v>
      </c>
      <c r="I259" t="s">
        <v>166</v>
      </c>
      <c r="J259">
        <v>19</v>
      </c>
      <c r="K259">
        <v>23</v>
      </c>
      <c r="L259">
        <v>20</v>
      </c>
      <c r="M259">
        <v>24.1</v>
      </c>
      <c r="N259">
        <v>36.9</v>
      </c>
      <c r="O259">
        <v>28.5578</v>
      </c>
      <c r="P259">
        <v>19.127700000000001</v>
      </c>
      <c r="Q259">
        <v>23</v>
      </c>
      <c r="R259">
        <v>20</v>
      </c>
      <c r="T259" t="s">
        <v>168</v>
      </c>
      <c r="U259" t="s">
        <v>169</v>
      </c>
      <c r="V259" t="s">
        <v>170</v>
      </c>
      <c r="W259" t="s">
        <v>171</v>
      </c>
      <c r="Y259">
        <v>8</v>
      </c>
      <c r="Z259" t="s">
        <v>172</v>
      </c>
      <c r="AA259" t="s">
        <v>173</v>
      </c>
      <c r="AB259" t="s">
        <v>174</v>
      </c>
      <c r="AC259" t="s">
        <v>175</v>
      </c>
      <c r="AD259">
        <v>10</v>
      </c>
      <c r="AG259" t="s">
        <v>167</v>
      </c>
      <c r="AH259" t="s">
        <v>416</v>
      </c>
      <c r="AI259" t="s">
        <v>178</v>
      </c>
      <c r="AJ259" t="s">
        <v>179</v>
      </c>
      <c r="AK259" t="s">
        <v>664</v>
      </c>
      <c r="AL259" t="s">
        <v>665</v>
      </c>
      <c r="AS259">
        <v>2500</v>
      </c>
      <c r="AT259">
        <v>2500</v>
      </c>
      <c r="BN259" s="114" t="s">
        <v>198</v>
      </c>
      <c r="BO259">
        <v>2</v>
      </c>
      <c r="BP259">
        <v>2</v>
      </c>
      <c r="BQ259">
        <v>12</v>
      </c>
      <c r="BR259" t="s">
        <v>666</v>
      </c>
      <c r="BT259" t="s">
        <v>218</v>
      </c>
      <c r="BU259" s="115">
        <v>45838</v>
      </c>
      <c r="BV259">
        <v>37394</v>
      </c>
      <c r="BW259" s="116"/>
      <c r="BX259" t="s">
        <v>173</v>
      </c>
      <c r="BY259" t="s">
        <v>173</v>
      </c>
      <c r="CB259" t="s">
        <v>173</v>
      </c>
      <c r="CC259" t="s">
        <v>173</v>
      </c>
      <c r="CD259" t="s">
        <v>392</v>
      </c>
      <c r="CE259" t="s">
        <v>172</v>
      </c>
      <c r="CF259" t="s">
        <v>220</v>
      </c>
      <c r="CG259" t="s">
        <v>172</v>
      </c>
      <c r="CH259" t="s">
        <v>224</v>
      </c>
      <c r="CI259" t="s">
        <v>172</v>
      </c>
      <c r="CJ259" t="s">
        <v>390</v>
      </c>
      <c r="DJ259" t="s">
        <v>201</v>
      </c>
      <c r="DK259" t="s">
        <v>202</v>
      </c>
      <c r="DN259" t="s">
        <v>173</v>
      </c>
      <c r="DO259" t="s">
        <v>203</v>
      </c>
      <c r="DP259" t="s">
        <v>172</v>
      </c>
      <c r="DQ259" t="s">
        <v>204</v>
      </c>
      <c r="EA259" s="117"/>
      <c r="EB259">
        <v>4</v>
      </c>
      <c r="EC259">
        <v>4</v>
      </c>
      <c r="EE259" t="s">
        <v>667</v>
      </c>
      <c r="EF259">
        <v>6</v>
      </c>
      <c r="EV259">
        <v>4000</v>
      </c>
      <c r="EW259">
        <v>462</v>
      </c>
      <c r="EX259">
        <v>387</v>
      </c>
      <c r="EY259">
        <v>443</v>
      </c>
    </row>
    <row r="260" spans="1:155" x14ac:dyDescent="0.35">
      <c r="A260">
        <v>2026</v>
      </c>
      <c r="B260" t="s">
        <v>211</v>
      </c>
      <c r="C260" s="112" t="s">
        <v>683</v>
      </c>
      <c r="D260" t="s">
        <v>684</v>
      </c>
      <c r="E260" t="s">
        <v>214</v>
      </c>
      <c r="F260">
        <v>572</v>
      </c>
      <c r="G260" s="113">
        <v>5.3</v>
      </c>
      <c r="H260">
        <v>8</v>
      </c>
      <c r="I260" t="s">
        <v>669</v>
      </c>
      <c r="J260">
        <v>16</v>
      </c>
      <c r="K260">
        <v>20</v>
      </c>
      <c r="L260">
        <v>17</v>
      </c>
      <c r="M260">
        <v>20.238</v>
      </c>
      <c r="N260">
        <v>29.999400000000001</v>
      </c>
      <c r="O260">
        <v>23.709700000000002</v>
      </c>
      <c r="P260">
        <v>15.738</v>
      </c>
      <c r="Q260">
        <v>19.537199999999999</v>
      </c>
      <c r="R260">
        <v>17.247299999999999</v>
      </c>
      <c r="U260" t="s">
        <v>215</v>
      </c>
      <c r="V260" t="s">
        <v>170</v>
      </c>
      <c r="W260" t="s">
        <v>171</v>
      </c>
      <c r="Y260">
        <v>10</v>
      </c>
      <c r="Z260" t="s">
        <v>172</v>
      </c>
      <c r="AA260" t="s">
        <v>173</v>
      </c>
      <c r="AB260" t="s">
        <v>174</v>
      </c>
      <c r="AC260" t="s">
        <v>175</v>
      </c>
      <c r="AD260">
        <v>10</v>
      </c>
      <c r="AG260" t="s">
        <v>167</v>
      </c>
      <c r="AH260" t="s">
        <v>416</v>
      </c>
      <c r="AI260" t="s">
        <v>178</v>
      </c>
      <c r="AJ260" t="s">
        <v>179</v>
      </c>
      <c r="AK260" t="s">
        <v>664</v>
      </c>
      <c r="AL260" t="s">
        <v>665</v>
      </c>
      <c r="AS260">
        <v>2900</v>
      </c>
      <c r="AT260">
        <v>2900</v>
      </c>
      <c r="BN260" s="114" t="s">
        <v>198</v>
      </c>
      <c r="BO260">
        <v>1</v>
      </c>
      <c r="BP260">
        <v>1</v>
      </c>
      <c r="BQ260">
        <v>12</v>
      </c>
      <c r="BR260" t="s">
        <v>666</v>
      </c>
      <c r="BT260" t="s">
        <v>218</v>
      </c>
      <c r="BU260" s="115">
        <v>45838</v>
      </c>
      <c r="BV260">
        <v>36867</v>
      </c>
      <c r="BW260" s="116"/>
      <c r="BX260" t="s">
        <v>173</v>
      </c>
      <c r="BY260" t="s">
        <v>173</v>
      </c>
      <c r="CB260" t="s">
        <v>173</v>
      </c>
      <c r="CC260" t="s">
        <v>173</v>
      </c>
      <c r="CE260" t="s">
        <v>172</v>
      </c>
      <c r="CF260" t="s">
        <v>676</v>
      </c>
      <c r="CG260" t="s">
        <v>172</v>
      </c>
      <c r="CH260" t="s">
        <v>677</v>
      </c>
      <c r="CI260" t="s">
        <v>173</v>
      </c>
      <c r="DJ260" t="s">
        <v>201</v>
      </c>
      <c r="DK260" t="s">
        <v>202</v>
      </c>
      <c r="DN260" t="s">
        <v>173</v>
      </c>
      <c r="DO260" t="s">
        <v>203</v>
      </c>
      <c r="DP260" t="s">
        <v>172</v>
      </c>
      <c r="DQ260" t="s">
        <v>204</v>
      </c>
      <c r="EA260" s="117"/>
      <c r="EB260">
        <v>3</v>
      </c>
      <c r="EC260">
        <v>3</v>
      </c>
      <c r="EE260" t="s">
        <v>679</v>
      </c>
      <c r="EF260">
        <v>6</v>
      </c>
      <c r="EV260">
        <v>6000</v>
      </c>
      <c r="EW260">
        <v>562</v>
      </c>
      <c r="EX260">
        <v>456</v>
      </c>
      <c r="EY260">
        <v>514</v>
      </c>
    </row>
    <row r="261" spans="1:155" x14ac:dyDescent="0.35">
      <c r="A261">
        <v>2026</v>
      </c>
      <c r="B261" t="s">
        <v>211</v>
      </c>
      <c r="C261" s="112" t="s">
        <v>683</v>
      </c>
      <c r="D261" t="s">
        <v>684</v>
      </c>
      <c r="E261" t="s">
        <v>214</v>
      </c>
      <c r="F261">
        <v>702</v>
      </c>
      <c r="G261" s="113">
        <v>3</v>
      </c>
      <c r="H261">
        <v>6</v>
      </c>
      <c r="I261" t="s">
        <v>669</v>
      </c>
      <c r="J261">
        <v>23</v>
      </c>
      <c r="K261">
        <v>28</v>
      </c>
      <c r="L261">
        <v>25</v>
      </c>
      <c r="M261">
        <v>29.882899999999999</v>
      </c>
      <c r="N261">
        <v>44.578600000000002</v>
      </c>
      <c r="O261">
        <v>35.088099999999997</v>
      </c>
      <c r="P261">
        <v>23.3032</v>
      </c>
      <c r="Q261">
        <v>28.2285</v>
      </c>
      <c r="R261">
        <v>25.288799999999998</v>
      </c>
      <c r="T261" t="s">
        <v>168</v>
      </c>
      <c r="U261" t="s">
        <v>169</v>
      </c>
      <c r="V261" t="s">
        <v>170</v>
      </c>
      <c r="W261" t="s">
        <v>171</v>
      </c>
      <c r="Y261">
        <v>10</v>
      </c>
      <c r="Z261" t="s">
        <v>172</v>
      </c>
      <c r="AA261" t="s">
        <v>173</v>
      </c>
      <c r="AB261" t="s">
        <v>174</v>
      </c>
      <c r="AC261" t="s">
        <v>175</v>
      </c>
      <c r="AE261">
        <v>20</v>
      </c>
      <c r="AG261" t="s">
        <v>670</v>
      </c>
      <c r="AH261" t="s">
        <v>671</v>
      </c>
      <c r="AI261" t="s">
        <v>178</v>
      </c>
      <c r="AJ261" t="s">
        <v>179</v>
      </c>
      <c r="AK261" t="s">
        <v>664</v>
      </c>
      <c r="AL261" t="s">
        <v>665</v>
      </c>
      <c r="AS261">
        <v>2150</v>
      </c>
      <c r="AT261">
        <v>2150</v>
      </c>
      <c r="BN261" s="114"/>
      <c r="BO261">
        <v>2</v>
      </c>
      <c r="BP261">
        <v>2</v>
      </c>
      <c r="BQ261">
        <v>12</v>
      </c>
      <c r="BR261" t="s">
        <v>666</v>
      </c>
      <c r="BT261" t="s">
        <v>613</v>
      </c>
      <c r="BU261" s="115">
        <v>45839</v>
      </c>
      <c r="BV261">
        <v>36901</v>
      </c>
      <c r="BW261" s="116"/>
      <c r="BX261" t="s">
        <v>173</v>
      </c>
      <c r="BY261" t="s">
        <v>173</v>
      </c>
      <c r="CB261" t="s">
        <v>173</v>
      </c>
      <c r="CC261" t="s">
        <v>173</v>
      </c>
      <c r="CE261" t="s">
        <v>173</v>
      </c>
      <c r="CG261" t="s">
        <v>173</v>
      </c>
      <c r="CI261" t="s">
        <v>173</v>
      </c>
      <c r="DJ261" t="s">
        <v>672</v>
      </c>
      <c r="DK261" t="s">
        <v>673</v>
      </c>
      <c r="DN261" t="s">
        <v>173</v>
      </c>
      <c r="DO261" t="s">
        <v>203</v>
      </c>
      <c r="DP261" t="s">
        <v>172</v>
      </c>
      <c r="DQ261" t="s">
        <v>204</v>
      </c>
      <c r="EA261" s="117"/>
      <c r="EB261">
        <v>5</v>
      </c>
      <c r="EC261">
        <v>4</v>
      </c>
      <c r="EE261" t="s">
        <v>674</v>
      </c>
      <c r="EF261">
        <v>4</v>
      </c>
      <c r="EV261">
        <v>2250</v>
      </c>
      <c r="EW261">
        <v>437</v>
      </c>
      <c r="EX261">
        <v>360</v>
      </c>
      <c r="EY261">
        <v>402</v>
      </c>
    </row>
    <row r="262" spans="1:155" x14ac:dyDescent="0.35">
      <c r="A262">
        <v>2026</v>
      </c>
      <c r="B262" t="s">
        <v>211</v>
      </c>
      <c r="C262" s="112" t="s">
        <v>683</v>
      </c>
      <c r="D262" t="s">
        <v>685</v>
      </c>
      <c r="E262" t="s">
        <v>214</v>
      </c>
      <c r="F262">
        <v>509</v>
      </c>
      <c r="G262" s="113">
        <v>2.7</v>
      </c>
      <c r="H262">
        <v>4</v>
      </c>
      <c r="I262" t="s">
        <v>166</v>
      </c>
      <c r="J262">
        <v>18</v>
      </c>
      <c r="K262">
        <v>21</v>
      </c>
      <c r="L262">
        <v>20</v>
      </c>
      <c r="M262">
        <v>23.474</v>
      </c>
      <c r="N262">
        <v>35.016399999999997</v>
      </c>
      <c r="O262">
        <v>27.5624</v>
      </c>
      <c r="P262">
        <v>18.231100000000001</v>
      </c>
      <c r="Q262">
        <v>21.4771</v>
      </c>
      <c r="R262">
        <v>19.561499999999999</v>
      </c>
      <c r="T262" t="s">
        <v>168</v>
      </c>
      <c r="U262" t="s">
        <v>169</v>
      </c>
      <c r="V262" t="s">
        <v>170</v>
      </c>
      <c r="W262" t="s">
        <v>171</v>
      </c>
      <c r="Y262">
        <v>8</v>
      </c>
      <c r="Z262" t="s">
        <v>172</v>
      </c>
      <c r="AA262" t="s">
        <v>173</v>
      </c>
      <c r="AB262" t="s">
        <v>174</v>
      </c>
      <c r="AC262" t="s">
        <v>175</v>
      </c>
      <c r="AD262">
        <v>10</v>
      </c>
      <c r="AG262" t="s">
        <v>167</v>
      </c>
      <c r="AH262" t="s">
        <v>416</v>
      </c>
      <c r="AI262" t="s">
        <v>178</v>
      </c>
      <c r="AJ262" t="s">
        <v>179</v>
      </c>
      <c r="AK262" t="s">
        <v>664</v>
      </c>
      <c r="AL262" t="s">
        <v>665</v>
      </c>
      <c r="AS262">
        <v>2500</v>
      </c>
      <c r="AT262">
        <v>2500</v>
      </c>
      <c r="BN262" s="114" t="s">
        <v>198</v>
      </c>
      <c r="BO262">
        <v>2</v>
      </c>
      <c r="BP262">
        <v>2</v>
      </c>
      <c r="BQ262">
        <v>12</v>
      </c>
      <c r="BR262" t="s">
        <v>666</v>
      </c>
      <c r="BT262" t="s">
        <v>218</v>
      </c>
      <c r="BU262" s="115">
        <v>45838</v>
      </c>
      <c r="BV262">
        <v>36841</v>
      </c>
      <c r="BW262" s="116"/>
      <c r="BX262" t="s">
        <v>173</v>
      </c>
      <c r="BY262" t="s">
        <v>173</v>
      </c>
      <c r="CB262" t="s">
        <v>173</v>
      </c>
      <c r="CC262" t="s">
        <v>173</v>
      </c>
      <c r="CD262" t="s">
        <v>392</v>
      </c>
      <c r="CE262" t="s">
        <v>172</v>
      </c>
      <c r="CF262" t="s">
        <v>220</v>
      </c>
      <c r="CG262" t="s">
        <v>172</v>
      </c>
      <c r="CH262" t="s">
        <v>224</v>
      </c>
      <c r="CI262" t="s">
        <v>172</v>
      </c>
      <c r="CJ262" t="s">
        <v>390</v>
      </c>
      <c r="DJ262" t="s">
        <v>201</v>
      </c>
      <c r="DK262" t="s">
        <v>202</v>
      </c>
      <c r="DN262" t="s">
        <v>173</v>
      </c>
      <c r="DO262" t="s">
        <v>203</v>
      </c>
      <c r="DP262" t="s">
        <v>172</v>
      </c>
      <c r="DQ262" t="s">
        <v>204</v>
      </c>
      <c r="EA262" s="117"/>
      <c r="EB262">
        <v>4</v>
      </c>
      <c r="EC262">
        <v>4</v>
      </c>
      <c r="EE262" t="s">
        <v>667</v>
      </c>
      <c r="EF262">
        <v>6</v>
      </c>
      <c r="EV262">
        <v>4000</v>
      </c>
      <c r="EW262">
        <v>501</v>
      </c>
      <c r="EX262">
        <v>419</v>
      </c>
      <c r="EY262">
        <v>464</v>
      </c>
    </row>
    <row r="263" spans="1:155" x14ac:dyDescent="0.35">
      <c r="A263">
        <v>2026</v>
      </c>
      <c r="B263" t="s">
        <v>211</v>
      </c>
      <c r="C263" s="112" t="s">
        <v>683</v>
      </c>
      <c r="D263" t="s">
        <v>686</v>
      </c>
      <c r="E263" t="s">
        <v>214</v>
      </c>
      <c r="F263">
        <v>508</v>
      </c>
      <c r="G263" s="113">
        <v>2.7</v>
      </c>
      <c r="H263">
        <v>4</v>
      </c>
      <c r="I263" t="s">
        <v>166</v>
      </c>
      <c r="J263">
        <v>17</v>
      </c>
      <c r="K263">
        <v>21</v>
      </c>
      <c r="L263">
        <v>19</v>
      </c>
      <c r="M263">
        <v>22.2</v>
      </c>
      <c r="N263">
        <v>34.1</v>
      </c>
      <c r="O263">
        <v>26.335699999999999</v>
      </c>
      <c r="P263">
        <v>17.460899999999999</v>
      </c>
      <c r="Q263">
        <v>20.831499999999998</v>
      </c>
      <c r="R263">
        <v>18.832100000000001</v>
      </c>
      <c r="T263" t="s">
        <v>168</v>
      </c>
      <c r="U263" t="s">
        <v>169</v>
      </c>
      <c r="V263" t="s">
        <v>170</v>
      </c>
      <c r="W263" t="s">
        <v>171</v>
      </c>
      <c r="Y263">
        <v>8</v>
      </c>
      <c r="Z263" t="s">
        <v>172</v>
      </c>
      <c r="AA263" t="s">
        <v>173</v>
      </c>
      <c r="AB263" t="s">
        <v>174</v>
      </c>
      <c r="AC263" t="s">
        <v>175</v>
      </c>
      <c r="AD263">
        <v>10</v>
      </c>
      <c r="AG263" t="s">
        <v>167</v>
      </c>
      <c r="AH263" t="s">
        <v>416</v>
      </c>
      <c r="AI263" t="s">
        <v>178</v>
      </c>
      <c r="AJ263" t="s">
        <v>179</v>
      </c>
      <c r="AK263" t="s">
        <v>664</v>
      </c>
      <c r="AL263" t="s">
        <v>665</v>
      </c>
      <c r="AS263">
        <v>2600</v>
      </c>
      <c r="AT263">
        <v>2600</v>
      </c>
      <c r="BN263" s="114" t="s">
        <v>198</v>
      </c>
      <c r="BO263">
        <v>2</v>
      </c>
      <c r="BP263">
        <v>2</v>
      </c>
      <c r="BQ263">
        <v>12</v>
      </c>
      <c r="BR263" t="s">
        <v>666</v>
      </c>
      <c r="BT263" t="s">
        <v>218</v>
      </c>
      <c r="BU263" s="115">
        <v>45838</v>
      </c>
      <c r="BV263">
        <v>36863</v>
      </c>
      <c r="BW263" s="116"/>
      <c r="BX263" t="s">
        <v>173</v>
      </c>
      <c r="BY263" t="s">
        <v>173</v>
      </c>
      <c r="CB263" t="s">
        <v>173</v>
      </c>
      <c r="CC263" t="s">
        <v>173</v>
      </c>
      <c r="CD263" t="s">
        <v>392</v>
      </c>
      <c r="CE263" t="s">
        <v>172</v>
      </c>
      <c r="CF263" t="s">
        <v>220</v>
      </c>
      <c r="CG263" t="s">
        <v>172</v>
      </c>
      <c r="CH263" t="s">
        <v>224</v>
      </c>
      <c r="CI263" t="s">
        <v>172</v>
      </c>
      <c r="CJ263" t="s">
        <v>390</v>
      </c>
      <c r="DJ263" t="s">
        <v>201</v>
      </c>
      <c r="DK263" t="s">
        <v>202</v>
      </c>
      <c r="DN263" t="s">
        <v>173</v>
      </c>
      <c r="DO263" t="s">
        <v>203</v>
      </c>
      <c r="DP263" t="s">
        <v>172</v>
      </c>
      <c r="DQ263" t="s">
        <v>204</v>
      </c>
      <c r="DR263" t="s">
        <v>678</v>
      </c>
      <c r="EA263" s="117"/>
      <c r="EB263">
        <v>4</v>
      </c>
      <c r="EC263">
        <v>4</v>
      </c>
      <c r="EE263" t="s">
        <v>667</v>
      </c>
      <c r="EF263">
        <v>6</v>
      </c>
      <c r="EV263">
        <v>4500</v>
      </c>
      <c r="EW263">
        <v>509</v>
      </c>
      <c r="EX263">
        <v>426</v>
      </c>
      <c r="EY263">
        <v>472</v>
      </c>
    </row>
    <row r="264" spans="1:155" x14ac:dyDescent="0.35">
      <c r="A264">
        <v>2026</v>
      </c>
      <c r="B264" t="s">
        <v>211</v>
      </c>
      <c r="C264" s="112" t="s">
        <v>683</v>
      </c>
      <c r="D264" t="s">
        <v>687</v>
      </c>
      <c r="E264" t="s">
        <v>214</v>
      </c>
      <c r="F264">
        <v>566</v>
      </c>
      <c r="G264" s="113">
        <v>5.3</v>
      </c>
      <c r="H264">
        <v>8</v>
      </c>
      <c r="I264" t="s">
        <v>669</v>
      </c>
      <c r="J264">
        <v>16</v>
      </c>
      <c r="K264">
        <v>21</v>
      </c>
      <c r="L264">
        <v>18</v>
      </c>
      <c r="M264">
        <v>20.100000000000001</v>
      </c>
      <c r="N264">
        <v>32.799999999999997</v>
      </c>
      <c r="O264">
        <v>24.341100000000001</v>
      </c>
      <c r="P264">
        <v>15.962</v>
      </c>
      <c r="Q264">
        <v>21</v>
      </c>
      <c r="R264">
        <v>18.102499999999999</v>
      </c>
      <c r="U264" t="s">
        <v>215</v>
      </c>
      <c r="V264" t="s">
        <v>170</v>
      </c>
      <c r="W264" t="s">
        <v>171</v>
      </c>
      <c r="Y264">
        <v>10</v>
      </c>
      <c r="Z264" t="s">
        <v>172</v>
      </c>
      <c r="AA264" t="s">
        <v>173</v>
      </c>
      <c r="AB264" t="s">
        <v>174</v>
      </c>
      <c r="AC264" t="s">
        <v>175</v>
      </c>
      <c r="AD264">
        <v>10</v>
      </c>
      <c r="AG264" t="s">
        <v>167</v>
      </c>
      <c r="AH264" t="s">
        <v>416</v>
      </c>
      <c r="AI264" t="s">
        <v>178</v>
      </c>
      <c r="AJ264" t="s">
        <v>179</v>
      </c>
      <c r="AK264" t="s">
        <v>664</v>
      </c>
      <c r="AL264" t="s">
        <v>665</v>
      </c>
      <c r="AS264">
        <v>2750</v>
      </c>
      <c r="AT264">
        <v>2750</v>
      </c>
      <c r="BN264" s="114" t="s">
        <v>198</v>
      </c>
      <c r="BO264">
        <v>1</v>
      </c>
      <c r="BP264">
        <v>1</v>
      </c>
      <c r="BQ264">
        <v>12</v>
      </c>
      <c r="BR264" t="s">
        <v>666</v>
      </c>
      <c r="BT264" t="s">
        <v>218</v>
      </c>
      <c r="BU264" s="115">
        <v>45838</v>
      </c>
      <c r="BV264">
        <v>36883</v>
      </c>
      <c r="BW264" s="116"/>
      <c r="BX264" t="s">
        <v>173</v>
      </c>
      <c r="BY264" t="s">
        <v>173</v>
      </c>
      <c r="CB264" t="s">
        <v>173</v>
      </c>
      <c r="CC264" t="s">
        <v>173</v>
      </c>
      <c r="CE264" t="s">
        <v>172</v>
      </c>
      <c r="CF264" t="s">
        <v>676</v>
      </c>
      <c r="CG264" t="s">
        <v>172</v>
      </c>
      <c r="CH264" t="s">
        <v>677</v>
      </c>
      <c r="CI264" t="s">
        <v>173</v>
      </c>
      <c r="DJ264" t="s">
        <v>201</v>
      </c>
      <c r="DK264" t="s">
        <v>202</v>
      </c>
      <c r="DN264" t="s">
        <v>173</v>
      </c>
      <c r="DO264" t="s">
        <v>203</v>
      </c>
      <c r="DP264" t="s">
        <v>172</v>
      </c>
      <c r="DQ264" t="s">
        <v>204</v>
      </c>
      <c r="DR264" t="s">
        <v>678</v>
      </c>
      <c r="EA264" s="117"/>
      <c r="EB264">
        <v>3</v>
      </c>
      <c r="EC264">
        <v>3</v>
      </c>
      <c r="EE264" t="s">
        <v>679</v>
      </c>
      <c r="EF264">
        <v>6</v>
      </c>
      <c r="EV264">
        <v>5250</v>
      </c>
      <c r="EW264">
        <v>554</v>
      </c>
      <c r="EX264">
        <v>423</v>
      </c>
      <c r="EY264">
        <v>495</v>
      </c>
    </row>
    <row r="265" spans="1:155" x14ac:dyDescent="0.35">
      <c r="A265">
        <v>2026</v>
      </c>
      <c r="B265" t="s">
        <v>862</v>
      </c>
      <c r="C265" s="112" t="s">
        <v>863</v>
      </c>
      <c r="D265" t="s">
        <v>1246</v>
      </c>
      <c r="E265" t="s">
        <v>865</v>
      </c>
      <c r="F265">
        <v>886</v>
      </c>
      <c r="G265" s="113">
        <v>3.8</v>
      </c>
      <c r="H265">
        <v>6</v>
      </c>
      <c r="I265" t="s">
        <v>896</v>
      </c>
      <c r="J265">
        <v>19</v>
      </c>
      <c r="K265">
        <v>24</v>
      </c>
      <c r="L265">
        <v>21</v>
      </c>
      <c r="M265">
        <v>24.1236</v>
      </c>
      <c r="N265">
        <v>35.541800000000002</v>
      </c>
      <c r="O265">
        <v>28.200500000000002</v>
      </c>
      <c r="P265">
        <v>19.164100000000001</v>
      </c>
      <c r="Q265">
        <v>24</v>
      </c>
      <c r="R265">
        <v>21.4937</v>
      </c>
      <c r="U265" t="s">
        <v>215</v>
      </c>
      <c r="V265" t="s">
        <v>196</v>
      </c>
      <c r="W265" t="s">
        <v>197</v>
      </c>
      <c r="Y265">
        <v>9</v>
      </c>
      <c r="Z265" t="s">
        <v>172</v>
      </c>
      <c r="AA265" t="s">
        <v>173</v>
      </c>
      <c r="AB265" t="s">
        <v>174</v>
      </c>
      <c r="AC265" t="s">
        <v>175</v>
      </c>
      <c r="AD265">
        <v>15</v>
      </c>
      <c r="AG265" t="s">
        <v>167</v>
      </c>
      <c r="AH265" t="s">
        <v>416</v>
      </c>
      <c r="AI265" t="s">
        <v>178</v>
      </c>
      <c r="AJ265" t="s">
        <v>179</v>
      </c>
      <c r="AK265" t="s">
        <v>664</v>
      </c>
      <c r="AL265" t="s">
        <v>665</v>
      </c>
      <c r="AS265">
        <v>2350</v>
      </c>
      <c r="AT265">
        <v>2350</v>
      </c>
      <c r="BN265" s="114" t="s">
        <v>198</v>
      </c>
      <c r="BO265">
        <v>2</v>
      </c>
      <c r="BP265">
        <v>2</v>
      </c>
      <c r="BQ265">
        <v>12</v>
      </c>
      <c r="BR265" t="s">
        <v>666</v>
      </c>
      <c r="BT265" t="s">
        <v>183</v>
      </c>
      <c r="BU265" s="115">
        <v>45895</v>
      </c>
      <c r="BV265">
        <v>37305</v>
      </c>
      <c r="BW265" s="116"/>
      <c r="BX265" t="s">
        <v>173</v>
      </c>
      <c r="CB265" t="s">
        <v>173</v>
      </c>
      <c r="CC265" t="s">
        <v>173</v>
      </c>
      <c r="CE265" t="s">
        <v>173</v>
      </c>
      <c r="CG265" t="s">
        <v>172</v>
      </c>
      <c r="CH265" t="s">
        <v>1056</v>
      </c>
      <c r="CI265" t="s">
        <v>173</v>
      </c>
      <c r="DJ265" t="s">
        <v>201</v>
      </c>
      <c r="DK265" t="s">
        <v>202</v>
      </c>
      <c r="DN265" t="s">
        <v>173</v>
      </c>
      <c r="DO265" t="s">
        <v>585</v>
      </c>
      <c r="DP265" t="s">
        <v>172</v>
      </c>
      <c r="DQ265" t="s">
        <v>204</v>
      </c>
      <c r="EA265" s="117"/>
      <c r="EB265">
        <v>4</v>
      </c>
      <c r="EC265">
        <v>4</v>
      </c>
      <c r="EE265" t="s">
        <v>1247</v>
      </c>
      <c r="EF265">
        <v>6</v>
      </c>
      <c r="EV265">
        <v>3250</v>
      </c>
      <c r="EW265">
        <v>465</v>
      </c>
      <c r="EX265">
        <v>371</v>
      </c>
      <c r="EY265">
        <v>423</v>
      </c>
    </row>
    <row r="266" spans="1:155" x14ac:dyDescent="0.35">
      <c r="A266">
        <v>2026</v>
      </c>
      <c r="B266" t="s">
        <v>688</v>
      </c>
      <c r="C266" s="112" t="s">
        <v>689</v>
      </c>
      <c r="D266" t="s">
        <v>690</v>
      </c>
      <c r="E266" t="s">
        <v>691</v>
      </c>
      <c r="F266">
        <v>503</v>
      </c>
      <c r="G266" s="113">
        <v>3</v>
      </c>
      <c r="H266">
        <v>6</v>
      </c>
      <c r="I266" t="s">
        <v>166</v>
      </c>
      <c r="J266">
        <v>18</v>
      </c>
      <c r="K266">
        <v>25</v>
      </c>
      <c r="L266">
        <v>21</v>
      </c>
      <c r="M266">
        <v>22.4</v>
      </c>
      <c r="N266">
        <v>35.1</v>
      </c>
      <c r="O266">
        <v>26.756499999999999</v>
      </c>
      <c r="P266">
        <v>17.895099999999999</v>
      </c>
      <c r="Q266">
        <v>24.955500000000001</v>
      </c>
      <c r="R266">
        <v>20.505800000000001</v>
      </c>
      <c r="T266" t="s">
        <v>168</v>
      </c>
      <c r="U266" t="s">
        <v>169</v>
      </c>
      <c r="V266" t="s">
        <v>170</v>
      </c>
      <c r="W266" t="s">
        <v>171</v>
      </c>
      <c r="Y266">
        <v>8</v>
      </c>
      <c r="Z266" t="s">
        <v>172</v>
      </c>
      <c r="AA266" t="s">
        <v>173</v>
      </c>
      <c r="AB266" t="s">
        <v>174</v>
      </c>
      <c r="AC266" t="s">
        <v>175</v>
      </c>
      <c r="AD266">
        <v>10</v>
      </c>
      <c r="AG266" t="s">
        <v>167</v>
      </c>
      <c r="AH266" t="s">
        <v>416</v>
      </c>
      <c r="AI266" t="s">
        <v>178</v>
      </c>
      <c r="AJ266" t="s">
        <v>179</v>
      </c>
      <c r="AK266" t="s">
        <v>664</v>
      </c>
      <c r="AL266" t="s">
        <v>665</v>
      </c>
      <c r="AS266">
        <v>2350</v>
      </c>
      <c r="AT266">
        <v>2350</v>
      </c>
      <c r="BN266" s="114" t="s">
        <v>198</v>
      </c>
      <c r="BO266">
        <v>2</v>
      </c>
      <c r="BP266">
        <v>2</v>
      </c>
      <c r="BQ266">
        <v>12</v>
      </c>
      <c r="BR266" t="s">
        <v>666</v>
      </c>
      <c r="BT266" t="s">
        <v>183</v>
      </c>
      <c r="BU266" s="115">
        <v>45817</v>
      </c>
      <c r="BV266">
        <v>36758</v>
      </c>
      <c r="BW266" s="116"/>
      <c r="BX266" t="s">
        <v>173</v>
      </c>
      <c r="BY266" t="s">
        <v>173</v>
      </c>
      <c r="CB266" t="s">
        <v>173</v>
      </c>
      <c r="CC266" t="s">
        <v>173</v>
      </c>
      <c r="CD266" t="s">
        <v>692</v>
      </c>
      <c r="CE266" t="s">
        <v>173</v>
      </c>
      <c r="CG266" t="s">
        <v>172</v>
      </c>
      <c r="CH266" t="s">
        <v>693</v>
      </c>
      <c r="CI266" t="s">
        <v>173</v>
      </c>
      <c r="DJ266" t="s">
        <v>201</v>
      </c>
      <c r="DK266" t="s">
        <v>202</v>
      </c>
      <c r="DN266" t="s">
        <v>173</v>
      </c>
      <c r="DO266" t="s">
        <v>694</v>
      </c>
      <c r="DP266" t="s">
        <v>173</v>
      </c>
      <c r="DQ266" t="s">
        <v>189</v>
      </c>
      <c r="EA266" s="117"/>
      <c r="EB266">
        <v>4</v>
      </c>
      <c r="EC266">
        <v>4</v>
      </c>
      <c r="EE266" t="s">
        <v>695</v>
      </c>
      <c r="EF266">
        <v>6</v>
      </c>
      <c r="EV266">
        <v>3250</v>
      </c>
      <c r="EW266">
        <v>497</v>
      </c>
      <c r="EX266">
        <v>356</v>
      </c>
      <c r="EY266">
        <v>433</v>
      </c>
    </row>
    <row r="267" spans="1:155" x14ac:dyDescent="0.35">
      <c r="A267">
        <v>2026</v>
      </c>
      <c r="B267" t="s">
        <v>688</v>
      </c>
      <c r="C267" s="112" t="s">
        <v>689</v>
      </c>
      <c r="D267" t="s">
        <v>690</v>
      </c>
      <c r="E267" t="s">
        <v>691</v>
      </c>
      <c r="F267">
        <v>505</v>
      </c>
      <c r="G267" s="113">
        <v>3.6</v>
      </c>
      <c r="H267">
        <v>6</v>
      </c>
      <c r="I267" t="s">
        <v>166</v>
      </c>
      <c r="J267">
        <v>20</v>
      </c>
      <c r="K267">
        <v>25</v>
      </c>
      <c r="L267">
        <v>22</v>
      </c>
      <c r="M267">
        <v>24.8491</v>
      </c>
      <c r="N267">
        <v>35.297499999999999</v>
      </c>
      <c r="O267">
        <v>28.6678</v>
      </c>
      <c r="P267">
        <v>19.693999999999999</v>
      </c>
      <c r="Q267">
        <v>25.084700000000002</v>
      </c>
      <c r="R267">
        <v>21.802399999999999</v>
      </c>
      <c r="U267" t="s">
        <v>215</v>
      </c>
      <c r="V267" t="s">
        <v>170</v>
      </c>
      <c r="W267" t="s">
        <v>171</v>
      </c>
      <c r="Y267">
        <v>8</v>
      </c>
      <c r="Z267" t="s">
        <v>172</v>
      </c>
      <c r="AA267" t="s">
        <v>173</v>
      </c>
      <c r="AB267" t="s">
        <v>174</v>
      </c>
      <c r="AC267" t="s">
        <v>175</v>
      </c>
      <c r="AD267">
        <v>10</v>
      </c>
      <c r="AG267" t="s">
        <v>167</v>
      </c>
      <c r="AH267" t="s">
        <v>416</v>
      </c>
      <c r="AI267" t="s">
        <v>178</v>
      </c>
      <c r="AJ267" t="s">
        <v>179</v>
      </c>
      <c r="AK267" t="s">
        <v>664</v>
      </c>
      <c r="AL267" t="s">
        <v>665</v>
      </c>
      <c r="AS267">
        <v>2250</v>
      </c>
      <c r="AT267">
        <v>2250</v>
      </c>
      <c r="BN267" s="114" t="s">
        <v>254</v>
      </c>
      <c r="BO267">
        <v>2</v>
      </c>
      <c r="BP267">
        <v>2</v>
      </c>
      <c r="BQ267">
        <v>12</v>
      </c>
      <c r="BR267" t="s">
        <v>666</v>
      </c>
      <c r="BT267" t="s">
        <v>183</v>
      </c>
      <c r="BU267" s="115">
        <v>45925</v>
      </c>
      <c r="BV267">
        <v>37717</v>
      </c>
      <c r="BW267" s="116"/>
      <c r="BX267" t="s">
        <v>173</v>
      </c>
      <c r="BY267" t="s">
        <v>173</v>
      </c>
      <c r="CB267" t="s">
        <v>173</v>
      </c>
      <c r="CC267" t="s">
        <v>173</v>
      </c>
      <c r="CE267" t="s">
        <v>173</v>
      </c>
      <c r="CG267" t="s">
        <v>172</v>
      </c>
      <c r="CH267" t="s">
        <v>224</v>
      </c>
      <c r="CI267" t="s">
        <v>173</v>
      </c>
      <c r="CK267" t="s">
        <v>259</v>
      </c>
      <c r="CM267">
        <v>1</v>
      </c>
      <c r="CN267" t="s">
        <v>260</v>
      </c>
      <c r="CP267">
        <v>48</v>
      </c>
      <c r="CQ267">
        <v>9.8000000000000007</v>
      </c>
      <c r="CR267">
        <v>42</v>
      </c>
      <c r="CS267" t="s">
        <v>261</v>
      </c>
      <c r="CV267" t="s">
        <v>262</v>
      </c>
      <c r="CX267" t="s">
        <v>263</v>
      </c>
      <c r="CY267" t="s">
        <v>173</v>
      </c>
      <c r="DD267">
        <v>1</v>
      </c>
      <c r="DE267" t="s">
        <v>760</v>
      </c>
      <c r="DG267">
        <v>11</v>
      </c>
      <c r="DJ267" t="s">
        <v>186</v>
      </c>
      <c r="DK267" t="s">
        <v>187</v>
      </c>
      <c r="DL267" t="s">
        <v>173</v>
      </c>
      <c r="DM267" t="s">
        <v>173</v>
      </c>
      <c r="DN267" t="s">
        <v>173</v>
      </c>
      <c r="DO267" t="s">
        <v>585</v>
      </c>
      <c r="DP267" t="s">
        <v>173</v>
      </c>
      <c r="DQ267" t="s">
        <v>189</v>
      </c>
      <c r="EA267" s="117"/>
      <c r="EB267">
        <v>4</v>
      </c>
      <c r="EC267">
        <v>4</v>
      </c>
      <c r="EE267" t="s">
        <v>2128</v>
      </c>
      <c r="EF267">
        <v>6</v>
      </c>
      <c r="EV267">
        <v>2750</v>
      </c>
      <c r="EW267">
        <v>451</v>
      </c>
      <c r="EX267">
        <v>353</v>
      </c>
      <c r="EY267">
        <v>407</v>
      </c>
    </row>
    <row r="268" spans="1:155" x14ac:dyDescent="0.35">
      <c r="A268">
        <v>2026</v>
      </c>
      <c r="B268" t="s">
        <v>242</v>
      </c>
      <c r="C268" s="112" t="s">
        <v>239</v>
      </c>
      <c r="D268" t="s">
        <v>696</v>
      </c>
      <c r="E268" t="s">
        <v>245</v>
      </c>
      <c r="F268">
        <v>17</v>
      </c>
      <c r="G268" s="113">
        <v>3.4</v>
      </c>
      <c r="H268">
        <v>6</v>
      </c>
      <c r="I268" t="s">
        <v>246</v>
      </c>
      <c r="J268">
        <v>18</v>
      </c>
      <c r="K268">
        <v>23</v>
      </c>
      <c r="L268">
        <v>20</v>
      </c>
      <c r="M268">
        <v>22.3294</v>
      </c>
      <c r="N268">
        <v>31.645600000000002</v>
      </c>
      <c r="O268">
        <v>25.7392</v>
      </c>
      <c r="P268">
        <v>17.8428</v>
      </c>
      <c r="Q268">
        <v>22.677199999999999</v>
      </c>
      <c r="R268">
        <v>19.7361</v>
      </c>
      <c r="T268" t="s">
        <v>168</v>
      </c>
      <c r="U268" t="s">
        <v>169</v>
      </c>
      <c r="V268" t="s">
        <v>196</v>
      </c>
      <c r="W268" t="s">
        <v>197</v>
      </c>
      <c r="Y268">
        <v>10</v>
      </c>
      <c r="Z268" t="s">
        <v>172</v>
      </c>
      <c r="AA268" t="s">
        <v>173</v>
      </c>
      <c r="AB268" t="s">
        <v>174</v>
      </c>
      <c r="AC268" t="s">
        <v>175</v>
      </c>
      <c r="AD268">
        <v>15</v>
      </c>
      <c r="AG268" t="s">
        <v>167</v>
      </c>
      <c r="AH268" t="s">
        <v>416</v>
      </c>
      <c r="AI268" t="s">
        <v>178</v>
      </c>
      <c r="AJ268" t="s">
        <v>179</v>
      </c>
      <c r="AK268" t="s">
        <v>664</v>
      </c>
      <c r="AL268" t="s">
        <v>665</v>
      </c>
      <c r="AS268">
        <v>2500</v>
      </c>
      <c r="AT268">
        <v>2500</v>
      </c>
      <c r="BN268" s="114" t="s">
        <v>247</v>
      </c>
      <c r="BO268">
        <v>2</v>
      </c>
      <c r="BP268">
        <v>2</v>
      </c>
      <c r="BQ268">
        <v>12</v>
      </c>
      <c r="BR268" t="s">
        <v>666</v>
      </c>
      <c r="BT268" t="s">
        <v>183</v>
      </c>
      <c r="BU268" s="115">
        <v>45875</v>
      </c>
      <c r="BV268">
        <v>36978</v>
      </c>
      <c r="BW268" s="116"/>
      <c r="BX268" t="s">
        <v>173</v>
      </c>
      <c r="BY268" t="s">
        <v>173</v>
      </c>
      <c r="CB268" t="s">
        <v>173</v>
      </c>
      <c r="CC268" t="s">
        <v>173</v>
      </c>
      <c r="CD268" t="s">
        <v>697</v>
      </c>
      <c r="CE268" t="s">
        <v>173</v>
      </c>
      <c r="CG268" t="s">
        <v>172</v>
      </c>
      <c r="CH268" t="s">
        <v>249</v>
      </c>
      <c r="CI268" t="s">
        <v>173</v>
      </c>
      <c r="DJ268" t="s">
        <v>250</v>
      </c>
      <c r="DK268" t="s">
        <v>251</v>
      </c>
      <c r="DN268" t="s">
        <v>173</v>
      </c>
      <c r="DO268" t="s">
        <v>284</v>
      </c>
      <c r="DP268" t="s">
        <v>172</v>
      </c>
      <c r="DQ268" t="s">
        <v>204</v>
      </c>
      <c r="EA268" s="117"/>
      <c r="EB268">
        <v>4</v>
      </c>
      <c r="EC268">
        <v>4</v>
      </c>
      <c r="EE268" t="s">
        <v>698</v>
      </c>
      <c r="EF268">
        <v>4</v>
      </c>
      <c r="EV268">
        <v>4000</v>
      </c>
      <c r="EW268">
        <v>498</v>
      </c>
      <c r="EX268">
        <v>392</v>
      </c>
      <c r="EY268">
        <v>450</v>
      </c>
    </row>
    <row r="269" spans="1:155" x14ac:dyDescent="0.35">
      <c r="A269">
        <v>2026</v>
      </c>
      <c r="B269" t="s">
        <v>242</v>
      </c>
      <c r="C269" s="112" t="s">
        <v>239</v>
      </c>
      <c r="D269" t="s">
        <v>696</v>
      </c>
      <c r="E269" t="s">
        <v>245</v>
      </c>
      <c r="F269">
        <v>18</v>
      </c>
      <c r="G269" s="113">
        <v>3.4</v>
      </c>
      <c r="H269">
        <v>6</v>
      </c>
      <c r="I269" t="s">
        <v>246</v>
      </c>
      <c r="J269">
        <v>18</v>
      </c>
      <c r="K269">
        <v>23</v>
      </c>
      <c r="L269">
        <v>20</v>
      </c>
      <c r="M269">
        <v>22.828199999999999</v>
      </c>
      <c r="N269">
        <v>32.929900000000004</v>
      </c>
      <c r="O269">
        <v>26.484200000000001</v>
      </c>
      <c r="P269">
        <v>18.2117</v>
      </c>
      <c r="Q269">
        <v>23</v>
      </c>
      <c r="R269">
        <v>20.273199999999999</v>
      </c>
      <c r="T269" t="s">
        <v>168</v>
      </c>
      <c r="U269" t="s">
        <v>169</v>
      </c>
      <c r="V269" t="s">
        <v>196</v>
      </c>
      <c r="W269" t="s">
        <v>197</v>
      </c>
      <c r="Y269">
        <v>10</v>
      </c>
      <c r="Z269" t="s">
        <v>172</v>
      </c>
      <c r="AA269" t="s">
        <v>173</v>
      </c>
      <c r="AB269" t="s">
        <v>174</v>
      </c>
      <c r="AC269" t="s">
        <v>175</v>
      </c>
      <c r="AD269">
        <v>15</v>
      </c>
      <c r="AG269" t="s">
        <v>167</v>
      </c>
      <c r="AH269" t="s">
        <v>416</v>
      </c>
      <c r="AI269" t="s">
        <v>178</v>
      </c>
      <c r="AJ269" t="s">
        <v>179</v>
      </c>
      <c r="AK269" t="s">
        <v>664</v>
      </c>
      <c r="AL269" t="s">
        <v>665</v>
      </c>
      <c r="AS269">
        <v>2500</v>
      </c>
      <c r="AT269">
        <v>2500</v>
      </c>
      <c r="BN269" s="114" t="s">
        <v>247</v>
      </c>
      <c r="BO269">
        <v>2</v>
      </c>
      <c r="BP269">
        <v>2</v>
      </c>
      <c r="BQ269">
        <v>12</v>
      </c>
      <c r="BR269" t="s">
        <v>666</v>
      </c>
      <c r="BT269" t="s">
        <v>183</v>
      </c>
      <c r="BU269" s="115">
        <v>45875</v>
      </c>
      <c r="BV269">
        <v>36979</v>
      </c>
      <c r="BW269" s="116"/>
      <c r="BX269" t="s">
        <v>173</v>
      </c>
      <c r="BY269" t="s">
        <v>173</v>
      </c>
      <c r="CB269" t="s">
        <v>173</v>
      </c>
      <c r="CC269" t="s">
        <v>173</v>
      </c>
      <c r="CD269" t="s">
        <v>699</v>
      </c>
      <c r="CE269" t="s">
        <v>173</v>
      </c>
      <c r="CG269" t="s">
        <v>172</v>
      </c>
      <c r="CH269" t="s">
        <v>249</v>
      </c>
      <c r="CI269" t="s">
        <v>173</v>
      </c>
      <c r="DJ269" t="s">
        <v>250</v>
      </c>
      <c r="DK269" t="s">
        <v>251</v>
      </c>
      <c r="DN269" t="s">
        <v>173</v>
      </c>
      <c r="DO269" t="s">
        <v>284</v>
      </c>
      <c r="DP269" t="s">
        <v>172</v>
      </c>
      <c r="DQ269" t="s">
        <v>204</v>
      </c>
      <c r="EA269" s="117"/>
      <c r="EB269">
        <v>4</v>
      </c>
      <c r="EC269">
        <v>4</v>
      </c>
      <c r="EE269" t="s">
        <v>698</v>
      </c>
      <c r="EF269">
        <v>4</v>
      </c>
      <c r="EV269">
        <v>4000</v>
      </c>
      <c r="EW269">
        <v>490</v>
      </c>
      <c r="EX269">
        <v>387</v>
      </c>
      <c r="EY269">
        <v>444</v>
      </c>
    </row>
    <row r="270" spans="1:155" x14ac:dyDescent="0.35">
      <c r="A270">
        <v>2026</v>
      </c>
      <c r="B270" t="s">
        <v>242</v>
      </c>
      <c r="C270" s="112" t="s">
        <v>239</v>
      </c>
      <c r="D270" t="s">
        <v>700</v>
      </c>
      <c r="E270" t="s">
        <v>245</v>
      </c>
      <c r="F270">
        <v>23</v>
      </c>
      <c r="G270" s="113">
        <v>3.4</v>
      </c>
      <c r="H270">
        <v>6</v>
      </c>
      <c r="I270" t="s">
        <v>246</v>
      </c>
      <c r="J270">
        <v>20</v>
      </c>
      <c r="K270">
        <v>24</v>
      </c>
      <c r="L270">
        <v>22</v>
      </c>
      <c r="M270">
        <v>26.8</v>
      </c>
      <c r="N270">
        <v>33.799999999999997</v>
      </c>
      <c r="O270">
        <v>29.554300000000001</v>
      </c>
      <c r="P270">
        <v>20</v>
      </c>
      <c r="Q270">
        <v>24.1023</v>
      </c>
      <c r="R270">
        <v>22.357099999999999</v>
      </c>
      <c r="T270" t="s">
        <v>168</v>
      </c>
      <c r="U270" t="s">
        <v>169</v>
      </c>
      <c r="V270" t="s">
        <v>196</v>
      </c>
      <c r="W270" t="s">
        <v>197</v>
      </c>
      <c r="Y270">
        <v>10</v>
      </c>
      <c r="Z270" t="s">
        <v>172</v>
      </c>
      <c r="AA270" t="s">
        <v>173</v>
      </c>
      <c r="AB270" t="s">
        <v>174</v>
      </c>
      <c r="AC270" t="s">
        <v>175</v>
      </c>
      <c r="AD270">
        <v>15</v>
      </c>
      <c r="AG270" t="s">
        <v>167</v>
      </c>
      <c r="AH270" t="s">
        <v>416</v>
      </c>
      <c r="AI270" t="s">
        <v>178</v>
      </c>
      <c r="AJ270" t="s">
        <v>179</v>
      </c>
      <c r="AK270" t="s">
        <v>664</v>
      </c>
      <c r="AL270" t="s">
        <v>665</v>
      </c>
      <c r="AS270">
        <v>2250</v>
      </c>
      <c r="AT270">
        <v>2250</v>
      </c>
      <c r="BN270" s="114" t="s">
        <v>505</v>
      </c>
      <c r="BO270">
        <v>2</v>
      </c>
      <c r="BP270">
        <v>2</v>
      </c>
      <c r="BQ270">
        <v>12</v>
      </c>
      <c r="BR270" t="s">
        <v>666</v>
      </c>
      <c r="BT270" t="s">
        <v>183</v>
      </c>
      <c r="BU270" s="115">
        <v>45875</v>
      </c>
      <c r="BV270">
        <v>36984</v>
      </c>
      <c r="BW270" s="116"/>
      <c r="BX270" t="s">
        <v>173</v>
      </c>
      <c r="BY270" t="s">
        <v>173</v>
      </c>
      <c r="CB270" t="s">
        <v>173</v>
      </c>
      <c r="CC270" t="s">
        <v>173</v>
      </c>
      <c r="CD270" t="s">
        <v>701</v>
      </c>
      <c r="CE270" t="s">
        <v>173</v>
      </c>
      <c r="CG270" t="s">
        <v>172</v>
      </c>
      <c r="CH270" t="s">
        <v>249</v>
      </c>
      <c r="CI270" t="s">
        <v>173</v>
      </c>
      <c r="CK270" t="s">
        <v>259</v>
      </c>
      <c r="CM270">
        <v>1</v>
      </c>
      <c r="CN270" t="s">
        <v>515</v>
      </c>
      <c r="CP270">
        <v>288</v>
      </c>
      <c r="CQ270">
        <v>6.5</v>
      </c>
      <c r="CR270">
        <v>33</v>
      </c>
      <c r="CS270" t="s">
        <v>261</v>
      </c>
      <c r="CV270" t="s">
        <v>262</v>
      </c>
      <c r="CX270" t="s">
        <v>702</v>
      </c>
      <c r="CY270" t="s">
        <v>173</v>
      </c>
      <c r="DC270" t="s">
        <v>703</v>
      </c>
      <c r="DD270">
        <v>1</v>
      </c>
      <c r="DE270" t="s">
        <v>307</v>
      </c>
      <c r="DF270" t="s">
        <v>507</v>
      </c>
      <c r="DG270">
        <v>36</v>
      </c>
      <c r="DJ270" t="s">
        <v>250</v>
      </c>
      <c r="DK270" t="s">
        <v>251</v>
      </c>
      <c r="DL270" t="s">
        <v>173</v>
      </c>
      <c r="DM270" t="s">
        <v>173</v>
      </c>
      <c r="DN270" t="s">
        <v>173</v>
      </c>
      <c r="DO270" t="s">
        <v>284</v>
      </c>
      <c r="DP270" t="s">
        <v>172</v>
      </c>
      <c r="DQ270" t="s">
        <v>204</v>
      </c>
      <c r="DR270" t="s">
        <v>509</v>
      </c>
      <c r="EA270" s="117"/>
      <c r="EB270">
        <v>4</v>
      </c>
      <c r="EC270">
        <v>4</v>
      </c>
      <c r="EE270" t="s">
        <v>704</v>
      </c>
      <c r="EF270">
        <v>4</v>
      </c>
      <c r="EV270">
        <v>2750</v>
      </c>
      <c r="EW270">
        <v>441</v>
      </c>
      <c r="EX270">
        <v>366</v>
      </c>
      <c r="EY270">
        <v>407</v>
      </c>
    </row>
    <row r="271" spans="1:155" x14ac:dyDescent="0.35">
      <c r="A271">
        <v>2026</v>
      </c>
      <c r="B271" t="s">
        <v>242</v>
      </c>
      <c r="C271" s="112" t="s">
        <v>239</v>
      </c>
      <c r="D271" t="s">
        <v>705</v>
      </c>
      <c r="E271" t="s">
        <v>245</v>
      </c>
      <c r="F271">
        <v>210</v>
      </c>
      <c r="G271" s="113">
        <v>3.4</v>
      </c>
      <c r="H271">
        <v>6</v>
      </c>
      <c r="I271" t="s">
        <v>246</v>
      </c>
      <c r="J271">
        <v>20</v>
      </c>
      <c r="K271">
        <v>24</v>
      </c>
      <c r="L271">
        <v>22</v>
      </c>
      <c r="M271">
        <v>26.8</v>
      </c>
      <c r="N271">
        <v>33.799999999999997</v>
      </c>
      <c r="O271">
        <v>29.554300000000001</v>
      </c>
      <c r="P271">
        <v>20</v>
      </c>
      <c r="Q271">
        <v>24.1023</v>
      </c>
      <c r="R271">
        <v>22.357099999999999</v>
      </c>
      <c r="T271" t="s">
        <v>168</v>
      </c>
      <c r="U271" t="s">
        <v>169</v>
      </c>
      <c r="V271" t="s">
        <v>196</v>
      </c>
      <c r="W271" t="s">
        <v>197</v>
      </c>
      <c r="Y271">
        <v>10</v>
      </c>
      <c r="Z271" t="s">
        <v>172</v>
      </c>
      <c r="AA271" t="s">
        <v>173</v>
      </c>
      <c r="AB271" t="s">
        <v>174</v>
      </c>
      <c r="AC271" t="s">
        <v>175</v>
      </c>
      <c r="AD271">
        <v>15</v>
      </c>
      <c r="AG271" t="s">
        <v>216</v>
      </c>
      <c r="AH271" t="s">
        <v>217</v>
      </c>
      <c r="AI271" t="s">
        <v>178</v>
      </c>
      <c r="AJ271" t="s">
        <v>179</v>
      </c>
      <c r="AK271" t="s">
        <v>664</v>
      </c>
      <c r="AL271" t="s">
        <v>665</v>
      </c>
      <c r="AS271">
        <v>2850</v>
      </c>
      <c r="AT271">
        <v>2850</v>
      </c>
      <c r="BN271" s="114" t="s">
        <v>505</v>
      </c>
      <c r="BO271">
        <v>2</v>
      </c>
      <c r="BP271">
        <v>2</v>
      </c>
      <c r="BQ271">
        <v>12</v>
      </c>
      <c r="BR271" t="s">
        <v>666</v>
      </c>
      <c r="BT271" t="s">
        <v>183</v>
      </c>
      <c r="BU271" s="115">
        <v>45875</v>
      </c>
      <c r="BV271">
        <v>37030</v>
      </c>
      <c r="BW271" s="116"/>
      <c r="BX271" t="s">
        <v>173</v>
      </c>
      <c r="BY271" t="s">
        <v>173</v>
      </c>
      <c r="CB271" t="s">
        <v>173</v>
      </c>
      <c r="CC271" t="s">
        <v>173</v>
      </c>
      <c r="CD271" t="s">
        <v>706</v>
      </c>
      <c r="CE271" t="s">
        <v>173</v>
      </c>
      <c r="CG271" t="s">
        <v>172</v>
      </c>
      <c r="CH271" t="s">
        <v>249</v>
      </c>
      <c r="CI271" t="s">
        <v>173</v>
      </c>
      <c r="CK271" t="s">
        <v>259</v>
      </c>
      <c r="CM271">
        <v>1</v>
      </c>
      <c r="CN271" t="s">
        <v>515</v>
      </c>
      <c r="CP271">
        <v>288</v>
      </c>
      <c r="CQ271">
        <v>6.5</v>
      </c>
      <c r="CR271">
        <v>33</v>
      </c>
      <c r="CS271" t="s">
        <v>261</v>
      </c>
      <c r="CV271" t="s">
        <v>262</v>
      </c>
      <c r="CX271" t="s">
        <v>702</v>
      </c>
      <c r="CY271" t="s">
        <v>173</v>
      </c>
      <c r="DC271" t="s">
        <v>703</v>
      </c>
      <c r="DD271">
        <v>1</v>
      </c>
      <c r="DE271" t="s">
        <v>307</v>
      </c>
      <c r="DF271" t="s">
        <v>507</v>
      </c>
      <c r="DG271">
        <v>36</v>
      </c>
      <c r="DJ271" t="s">
        <v>250</v>
      </c>
      <c r="DK271" t="s">
        <v>251</v>
      </c>
      <c r="DL271" t="s">
        <v>173</v>
      </c>
      <c r="DM271" t="s">
        <v>173</v>
      </c>
      <c r="DN271" t="s">
        <v>173</v>
      </c>
      <c r="DO271" t="s">
        <v>284</v>
      </c>
      <c r="DP271" t="s">
        <v>172</v>
      </c>
      <c r="DQ271" t="s">
        <v>204</v>
      </c>
      <c r="DR271" t="s">
        <v>707</v>
      </c>
      <c r="EA271" s="117"/>
      <c r="EB271">
        <v>4</v>
      </c>
      <c r="EC271">
        <v>4</v>
      </c>
      <c r="EE271" t="s">
        <v>704</v>
      </c>
      <c r="EF271">
        <v>4</v>
      </c>
      <c r="EV271">
        <v>5750</v>
      </c>
      <c r="EW271">
        <v>441</v>
      </c>
      <c r="EX271">
        <v>366</v>
      </c>
      <c r="EY271">
        <v>407</v>
      </c>
    </row>
    <row r="272" spans="1:155" x14ac:dyDescent="0.35">
      <c r="A272">
        <v>2026</v>
      </c>
      <c r="B272" t="s">
        <v>242</v>
      </c>
      <c r="C272" s="112" t="s">
        <v>239</v>
      </c>
      <c r="D272" t="s">
        <v>708</v>
      </c>
      <c r="E272" t="s">
        <v>245</v>
      </c>
      <c r="F272">
        <v>205</v>
      </c>
      <c r="G272" s="113">
        <v>3.4</v>
      </c>
      <c r="H272">
        <v>6</v>
      </c>
      <c r="I272" t="s">
        <v>246</v>
      </c>
      <c r="J272">
        <v>18</v>
      </c>
      <c r="K272">
        <v>23</v>
      </c>
      <c r="L272">
        <v>20</v>
      </c>
      <c r="M272">
        <v>22.828199999999999</v>
      </c>
      <c r="N272">
        <v>32.929900000000004</v>
      </c>
      <c r="O272">
        <v>26.484200000000001</v>
      </c>
      <c r="P272">
        <v>18.2117</v>
      </c>
      <c r="Q272">
        <v>23</v>
      </c>
      <c r="R272">
        <v>20.273199999999999</v>
      </c>
      <c r="T272" t="s">
        <v>168</v>
      </c>
      <c r="U272" t="s">
        <v>169</v>
      </c>
      <c r="V272" t="s">
        <v>196</v>
      </c>
      <c r="W272" t="s">
        <v>197</v>
      </c>
      <c r="Y272">
        <v>10</v>
      </c>
      <c r="Z272" t="s">
        <v>172</v>
      </c>
      <c r="AA272" t="s">
        <v>173</v>
      </c>
      <c r="AB272" t="s">
        <v>174</v>
      </c>
      <c r="AC272" t="s">
        <v>175</v>
      </c>
      <c r="AD272">
        <v>15</v>
      </c>
      <c r="AG272" t="s">
        <v>216</v>
      </c>
      <c r="AH272" t="s">
        <v>217</v>
      </c>
      <c r="AI272" t="s">
        <v>178</v>
      </c>
      <c r="AJ272" t="s">
        <v>179</v>
      </c>
      <c r="AK272" t="s">
        <v>664</v>
      </c>
      <c r="AL272" t="s">
        <v>665</v>
      </c>
      <c r="AS272">
        <v>3100</v>
      </c>
      <c r="AT272">
        <v>3100</v>
      </c>
      <c r="BN272" s="114" t="s">
        <v>247</v>
      </c>
      <c r="BO272">
        <v>2</v>
      </c>
      <c r="BP272">
        <v>2</v>
      </c>
      <c r="BQ272">
        <v>12</v>
      </c>
      <c r="BR272" t="s">
        <v>666</v>
      </c>
      <c r="BT272" t="s">
        <v>183</v>
      </c>
      <c r="BU272" s="115">
        <v>45875</v>
      </c>
      <c r="BV272">
        <v>37034</v>
      </c>
      <c r="BW272" s="116"/>
      <c r="BX272" t="s">
        <v>173</v>
      </c>
      <c r="BY272" t="s">
        <v>173</v>
      </c>
      <c r="CB272" t="s">
        <v>173</v>
      </c>
      <c r="CC272" t="s">
        <v>173</v>
      </c>
      <c r="CD272" t="s">
        <v>709</v>
      </c>
      <c r="CE272" t="s">
        <v>173</v>
      </c>
      <c r="CG272" t="s">
        <v>172</v>
      </c>
      <c r="CH272" t="s">
        <v>249</v>
      </c>
      <c r="CI272" t="s">
        <v>173</v>
      </c>
      <c r="DJ272" t="s">
        <v>250</v>
      </c>
      <c r="DK272" t="s">
        <v>251</v>
      </c>
      <c r="DN272" t="s">
        <v>173</v>
      </c>
      <c r="DO272" t="s">
        <v>284</v>
      </c>
      <c r="DP272" t="s">
        <v>172</v>
      </c>
      <c r="DQ272" t="s">
        <v>204</v>
      </c>
      <c r="DR272" t="s">
        <v>710</v>
      </c>
      <c r="EA272" s="117"/>
      <c r="EB272">
        <v>4</v>
      </c>
      <c r="EC272">
        <v>4</v>
      </c>
      <c r="EE272" t="s">
        <v>698</v>
      </c>
      <c r="EF272">
        <v>4</v>
      </c>
      <c r="EV272">
        <v>7000</v>
      </c>
      <c r="EW272">
        <v>490</v>
      </c>
      <c r="EX272">
        <v>387</v>
      </c>
      <c r="EY272">
        <v>444</v>
      </c>
    </row>
    <row r="273" spans="1:155" x14ac:dyDescent="0.35">
      <c r="A273">
        <v>2026</v>
      </c>
      <c r="B273" t="s">
        <v>211</v>
      </c>
      <c r="C273" s="112" t="s">
        <v>212</v>
      </c>
      <c r="D273" t="s">
        <v>711</v>
      </c>
      <c r="E273" t="s">
        <v>214</v>
      </c>
      <c r="F273">
        <v>516</v>
      </c>
      <c r="G273" s="113">
        <v>2.7</v>
      </c>
      <c r="H273">
        <v>4</v>
      </c>
      <c r="I273" t="s">
        <v>166</v>
      </c>
      <c r="J273">
        <v>17</v>
      </c>
      <c r="K273">
        <v>22</v>
      </c>
      <c r="L273">
        <v>19</v>
      </c>
      <c r="M273">
        <v>22.3</v>
      </c>
      <c r="N273">
        <v>33.6</v>
      </c>
      <c r="O273">
        <v>26.276700000000002</v>
      </c>
      <c r="P273">
        <v>17.316199999999998</v>
      </c>
      <c r="Q273">
        <v>22.0532</v>
      </c>
      <c r="R273">
        <v>19.1691</v>
      </c>
      <c r="T273" t="s">
        <v>168</v>
      </c>
      <c r="U273" t="s">
        <v>169</v>
      </c>
      <c r="V273" t="s">
        <v>170</v>
      </c>
      <c r="W273" t="s">
        <v>171</v>
      </c>
      <c r="Y273">
        <v>8</v>
      </c>
      <c r="Z273" t="s">
        <v>172</v>
      </c>
      <c r="AA273" t="s">
        <v>173</v>
      </c>
      <c r="AB273">
        <v>4</v>
      </c>
      <c r="AC273" t="s">
        <v>423</v>
      </c>
      <c r="AD273">
        <v>10</v>
      </c>
      <c r="AG273" t="s">
        <v>167</v>
      </c>
      <c r="AH273" t="s">
        <v>416</v>
      </c>
      <c r="AI273" t="s">
        <v>178</v>
      </c>
      <c r="AJ273" t="s">
        <v>179</v>
      </c>
      <c r="AK273" t="s">
        <v>664</v>
      </c>
      <c r="AL273" t="s">
        <v>665</v>
      </c>
      <c r="AS273">
        <v>2600</v>
      </c>
      <c r="AT273">
        <v>2600</v>
      </c>
      <c r="BN273" s="114" t="s">
        <v>198</v>
      </c>
      <c r="BO273">
        <v>2</v>
      </c>
      <c r="BP273">
        <v>2</v>
      </c>
      <c r="BQ273">
        <v>13</v>
      </c>
      <c r="BR273" t="s">
        <v>712</v>
      </c>
      <c r="BT273" t="s">
        <v>218</v>
      </c>
      <c r="BU273" s="115">
        <v>45838</v>
      </c>
      <c r="BV273">
        <v>36848</v>
      </c>
      <c r="BW273" s="116"/>
      <c r="BX273" t="s">
        <v>173</v>
      </c>
      <c r="BY273" t="s">
        <v>173</v>
      </c>
      <c r="CB273" t="s">
        <v>173</v>
      </c>
      <c r="CC273" t="s">
        <v>173</v>
      </c>
      <c r="CD273" t="s">
        <v>392</v>
      </c>
      <c r="CE273" t="s">
        <v>172</v>
      </c>
      <c r="CF273" t="s">
        <v>220</v>
      </c>
      <c r="CG273" t="s">
        <v>172</v>
      </c>
      <c r="CH273" t="s">
        <v>224</v>
      </c>
      <c r="CI273" t="s">
        <v>172</v>
      </c>
      <c r="CJ273" t="s">
        <v>390</v>
      </c>
      <c r="DJ273" t="s">
        <v>201</v>
      </c>
      <c r="DK273" t="s">
        <v>202</v>
      </c>
      <c r="DN273" t="s">
        <v>173</v>
      </c>
      <c r="DO273" t="s">
        <v>203</v>
      </c>
      <c r="DP273" t="s">
        <v>172</v>
      </c>
      <c r="DQ273" t="s">
        <v>204</v>
      </c>
      <c r="EA273" s="117"/>
      <c r="EB273">
        <v>4</v>
      </c>
      <c r="EC273">
        <v>4</v>
      </c>
      <c r="EE273" t="s">
        <v>667</v>
      </c>
      <c r="EF273">
        <v>6</v>
      </c>
      <c r="EV273">
        <v>4500</v>
      </c>
      <c r="EW273">
        <v>511</v>
      </c>
      <c r="EX273">
        <v>404</v>
      </c>
      <c r="EY273">
        <v>462</v>
      </c>
    </row>
    <row r="274" spans="1:155" x14ac:dyDescent="0.35">
      <c r="A274">
        <v>2026</v>
      </c>
      <c r="B274" t="s">
        <v>211</v>
      </c>
      <c r="C274" s="112" t="s">
        <v>212</v>
      </c>
      <c r="D274" t="s">
        <v>713</v>
      </c>
      <c r="E274" t="s">
        <v>214</v>
      </c>
      <c r="F274">
        <v>506</v>
      </c>
      <c r="G274" s="113">
        <v>2.7</v>
      </c>
      <c r="H274">
        <v>4</v>
      </c>
      <c r="I274" t="s">
        <v>166</v>
      </c>
      <c r="J274">
        <v>17</v>
      </c>
      <c r="K274">
        <v>20</v>
      </c>
      <c r="L274">
        <v>18</v>
      </c>
      <c r="M274">
        <v>22</v>
      </c>
      <c r="N274">
        <v>30.9</v>
      </c>
      <c r="O274">
        <v>25.2761</v>
      </c>
      <c r="P274">
        <v>16.7605</v>
      </c>
      <c r="Q274">
        <v>19.723299999999998</v>
      </c>
      <c r="R274">
        <v>17.9756</v>
      </c>
      <c r="T274" t="s">
        <v>168</v>
      </c>
      <c r="U274" t="s">
        <v>169</v>
      </c>
      <c r="V274" t="s">
        <v>170</v>
      </c>
      <c r="W274" t="s">
        <v>171</v>
      </c>
      <c r="Y274">
        <v>8</v>
      </c>
      <c r="Z274" t="s">
        <v>172</v>
      </c>
      <c r="AA274" t="s">
        <v>173</v>
      </c>
      <c r="AB274">
        <v>4</v>
      </c>
      <c r="AC274" t="s">
        <v>423</v>
      </c>
      <c r="AD274">
        <v>10</v>
      </c>
      <c r="AG274" t="s">
        <v>167</v>
      </c>
      <c r="AH274" t="s">
        <v>416</v>
      </c>
      <c r="AI274" t="s">
        <v>178</v>
      </c>
      <c r="AJ274" t="s">
        <v>179</v>
      </c>
      <c r="AK274" t="s">
        <v>664</v>
      </c>
      <c r="AL274" t="s">
        <v>665</v>
      </c>
      <c r="AS274">
        <v>2750</v>
      </c>
      <c r="AT274">
        <v>2750</v>
      </c>
      <c r="BN274" s="114" t="s">
        <v>198</v>
      </c>
      <c r="BO274">
        <v>2</v>
      </c>
      <c r="BP274">
        <v>2</v>
      </c>
      <c r="BQ274">
        <v>13</v>
      </c>
      <c r="BR274" t="s">
        <v>712</v>
      </c>
      <c r="BT274" t="s">
        <v>218</v>
      </c>
      <c r="BU274" s="115">
        <v>45838</v>
      </c>
      <c r="BV274">
        <v>36851</v>
      </c>
      <c r="BW274" s="116"/>
      <c r="BX274" t="s">
        <v>173</v>
      </c>
      <c r="BY274" t="s">
        <v>173</v>
      </c>
      <c r="CB274" t="s">
        <v>173</v>
      </c>
      <c r="CC274" t="s">
        <v>173</v>
      </c>
      <c r="CD274" t="s">
        <v>392</v>
      </c>
      <c r="CE274" t="s">
        <v>172</v>
      </c>
      <c r="CF274" t="s">
        <v>220</v>
      </c>
      <c r="CG274" t="s">
        <v>172</v>
      </c>
      <c r="CH274" t="s">
        <v>224</v>
      </c>
      <c r="CI274" t="s">
        <v>172</v>
      </c>
      <c r="CJ274" t="s">
        <v>390</v>
      </c>
      <c r="DJ274" t="s">
        <v>201</v>
      </c>
      <c r="DK274" t="s">
        <v>202</v>
      </c>
      <c r="DN274" t="s">
        <v>173</v>
      </c>
      <c r="DO274" t="s">
        <v>203</v>
      </c>
      <c r="DP274" t="s">
        <v>172</v>
      </c>
      <c r="DQ274" t="s">
        <v>204</v>
      </c>
      <c r="EA274" s="117"/>
      <c r="EB274">
        <v>3</v>
      </c>
      <c r="EC274">
        <v>3</v>
      </c>
      <c r="EE274" t="s">
        <v>667</v>
      </c>
      <c r="EF274">
        <v>6</v>
      </c>
      <c r="EV274">
        <v>5250</v>
      </c>
      <c r="EW274">
        <v>529</v>
      </c>
      <c r="EX274">
        <v>451</v>
      </c>
      <c r="EY274">
        <v>494</v>
      </c>
    </row>
    <row r="275" spans="1:155" x14ac:dyDescent="0.35">
      <c r="A275">
        <v>2026</v>
      </c>
      <c r="B275" t="s">
        <v>211</v>
      </c>
      <c r="C275" s="112" t="s">
        <v>212</v>
      </c>
      <c r="D275" t="s">
        <v>714</v>
      </c>
      <c r="E275" t="s">
        <v>214</v>
      </c>
      <c r="F275">
        <v>503</v>
      </c>
      <c r="G275" s="113">
        <v>2.7</v>
      </c>
      <c r="H275">
        <v>4</v>
      </c>
      <c r="I275" t="s">
        <v>166</v>
      </c>
      <c r="J275">
        <v>17</v>
      </c>
      <c r="K275">
        <v>17</v>
      </c>
      <c r="L275">
        <v>17</v>
      </c>
      <c r="M275">
        <v>20.8995</v>
      </c>
      <c r="N275">
        <v>28.3</v>
      </c>
      <c r="O275">
        <v>23.686900000000001</v>
      </c>
      <c r="P275">
        <v>16.674700000000001</v>
      </c>
      <c r="Q275">
        <v>17</v>
      </c>
      <c r="R275">
        <v>17.323599999999999</v>
      </c>
      <c r="T275" t="s">
        <v>168</v>
      </c>
      <c r="U275" t="s">
        <v>169</v>
      </c>
      <c r="V275" t="s">
        <v>170</v>
      </c>
      <c r="W275" t="s">
        <v>171</v>
      </c>
      <c r="Y275">
        <v>8</v>
      </c>
      <c r="Z275" t="s">
        <v>172</v>
      </c>
      <c r="AA275" t="s">
        <v>173</v>
      </c>
      <c r="AB275">
        <v>4</v>
      </c>
      <c r="AC275" t="s">
        <v>423</v>
      </c>
      <c r="AD275">
        <v>10</v>
      </c>
      <c r="AG275" t="s">
        <v>167</v>
      </c>
      <c r="AH275" t="s">
        <v>416</v>
      </c>
      <c r="AI275" t="s">
        <v>178</v>
      </c>
      <c r="AJ275" t="s">
        <v>179</v>
      </c>
      <c r="AK275" t="s">
        <v>664</v>
      </c>
      <c r="AL275" t="s">
        <v>665</v>
      </c>
      <c r="AS275">
        <v>2900</v>
      </c>
      <c r="AT275">
        <v>2900</v>
      </c>
      <c r="BN275" s="114" t="s">
        <v>198</v>
      </c>
      <c r="BO275">
        <v>2</v>
      </c>
      <c r="BP275">
        <v>2</v>
      </c>
      <c r="BQ275">
        <v>13</v>
      </c>
      <c r="BR275" t="s">
        <v>712</v>
      </c>
      <c r="BT275" t="s">
        <v>218</v>
      </c>
      <c r="BU275" s="115">
        <v>45838</v>
      </c>
      <c r="BV275">
        <v>36858</v>
      </c>
      <c r="BW275" s="116"/>
      <c r="BX275" t="s">
        <v>172</v>
      </c>
      <c r="BY275" t="s">
        <v>173</v>
      </c>
      <c r="CB275" t="s">
        <v>173</v>
      </c>
      <c r="CC275" t="s">
        <v>173</v>
      </c>
      <c r="CD275" t="s">
        <v>392</v>
      </c>
      <c r="CE275" t="s">
        <v>172</v>
      </c>
      <c r="CF275" t="s">
        <v>220</v>
      </c>
      <c r="CG275" t="s">
        <v>172</v>
      </c>
      <c r="CH275" t="s">
        <v>224</v>
      </c>
      <c r="CI275" t="s">
        <v>172</v>
      </c>
      <c r="CJ275" t="s">
        <v>390</v>
      </c>
      <c r="DJ275" t="s">
        <v>201</v>
      </c>
      <c r="DK275" t="s">
        <v>202</v>
      </c>
      <c r="DN275" t="s">
        <v>173</v>
      </c>
      <c r="DO275" t="s">
        <v>203</v>
      </c>
      <c r="DP275" t="s">
        <v>172</v>
      </c>
      <c r="DQ275" t="s">
        <v>204</v>
      </c>
      <c r="EA275" s="117"/>
      <c r="EB275">
        <v>3</v>
      </c>
      <c r="EC275">
        <v>3</v>
      </c>
      <c r="EE275" t="s">
        <v>667</v>
      </c>
      <c r="EF275">
        <v>6</v>
      </c>
      <c r="EV275">
        <v>6000</v>
      </c>
      <c r="EW275">
        <v>531</v>
      </c>
      <c r="EX275">
        <v>522</v>
      </c>
      <c r="EY275">
        <v>527</v>
      </c>
    </row>
    <row r="276" spans="1:155" x14ac:dyDescent="0.35">
      <c r="A276">
        <v>2026</v>
      </c>
      <c r="B276" t="s">
        <v>211</v>
      </c>
      <c r="C276" s="112" t="s">
        <v>212</v>
      </c>
      <c r="D276" t="s">
        <v>715</v>
      </c>
      <c r="E276" t="s">
        <v>214</v>
      </c>
      <c r="F276">
        <v>500</v>
      </c>
      <c r="G276" s="113">
        <v>2.7</v>
      </c>
      <c r="H276">
        <v>4</v>
      </c>
      <c r="I276" t="s">
        <v>166</v>
      </c>
      <c r="J276">
        <v>16</v>
      </c>
      <c r="K276">
        <v>16</v>
      </c>
      <c r="L276">
        <v>16</v>
      </c>
      <c r="M276">
        <v>20.3</v>
      </c>
      <c r="N276">
        <v>25.3</v>
      </c>
      <c r="O276">
        <v>22.281600000000001</v>
      </c>
      <c r="P276">
        <v>15.848599999999999</v>
      </c>
      <c r="Q276">
        <v>15.596500000000001</v>
      </c>
      <c r="R276">
        <v>15.7342</v>
      </c>
      <c r="T276" t="s">
        <v>168</v>
      </c>
      <c r="U276" t="s">
        <v>169</v>
      </c>
      <c r="V276" t="s">
        <v>170</v>
      </c>
      <c r="W276" t="s">
        <v>171</v>
      </c>
      <c r="Y276">
        <v>8</v>
      </c>
      <c r="Z276" t="s">
        <v>172</v>
      </c>
      <c r="AA276" t="s">
        <v>173</v>
      </c>
      <c r="AB276">
        <v>4</v>
      </c>
      <c r="AC276" t="s">
        <v>423</v>
      </c>
      <c r="AD276">
        <v>10</v>
      </c>
      <c r="AG276" t="s">
        <v>167</v>
      </c>
      <c r="AH276" t="s">
        <v>416</v>
      </c>
      <c r="AI276" t="s">
        <v>178</v>
      </c>
      <c r="AJ276" t="s">
        <v>179</v>
      </c>
      <c r="AK276" t="s">
        <v>664</v>
      </c>
      <c r="AL276" t="s">
        <v>665</v>
      </c>
      <c r="AS276">
        <v>3100</v>
      </c>
      <c r="AT276">
        <v>3100</v>
      </c>
      <c r="BN276" s="114" t="s">
        <v>198</v>
      </c>
      <c r="BO276">
        <v>2</v>
      </c>
      <c r="BP276">
        <v>2</v>
      </c>
      <c r="BQ276">
        <v>13</v>
      </c>
      <c r="BR276" t="s">
        <v>712</v>
      </c>
      <c r="BT276" t="s">
        <v>218</v>
      </c>
      <c r="BU276" s="115">
        <v>45838</v>
      </c>
      <c r="BV276">
        <v>36855</v>
      </c>
      <c r="BW276" s="116"/>
      <c r="BX276" t="s">
        <v>172</v>
      </c>
      <c r="BY276" t="s">
        <v>173</v>
      </c>
      <c r="CB276" t="s">
        <v>173</v>
      </c>
      <c r="CC276" t="s">
        <v>173</v>
      </c>
      <c r="CD276" t="s">
        <v>392</v>
      </c>
      <c r="CE276" t="s">
        <v>172</v>
      </c>
      <c r="CF276" t="s">
        <v>220</v>
      </c>
      <c r="CG276" t="s">
        <v>172</v>
      </c>
      <c r="CH276" t="s">
        <v>224</v>
      </c>
      <c r="CI276" t="s">
        <v>172</v>
      </c>
      <c r="CJ276" t="s">
        <v>390</v>
      </c>
      <c r="DJ276" t="s">
        <v>201</v>
      </c>
      <c r="DK276" t="s">
        <v>202</v>
      </c>
      <c r="DN276" t="s">
        <v>173</v>
      </c>
      <c r="DO276" t="s">
        <v>203</v>
      </c>
      <c r="DP276" t="s">
        <v>172</v>
      </c>
      <c r="DQ276" t="s">
        <v>204</v>
      </c>
      <c r="EA276" s="117"/>
      <c r="EB276">
        <v>3</v>
      </c>
      <c r="EC276">
        <v>3</v>
      </c>
      <c r="EE276" t="s">
        <v>667</v>
      </c>
      <c r="EF276">
        <v>6</v>
      </c>
      <c r="EV276">
        <v>7000</v>
      </c>
      <c r="EW276">
        <v>559</v>
      </c>
      <c r="EX276">
        <v>570</v>
      </c>
      <c r="EY276">
        <v>564</v>
      </c>
    </row>
    <row r="277" spans="1:155" x14ac:dyDescent="0.35">
      <c r="A277">
        <v>2026</v>
      </c>
      <c r="B277" t="s">
        <v>211</v>
      </c>
      <c r="C277" s="112" t="s">
        <v>212</v>
      </c>
      <c r="D277" t="s">
        <v>716</v>
      </c>
      <c r="E277" t="s">
        <v>214</v>
      </c>
      <c r="F277">
        <v>554</v>
      </c>
      <c r="G277" s="113">
        <v>6.2</v>
      </c>
      <c r="H277">
        <v>8</v>
      </c>
      <c r="I277" t="s">
        <v>669</v>
      </c>
      <c r="J277">
        <v>15</v>
      </c>
      <c r="K277">
        <v>20</v>
      </c>
      <c r="L277">
        <v>17</v>
      </c>
      <c r="M277">
        <v>18.531099999999999</v>
      </c>
      <c r="N277">
        <v>29.532599999999999</v>
      </c>
      <c r="O277">
        <v>22.263200000000001</v>
      </c>
      <c r="P277">
        <v>14.9939</v>
      </c>
      <c r="Q277">
        <v>19.761199999999999</v>
      </c>
      <c r="R277">
        <v>16.819900000000001</v>
      </c>
      <c r="U277" t="s">
        <v>215</v>
      </c>
      <c r="V277" t="s">
        <v>170</v>
      </c>
      <c r="W277" t="s">
        <v>171</v>
      </c>
      <c r="Y277">
        <v>10</v>
      </c>
      <c r="Z277" t="s">
        <v>172</v>
      </c>
      <c r="AA277" t="s">
        <v>173</v>
      </c>
      <c r="AB277">
        <v>4</v>
      </c>
      <c r="AC277" t="s">
        <v>423</v>
      </c>
      <c r="AD277">
        <v>10</v>
      </c>
      <c r="AG277" t="s">
        <v>176</v>
      </c>
      <c r="AH277" t="s">
        <v>177</v>
      </c>
      <c r="AI277" t="s">
        <v>178</v>
      </c>
      <c r="AJ277" t="s">
        <v>179</v>
      </c>
      <c r="AK277" t="s">
        <v>664</v>
      </c>
      <c r="AL277" t="s">
        <v>665</v>
      </c>
      <c r="AS277">
        <v>3650</v>
      </c>
      <c r="AT277">
        <v>3650</v>
      </c>
      <c r="BN277" s="114" t="s">
        <v>198</v>
      </c>
      <c r="BO277">
        <v>1</v>
      </c>
      <c r="BP277">
        <v>1</v>
      </c>
      <c r="BQ277">
        <v>13</v>
      </c>
      <c r="BR277" t="s">
        <v>712</v>
      </c>
      <c r="BT277" t="s">
        <v>613</v>
      </c>
      <c r="BU277" s="115">
        <v>45838</v>
      </c>
      <c r="BV277">
        <v>36823</v>
      </c>
      <c r="BW277" s="116"/>
      <c r="BX277" t="s">
        <v>173</v>
      </c>
      <c r="BY277" t="s">
        <v>173</v>
      </c>
      <c r="CB277" t="s">
        <v>173</v>
      </c>
      <c r="CC277" t="s">
        <v>173</v>
      </c>
      <c r="CE277" t="s">
        <v>172</v>
      </c>
      <c r="CF277" t="s">
        <v>676</v>
      </c>
      <c r="CG277" t="s">
        <v>172</v>
      </c>
      <c r="CH277" t="s">
        <v>677</v>
      </c>
      <c r="CI277" t="s">
        <v>173</v>
      </c>
      <c r="DJ277" t="s">
        <v>201</v>
      </c>
      <c r="DK277" t="s">
        <v>202</v>
      </c>
      <c r="DN277" t="s">
        <v>173</v>
      </c>
      <c r="DO277" t="s">
        <v>203</v>
      </c>
      <c r="DP277" t="s">
        <v>172</v>
      </c>
      <c r="DQ277" t="s">
        <v>204</v>
      </c>
      <c r="EA277" s="117"/>
      <c r="EB277">
        <v>3</v>
      </c>
      <c r="EC277">
        <v>3</v>
      </c>
      <c r="EE277" t="s">
        <v>717</v>
      </c>
      <c r="EF277">
        <v>5</v>
      </c>
      <c r="EV277">
        <v>9750</v>
      </c>
      <c r="EW277">
        <v>593</v>
      </c>
      <c r="EX277">
        <v>450</v>
      </c>
      <c r="EY277">
        <v>528</v>
      </c>
    </row>
    <row r="278" spans="1:155" x14ac:dyDescent="0.35">
      <c r="A278">
        <v>2026</v>
      </c>
      <c r="B278" t="s">
        <v>211</v>
      </c>
      <c r="C278" s="112" t="s">
        <v>212</v>
      </c>
      <c r="D278" t="s">
        <v>716</v>
      </c>
      <c r="E278" t="s">
        <v>214</v>
      </c>
      <c r="F278">
        <v>705</v>
      </c>
      <c r="G278" s="113">
        <v>3</v>
      </c>
      <c r="H278">
        <v>6</v>
      </c>
      <c r="I278" t="s">
        <v>669</v>
      </c>
      <c r="J278">
        <v>22</v>
      </c>
      <c r="K278">
        <v>25</v>
      </c>
      <c r="L278">
        <v>23</v>
      </c>
      <c r="M278">
        <v>28</v>
      </c>
      <c r="N278">
        <v>40.1</v>
      </c>
      <c r="O278">
        <v>32.3994</v>
      </c>
      <c r="P278">
        <v>21.966799999999999</v>
      </c>
      <c r="Q278">
        <v>25.351500000000001</v>
      </c>
      <c r="R278">
        <v>23.370899999999999</v>
      </c>
      <c r="T278" t="s">
        <v>168</v>
      </c>
      <c r="U278" t="s">
        <v>169</v>
      </c>
      <c r="V278" t="s">
        <v>170</v>
      </c>
      <c r="W278" t="s">
        <v>171</v>
      </c>
      <c r="Y278">
        <v>10</v>
      </c>
      <c r="Z278" t="s">
        <v>172</v>
      </c>
      <c r="AA278" t="s">
        <v>173</v>
      </c>
      <c r="AB278">
        <v>4</v>
      </c>
      <c r="AC278" t="s">
        <v>423</v>
      </c>
      <c r="AE278">
        <v>20</v>
      </c>
      <c r="AG278" t="s">
        <v>670</v>
      </c>
      <c r="AH278" t="s">
        <v>671</v>
      </c>
      <c r="AI278" t="s">
        <v>178</v>
      </c>
      <c r="AJ278" t="s">
        <v>179</v>
      </c>
      <c r="AK278" t="s">
        <v>664</v>
      </c>
      <c r="AL278" t="s">
        <v>665</v>
      </c>
      <c r="AS278">
        <v>2350</v>
      </c>
      <c r="AT278">
        <v>2350</v>
      </c>
      <c r="BN278" s="114"/>
      <c r="BO278">
        <v>2</v>
      </c>
      <c r="BP278">
        <v>2</v>
      </c>
      <c r="BQ278">
        <v>13</v>
      </c>
      <c r="BR278" t="s">
        <v>712</v>
      </c>
      <c r="BT278" t="s">
        <v>613</v>
      </c>
      <c r="BU278" s="115">
        <v>45839</v>
      </c>
      <c r="BV278">
        <v>36907</v>
      </c>
      <c r="BW278" s="116"/>
      <c r="BX278" t="s">
        <v>173</v>
      </c>
      <c r="BY278" t="s">
        <v>173</v>
      </c>
      <c r="CB278" t="s">
        <v>173</v>
      </c>
      <c r="CC278" t="s">
        <v>173</v>
      </c>
      <c r="CE278" t="s">
        <v>173</v>
      </c>
      <c r="CG278" t="s">
        <v>173</v>
      </c>
      <c r="CI278" t="s">
        <v>173</v>
      </c>
      <c r="DJ278" t="s">
        <v>672</v>
      </c>
      <c r="DK278" t="s">
        <v>673</v>
      </c>
      <c r="DN278" t="s">
        <v>173</v>
      </c>
      <c r="DO278" t="s">
        <v>203</v>
      </c>
      <c r="DP278" t="s">
        <v>172</v>
      </c>
      <c r="DQ278" t="s">
        <v>204</v>
      </c>
      <c r="EA278" s="117"/>
      <c r="EB278">
        <v>5</v>
      </c>
      <c r="EC278">
        <v>4</v>
      </c>
      <c r="EE278" t="s">
        <v>674</v>
      </c>
      <c r="EF278">
        <v>4</v>
      </c>
      <c r="EV278">
        <v>3250</v>
      </c>
      <c r="EW278">
        <v>463</v>
      </c>
      <c r="EX278">
        <v>399</v>
      </c>
      <c r="EY278">
        <v>434</v>
      </c>
    </row>
    <row r="279" spans="1:155" x14ac:dyDescent="0.35">
      <c r="A279">
        <v>2026</v>
      </c>
      <c r="B279" t="s">
        <v>211</v>
      </c>
      <c r="C279" s="112" t="s">
        <v>212</v>
      </c>
      <c r="D279" t="s">
        <v>718</v>
      </c>
      <c r="E279" t="s">
        <v>214</v>
      </c>
      <c r="F279">
        <v>550</v>
      </c>
      <c r="G279" s="113">
        <v>5.3</v>
      </c>
      <c r="H279">
        <v>8</v>
      </c>
      <c r="I279" t="s">
        <v>669</v>
      </c>
      <c r="J279">
        <v>15</v>
      </c>
      <c r="K279">
        <v>19</v>
      </c>
      <c r="L279">
        <v>17</v>
      </c>
      <c r="M279">
        <v>19.100000000000001</v>
      </c>
      <c r="N279">
        <v>28.7</v>
      </c>
      <c r="O279">
        <v>22.484400000000001</v>
      </c>
      <c r="P279">
        <v>15.4251</v>
      </c>
      <c r="Q279">
        <v>19.2393</v>
      </c>
      <c r="R279">
        <v>16.936</v>
      </c>
      <c r="U279" t="s">
        <v>215</v>
      </c>
      <c r="V279" t="s">
        <v>170</v>
      </c>
      <c r="W279" t="s">
        <v>171</v>
      </c>
      <c r="Y279">
        <v>10</v>
      </c>
      <c r="Z279" t="s">
        <v>172</v>
      </c>
      <c r="AA279" t="s">
        <v>173</v>
      </c>
      <c r="AB279">
        <v>4</v>
      </c>
      <c r="AC279" t="s">
        <v>423</v>
      </c>
      <c r="AD279">
        <v>85</v>
      </c>
      <c r="AF279">
        <v>408</v>
      </c>
      <c r="AG279" t="s">
        <v>167</v>
      </c>
      <c r="AH279" t="s">
        <v>416</v>
      </c>
      <c r="AI279" t="s">
        <v>178</v>
      </c>
      <c r="AJ279" t="s">
        <v>179</v>
      </c>
      <c r="AK279" t="s">
        <v>664</v>
      </c>
      <c r="AL279" t="s">
        <v>665</v>
      </c>
      <c r="AS279">
        <v>2900</v>
      </c>
      <c r="AT279">
        <v>2900</v>
      </c>
      <c r="AU279">
        <v>11</v>
      </c>
      <c r="AV279">
        <v>14</v>
      </c>
      <c r="AW279">
        <v>12</v>
      </c>
      <c r="AX279">
        <v>13.7</v>
      </c>
      <c r="AY279">
        <v>21.1</v>
      </c>
      <c r="AZ279">
        <v>16.267299999999999</v>
      </c>
      <c r="BA279">
        <v>11.0641</v>
      </c>
      <c r="BB279">
        <v>14.144600000000001</v>
      </c>
      <c r="BC279">
        <v>12.2662</v>
      </c>
      <c r="BD279">
        <v>288</v>
      </c>
      <c r="BE279" t="s">
        <v>618</v>
      </c>
      <c r="BF279" t="s">
        <v>619</v>
      </c>
      <c r="BG279" t="s">
        <v>178</v>
      </c>
      <c r="BH279" t="s">
        <v>179</v>
      </c>
      <c r="BI279">
        <v>3550</v>
      </c>
      <c r="BJ279">
        <v>568</v>
      </c>
      <c r="BK279">
        <v>444</v>
      </c>
      <c r="BL279">
        <v>512</v>
      </c>
      <c r="BM279">
        <v>3550</v>
      </c>
      <c r="BN279" s="114" t="s">
        <v>620</v>
      </c>
      <c r="BO279">
        <v>1</v>
      </c>
      <c r="BP279">
        <v>1</v>
      </c>
      <c r="BQ279">
        <v>13</v>
      </c>
      <c r="BR279" t="s">
        <v>712</v>
      </c>
      <c r="BT279" t="s">
        <v>613</v>
      </c>
      <c r="BU279" s="115">
        <v>45838</v>
      </c>
      <c r="BV279">
        <v>36886</v>
      </c>
      <c r="BW279" s="116"/>
      <c r="BX279" t="s">
        <v>173</v>
      </c>
      <c r="BY279" t="s">
        <v>173</v>
      </c>
      <c r="CB279" t="s">
        <v>173</v>
      </c>
      <c r="CC279" t="s">
        <v>173</v>
      </c>
      <c r="CE279" t="s">
        <v>172</v>
      </c>
      <c r="CF279" t="s">
        <v>676</v>
      </c>
      <c r="CG279" t="s">
        <v>172</v>
      </c>
      <c r="CH279" t="s">
        <v>677</v>
      </c>
      <c r="CI279" t="s">
        <v>173</v>
      </c>
      <c r="DJ279" t="s">
        <v>201</v>
      </c>
      <c r="DK279" t="s">
        <v>202</v>
      </c>
      <c r="DN279" t="s">
        <v>173</v>
      </c>
      <c r="DO279" t="s">
        <v>203</v>
      </c>
      <c r="DP279" t="s">
        <v>173</v>
      </c>
      <c r="DQ279" t="s">
        <v>189</v>
      </c>
      <c r="EA279" s="117"/>
      <c r="EB279">
        <v>3</v>
      </c>
      <c r="EC279">
        <v>3</v>
      </c>
      <c r="ED279">
        <v>3</v>
      </c>
      <c r="EE279" t="s">
        <v>719</v>
      </c>
      <c r="EF279">
        <v>2</v>
      </c>
      <c r="EV279">
        <v>6000</v>
      </c>
      <c r="EW279">
        <v>576</v>
      </c>
      <c r="EX279">
        <v>462</v>
      </c>
      <c r="EY279">
        <v>524</v>
      </c>
    </row>
    <row r="280" spans="1:155" x14ac:dyDescent="0.35">
      <c r="A280">
        <v>2026</v>
      </c>
      <c r="B280" t="s">
        <v>211</v>
      </c>
      <c r="C280" s="112" t="s">
        <v>212</v>
      </c>
      <c r="D280" t="s">
        <v>720</v>
      </c>
      <c r="E280" t="s">
        <v>214</v>
      </c>
      <c r="F280">
        <v>575</v>
      </c>
      <c r="G280" s="113">
        <v>5.3</v>
      </c>
      <c r="H280">
        <v>8</v>
      </c>
      <c r="I280" t="s">
        <v>669</v>
      </c>
      <c r="J280">
        <v>15</v>
      </c>
      <c r="K280">
        <v>19</v>
      </c>
      <c r="L280">
        <v>17</v>
      </c>
      <c r="M280">
        <v>19.522099999999998</v>
      </c>
      <c r="N280">
        <v>28.6815</v>
      </c>
      <c r="O280">
        <v>22.798400000000001</v>
      </c>
      <c r="P280">
        <v>15.3492</v>
      </c>
      <c r="Q280">
        <v>18.733499999999999</v>
      </c>
      <c r="R280">
        <v>16.7074</v>
      </c>
      <c r="U280" t="s">
        <v>215</v>
      </c>
      <c r="V280" t="s">
        <v>170</v>
      </c>
      <c r="W280" t="s">
        <v>171</v>
      </c>
      <c r="Y280">
        <v>10</v>
      </c>
      <c r="Z280" t="s">
        <v>172</v>
      </c>
      <c r="AA280" t="s">
        <v>173</v>
      </c>
      <c r="AB280">
        <v>4</v>
      </c>
      <c r="AC280" t="s">
        <v>423</v>
      </c>
      <c r="AD280">
        <v>10</v>
      </c>
      <c r="AG280" t="s">
        <v>167</v>
      </c>
      <c r="AH280" t="s">
        <v>416</v>
      </c>
      <c r="AI280" t="s">
        <v>178</v>
      </c>
      <c r="AJ280" t="s">
        <v>179</v>
      </c>
      <c r="AK280" t="s">
        <v>664</v>
      </c>
      <c r="AL280" t="s">
        <v>665</v>
      </c>
      <c r="AS280">
        <v>2900</v>
      </c>
      <c r="AT280">
        <v>2900</v>
      </c>
      <c r="BN280" s="114" t="s">
        <v>198</v>
      </c>
      <c r="BO280">
        <v>1</v>
      </c>
      <c r="BP280">
        <v>1</v>
      </c>
      <c r="BQ280">
        <v>13</v>
      </c>
      <c r="BR280" t="s">
        <v>712</v>
      </c>
      <c r="BT280" t="s">
        <v>218</v>
      </c>
      <c r="BU280" s="115">
        <v>45838</v>
      </c>
      <c r="BV280">
        <v>36877</v>
      </c>
      <c r="BW280" s="116"/>
      <c r="BX280" t="s">
        <v>173</v>
      </c>
      <c r="BY280" t="s">
        <v>173</v>
      </c>
      <c r="CB280" t="s">
        <v>173</v>
      </c>
      <c r="CC280" t="s">
        <v>173</v>
      </c>
      <c r="CE280" t="s">
        <v>172</v>
      </c>
      <c r="CF280" t="s">
        <v>676</v>
      </c>
      <c r="CG280" t="s">
        <v>172</v>
      </c>
      <c r="CH280" t="s">
        <v>677</v>
      </c>
      <c r="CI280" t="s">
        <v>173</v>
      </c>
      <c r="DJ280" t="s">
        <v>201</v>
      </c>
      <c r="DK280" t="s">
        <v>202</v>
      </c>
      <c r="DN280" t="s">
        <v>173</v>
      </c>
      <c r="DO280" t="s">
        <v>203</v>
      </c>
      <c r="DP280" t="s">
        <v>172</v>
      </c>
      <c r="DQ280" t="s">
        <v>204</v>
      </c>
      <c r="DR280" t="s">
        <v>721</v>
      </c>
      <c r="EA280" s="117"/>
      <c r="EB280">
        <v>3</v>
      </c>
      <c r="EC280">
        <v>3</v>
      </c>
      <c r="EE280" t="s">
        <v>679</v>
      </c>
      <c r="EF280">
        <v>6</v>
      </c>
      <c r="EV280">
        <v>6000</v>
      </c>
      <c r="EW280">
        <v>576</v>
      </c>
      <c r="EX280">
        <v>475</v>
      </c>
      <c r="EY280">
        <v>531</v>
      </c>
    </row>
    <row r="281" spans="1:155" x14ac:dyDescent="0.35">
      <c r="A281">
        <v>2026</v>
      </c>
      <c r="B281" t="s">
        <v>211</v>
      </c>
      <c r="C281" s="112" t="s">
        <v>212</v>
      </c>
      <c r="D281" t="s">
        <v>723</v>
      </c>
      <c r="E281" t="s">
        <v>214</v>
      </c>
      <c r="F281">
        <v>514</v>
      </c>
      <c r="G281" s="113">
        <v>2.7</v>
      </c>
      <c r="H281">
        <v>4</v>
      </c>
      <c r="I281" t="s">
        <v>166</v>
      </c>
      <c r="J281">
        <v>17</v>
      </c>
      <c r="K281">
        <v>21</v>
      </c>
      <c r="L281">
        <v>19</v>
      </c>
      <c r="M281">
        <v>22.179200000000002</v>
      </c>
      <c r="N281">
        <v>33.3127</v>
      </c>
      <c r="O281">
        <v>26.1053</v>
      </c>
      <c r="P281">
        <v>17.2454</v>
      </c>
      <c r="Q281">
        <v>21</v>
      </c>
      <c r="R281">
        <v>18.9864</v>
      </c>
      <c r="T281" t="s">
        <v>168</v>
      </c>
      <c r="U281" t="s">
        <v>169</v>
      </c>
      <c r="V281" t="s">
        <v>170</v>
      </c>
      <c r="W281" t="s">
        <v>171</v>
      </c>
      <c r="Y281">
        <v>8</v>
      </c>
      <c r="Z281" t="s">
        <v>172</v>
      </c>
      <c r="AA281" t="s">
        <v>173</v>
      </c>
      <c r="AB281">
        <v>4</v>
      </c>
      <c r="AC281" t="s">
        <v>423</v>
      </c>
      <c r="AD281">
        <v>10</v>
      </c>
      <c r="AG281" t="s">
        <v>167</v>
      </c>
      <c r="AH281" t="s">
        <v>416</v>
      </c>
      <c r="AI281" t="s">
        <v>178</v>
      </c>
      <c r="AJ281" t="s">
        <v>179</v>
      </c>
      <c r="AK281" t="s">
        <v>664</v>
      </c>
      <c r="AL281" t="s">
        <v>665</v>
      </c>
      <c r="AS281">
        <v>2600</v>
      </c>
      <c r="AT281">
        <v>2600</v>
      </c>
      <c r="BN281" s="114" t="s">
        <v>198</v>
      </c>
      <c r="BO281">
        <v>2</v>
      </c>
      <c r="BP281">
        <v>2</v>
      </c>
      <c r="BQ281">
        <v>13</v>
      </c>
      <c r="BR281" t="s">
        <v>712</v>
      </c>
      <c r="BT281" t="s">
        <v>218</v>
      </c>
      <c r="BU281" s="115">
        <v>45838</v>
      </c>
      <c r="BV281">
        <v>36846</v>
      </c>
      <c r="BW281" s="116"/>
      <c r="BX281" t="s">
        <v>173</v>
      </c>
      <c r="BY281" t="s">
        <v>173</v>
      </c>
      <c r="CB281" t="s">
        <v>173</v>
      </c>
      <c r="CC281" t="s">
        <v>173</v>
      </c>
      <c r="CD281" t="s">
        <v>392</v>
      </c>
      <c r="CE281" t="s">
        <v>172</v>
      </c>
      <c r="CF281" t="s">
        <v>220</v>
      </c>
      <c r="CG281" t="s">
        <v>172</v>
      </c>
      <c r="CH281" t="s">
        <v>224</v>
      </c>
      <c r="CI281" t="s">
        <v>172</v>
      </c>
      <c r="CJ281" t="s">
        <v>390</v>
      </c>
      <c r="DJ281" t="s">
        <v>201</v>
      </c>
      <c r="DK281" t="s">
        <v>202</v>
      </c>
      <c r="DN281" t="s">
        <v>173</v>
      </c>
      <c r="DO281" t="s">
        <v>203</v>
      </c>
      <c r="DP281" t="s">
        <v>172</v>
      </c>
      <c r="DQ281" t="s">
        <v>204</v>
      </c>
      <c r="EA281" s="117"/>
      <c r="EB281">
        <v>4</v>
      </c>
      <c r="EC281">
        <v>4</v>
      </c>
      <c r="EE281" t="s">
        <v>667</v>
      </c>
      <c r="EF281">
        <v>6</v>
      </c>
      <c r="EV281">
        <v>4500</v>
      </c>
      <c r="EW281">
        <v>513</v>
      </c>
      <c r="EX281">
        <v>424</v>
      </c>
      <c r="EY281">
        <v>473</v>
      </c>
    </row>
    <row r="282" spans="1:155" x14ac:dyDescent="0.35">
      <c r="A282">
        <v>2026</v>
      </c>
      <c r="B282" t="s">
        <v>211</v>
      </c>
      <c r="C282" s="112" t="s">
        <v>212</v>
      </c>
      <c r="D282" t="s">
        <v>724</v>
      </c>
      <c r="E282" t="s">
        <v>214</v>
      </c>
      <c r="F282">
        <v>519</v>
      </c>
      <c r="G282" s="113">
        <v>2.7</v>
      </c>
      <c r="H282">
        <v>4</v>
      </c>
      <c r="I282" t="s">
        <v>166</v>
      </c>
      <c r="J282">
        <v>17</v>
      </c>
      <c r="K282">
        <v>20</v>
      </c>
      <c r="L282">
        <v>18</v>
      </c>
      <c r="M282">
        <v>22.3065</v>
      </c>
      <c r="N282">
        <v>31.1782</v>
      </c>
      <c r="O282">
        <v>25.5822</v>
      </c>
      <c r="P282">
        <v>17.375399999999999</v>
      </c>
      <c r="Q282">
        <v>19.957999999999998</v>
      </c>
      <c r="R282">
        <v>18.4497</v>
      </c>
      <c r="T282" t="s">
        <v>168</v>
      </c>
      <c r="U282" t="s">
        <v>169</v>
      </c>
      <c r="V282" t="s">
        <v>170</v>
      </c>
      <c r="W282" t="s">
        <v>171</v>
      </c>
      <c r="Y282">
        <v>8</v>
      </c>
      <c r="Z282" t="s">
        <v>172</v>
      </c>
      <c r="AA282" t="s">
        <v>173</v>
      </c>
      <c r="AB282">
        <v>4</v>
      </c>
      <c r="AC282" t="s">
        <v>423</v>
      </c>
      <c r="AD282">
        <v>10</v>
      </c>
      <c r="AG282" t="s">
        <v>167</v>
      </c>
      <c r="AH282" t="s">
        <v>416</v>
      </c>
      <c r="AI282" t="s">
        <v>178</v>
      </c>
      <c r="AJ282" t="s">
        <v>179</v>
      </c>
      <c r="AK282" t="s">
        <v>664</v>
      </c>
      <c r="AL282" t="s">
        <v>665</v>
      </c>
      <c r="AS282">
        <v>2750</v>
      </c>
      <c r="AT282">
        <v>2750</v>
      </c>
      <c r="BN282" s="114" t="s">
        <v>198</v>
      </c>
      <c r="BO282">
        <v>2</v>
      </c>
      <c r="BP282">
        <v>2</v>
      </c>
      <c r="BQ282">
        <v>13</v>
      </c>
      <c r="BR282" t="s">
        <v>712</v>
      </c>
      <c r="BT282" t="s">
        <v>218</v>
      </c>
      <c r="BU282" s="115">
        <v>45838</v>
      </c>
      <c r="BV282">
        <v>36876</v>
      </c>
      <c r="BW282" s="116"/>
      <c r="BX282" t="s">
        <v>173</v>
      </c>
      <c r="BY282" t="s">
        <v>173</v>
      </c>
      <c r="CB282" t="s">
        <v>173</v>
      </c>
      <c r="CC282" t="s">
        <v>173</v>
      </c>
      <c r="CD282" t="s">
        <v>392</v>
      </c>
      <c r="CE282" t="s">
        <v>172</v>
      </c>
      <c r="CF282" t="s">
        <v>220</v>
      </c>
      <c r="CG282" t="s">
        <v>172</v>
      </c>
      <c r="CH282" t="s">
        <v>224</v>
      </c>
      <c r="CI282" t="s">
        <v>172</v>
      </c>
      <c r="CJ282" t="s">
        <v>390</v>
      </c>
      <c r="DJ282" t="s">
        <v>201</v>
      </c>
      <c r="DK282" t="s">
        <v>202</v>
      </c>
      <c r="DN282" t="s">
        <v>173</v>
      </c>
      <c r="DO282" t="s">
        <v>203</v>
      </c>
      <c r="DP282" t="s">
        <v>172</v>
      </c>
      <c r="DQ282" t="s">
        <v>204</v>
      </c>
      <c r="DR282" t="s">
        <v>678</v>
      </c>
      <c r="EA282" s="117"/>
      <c r="EB282">
        <v>3</v>
      </c>
      <c r="EC282">
        <v>3</v>
      </c>
      <c r="EE282" t="s">
        <v>667</v>
      </c>
      <c r="EF282">
        <v>6</v>
      </c>
      <c r="EV282">
        <v>5250</v>
      </c>
      <c r="EW282">
        <v>509</v>
      </c>
      <c r="EX282">
        <v>443</v>
      </c>
      <c r="EY282">
        <v>479</v>
      </c>
    </row>
    <row r="283" spans="1:155" x14ac:dyDescent="0.35">
      <c r="A283">
        <v>2026</v>
      </c>
      <c r="B283" t="s">
        <v>211</v>
      </c>
      <c r="C283" s="112" t="s">
        <v>212</v>
      </c>
      <c r="D283" t="s">
        <v>725</v>
      </c>
      <c r="E283" t="s">
        <v>214</v>
      </c>
      <c r="F283">
        <v>579</v>
      </c>
      <c r="G283" s="113">
        <v>5.3</v>
      </c>
      <c r="H283">
        <v>8</v>
      </c>
      <c r="I283" t="s">
        <v>669</v>
      </c>
      <c r="J283">
        <v>15</v>
      </c>
      <c r="K283">
        <v>18</v>
      </c>
      <c r="L283">
        <v>16</v>
      </c>
      <c r="M283">
        <v>18.788499999999999</v>
      </c>
      <c r="N283">
        <v>27.381799999999998</v>
      </c>
      <c r="O283">
        <v>21.8782</v>
      </c>
      <c r="P283">
        <v>14.8919</v>
      </c>
      <c r="Q283">
        <v>17.749300000000002</v>
      </c>
      <c r="R283">
        <v>16.055</v>
      </c>
      <c r="U283" t="s">
        <v>215</v>
      </c>
      <c r="V283" t="s">
        <v>170</v>
      </c>
      <c r="W283" t="s">
        <v>171</v>
      </c>
      <c r="Y283">
        <v>10</v>
      </c>
      <c r="Z283" t="s">
        <v>172</v>
      </c>
      <c r="AA283" t="s">
        <v>173</v>
      </c>
      <c r="AB283">
        <v>4</v>
      </c>
      <c r="AC283" t="s">
        <v>423</v>
      </c>
      <c r="AD283">
        <v>10</v>
      </c>
      <c r="AG283" t="s">
        <v>167</v>
      </c>
      <c r="AH283" t="s">
        <v>416</v>
      </c>
      <c r="AI283" t="s">
        <v>178</v>
      </c>
      <c r="AJ283" t="s">
        <v>179</v>
      </c>
      <c r="AK283" t="s">
        <v>664</v>
      </c>
      <c r="AL283" t="s">
        <v>665</v>
      </c>
      <c r="AS283">
        <v>3100</v>
      </c>
      <c r="AT283">
        <v>3100</v>
      </c>
      <c r="BN283" s="114" t="s">
        <v>198</v>
      </c>
      <c r="BO283">
        <v>1</v>
      </c>
      <c r="BP283">
        <v>1</v>
      </c>
      <c r="BQ283">
        <v>13</v>
      </c>
      <c r="BR283" t="s">
        <v>712</v>
      </c>
      <c r="BT283" t="s">
        <v>218</v>
      </c>
      <c r="BU283" s="115">
        <v>45838</v>
      </c>
      <c r="BV283">
        <v>36872</v>
      </c>
      <c r="BW283" s="116"/>
      <c r="BX283" t="s">
        <v>172</v>
      </c>
      <c r="BY283" t="s">
        <v>173</v>
      </c>
      <c r="CB283" t="s">
        <v>173</v>
      </c>
      <c r="CC283" t="s">
        <v>173</v>
      </c>
      <c r="CE283" t="s">
        <v>172</v>
      </c>
      <c r="CF283" t="s">
        <v>676</v>
      </c>
      <c r="CG283" t="s">
        <v>172</v>
      </c>
      <c r="CH283" t="s">
        <v>677</v>
      </c>
      <c r="CI283" t="s">
        <v>173</v>
      </c>
      <c r="DJ283" t="s">
        <v>201</v>
      </c>
      <c r="DK283" t="s">
        <v>202</v>
      </c>
      <c r="DN283" t="s">
        <v>173</v>
      </c>
      <c r="DO283" t="s">
        <v>203</v>
      </c>
      <c r="DP283" t="s">
        <v>172</v>
      </c>
      <c r="DQ283" t="s">
        <v>204</v>
      </c>
      <c r="EA283" s="117"/>
      <c r="EB283">
        <v>3</v>
      </c>
      <c r="EC283">
        <v>3</v>
      </c>
      <c r="EE283" t="s">
        <v>679</v>
      </c>
      <c r="EF283">
        <v>6</v>
      </c>
      <c r="EV283">
        <v>7000</v>
      </c>
      <c r="EW283">
        <v>595</v>
      </c>
      <c r="EX283">
        <v>501</v>
      </c>
      <c r="EY283">
        <v>552</v>
      </c>
    </row>
    <row r="284" spans="1:155" x14ac:dyDescent="0.35">
      <c r="A284">
        <v>2026</v>
      </c>
      <c r="B284" t="s">
        <v>211</v>
      </c>
      <c r="C284" s="112" t="s">
        <v>212</v>
      </c>
      <c r="D284" t="s">
        <v>726</v>
      </c>
      <c r="E284" t="s">
        <v>214</v>
      </c>
      <c r="F284">
        <v>552</v>
      </c>
      <c r="G284" s="113">
        <v>5.3</v>
      </c>
      <c r="H284">
        <v>8</v>
      </c>
      <c r="I284" t="s">
        <v>669</v>
      </c>
      <c r="J284">
        <v>15</v>
      </c>
      <c r="K284">
        <v>19</v>
      </c>
      <c r="L284">
        <v>17</v>
      </c>
      <c r="M284">
        <v>19.100000000000001</v>
      </c>
      <c r="N284">
        <v>28.7</v>
      </c>
      <c r="O284">
        <v>22.484400000000001</v>
      </c>
      <c r="P284">
        <v>15.4251</v>
      </c>
      <c r="Q284">
        <v>19.2393</v>
      </c>
      <c r="R284">
        <v>16.936</v>
      </c>
      <c r="U284" t="s">
        <v>215</v>
      </c>
      <c r="V284" t="s">
        <v>170</v>
      </c>
      <c r="W284" t="s">
        <v>171</v>
      </c>
      <c r="Y284">
        <v>10</v>
      </c>
      <c r="Z284" t="s">
        <v>172</v>
      </c>
      <c r="AA284" t="s">
        <v>173</v>
      </c>
      <c r="AB284">
        <v>4</v>
      </c>
      <c r="AC284" t="s">
        <v>423</v>
      </c>
      <c r="AD284">
        <v>85</v>
      </c>
      <c r="AF284">
        <v>408</v>
      </c>
      <c r="AG284" t="s">
        <v>167</v>
      </c>
      <c r="AH284" t="s">
        <v>416</v>
      </c>
      <c r="AI284" t="s">
        <v>178</v>
      </c>
      <c r="AJ284" t="s">
        <v>179</v>
      </c>
      <c r="AK284" t="s">
        <v>664</v>
      </c>
      <c r="AL284" t="s">
        <v>665</v>
      </c>
      <c r="AS284">
        <v>2900</v>
      </c>
      <c r="AT284">
        <v>2900</v>
      </c>
      <c r="AU284">
        <v>11</v>
      </c>
      <c r="AV284">
        <v>14</v>
      </c>
      <c r="AW284">
        <v>12</v>
      </c>
      <c r="AX284">
        <v>13.7</v>
      </c>
      <c r="AY284">
        <v>21.1</v>
      </c>
      <c r="AZ284">
        <v>16.267299999999999</v>
      </c>
      <c r="BA284">
        <v>11.0641</v>
      </c>
      <c r="BB284">
        <v>14.144600000000001</v>
      </c>
      <c r="BC284">
        <v>12.2662</v>
      </c>
      <c r="BD284">
        <v>288</v>
      </c>
      <c r="BE284" t="s">
        <v>618</v>
      </c>
      <c r="BF284" t="s">
        <v>619</v>
      </c>
      <c r="BG284" t="s">
        <v>178</v>
      </c>
      <c r="BH284" t="s">
        <v>179</v>
      </c>
      <c r="BI284">
        <v>3550</v>
      </c>
      <c r="BJ284">
        <v>568</v>
      </c>
      <c r="BK284">
        <v>444</v>
      </c>
      <c r="BL284">
        <v>512</v>
      </c>
      <c r="BM284">
        <v>3550</v>
      </c>
      <c r="BN284" s="114" t="s">
        <v>620</v>
      </c>
      <c r="BO284">
        <v>1</v>
      </c>
      <c r="BP284">
        <v>1</v>
      </c>
      <c r="BQ284">
        <v>13</v>
      </c>
      <c r="BR284" t="s">
        <v>712</v>
      </c>
      <c r="BT284" t="s">
        <v>613</v>
      </c>
      <c r="BU284" s="115">
        <v>45838</v>
      </c>
      <c r="BV284">
        <v>36888</v>
      </c>
      <c r="BW284" s="116"/>
      <c r="BX284" t="s">
        <v>172</v>
      </c>
      <c r="BY284" t="s">
        <v>173</v>
      </c>
      <c r="CB284" t="s">
        <v>173</v>
      </c>
      <c r="CC284" t="s">
        <v>173</v>
      </c>
      <c r="CE284" t="s">
        <v>172</v>
      </c>
      <c r="CF284" t="s">
        <v>676</v>
      </c>
      <c r="CG284" t="s">
        <v>172</v>
      </c>
      <c r="CH284" t="s">
        <v>677</v>
      </c>
      <c r="CI284" t="s">
        <v>173</v>
      </c>
      <c r="DJ284" t="s">
        <v>201</v>
      </c>
      <c r="DK284" t="s">
        <v>202</v>
      </c>
      <c r="DN284" t="s">
        <v>173</v>
      </c>
      <c r="DO284" t="s">
        <v>203</v>
      </c>
      <c r="DP284" t="s">
        <v>173</v>
      </c>
      <c r="DQ284" t="s">
        <v>189</v>
      </c>
      <c r="EA284" s="117"/>
      <c r="EB284">
        <v>3</v>
      </c>
      <c r="EC284">
        <v>3</v>
      </c>
      <c r="ED284">
        <v>3</v>
      </c>
      <c r="EE284" t="s">
        <v>719</v>
      </c>
      <c r="EF284">
        <v>2</v>
      </c>
      <c r="EV284">
        <v>6000</v>
      </c>
      <c r="EW284">
        <v>576</v>
      </c>
      <c r="EX284">
        <v>462</v>
      </c>
      <c r="EY284">
        <v>524</v>
      </c>
    </row>
    <row r="285" spans="1:155" x14ac:dyDescent="0.35">
      <c r="A285">
        <v>2026</v>
      </c>
      <c r="B285" t="s">
        <v>211</v>
      </c>
      <c r="C285" s="112" t="s">
        <v>212</v>
      </c>
      <c r="D285" t="s">
        <v>727</v>
      </c>
      <c r="E285" t="s">
        <v>214</v>
      </c>
      <c r="F285">
        <v>556</v>
      </c>
      <c r="G285" s="113">
        <v>6.2</v>
      </c>
      <c r="H285">
        <v>8</v>
      </c>
      <c r="I285" t="s">
        <v>669</v>
      </c>
      <c r="J285">
        <v>14</v>
      </c>
      <c r="K285">
        <v>17</v>
      </c>
      <c r="L285">
        <v>15</v>
      </c>
      <c r="M285">
        <v>18.290700000000001</v>
      </c>
      <c r="N285">
        <v>26.512499999999999</v>
      </c>
      <c r="O285">
        <v>21.257100000000001</v>
      </c>
      <c r="P285">
        <v>14</v>
      </c>
      <c r="Q285">
        <v>17</v>
      </c>
      <c r="R285">
        <v>15</v>
      </c>
      <c r="U285" t="s">
        <v>215</v>
      </c>
      <c r="V285" t="s">
        <v>170</v>
      </c>
      <c r="W285" t="s">
        <v>171</v>
      </c>
      <c r="Y285">
        <v>10</v>
      </c>
      <c r="Z285" t="s">
        <v>172</v>
      </c>
      <c r="AA285" t="s">
        <v>173</v>
      </c>
      <c r="AB285">
        <v>4</v>
      </c>
      <c r="AC285" t="s">
        <v>423</v>
      </c>
      <c r="AD285">
        <v>10</v>
      </c>
      <c r="AG285" t="s">
        <v>176</v>
      </c>
      <c r="AH285" t="s">
        <v>177</v>
      </c>
      <c r="AI285" t="s">
        <v>178</v>
      </c>
      <c r="AJ285" t="s">
        <v>179</v>
      </c>
      <c r="AK285" t="s">
        <v>664</v>
      </c>
      <c r="AL285" t="s">
        <v>665</v>
      </c>
      <c r="AS285">
        <v>4150</v>
      </c>
      <c r="AT285">
        <v>4150</v>
      </c>
      <c r="BN285" s="114" t="s">
        <v>198</v>
      </c>
      <c r="BO285">
        <v>1</v>
      </c>
      <c r="BP285">
        <v>1</v>
      </c>
      <c r="BQ285">
        <v>13</v>
      </c>
      <c r="BR285" t="s">
        <v>712</v>
      </c>
      <c r="BT285" t="s">
        <v>613</v>
      </c>
      <c r="BU285" s="115">
        <v>45838</v>
      </c>
      <c r="BV285">
        <v>36828</v>
      </c>
      <c r="BW285" s="116"/>
      <c r="BX285" t="s">
        <v>172</v>
      </c>
      <c r="BY285" t="s">
        <v>173</v>
      </c>
      <c r="CB285" t="s">
        <v>173</v>
      </c>
      <c r="CC285" t="s">
        <v>173</v>
      </c>
      <c r="CE285" t="s">
        <v>172</v>
      </c>
      <c r="CF285" t="s">
        <v>676</v>
      </c>
      <c r="CG285" t="s">
        <v>172</v>
      </c>
      <c r="CH285" t="s">
        <v>677</v>
      </c>
      <c r="CI285" t="s">
        <v>173</v>
      </c>
      <c r="DJ285" t="s">
        <v>201</v>
      </c>
      <c r="DK285" t="s">
        <v>202</v>
      </c>
      <c r="DN285" t="s">
        <v>173</v>
      </c>
      <c r="DO285" t="s">
        <v>203</v>
      </c>
      <c r="DP285" t="s">
        <v>172</v>
      </c>
      <c r="DQ285" t="s">
        <v>204</v>
      </c>
      <c r="EA285" s="117"/>
      <c r="EB285">
        <v>2</v>
      </c>
      <c r="EC285">
        <v>2</v>
      </c>
      <c r="EE285" t="s">
        <v>717</v>
      </c>
      <c r="EF285">
        <v>5</v>
      </c>
      <c r="EV285">
        <v>12250</v>
      </c>
      <c r="EW285">
        <v>635</v>
      </c>
      <c r="EX285">
        <v>524</v>
      </c>
      <c r="EY285">
        <v>593</v>
      </c>
    </row>
    <row r="286" spans="1:155" x14ac:dyDescent="0.35">
      <c r="A286">
        <v>2026</v>
      </c>
      <c r="B286" t="s">
        <v>211</v>
      </c>
      <c r="C286" s="112" t="s">
        <v>212</v>
      </c>
      <c r="D286" t="s">
        <v>728</v>
      </c>
      <c r="E286" t="s">
        <v>214</v>
      </c>
      <c r="F286">
        <v>505</v>
      </c>
      <c r="G286" s="113">
        <v>2.7</v>
      </c>
      <c r="H286">
        <v>4</v>
      </c>
      <c r="I286" t="s">
        <v>166</v>
      </c>
      <c r="J286">
        <v>16</v>
      </c>
      <c r="K286">
        <v>17</v>
      </c>
      <c r="L286">
        <v>17</v>
      </c>
      <c r="M286">
        <v>21.0503</v>
      </c>
      <c r="N286">
        <v>27.6341</v>
      </c>
      <c r="O286">
        <v>23.578199999999999</v>
      </c>
      <c r="P286">
        <v>16.0503</v>
      </c>
      <c r="Q286">
        <v>17.193300000000001</v>
      </c>
      <c r="R286">
        <v>16.545300000000001</v>
      </c>
      <c r="T286" t="s">
        <v>168</v>
      </c>
      <c r="U286" t="s">
        <v>169</v>
      </c>
      <c r="V286" t="s">
        <v>170</v>
      </c>
      <c r="W286" t="s">
        <v>171</v>
      </c>
      <c r="Y286">
        <v>8</v>
      </c>
      <c r="Z286" t="s">
        <v>172</v>
      </c>
      <c r="AA286" t="s">
        <v>173</v>
      </c>
      <c r="AB286">
        <v>4</v>
      </c>
      <c r="AC286" t="s">
        <v>423</v>
      </c>
      <c r="AD286">
        <v>10</v>
      </c>
      <c r="AG286" t="s">
        <v>167</v>
      </c>
      <c r="AH286" t="s">
        <v>416</v>
      </c>
      <c r="AI286" t="s">
        <v>178</v>
      </c>
      <c r="AJ286" t="s">
        <v>179</v>
      </c>
      <c r="AK286" t="s">
        <v>664</v>
      </c>
      <c r="AL286" t="s">
        <v>665</v>
      </c>
      <c r="AS286">
        <v>2900</v>
      </c>
      <c r="AT286">
        <v>2900</v>
      </c>
      <c r="BN286" s="114" t="s">
        <v>198</v>
      </c>
      <c r="BO286">
        <v>2</v>
      </c>
      <c r="BP286">
        <v>2</v>
      </c>
      <c r="BQ286">
        <v>13</v>
      </c>
      <c r="BR286" t="s">
        <v>712</v>
      </c>
      <c r="BT286" t="s">
        <v>218</v>
      </c>
      <c r="BU286" s="115">
        <v>45838</v>
      </c>
      <c r="BV286">
        <v>36850</v>
      </c>
      <c r="BW286" s="116"/>
      <c r="BX286" t="s">
        <v>173</v>
      </c>
      <c r="BY286" t="s">
        <v>173</v>
      </c>
      <c r="CB286" t="s">
        <v>173</v>
      </c>
      <c r="CC286" t="s">
        <v>173</v>
      </c>
      <c r="CD286" t="s">
        <v>392</v>
      </c>
      <c r="CE286" t="s">
        <v>172</v>
      </c>
      <c r="CF286" t="s">
        <v>220</v>
      </c>
      <c r="CG286" t="s">
        <v>172</v>
      </c>
      <c r="CH286" t="s">
        <v>224</v>
      </c>
      <c r="CI286" t="s">
        <v>172</v>
      </c>
      <c r="CJ286" t="s">
        <v>390</v>
      </c>
      <c r="DJ286" t="s">
        <v>201</v>
      </c>
      <c r="DK286" t="s">
        <v>202</v>
      </c>
      <c r="DN286" t="s">
        <v>173</v>
      </c>
      <c r="DO286" t="s">
        <v>203</v>
      </c>
      <c r="DP286" t="s">
        <v>172</v>
      </c>
      <c r="DQ286" t="s">
        <v>204</v>
      </c>
      <c r="EA286" s="117"/>
      <c r="EB286">
        <v>3</v>
      </c>
      <c r="EC286">
        <v>3</v>
      </c>
      <c r="EE286" t="s">
        <v>667</v>
      </c>
      <c r="EF286">
        <v>6</v>
      </c>
      <c r="EV286">
        <v>6000</v>
      </c>
      <c r="EW286">
        <v>552</v>
      </c>
      <c r="EX286">
        <v>517</v>
      </c>
      <c r="EY286">
        <v>536</v>
      </c>
    </row>
    <row r="287" spans="1:155" x14ac:dyDescent="0.35">
      <c r="A287">
        <v>2026</v>
      </c>
      <c r="B287" t="s">
        <v>211</v>
      </c>
      <c r="C287" s="112" t="s">
        <v>212</v>
      </c>
      <c r="D287" t="s">
        <v>729</v>
      </c>
      <c r="E287" t="s">
        <v>214</v>
      </c>
      <c r="F287">
        <v>517</v>
      </c>
      <c r="G287" s="113">
        <v>2.7</v>
      </c>
      <c r="H287">
        <v>4</v>
      </c>
      <c r="I287" t="s">
        <v>166</v>
      </c>
      <c r="J287">
        <v>16</v>
      </c>
      <c r="K287">
        <v>17</v>
      </c>
      <c r="L287">
        <v>17</v>
      </c>
      <c r="M287">
        <v>21.067</v>
      </c>
      <c r="N287">
        <v>27.689399999999999</v>
      </c>
      <c r="O287">
        <v>23.607800000000001</v>
      </c>
      <c r="P287">
        <v>16.0563</v>
      </c>
      <c r="Q287">
        <v>17.226199999999999</v>
      </c>
      <c r="R287">
        <v>16.5625</v>
      </c>
      <c r="T287" t="s">
        <v>168</v>
      </c>
      <c r="U287" t="s">
        <v>169</v>
      </c>
      <c r="V287" t="s">
        <v>170</v>
      </c>
      <c r="W287" t="s">
        <v>171</v>
      </c>
      <c r="Y287">
        <v>8</v>
      </c>
      <c r="Z287" t="s">
        <v>172</v>
      </c>
      <c r="AA287" t="s">
        <v>173</v>
      </c>
      <c r="AB287">
        <v>4</v>
      </c>
      <c r="AC287" t="s">
        <v>423</v>
      </c>
      <c r="AD287">
        <v>10</v>
      </c>
      <c r="AG287" t="s">
        <v>167</v>
      </c>
      <c r="AH287" t="s">
        <v>416</v>
      </c>
      <c r="AI287" t="s">
        <v>178</v>
      </c>
      <c r="AJ287" t="s">
        <v>179</v>
      </c>
      <c r="AK287" t="s">
        <v>664</v>
      </c>
      <c r="AL287" t="s">
        <v>665</v>
      </c>
      <c r="AS287">
        <v>2900</v>
      </c>
      <c r="AT287">
        <v>2900</v>
      </c>
      <c r="BN287" s="114" t="s">
        <v>198</v>
      </c>
      <c r="BO287">
        <v>2</v>
      </c>
      <c r="BP287">
        <v>2</v>
      </c>
      <c r="BQ287">
        <v>13</v>
      </c>
      <c r="BR287" t="s">
        <v>712</v>
      </c>
      <c r="BT287" t="s">
        <v>218</v>
      </c>
      <c r="BU287" s="115">
        <v>45838</v>
      </c>
      <c r="BV287">
        <v>36879</v>
      </c>
      <c r="BW287" s="116"/>
      <c r="BX287" t="s">
        <v>172</v>
      </c>
      <c r="BY287" t="s">
        <v>173</v>
      </c>
      <c r="CB287" t="s">
        <v>173</v>
      </c>
      <c r="CC287" t="s">
        <v>173</v>
      </c>
      <c r="CD287" t="s">
        <v>392</v>
      </c>
      <c r="CE287" t="s">
        <v>172</v>
      </c>
      <c r="CF287" t="s">
        <v>220</v>
      </c>
      <c r="CG287" t="s">
        <v>172</v>
      </c>
      <c r="CH287" t="s">
        <v>224</v>
      </c>
      <c r="CI287" t="s">
        <v>172</v>
      </c>
      <c r="CJ287" t="s">
        <v>390</v>
      </c>
      <c r="DJ287" t="s">
        <v>201</v>
      </c>
      <c r="DK287" t="s">
        <v>202</v>
      </c>
      <c r="DN287" t="s">
        <v>173</v>
      </c>
      <c r="DO287" t="s">
        <v>203</v>
      </c>
      <c r="DP287" t="s">
        <v>172</v>
      </c>
      <c r="DQ287" t="s">
        <v>204</v>
      </c>
      <c r="DR287" t="s">
        <v>678</v>
      </c>
      <c r="EA287" s="117"/>
      <c r="EB287">
        <v>3</v>
      </c>
      <c r="EC287">
        <v>3</v>
      </c>
      <c r="EE287" t="s">
        <v>667</v>
      </c>
      <c r="EF287">
        <v>6</v>
      </c>
      <c r="EV287">
        <v>6000</v>
      </c>
      <c r="EW287">
        <v>551</v>
      </c>
      <c r="EX287">
        <v>516</v>
      </c>
      <c r="EY287">
        <v>535</v>
      </c>
    </row>
    <row r="288" spans="1:155" x14ac:dyDescent="0.35">
      <c r="A288">
        <v>2026</v>
      </c>
      <c r="B288" t="s">
        <v>211</v>
      </c>
      <c r="C288" s="112" t="s">
        <v>212</v>
      </c>
      <c r="D288" t="s">
        <v>730</v>
      </c>
      <c r="E288" t="s">
        <v>214</v>
      </c>
      <c r="F288">
        <v>569</v>
      </c>
      <c r="G288" s="113">
        <v>5.3</v>
      </c>
      <c r="H288">
        <v>8</v>
      </c>
      <c r="I288" t="s">
        <v>669</v>
      </c>
      <c r="J288">
        <v>15</v>
      </c>
      <c r="K288">
        <v>18</v>
      </c>
      <c r="L288">
        <v>16</v>
      </c>
      <c r="M288">
        <v>18.783899999999999</v>
      </c>
      <c r="N288">
        <v>27.334599999999998</v>
      </c>
      <c r="O288">
        <v>21.8612</v>
      </c>
      <c r="P288">
        <v>14.8786</v>
      </c>
      <c r="Q288">
        <v>17.6891</v>
      </c>
      <c r="R288">
        <v>16.0243</v>
      </c>
      <c r="U288" t="s">
        <v>215</v>
      </c>
      <c r="V288" t="s">
        <v>170</v>
      </c>
      <c r="W288" t="s">
        <v>171</v>
      </c>
      <c r="Y288">
        <v>10</v>
      </c>
      <c r="Z288" t="s">
        <v>172</v>
      </c>
      <c r="AA288" t="s">
        <v>173</v>
      </c>
      <c r="AB288">
        <v>4</v>
      </c>
      <c r="AC288" t="s">
        <v>423</v>
      </c>
      <c r="AD288">
        <v>10</v>
      </c>
      <c r="AG288" t="s">
        <v>167</v>
      </c>
      <c r="AH288" t="s">
        <v>416</v>
      </c>
      <c r="AI288" t="s">
        <v>178</v>
      </c>
      <c r="AJ288" t="s">
        <v>179</v>
      </c>
      <c r="AK288" t="s">
        <v>664</v>
      </c>
      <c r="AL288" t="s">
        <v>665</v>
      </c>
      <c r="AS288">
        <v>3100</v>
      </c>
      <c r="AT288">
        <v>3100</v>
      </c>
      <c r="BN288" s="114" t="s">
        <v>198</v>
      </c>
      <c r="BO288">
        <v>1</v>
      </c>
      <c r="BP288">
        <v>1</v>
      </c>
      <c r="BQ288">
        <v>13</v>
      </c>
      <c r="BR288" t="s">
        <v>712</v>
      </c>
      <c r="BT288" t="s">
        <v>218</v>
      </c>
      <c r="BU288" s="115">
        <v>45838</v>
      </c>
      <c r="BV288">
        <v>36881</v>
      </c>
      <c r="BW288" s="116"/>
      <c r="BX288" t="s">
        <v>172</v>
      </c>
      <c r="BY288" t="s">
        <v>173</v>
      </c>
      <c r="CB288" t="s">
        <v>173</v>
      </c>
      <c r="CC288" t="s">
        <v>173</v>
      </c>
      <c r="CE288" t="s">
        <v>172</v>
      </c>
      <c r="CF288" t="s">
        <v>676</v>
      </c>
      <c r="CG288" t="s">
        <v>172</v>
      </c>
      <c r="CH288" t="s">
        <v>677</v>
      </c>
      <c r="CI288" t="s">
        <v>173</v>
      </c>
      <c r="DJ288" t="s">
        <v>201</v>
      </c>
      <c r="DK288" t="s">
        <v>202</v>
      </c>
      <c r="DN288" t="s">
        <v>173</v>
      </c>
      <c r="DO288" t="s">
        <v>203</v>
      </c>
      <c r="DP288" t="s">
        <v>172</v>
      </c>
      <c r="DQ288" t="s">
        <v>204</v>
      </c>
      <c r="DR288" t="s">
        <v>678</v>
      </c>
      <c r="EA288" s="117"/>
      <c r="EB288">
        <v>3</v>
      </c>
      <c r="EC288">
        <v>3</v>
      </c>
      <c r="EE288" t="s">
        <v>679</v>
      </c>
      <c r="EF288">
        <v>6</v>
      </c>
      <c r="EV288">
        <v>7000</v>
      </c>
      <c r="EW288">
        <v>595</v>
      </c>
      <c r="EX288">
        <v>503</v>
      </c>
      <c r="EY288">
        <v>553</v>
      </c>
    </row>
    <row r="289" spans="1:155" x14ac:dyDescent="0.35">
      <c r="A289">
        <v>2026</v>
      </c>
      <c r="B289" t="s">
        <v>211</v>
      </c>
      <c r="C289" s="112" t="s">
        <v>212</v>
      </c>
      <c r="D289" t="s">
        <v>731</v>
      </c>
      <c r="E289" t="s">
        <v>214</v>
      </c>
      <c r="F289">
        <v>708</v>
      </c>
      <c r="G289" s="113">
        <v>3</v>
      </c>
      <c r="H289">
        <v>6</v>
      </c>
      <c r="I289" t="s">
        <v>669</v>
      </c>
      <c r="J289">
        <v>21</v>
      </c>
      <c r="K289">
        <v>24</v>
      </c>
      <c r="L289">
        <v>23</v>
      </c>
      <c r="M289">
        <v>27.3474</v>
      </c>
      <c r="N289">
        <v>37.357700000000001</v>
      </c>
      <c r="O289">
        <v>31.097100000000001</v>
      </c>
      <c r="P289">
        <v>21.4999</v>
      </c>
      <c r="Q289">
        <v>24.308299999999999</v>
      </c>
      <c r="R289">
        <v>22.678999999999998</v>
      </c>
      <c r="T289" t="s">
        <v>168</v>
      </c>
      <c r="U289" t="s">
        <v>169</v>
      </c>
      <c r="V289" t="s">
        <v>170</v>
      </c>
      <c r="W289" t="s">
        <v>171</v>
      </c>
      <c r="Y289">
        <v>10</v>
      </c>
      <c r="Z289" t="s">
        <v>172</v>
      </c>
      <c r="AA289" t="s">
        <v>173</v>
      </c>
      <c r="AB289">
        <v>4</v>
      </c>
      <c r="AC289" t="s">
        <v>423</v>
      </c>
      <c r="AE289">
        <v>20</v>
      </c>
      <c r="AG289" t="s">
        <v>670</v>
      </c>
      <c r="AH289" t="s">
        <v>671</v>
      </c>
      <c r="AI289" t="s">
        <v>178</v>
      </c>
      <c r="AJ289" t="s">
        <v>179</v>
      </c>
      <c r="AK289" t="s">
        <v>664</v>
      </c>
      <c r="AL289" t="s">
        <v>665</v>
      </c>
      <c r="AS289">
        <v>2350</v>
      </c>
      <c r="AT289">
        <v>2350</v>
      </c>
      <c r="BN289" s="114"/>
      <c r="BO289">
        <v>2</v>
      </c>
      <c r="BP289">
        <v>2</v>
      </c>
      <c r="BQ289">
        <v>13</v>
      </c>
      <c r="BR289" t="s">
        <v>712</v>
      </c>
      <c r="BT289" t="s">
        <v>613</v>
      </c>
      <c r="BU289" s="115">
        <v>45839</v>
      </c>
      <c r="BV289">
        <v>36910</v>
      </c>
      <c r="BW289" s="116"/>
      <c r="BX289" t="s">
        <v>172</v>
      </c>
      <c r="BY289" t="s">
        <v>173</v>
      </c>
      <c r="CB289" t="s">
        <v>173</v>
      </c>
      <c r="CC289" t="s">
        <v>173</v>
      </c>
      <c r="CE289" t="s">
        <v>173</v>
      </c>
      <c r="CG289" t="s">
        <v>173</v>
      </c>
      <c r="CI289" t="s">
        <v>173</v>
      </c>
      <c r="DJ289" t="s">
        <v>672</v>
      </c>
      <c r="DK289" t="s">
        <v>673</v>
      </c>
      <c r="DN289" t="s">
        <v>173</v>
      </c>
      <c r="DO289" t="s">
        <v>203</v>
      </c>
      <c r="DP289" t="s">
        <v>172</v>
      </c>
      <c r="DQ289" t="s">
        <v>204</v>
      </c>
      <c r="EA289" s="117"/>
      <c r="EB289">
        <v>5</v>
      </c>
      <c r="EC289">
        <v>4</v>
      </c>
      <c r="EE289" t="s">
        <v>674</v>
      </c>
      <c r="EF289">
        <v>4</v>
      </c>
      <c r="EV289">
        <v>3250</v>
      </c>
      <c r="EW289">
        <v>474</v>
      </c>
      <c r="EX289">
        <v>418</v>
      </c>
      <c r="EY289">
        <v>448</v>
      </c>
    </row>
    <row r="290" spans="1:155" x14ac:dyDescent="0.35">
      <c r="A290">
        <v>2026</v>
      </c>
      <c r="B290" t="s">
        <v>211</v>
      </c>
      <c r="C290" s="112" t="s">
        <v>212</v>
      </c>
      <c r="D290" t="s">
        <v>732</v>
      </c>
      <c r="E290" t="s">
        <v>214</v>
      </c>
      <c r="F290">
        <v>706</v>
      </c>
      <c r="G290" s="113">
        <v>3</v>
      </c>
      <c r="H290">
        <v>6</v>
      </c>
      <c r="I290" t="s">
        <v>669</v>
      </c>
      <c r="J290">
        <v>21</v>
      </c>
      <c r="K290">
        <v>24</v>
      </c>
      <c r="L290">
        <v>23</v>
      </c>
      <c r="M290">
        <v>27.251899999999999</v>
      </c>
      <c r="N290">
        <v>37.107500000000002</v>
      </c>
      <c r="O290">
        <v>30.9511</v>
      </c>
      <c r="P290">
        <v>21.4314</v>
      </c>
      <c r="Q290">
        <v>24.109200000000001</v>
      </c>
      <c r="R290">
        <v>22.558900000000001</v>
      </c>
      <c r="T290" t="s">
        <v>168</v>
      </c>
      <c r="U290" t="s">
        <v>169</v>
      </c>
      <c r="V290" t="s">
        <v>170</v>
      </c>
      <c r="W290" t="s">
        <v>171</v>
      </c>
      <c r="Y290">
        <v>10</v>
      </c>
      <c r="Z290" t="s">
        <v>172</v>
      </c>
      <c r="AA290" t="s">
        <v>173</v>
      </c>
      <c r="AB290">
        <v>4</v>
      </c>
      <c r="AC290" t="s">
        <v>423</v>
      </c>
      <c r="AE290">
        <v>20</v>
      </c>
      <c r="AG290" t="s">
        <v>670</v>
      </c>
      <c r="AH290" t="s">
        <v>671</v>
      </c>
      <c r="AI290" t="s">
        <v>178</v>
      </c>
      <c r="AJ290" t="s">
        <v>179</v>
      </c>
      <c r="AK290" t="s">
        <v>664</v>
      </c>
      <c r="AL290" t="s">
        <v>665</v>
      </c>
      <c r="AS290">
        <v>2350</v>
      </c>
      <c r="AT290">
        <v>2350</v>
      </c>
      <c r="BN290" s="114"/>
      <c r="BO290">
        <v>2</v>
      </c>
      <c r="BP290">
        <v>2</v>
      </c>
      <c r="BQ290">
        <v>13</v>
      </c>
      <c r="BR290" t="s">
        <v>712</v>
      </c>
      <c r="BT290" t="s">
        <v>613</v>
      </c>
      <c r="BU290" s="115">
        <v>45839</v>
      </c>
      <c r="BV290">
        <v>36908</v>
      </c>
      <c r="BW290" s="116"/>
      <c r="BX290" t="s">
        <v>172</v>
      </c>
      <c r="BY290" t="s">
        <v>173</v>
      </c>
      <c r="CB290" t="s">
        <v>173</v>
      </c>
      <c r="CC290" t="s">
        <v>173</v>
      </c>
      <c r="CE290" t="s">
        <v>173</v>
      </c>
      <c r="CG290" t="s">
        <v>173</v>
      </c>
      <c r="CI290" t="s">
        <v>173</v>
      </c>
      <c r="DJ290" t="s">
        <v>672</v>
      </c>
      <c r="DK290" t="s">
        <v>673</v>
      </c>
      <c r="DN290" t="s">
        <v>173</v>
      </c>
      <c r="DO290" t="s">
        <v>203</v>
      </c>
      <c r="DP290" t="s">
        <v>172</v>
      </c>
      <c r="DQ290" t="s">
        <v>204</v>
      </c>
      <c r="EA290" s="117"/>
      <c r="EB290">
        <v>5</v>
      </c>
      <c r="EC290">
        <v>4</v>
      </c>
      <c r="EE290" t="s">
        <v>674</v>
      </c>
      <c r="EF290">
        <v>4</v>
      </c>
      <c r="EV290">
        <v>3250</v>
      </c>
      <c r="EW290">
        <v>475</v>
      </c>
      <c r="EX290">
        <v>421</v>
      </c>
      <c r="EY290">
        <v>451</v>
      </c>
    </row>
    <row r="291" spans="1:155" x14ac:dyDescent="0.35">
      <c r="A291">
        <v>2026</v>
      </c>
      <c r="B291" t="s">
        <v>211</v>
      </c>
      <c r="C291" s="112" t="s">
        <v>212</v>
      </c>
      <c r="D291" t="s">
        <v>733</v>
      </c>
      <c r="E291" t="s">
        <v>214</v>
      </c>
      <c r="F291">
        <v>703</v>
      </c>
      <c r="G291" s="113">
        <v>3</v>
      </c>
      <c r="H291">
        <v>6</v>
      </c>
      <c r="I291" t="s">
        <v>669</v>
      </c>
      <c r="J291">
        <v>22</v>
      </c>
      <c r="K291">
        <v>26</v>
      </c>
      <c r="L291">
        <v>24</v>
      </c>
      <c r="M291">
        <v>28.2</v>
      </c>
      <c r="N291">
        <v>41.4</v>
      </c>
      <c r="O291">
        <v>32.923900000000003</v>
      </c>
      <c r="P291">
        <v>22.1096</v>
      </c>
      <c r="Q291">
        <v>26.038499999999999</v>
      </c>
      <c r="R291">
        <v>23.720199999999998</v>
      </c>
      <c r="T291" t="s">
        <v>168</v>
      </c>
      <c r="U291" t="s">
        <v>169</v>
      </c>
      <c r="V291" t="s">
        <v>170</v>
      </c>
      <c r="W291" t="s">
        <v>171</v>
      </c>
      <c r="Y291">
        <v>10</v>
      </c>
      <c r="Z291" t="s">
        <v>172</v>
      </c>
      <c r="AA291" t="s">
        <v>173</v>
      </c>
      <c r="AB291">
        <v>4</v>
      </c>
      <c r="AC291" t="s">
        <v>423</v>
      </c>
      <c r="AE291">
        <v>20</v>
      </c>
      <c r="AG291" t="s">
        <v>670</v>
      </c>
      <c r="AH291" t="s">
        <v>671</v>
      </c>
      <c r="AI291" t="s">
        <v>178</v>
      </c>
      <c r="AJ291" t="s">
        <v>179</v>
      </c>
      <c r="AK291" t="s">
        <v>664</v>
      </c>
      <c r="AL291" t="s">
        <v>665</v>
      </c>
      <c r="AS291">
        <v>2250</v>
      </c>
      <c r="AT291">
        <v>2250</v>
      </c>
      <c r="BN291" s="114"/>
      <c r="BO291">
        <v>2</v>
      </c>
      <c r="BP291">
        <v>2</v>
      </c>
      <c r="BQ291">
        <v>13</v>
      </c>
      <c r="BR291" t="s">
        <v>712</v>
      </c>
      <c r="BT291" t="s">
        <v>613</v>
      </c>
      <c r="BU291" s="115">
        <v>45839</v>
      </c>
      <c r="BV291">
        <v>36905</v>
      </c>
      <c r="BW291" s="116"/>
      <c r="BX291" t="s">
        <v>173</v>
      </c>
      <c r="BY291" t="s">
        <v>173</v>
      </c>
      <c r="CB291" t="s">
        <v>173</v>
      </c>
      <c r="CC291" t="s">
        <v>173</v>
      </c>
      <c r="CE291" t="s">
        <v>173</v>
      </c>
      <c r="CG291" t="s">
        <v>173</v>
      </c>
      <c r="CI291" t="s">
        <v>173</v>
      </c>
      <c r="DJ291" t="s">
        <v>672</v>
      </c>
      <c r="DK291" t="s">
        <v>673</v>
      </c>
      <c r="DN291" t="s">
        <v>173</v>
      </c>
      <c r="DO291" t="s">
        <v>203</v>
      </c>
      <c r="DP291" t="s">
        <v>172</v>
      </c>
      <c r="DQ291" t="s">
        <v>204</v>
      </c>
      <c r="EA291" s="117"/>
      <c r="EB291">
        <v>5</v>
      </c>
      <c r="EC291">
        <v>4</v>
      </c>
      <c r="EE291" t="s">
        <v>674</v>
      </c>
      <c r="EF291">
        <v>4</v>
      </c>
      <c r="EV291">
        <v>2750</v>
      </c>
      <c r="EW291">
        <v>459</v>
      </c>
      <c r="EX291">
        <v>391</v>
      </c>
      <c r="EY291">
        <v>428</v>
      </c>
    </row>
    <row r="292" spans="1:155" x14ac:dyDescent="0.35">
      <c r="A292">
        <v>2026</v>
      </c>
      <c r="B292" t="s">
        <v>211</v>
      </c>
      <c r="C292" s="112" t="s">
        <v>212</v>
      </c>
      <c r="D292" t="s">
        <v>734</v>
      </c>
      <c r="E292" t="s">
        <v>214</v>
      </c>
      <c r="F292">
        <v>567</v>
      </c>
      <c r="G292" s="113">
        <v>5.3</v>
      </c>
      <c r="H292">
        <v>8</v>
      </c>
      <c r="I292" t="s">
        <v>669</v>
      </c>
      <c r="J292">
        <v>16</v>
      </c>
      <c r="K292">
        <v>20</v>
      </c>
      <c r="L292">
        <v>17</v>
      </c>
      <c r="M292">
        <v>20.2</v>
      </c>
      <c r="N292">
        <v>29.8</v>
      </c>
      <c r="O292">
        <v>23.6248</v>
      </c>
      <c r="P292">
        <v>15.7403</v>
      </c>
      <c r="Q292">
        <v>19.528600000000001</v>
      </c>
      <c r="R292">
        <v>17.245799999999999</v>
      </c>
      <c r="U292" t="s">
        <v>215</v>
      </c>
      <c r="V292" t="s">
        <v>170</v>
      </c>
      <c r="W292" t="s">
        <v>171</v>
      </c>
      <c r="Y292">
        <v>10</v>
      </c>
      <c r="Z292" t="s">
        <v>172</v>
      </c>
      <c r="AA292" t="s">
        <v>173</v>
      </c>
      <c r="AB292">
        <v>4</v>
      </c>
      <c r="AC292" t="s">
        <v>423</v>
      </c>
      <c r="AD292">
        <v>10</v>
      </c>
      <c r="AG292" t="s">
        <v>167</v>
      </c>
      <c r="AH292" t="s">
        <v>416</v>
      </c>
      <c r="AI292" t="s">
        <v>178</v>
      </c>
      <c r="AJ292" t="s">
        <v>179</v>
      </c>
      <c r="AK292" t="s">
        <v>664</v>
      </c>
      <c r="AL292" t="s">
        <v>665</v>
      </c>
      <c r="AS292">
        <v>2900</v>
      </c>
      <c r="AT292">
        <v>2900</v>
      </c>
      <c r="BN292" s="114" t="s">
        <v>198</v>
      </c>
      <c r="BO292">
        <v>1</v>
      </c>
      <c r="BP292">
        <v>1</v>
      </c>
      <c r="BQ292">
        <v>13</v>
      </c>
      <c r="BR292" t="s">
        <v>712</v>
      </c>
      <c r="BT292" t="s">
        <v>218</v>
      </c>
      <c r="BU292" s="115">
        <v>45838</v>
      </c>
      <c r="BV292">
        <v>36873</v>
      </c>
      <c r="BW292" s="116"/>
      <c r="BX292" t="s">
        <v>173</v>
      </c>
      <c r="BY292" t="s">
        <v>173</v>
      </c>
      <c r="CB292" t="s">
        <v>173</v>
      </c>
      <c r="CC292" t="s">
        <v>173</v>
      </c>
      <c r="CE292" t="s">
        <v>172</v>
      </c>
      <c r="CF292" t="s">
        <v>676</v>
      </c>
      <c r="CG292" t="s">
        <v>172</v>
      </c>
      <c r="CH292" t="s">
        <v>677</v>
      </c>
      <c r="CI292" t="s">
        <v>173</v>
      </c>
      <c r="DJ292" t="s">
        <v>201</v>
      </c>
      <c r="DK292" t="s">
        <v>202</v>
      </c>
      <c r="DN292" t="s">
        <v>173</v>
      </c>
      <c r="DO292" t="s">
        <v>203</v>
      </c>
      <c r="DP292" t="s">
        <v>172</v>
      </c>
      <c r="DQ292" t="s">
        <v>204</v>
      </c>
      <c r="DR292" t="s">
        <v>678</v>
      </c>
      <c r="EA292" s="117"/>
      <c r="EB292">
        <v>3</v>
      </c>
      <c r="EC292">
        <v>3</v>
      </c>
      <c r="EE292" t="s">
        <v>679</v>
      </c>
      <c r="EF292">
        <v>6</v>
      </c>
      <c r="EV292">
        <v>6000</v>
      </c>
      <c r="EW292">
        <v>562</v>
      </c>
      <c r="EX292">
        <v>456</v>
      </c>
      <c r="EY292">
        <v>514</v>
      </c>
    </row>
    <row r="293" spans="1:155" x14ac:dyDescent="0.35">
      <c r="A293">
        <v>2026</v>
      </c>
      <c r="B293" t="s">
        <v>211</v>
      </c>
      <c r="C293" s="112" t="s">
        <v>212</v>
      </c>
      <c r="D293" t="s">
        <v>735</v>
      </c>
      <c r="E293" t="s">
        <v>214</v>
      </c>
      <c r="F293">
        <v>558</v>
      </c>
      <c r="G293" s="113">
        <v>6.2</v>
      </c>
      <c r="H293">
        <v>8</v>
      </c>
      <c r="I293" t="s">
        <v>669</v>
      </c>
      <c r="J293">
        <v>14</v>
      </c>
      <c r="K293">
        <v>17</v>
      </c>
      <c r="L293">
        <v>15</v>
      </c>
      <c r="M293">
        <v>18</v>
      </c>
      <c r="N293">
        <v>24.9</v>
      </c>
      <c r="O293">
        <v>20.564299999999999</v>
      </c>
      <c r="P293">
        <v>14</v>
      </c>
      <c r="Q293">
        <v>16.6617</v>
      </c>
      <c r="R293">
        <v>15.454599999999999</v>
      </c>
      <c r="U293" t="s">
        <v>215</v>
      </c>
      <c r="V293" t="s">
        <v>170</v>
      </c>
      <c r="W293" t="s">
        <v>171</v>
      </c>
      <c r="Y293">
        <v>10</v>
      </c>
      <c r="Z293" t="s">
        <v>172</v>
      </c>
      <c r="AA293" t="s">
        <v>173</v>
      </c>
      <c r="AB293">
        <v>4</v>
      </c>
      <c r="AC293" t="s">
        <v>423</v>
      </c>
      <c r="AD293">
        <v>10</v>
      </c>
      <c r="AG293" t="s">
        <v>176</v>
      </c>
      <c r="AH293" t="s">
        <v>177</v>
      </c>
      <c r="AI293" t="s">
        <v>178</v>
      </c>
      <c r="AJ293" t="s">
        <v>179</v>
      </c>
      <c r="AK293" t="s">
        <v>664</v>
      </c>
      <c r="AL293" t="s">
        <v>665</v>
      </c>
      <c r="AS293">
        <v>4150</v>
      </c>
      <c r="AT293">
        <v>4150</v>
      </c>
      <c r="BN293" s="114" t="s">
        <v>198</v>
      </c>
      <c r="BO293">
        <v>1</v>
      </c>
      <c r="BP293">
        <v>1</v>
      </c>
      <c r="BQ293">
        <v>13</v>
      </c>
      <c r="BR293" t="s">
        <v>712</v>
      </c>
      <c r="BT293" t="s">
        <v>613</v>
      </c>
      <c r="BU293" s="115">
        <v>45838</v>
      </c>
      <c r="BV293">
        <v>36824</v>
      </c>
      <c r="BW293" s="116"/>
      <c r="BX293" t="s">
        <v>172</v>
      </c>
      <c r="BY293" t="s">
        <v>173</v>
      </c>
      <c r="CB293" t="s">
        <v>173</v>
      </c>
      <c r="CC293" t="s">
        <v>173</v>
      </c>
      <c r="CE293" t="s">
        <v>172</v>
      </c>
      <c r="CF293" t="s">
        <v>676</v>
      </c>
      <c r="CG293" t="s">
        <v>172</v>
      </c>
      <c r="CH293" t="s">
        <v>677</v>
      </c>
      <c r="CI293" t="s">
        <v>173</v>
      </c>
      <c r="DJ293" t="s">
        <v>201</v>
      </c>
      <c r="DK293" t="s">
        <v>202</v>
      </c>
      <c r="DN293" t="s">
        <v>173</v>
      </c>
      <c r="DO293" t="s">
        <v>203</v>
      </c>
      <c r="DP293" t="s">
        <v>172</v>
      </c>
      <c r="DQ293" t="s">
        <v>204</v>
      </c>
      <c r="EA293" s="117"/>
      <c r="EB293">
        <v>2</v>
      </c>
      <c r="EC293">
        <v>2</v>
      </c>
      <c r="EE293" t="s">
        <v>717</v>
      </c>
      <c r="EF293">
        <v>5</v>
      </c>
      <c r="EV293">
        <v>12250</v>
      </c>
      <c r="EW293">
        <v>638</v>
      </c>
      <c r="EX293">
        <v>535</v>
      </c>
      <c r="EY293">
        <v>591</v>
      </c>
    </row>
    <row r="294" spans="1:155" x14ac:dyDescent="0.35">
      <c r="A294">
        <v>2026</v>
      </c>
      <c r="B294" t="s">
        <v>211</v>
      </c>
      <c r="C294" s="112" t="s">
        <v>212</v>
      </c>
      <c r="D294" t="s">
        <v>736</v>
      </c>
      <c r="E294" t="s">
        <v>214</v>
      </c>
      <c r="F294">
        <v>709</v>
      </c>
      <c r="G294" s="113">
        <v>3</v>
      </c>
      <c r="H294">
        <v>6</v>
      </c>
      <c r="I294" t="s">
        <v>669</v>
      </c>
      <c r="J294">
        <v>20</v>
      </c>
      <c r="K294">
        <v>23</v>
      </c>
      <c r="L294">
        <v>21</v>
      </c>
      <c r="M294">
        <v>25.9</v>
      </c>
      <c r="N294">
        <v>33</v>
      </c>
      <c r="O294">
        <v>28.676400000000001</v>
      </c>
      <c r="P294">
        <v>20.184100000000001</v>
      </c>
      <c r="Q294">
        <v>22.537400000000002</v>
      </c>
      <c r="R294">
        <v>21.179300000000001</v>
      </c>
      <c r="T294" t="s">
        <v>168</v>
      </c>
      <c r="U294" t="s">
        <v>169</v>
      </c>
      <c r="V294" t="s">
        <v>170</v>
      </c>
      <c r="W294" t="s">
        <v>171</v>
      </c>
      <c r="Y294">
        <v>10</v>
      </c>
      <c r="Z294" t="s">
        <v>172</v>
      </c>
      <c r="AA294" t="s">
        <v>173</v>
      </c>
      <c r="AB294">
        <v>4</v>
      </c>
      <c r="AC294" t="s">
        <v>423</v>
      </c>
      <c r="AE294">
        <v>20</v>
      </c>
      <c r="AG294" t="s">
        <v>670</v>
      </c>
      <c r="AH294" t="s">
        <v>671</v>
      </c>
      <c r="AI294" t="s">
        <v>178</v>
      </c>
      <c r="AJ294" t="s">
        <v>179</v>
      </c>
      <c r="AK294" t="s">
        <v>664</v>
      </c>
      <c r="AL294" t="s">
        <v>665</v>
      </c>
      <c r="AS294">
        <v>2550</v>
      </c>
      <c r="AT294">
        <v>2550</v>
      </c>
      <c r="BN294" s="114"/>
      <c r="BO294">
        <v>2</v>
      </c>
      <c r="BP294">
        <v>2</v>
      </c>
      <c r="BQ294">
        <v>13</v>
      </c>
      <c r="BR294" t="s">
        <v>712</v>
      </c>
      <c r="BT294" t="s">
        <v>613</v>
      </c>
      <c r="BU294" s="115">
        <v>45839</v>
      </c>
      <c r="BV294">
        <v>36911</v>
      </c>
      <c r="BW294" s="116"/>
      <c r="BX294" t="s">
        <v>172</v>
      </c>
      <c r="BY294" t="s">
        <v>173</v>
      </c>
      <c r="CB294" t="s">
        <v>173</v>
      </c>
      <c r="CC294" t="s">
        <v>173</v>
      </c>
      <c r="CE294" t="s">
        <v>173</v>
      </c>
      <c r="CG294" t="s">
        <v>173</v>
      </c>
      <c r="CI294" t="s">
        <v>173</v>
      </c>
      <c r="DJ294" t="s">
        <v>672</v>
      </c>
      <c r="DK294" t="s">
        <v>673</v>
      </c>
      <c r="DN294" t="s">
        <v>173</v>
      </c>
      <c r="DO294" t="s">
        <v>203</v>
      </c>
      <c r="DP294" t="s">
        <v>172</v>
      </c>
      <c r="DQ294" t="s">
        <v>204</v>
      </c>
      <c r="EA294" s="117"/>
      <c r="EB294">
        <v>4</v>
      </c>
      <c r="EC294">
        <v>4</v>
      </c>
      <c r="EE294" t="s">
        <v>737</v>
      </c>
      <c r="EF294">
        <v>2</v>
      </c>
      <c r="EV294">
        <v>4250</v>
      </c>
      <c r="EW294">
        <v>504</v>
      </c>
      <c r="EX294">
        <v>451</v>
      </c>
      <c r="EY294">
        <v>480</v>
      </c>
    </row>
    <row r="295" spans="1:155" x14ac:dyDescent="0.35">
      <c r="A295">
        <v>2026</v>
      </c>
      <c r="B295" t="s">
        <v>211</v>
      </c>
      <c r="C295" s="112" t="s">
        <v>683</v>
      </c>
      <c r="D295" t="s">
        <v>738</v>
      </c>
      <c r="E295" t="s">
        <v>214</v>
      </c>
      <c r="F295">
        <v>515</v>
      </c>
      <c r="G295" s="113">
        <v>2.7</v>
      </c>
      <c r="H295">
        <v>4</v>
      </c>
      <c r="I295" t="s">
        <v>166</v>
      </c>
      <c r="J295">
        <v>17</v>
      </c>
      <c r="K295">
        <v>22</v>
      </c>
      <c r="L295">
        <v>19</v>
      </c>
      <c r="M295">
        <v>22.3</v>
      </c>
      <c r="N295">
        <v>33.6</v>
      </c>
      <c r="O295">
        <v>26.276700000000002</v>
      </c>
      <c r="P295">
        <v>17.316199999999998</v>
      </c>
      <c r="Q295">
        <v>22.0532</v>
      </c>
      <c r="R295">
        <v>19.1691</v>
      </c>
      <c r="T295" t="s">
        <v>168</v>
      </c>
      <c r="U295" t="s">
        <v>169</v>
      </c>
      <c r="V295" t="s">
        <v>170</v>
      </c>
      <c r="W295" t="s">
        <v>171</v>
      </c>
      <c r="Y295">
        <v>8</v>
      </c>
      <c r="Z295" t="s">
        <v>172</v>
      </c>
      <c r="AA295" t="s">
        <v>173</v>
      </c>
      <c r="AB295">
        <v>4</v>
      </c>
      <c r="AC295" t="s">
        <v>423</v>
      </c>
      <c r="AD295">
        <v>10</v>
      </c>
      <c r="AG295" t="s">
        <v>167</v>
      </c>
      <c r="AH295" t="s">
        <v>416</v>
      </c>
      <c r="AI295" t="s">
        <v>178</v>
      </c>
      <c r="AJ295" t="s">
        <v>179</v>
      </c>
      <c r="AK295" t="s">
        <v>664</v>
      </c>
      <c r="AL295" t="s">
        <v>665</v>
      </c>
      <c r="AS295">
        <v>2600</v>
      </c>
      <c r="AT295">
        <v>2600</v>
      </c>
      <c r="BN295" s="114" t="s">
        <v>198</v>
      </c>
      <c r="BO295">
        <v>2</v>
      </c>
      <c r="BP295">
        <v>2</v>
      </c>
      <c r="BQ295">
        <v>13</v>
      </c>
      <c r="BR295" t="s">
        <v>712</v>
      </c>
      <c r="BT295" t="s">
        <v>218</v>
      </c>
      <c r="BU295" s="115">
        <v>45838</v>
      </c>
      <c r="BV295">
        <v>36847</v>
      </c>
      <c r="BW295" s="116"/>
      <c r="BX295" t="s">
        <v>173</v>
      </c>
      <c r="BY295" t="s">
        <v>173</v>
      </c>
      <c r="CB295" t="s">
        <v>173</v>
      </c>
      <c r="CC295" t="s">
        <v>173</v>
      </c>
      <c r="CD295" t="s">
        <v>392</v>
      </c>
      <c r="CE295" t="s">
        <v>172</v>
      </c>
      <c r="CF295" t="s">
        <v>220</v>
      </c>
      <c r="CG295" t="s">
        <v>172</v>
      </c>
      <c r="CH295" t="s">
        <v>224</v>
      </c>
      <c r="CI295" t="s">
        <v>172</v>
      </c>
      <c r="CJ295" t="s">
        <v>390</v>
      </c>
      <c r="DJ295" t="s">
        <v>201</v>
      </c>
      <c r="DK295" t="s">
        <v>202</v>
      </c>
      <c r="DN295" t="s">
        <v>173</v>
      </c>
      <c r="DO295" t="s">
        <v>203</v>
      </c>
      <c r="DP295" t="s">
        <v>172</v>
      </c>
      <c r="DQ295" t="s">
        <v>204</v>
      </c>
      <c r="EA295" s="117"/>
      <c r="EB295">
        <v>4</v>
      </c>
      <c r="EC295">
        <v>4</v>
      </c>
      <c r="EE295" t="s">
        <v>667</v>
      </c>
      <c r="EF295">
        <v>6</v>
      </c>
      <c r="EV295">
        <v>4500</v>
      </c>
      <c r="EW295">
        <v>511</v>
      </c>
      <c r="EX295">
        <v>404</v>
      </c>
      <c r="EY295">
        <v>462</v>
      </c>
    </row>
    <row r="296" spans="1:155" x14ac:dyDescent="0.35">
      <c r="A296">
        <v>2026</v>
      </c>
      <c r="B296" t="s">
        <v>211</v>
      </c>
      <c r="C296" s="112" t="s">
        <v>683</v>
      </c>
      <c r="D296" t="s">
        <v>739</v>
      </c>
      <c r="E296" t="s">
        <v>214</v>
      </c>
      <c r="F296">
        <v>502</v>
      </c>
      <c r="G296" s="113">
        <v>2.7</v>
      </c>
      <c r="H296">
        <v>4</v>
      </c>
      <c r="I296" t="s">
        <v>166</v>
      </c>
      <c r="J296">
        <v>17</v>
      </c>
      <c r="K296">
        <v>17</v>
      </c>
      <c r="L296">
        <v>17</v>
      </c>
      <c r="M296">
        <v>20.8995</v>
      </c>
      <c r="N296">
        <v>28.3</v>
      </c>
      <c r="O296">
        <v>23.686900000000001</v>
      </c>
      <c r="P296">
        <v>16.674700000000001</v>
      </c>
      <c r="Q296">
        <v>17</v>
      </c>
      <c r="R296">
        <v>17.323599999999999</v>
      </c>
      <c r="T296" t="s">
        <v>168</v>
      </c>
      <c r="U296" t="s">
        <v>169</v>
      </c>
      <c r="V296" t="s">
        <v>170</v>
      </c>
      <c r="W296" t="s">
        <v>171</v>
      </c>
      <c r="Y296">
        <v>8</v>
      </c>
      <c r="Z296" t="s">
        <v>172</v>
      </c>
      <c r="AA296" t="s">
        <v>173</v>
      </c>
      <c r="AB296">
        <v>4</v>
      </c>
      <c r="AC296" t="s">
        <v>423</v>
      </c>
      <c r="AD296">
        <v>10</v>
      </c>
      <c r="AG296" t="s">
        <v>167</v>
      </c>
      <c r="AH296" t="s">
        <v>416</v>
      </c>
      <c r="AI296" t="s">
        <v>178</v>
      </c>
      <c r="AJ296" t="s">
        <v>179</v>
      </c>
      <c r="AK296" t="s">
        <v>664</v>
      </c>
      <c r="AL296" t="s">
        <v>665</v>
      </c>
      <c r="AS296">
        <v>2900</v>
      </c>
      <c r="AT296">
        <v>2900</v>
      </c>
      <c r="BN296" s="114" t="s">
        <v>198</v>
      </c>
      <c r="BO296">
        <v>2</v>
      </c>
      <c r="BP296">
        <v>2</v>
      </c>
      <c r="BQ296">
        <v>13</v>
      </c>
      <c r="BR296" t="s">
        <v>712</v>
      </c>
      <c r="BT296" t="s">
        <v>218</v>
      </c>
      <c r="BU296" s="115">
        <v>45838</v>
      </c>
      <c r="BV296">
        <v>36860</v>
      </c>
      <c r="BW296" s="116"/>
      <c r="BX296" t="s">
        <v>172</v>
      </c>
      <c r="BY296" t="s">
        <v>173</v>
      </c>
      <c r="CB296" t="s">
        <v>173</v>
      </c>
      <c r="CC296" t="s">
        <v>173</v>
      </c>
      <c r="CD296" t="s">
        <v>392</v>
      </c>
      <c r="CE296" t="s">
        <v>172</v>
      </c>
      <c r="CF296" t="s">
        <v>220</v>
      </c>
      <c r="CG296" t="s">
        <v>172</v>
      </c>
      <c r="CH296" t="s">
        <v>224</v>
      </c>
      <c r="CI296" t="s">
        <v>172</v>
      </c>
      <c r="CJ296" t="s">
        <v>390</v>
      </c>
      <c r="DJ296" t="s">
        <v>201</v>
      </c>
      <c r="DK296" t="s">
        <v>202</v>
      </c>
      <c r="DN296" t="s">
        <v>173</v>
      </c>
      <c r="DO296" t="s">
        <v>203</v>
      </c>
      <c r="DP296" t="s">
        <v>172</v>
      </c>
      <c r="DQ296" t="s">
        <v>204</v>
      </c>
      <c r="EA296" s="117"/>
      <c r="EB296">
        <v>3</v>
      </c>
      <c r="EC296">
        <v>3</v>
      </c>
      <c r="EE296" t="s">
        <v>667</v>
      </c>
      <c r="EF296">
        <v>6</v>
      </c>
      <c r="EV296">
        <v>6000</v>
      </c>
      <c r="EW296">
        <v>531</v>
      </c>
      <c r="EX296">
        <v>522</v>
      </c>
      <c r="EY296">
        <v>527</v>
      </c>
    </row>
    <row r="297" spans="1:155" x14ac:dyDescent="0.35">
      <c r="A297">
        <v>2026</v>
      </c>
      <c r="B297" t="s">
        <v>211</v>
      </c>
      <c r="C297" s="112" t="s">
        <v>683</v>
      </c>
      <c r="D297" t="s">
        <v>740</v>
      </c>
      <c r="E297" t="s">
        <v>214</v>
      </c>
      <c r="F297">
        <v>501</v>
      </c>
      <c r="G297" s="113">
        <v>2.7</v>
      </c>
      <c r="H297">
        <v>4</v>
      </c>
      <c r="I297" t="s">
        <v>166</v>
      </c>
      <c r="J297">
        <v>16</v>
      </c>
      <c r="K297">
        <v>16</v>
      </c>
      <c r="L297">
        <v>16</v>
      </c>
      <c r="M297">
        <v>20.3</v>
      </c>
      <c r="N297">
        <v>25.3</v>
      </c>
      <c r="O297">
        <v>22.281600000000001</v>
      </c>
      <c r="P297">
        <v>15.848599999999999</v>
      </c>
      <c r="Q297">
        <v>15.596500000000001</v>
      </c>
      <c r="R297">
        <v>15.7342</v>
      </c>
      <c r="T297" t="s">
        <v>168</v>
      </c>
      <c r="U297" t="s">
        <v>169</v>
      </c>
      <c r="V297" t="s">
        <v>170</v>
      </c>
      <c r="W297" t="s">
        <v>171</v>
      </c>
      <c r="Y297">
        <v>8</v>
      </c>
      <c r="Z297" t="s">
        <v>172</v>
      </c>
      <c r="AA297" t="s">
        <v>173</v>
      </c>
      <c r="AB297">
        <v>4</v>
      </c>
      <c r="AC297" t="s">
        <v>423</v>
      </c>
      <c r="AD297">
        <v>10</v>
      </c>
      <c r="AG297" t="s">
        <v>167</v>
      </c>
      <c r="AH297" t="s">
        <v>416</v>
      </c>
      <c r="AI297" t="s">
        <v>178</v>
      </c>
      <c r="AJ297" t="s">
        <v>179</v>
      </c>
      <c r="AK297" t="s">
        <v>664</v>
      </c>
      <c r="AL297" t="s">
        <v>665</v>
      </c>
      <c r="AS297">
        <v>3100</v>
      </c>
      <c r="AT297">
        <v>3100</v>
      </c>
      <c r="BN297" s="114" t="s">
        <v>198</v>
      </c>
      <c r="BO297">
        <v>2</v>
      </c>
      <c r="BP297">
        <v>2</v>
      </c>
      <c r="BQ297">
        <v>13</v>
      </c>
      <c r="BR297" t="s">
        <v>712</v>
      </c>
      <c r="BT297" t="s">
        <v>218</v>
      </c>
      <c r="BU297" s="115">
        <v>45838</v>
      </c>
      <c r="BV297">
        <v>36856</v>
      </c>
      <c r="BW297" s="116"/>
      <c r="BX297" t="s">
        <v>172</v>
      </c>
      <c r="BY297" t="s">
        <v>173</v>
      </c>
      <c r="CB297" t="s">
        <v>173</v>
      </c>
      <c r="CC297" t="s">
        <v>173</v>
      </c>
      <c r="CD297" t="s">
        <v>392</v>
      </c>
      <c r="CE297" t="s">
        <v>172</v>
      </c>
      <c r="CF297" t="s">
        <v>220</v>
      </c>
      <c r="CG297" t="s">
        <v>172</v>
      </c>
      <c r="CH297" t="s">
        <v>224</v>
      </c>
      <c r="CI297" t="s">
        <v>172</v>
      </c>
      <c r="CJ297" t="s">
        <v>390</v>
      </c>
      <c r="DJ297" t="s">
        <v>201</v>
      </c>
      <c r="DK297" t="s">
        <v>202</v>
      </c>
      <c r="DN297" t="s">
        <v>173</v>
      </c>
      <c r="DO297" t="s">
        <v>203</v>
      </c>
      <c r="DP297" t="s">
        <v>172</v>
      </c>
      <c r="DQ297" t="s">
        <v>204</v>
      </c>
      <c r="EA297" s="117"/>
      <c r="EB297">
        <v>3</v>
      </c>
      <c r="EC297">
        <v>3</v>
      </c>
      <c r="EE297" t="s">
        <v>667</v>
      </c>
      <c r="EF297">
        <v>6</v>
      </c>
      <c r="EV297">
        <v>7000</v>
      </c>
      <c r="EW297">
        <v>559</v>
      </c>
      <c r="EX297">
        <v>570</v>
      </c>
      <c r="EY297">
        <v>564</v>
      </c>
    </row>
    <row r="298" spans="1:155" x14ac:dyDescent="0.35">
      <c r="A298">
        <v>2026</v>
      </c>
      <c r="B298" t="s">
        <v>211</v>
      </c>
      <c r="C298" s="112" t="s">
        <v>683</v>
      </c>
      <c r="D298" t="s">
        <v>741</v>
      </c>
      <c r="E298" t="s">
        <v>214</v>
      </c>
      <c r="F298">
        <v>704</v>
      </c>
      <c r="G298" s="113">
        <v>3</v>
      </c>
      <c r="H298">
        <v>6</v>
      </c>
      <c r="I298" t="s">
        <v>669</v>
      </c>
      <c r="J298">
        <v>22</v>
      </c>
      <c r="K298">
        <v>26</v>
      </c>
      <c r="L298">
        <v>24</v>
      </c>
      <c r="M298">
        <v>28.2</v>
      </c>
      <c r="N298">
        <v>41.4</v>
      </c>
      <c r="O298">
        <v>32.923900000000003</v>
      </c>
      <c r="P298">
        <v>22.1096</v>
      </c>
      <c r="Q298">
        <v>26.038499999999999</v>
      </c>
      <c r="R298">
        <v>23.720199999999998</v>
      </c>
      <c r="T298" t="s">
        <v>168</v>
      </c>
      <c r="U298" t="s">
        <v>169</v>
      </c>
      <c r="V298" t="s">
        <v>170</v>
      </c>
      <c r="W298" t="s">
        <v>171</v>
      </c>
      <c r="Y298">
        <v>10</v>
      </c>
      <c r="Z298" t="s">
        <v>172</v>
      </c>
      <c r="AA298" t="s">
        <v>173</v>
      </c>
      <c r="AB298">
        <v>4</v>
      </c>
      <c r="AC298" t="s">
        <v>423</v>
      </c>
      <c r="AE298">
        <v>20</v>
      </c>
      <c r="AG298" t="s">
        <v>670</v>
      </c>
      <c r="AH298" t="s">
        <v>671</v>
      </c>
      <c r="AI298" t="s">
        <v>178</v>
      </c>
      <c r="AJ298" t="s">
        <v>179</v>
      </c>
      <c r="AK298" t="s">
        <v>664</v>
      </c>
      <c r="AL298" t="s">
        <v>665</v>
      </c>
      <c r="AS298">
        <v>2250</v>
      </c>
      <c r="AT298">
        <v>2250</v>
      </c>
      <c r="BN298" s="114"/>
      <c r="BO298">
        <v>2</v>
      </c>
      <c r="BP298">
        <v>2</v>
      </c>
      <c r="BQ298">
        <v>13</v>
      </c>
      <c r="BR298" t="s">
        <v>712</v>
      </c>
      <c r="BT298" t="s">
        <v>613</v>
      </c>
      <c r="BU298" s="115">
        <v>45839</v>
      </c>
      <c r="BV298">
        <v>36906</v>
      </c>
      <c r="BW298" s="116"/>
      <c r="BX298" t="s">
        <v>173</v>
      </c>
      <c r="BY298" t="s">
        <v>173</v>
      </c>
      <c r="CB298" t="s">
        <v>173</v>
      </c>
      <c r="CC298" t="s">
        <v>173</v>
      </c>
      <c r="CE298" t="s">
        <v>173</v>
      </c>
      <c r="CG298" t="s">
        <v>173</v>
      </c>
      <c r="CI298" t="s">
        <v>173</v>
      </c>
      <c r="DJ298" t="s">
        <v>672</v>
      </c>
      <c r="DK298" t="s">
        <v>673</v>
      </c>
      <c r="DN298" t="s">
        <v>173</v>
      </c>
      <c r="DO298" t="s">
        <v>203</v>
      </c>
      <c r="DP298" t="s">
        <v>172</v>
      </c>
      <c r="DQ298" t="s">
        <v>204</v>
      </c>
      <c r="EA298" s="117"/>
      <c r="EB298">
        <v>5</v>
      </c>
      <c r="EC298">
        <v>4</v>
      </c>
      <c r="EE298" t="s">
        <v>674</v>
      </c>
      <c r="EF298">
        <v>4</v>
      </c>
      <c r="EV298">
        <v>2750</v>
      </c>
      <c r="EW298">
        <v>459</v>
      </c>
      <c r="EX298">
        <v>391</v>
      </c>
      <c r="EY298">
        <v>428</v>
      </c>
    </row>
    <row r="299" spans="1:155" x14ac:dyDescent="0.35">
      <c r="A299">
        <v>2026</v>
      </c>
      <c r="B299" t="s">
        <v>211</v>
      </c>
      <c r="C299" s="112" t="s">
        <v>683</v>
      </c>
      <c r="D299" t="s">
        <v>742</v>
      </c>
      <c r="E299" t="s">
        <v>214</v>
      </c>
      <c r="F299">
        <v>576</v>
      </c>
      <c r="G299" s="113">
        <v>5.3</v>
      </c>
      <c r="H299">
        <v>8</v>
      </c>
      <c r="I299" t="s">
        <v>669</v>
      </c>
      <c r="J299">
        <v>15</v>
      </c>
      <c r="K299">
        <v>18</v>
      </c>
      <c r="L299">
        <v>16</v>
      </c>
      <c r="M299">
        <v>19.107900000000001</v>
      </c>
      <c r="N299">
        <v>27.806899999999999</v>
      </c>
      <c r="O299">
        <v>22.238600000000002</v>
      </c>
      <c r="P299">
        <v>14.7948</v>
      </c>
      <c r="Q299">
        <v>18.112300000000001</v>
      </c>
      <c r="R299">
        <v>16.123799999999999</v>
      </c>
      <c r="U299" t="s">
        <v>215</v>
      </c>
      <c r="V299" t="s">
        <v>170</v>
      </c>
      <c r="W299" t="s">
        <v>171</v>
      </c>
      <c r="Y299">
        <v>10</v>
      </c>
      <c r="Z299" t="s">
        <v>172</v>
      </c>
      <c r="AA299" t="s">
        <v>173</v>
      </c>
      <c r="AB299">
        <v>4</v>
      </c>
      <c r="AC299" t="s">
        <v>423</v>
      </c>
      <c r="AD299">
        <v>10</v>
      </c>
      <c r="AG299" t="s">
        <v>167</v>
      </c>
      <c r="AH299" t="s">
        <v>416</v>
      </c>
      <c r="AI299" t="s">
        <v>178</v>
      </c>
      <c r="AJ299" t="s">
        <v>179</v>
      </c>
      <c r="AK299" t="s">
        <v>664</v>
      </c>
      <c r="AL299" t="s">
        <v>665</v>
      </c>
      <c r="AS299">
        <v>3100</v>
      </c>
      <c r="AT299">
        <v>3100</v>
      </c>
      <c r="BN299" s="114" t="s">
        <v>198</v>
      </c>
      <c r="BO299">
        <v>1</v>
      </c>
      <c r="BP299">
        <v>1</v>
      </c>
      <c r="BQ299">
        <v>13</v>
      </c>
      <c r="BR299" t="s">
        <v>712</v>
      </c>
      <c r="BT299" t="s">
        <v>218</v>
      </c>
      <c r="BU299" s="115">
        <v>45838</v>
      </c>
      <c r="BV299">
        <v>36878</v>
      </c>
      <c r="BW299" s="116"/>
      <c r="BX299" t="s">
        <v>173</v>
      </c>
      <c r="BY299" t="s">
        <v>173</v>
      </c>
      <c r="CB299" t="s">
        <v>173</v>
      </c>
      <c r="CC299" t="s">
        <v>173</v>
      </c>
      <c r="CE299" t="s">
        <v>172</v>
      </c>
      <c r="CF299" t="s">
        <v>676</v>
      </c>
      <c r="CG299" t="s">
        <v>172</v>
      </c>
      <c r="CH299" t="s">
        <v>677</v>
      </c>
      <c r="CI299" t="s">
        <v>173</v>
      </c>
      <c r="DJ299" t="s">
        <v>201</v>
      </c>
      <c r="DK299" t="s">
        <v>202</v>
      </c>
      <c r="DN299" t="s">
        <v>173</v>
      </c>
      <c r="DO299" t="s">
        <v>203</v>
      </c>
      <c r="DP299" t="s">
        <v>172</v>
      </c>
      <c r="DQ299" t="s">
        <v>204</v>
      </c>
      <c r="DR299" t="s">
        <v>721</v>
      </c>
      <c r="EA299" s="117"/>
      <c r="EB299">
        <v>3</v>
      </c>
      <c r="EC299">
        <v>3</v>
      </c>
      <c r="EE299" t="s">
        <v>679</v>
      </c>
      <c r="EF299">
        <v>6</v>
      </c>
      <c r="EV299">
        <v>7000</v>
      </c>
      <c r="EW299">
        <v>598</v>
      </c>
      <c r="EX299">
        <v>492</v>
      </c>
      <c r="EY299">
        <v>550</v>
      </c>
    </row>
    <row r="300" spans="1:155" x14ac:dyDescent="0.35">
      <c r="A300">
        <v>2026</v>
      </c>
      <c r="B300" t="s">
        <v>211</v>
      </c>
      <c r="C300" s="112" t="s">
        <v>683</v>
      </c>
      <c r="D300" t="s">
        <v>743</v>
      </c>
      <c r="E300" t="s">
        <v>214</v>
      </c>
      <c r="F300">
        <v>551</v>
      </c>
      <c r="G300" s="113">
        <v>5.3</v>
      </c>
      <c r="H300">
        <v>8</v>
      </c>
      <c r="I300" t="s">
        <v>669</v>
      </c>
      <c r="J300">
        <v>15</v>
      </c>
      <c r="K300">
        <v>19</v>
      </c>
      <c r="L300">
        <v>17</v>
      </c>
      <c r="M300">
        <v>19.100000000000001</v>
      </c>
      <c r="N300">
        <v>28.7</v>
      </c>
      <c r="O300">
        <v>22.484400000000001</v>
      </c>
      <c r="P300">
        <v>15.4251</v>
      </c>
      <c r="Q300">
        <v>19.2393</v>
      </c>
      <c r="R300">
        <v>16.936</v>
      </c>
      <c r="U300" t="s">
        <v>215</v>
      </c>
      <c r="V300" t="s">
        <v>170</v>
      </c>
      <c r="W300" t="s">
        <v>171</v>
      </c>
      <c r="Y300">
        <v>10</v>
      </c>
      <c r="Z300" t="s">
        <v>172</v>
      </c>
      <c r="AA300" t="s">
        <v>173</v>
      </c>
      <c r="AB300">
        <v>4</v>
      </c>
      <c r="AC300" t="s">
        <v>423</v>
      </c>
      <c r="AD300">
        <v>85</v>
      </c>
      <c r="AF300">
        <v>408</v>
      </c>
      <c r="AG300" t="s">
        <v>167</v>
      </c>
      <c r="AH300" t="s">
        <v>416</v>
      </c>
      <c r="AI300" t="s">
        <v>178</v>
      </c>
      <c r="AJ300" t="s">
        <v>179</v>
      </c>
      <c r="AK300" t="s">
        <v>664</v>
      </c>
      <c r="AL300" t="s">
        <v>665</v>
      </c>
      <c r="AS300">
        <v>2900</v>
      </c>
      <c r="AT300">
        <v>2900</v>
      </c>
      <c r="AU300">
        <v>11</v>
      </c>
      <c r="AV300">
        <v>14</v>
      </c>
      <c r="AW300">
        <v>12</v>
      </c>
      <c r="AX300">
        <v>13.7</v>
      </c>
      <c r="AY300">
        <v>21.1</v>
      </c>
      <c r="AZ300">
        <v>16.267299999999999</v>
      </c>
      <c r="BA300">
        <v>11.0641</v>
      </c>
      <c r="BB300">
        <v>14.144600000000001</v>
      </c>
      <c r="BC300">
        <v>12.2662</v>
      </c>
      <c r="BD300">
        <v>288</v>
      </c>
      <c r="BE300" t="s">
        <v>618</v>
      </c>
      <c r="BF300" t="s">
        <v>619</v>
      </c>
      <c r="BG300" t="s">
        <v>178</v>
      </c>
      <c r="BH300" t="s">
        <v>179</v>
      </c>
      <c r="BI300">
        <v>3550</v>
      </c>
      <c r="BJ300">
        <v>568</v>
      </c>
      <c r="BK300">
        <v>444</v>
      </c>
      <c r="BL300">
        <v>512</v>
      </c>
      <c r="BM300">
        <v>3550</v>
      </c>
      <c r="BN300" s="114" t="s">
        <v>620</v>
      </c>
      <c r="BO300">
        <v>1</v>
      </c>
      <c r="BP300">
        <v>1</v>
      </c>
      <c r="BQ300">
        <v>13</v>
      </c>
      <c r="BR300" t="s">
        <v>712</v>
      </c>
      <c r="BT300" t="s">
        <v>613</v>
      </c>
      <c r="BU300" s="115">
        <v>45838</v>
      </c>
      <c r="BV300">
        <v>36887</v>
      </c>
      <c r="BW300" s="116"/>
      <c r="BX300" t="s">
        <v>173</v>
      </c>
      <c r="BY300" t="s">
        <v>173</v>
      </c>
      <c r="CB300" t="s">
        <v>173</v>
      </c>
      <c r="CC300" t="s">
        <v>173</v>
      </c>
      <c r="CE300" t="s">
        <v>172</v>
      </c>
      <c r="CF300" t="s">
        <v>676</v>
      </c>
      <c r="CG300" t="s">
        <v>172</v>
      </c>
      <c r="CH300" t="s">
        <v>677</v>
      </c>
      <c r="CI300" t="s">
        <v>173</v>
      </c>
      <c r="DJ300" t="s">
        <v>201</v>
      </c>
      <c r="DK300" t="s">
        <v>202</v>
      </c>
      <c r="DN300" t="s">
        <v>173</v>
      </c>
      <c r="DO300" t="s">
        <v>203</v>
      </c>
      <c r="DP300" t="s">
        <v>173</v>
      </c>
      <c r="DQ300" t="s">
        <v>189</v>
      </c>
      <c r="EA300" s="117"/>
      <c r="EB300">
        <v>3</v>
      </c>
      <c r="EC300">
        <v>3</v>
      </c>
      <c r="ED300">
        <v>3</v>
      </c>
      <c r="EE300" t="s">
        <v>719</v>
      </c>
      <c r="EF300">
        <v>2</v>
      </c>
      <c r="EV300">
        <v>6000</v>
      </c>
      <c r="EW300">
        <v>576</v>
      </c>
      <c r="EX300">
        <v>462</v>
      </c>
      <c r="EY300">
        <v>524</v>
      </c>
    </row>
    <row r="301" spans="1:155" x14ac:dyDescent="0.35">
      <c r="A301">
        <v>2026</v>
      </c>
      <c r="B301" t="s">
        <v>211</v>
      </c>
      <c r="C301" s="112" t="s">
        <v>683</v>
      </c>
      <c r="D301" t="s">
        <v>744</v>
      </c>
      <c r="E301" t="s">
        <v>214</v>
      </c>
      <c r="F301">
        <v>555</v>
      </c>
      <c r="G301" s="113">
        <v>6.2</v>
      </c>
      <c r="H301">
        <v>8</v>
      </c>
      <c r="I301" t="s">
        <v>669</v>
      </c>
      <c r="J301">
        <v>15</v>
      </c>
      <c r="K301">
        <v>19</v>
      </c>
      <c r="L301">
        <v>16</v>
      </c>
      <c r="M301">
        <v>18.100000000000001</v>
      </c>
      <c r="N301">
        <v>28.5</v>
      </c>
      <c r="O301">
        <v>21.656199999999998</v>
      </c>
      <c r="P301">
        <v>14.666</v>
      </c>
      <c r="Q301">
        <v>19.4498</v>
      </c>
      <c r="R301">
        <v>16.491299999999999</v>
      </c>
      <c r="U301" t="s">
        <v>215</v>
      </c>
      <c r="V301" t="s">
        <v>170</v>
      </c>
      <c r="W301" t="s">
        <v>171</v>
      </c>
      <c r="Y301">
        <v>10</v>
      </c>
      <c r="Z301" t="s">
        <v>172</v>
      </c>
      <c r="AA301" t="s">
        <v>173</v>
      </c>
      <c r="AB301">
        <v>4</v>
      </c>
      <c r="AC301" t="s">
        <v>423</v>
      </c>
      <c r="AD301">
        <v>10</v>
      </c>
      <c r="AG301" t="s">
        <v>176</v>
      </c>
      <c r="AH301" t="s">
        <v>177</v>
      </c>
      <c r="AI301" t="s">
        <v>178</v>
      </c>
      <c r="AJ301" t="s">
        <v>179</v>
      </c>
      <c r="AK301" t="s">
        <v>664</v>
      </c>
      <c r="AL301" t="s">
        <v>665</v>
      </c>
      <c r="AS301">
        <v>3900</v>
      </c>
      <c r="AT301">
        <v>3900</v>
      </c>
      <c r="BN301" s="114" t="s">
        <v>198</v>
      </c>
      <c r="BO301">
        <v>1</v>
      </c>
      <c r="BP301">
        <v>1</v>
      </c>
      <c r="BQ301">
        <v>13</v>
      </c>
      <c r="BR301" t="s">
        <v>712</v>
      </c>
      <c r="BT301" t="s">
        <v>613</v>
      </c>
      <c r="BU301" s="115">
        <v>45838</v>
      </c>
      <c r="BV301">
        <v>36821</v>
      </c>
      <c r="BW301" s="116"/>
      <c r="BX301" t="s">
        <v>173</v>
      </c>
      <c r="BY301" t="s">
        <v>173</v>
      </c>
      <c r="CB301" t="s">
        <v>173</v>
      </c>
      <c r="CC301" t="s">
        <v>173</v>
      </c>
      <c r="CE301" t="s">
        <v>172</v>
      </c>
      <c r="CF301" t="s">
        <v>676</v>
      </c>
      <c r="CG301" t="s">
        <v>172</v>
      </c>
      <c r="CH301" t="s">
        <v>677</v>
      </c>
      <c r="CI301" t="s">
        <v>173</v>
      </c>
      <c r="DJ301" t="s">
        <v>201</v>
      </c>
      <c r="DK301" t="s">
        <v>202</v>
      </c>
      <c r="DN301" t="s">
        <v>173</v>
      </c>
      <c r="DO301" t="s">
        <v>203</v>
      </c>
      <c r="DP301" t="s">
        <v>172</v>
      </c>
      <c r="DQ301" t="s">
        <v>204</v>
      </c>
      <c r="EA301" s="117"/>
      <c r="EB301">
        <v>3</v>
      </c>
      <c r="EC301">
        <v>3</v>
      </c>
      <c r="EE301" t="s">
        <v>717</v>
      </c>
      <c r="EF301">
        <v>5</v>
      </c>
      <c r="EV301">
        <v>11000</v>
      </c>
      <c r="EW301">
        <v>606</v>
      </c>
      <c r="EX301">
        <v>457</v>
      </c>
      <c r="EY301">
        <v>539</v>
      </c>
    </row>
    <row r="302" spans="1:155" x14ac:dyDescent="0.35">
      <c r="A302">
        <v>2026</v>
      </c>
      <c r="B302" t="s">
        <v>211</v>
      </c>
      <c r="C302" s="112" t="s">
        <v>683</v>
      </c>
      <c r="D302" t="s">
        <v>745</v>
      </c>
      <c r="E302" t="s">
        <v>214</v>
      </c>
      <c r="F302">
        <v>561</v>
      </c>
      <c r="G302" s="113">
        <v>5.3</v>
      </c>
      <c r="H302">
        <v>8</v>
      </c>
      <c r="I302" t="s">
        <v>669</v>
      </c>
      <c r="J302">
        <v>15</v>
      </c>
      <c r="K302">
        <v>19</v>
      </c>
      <c r="L302">
        <v>16</v>
      </c>
      <c r="M302">
        <v>18.5</v>
      </c>
      <c r="N302">
        <v>28</v>
      </c>
      <c r="O302">
        <v>21.833500000000001</v>
      </c>
      <c r="P302">
        <v>14.655900000000001</v>
      </c>
      <c r="Q302">
        <v>18.777200000000001</v>
      </c>
      <c r="R302">
        <v>16.2621</v>
      </c>
      <c r="U302" t="s">
        <v>215</v>
      </c>
      <c r="V302" t="s">
        <v>170</v>
      </c>
      <c r="W302" t="s">
        <v>171</v>
      </c>
      <c r="Y302">
        <v>10</v>
      </c>
      <c r="Z302" t="s">
        <v>172</v>
      </c>
      <c r="AA302" t="s">
        <v>173</v>
      </c>
      <c r="AB302">
        <v>4</v>
      </c>
      <c r="AC302" t="s">
        <v>423</v>
      </c>
      <c r="AD302">
        <v>10</v>
      </c>
      <c r="AG302" t="s">
        <v>167</v>
      </c>
      <c r="AH302" t="s">
        <v>416</v>
      </c>
      <c r="AI302" t="s">
        <v>178</v>
      </c>
      <c r="AJ302" t="s">
        <v>179</v>
      </c>
      <c r="AK302" t="s">
        <v>664</v>
      </c>
      <c r="AL302" t="s">
        <v>665</v>
      </c>
      <c r="AS302">
        <v>3100</v>
      </c>
      <c r="AT302">
        <v>3100</v>
      </c>
      <c r="BN302" s="114" t="s">
        <v>198</v>
      </c>
      <c r="BO302">
        <v>1</v>
      </c>
      <c r="BP302">
        <v>1</v>
      </c>
      <c r="BQ302">
        <v>13</v>
      </c>
      <c r="BR302" t="s">
        <v>712</v>
      </c>
      <c r="BT302" t="s">
        <v>218</v>
      </c>
      <c r="BU302" s="115">
        <v>45838</v>
      </c>
      <c r="BV302">
        <v>36915</v>
      </c>
      <c r="BW302" s="116"/>
      <c r="BX302" t="s">
        <v>173</v>
      </c>
      <c r="BY302" t="s">
        <v>173</v>
      </c>
      <c r="CB302" t="s">
        <v>173</v>
      </c>
      <c r="CC302" t="s">
        <v>173</v>
      </c>
      <c r="CE302" t="s">
        <v>172</v>
      </c>
      <c r="CF302" t="s">
        <v>676</v>
      </c>
      <c r="CG302" t="s">
        <v>172</v>
      </c>
      <c r="CH302" t="s">
        <v>677</v>
      </c>
      <c r="CI302" t="s">
        <v>173</v>
      </c>
      <c r="DJ302" t="s">
        <v>201</v>
      </c>
      <c r="DK302" t="s">
        <v>202</v>
      </c>
      <c r="DN302" t="s">
        <v>173</v>
      </c>
      <c r="DO302" t="s">
        <v>203</v>
      </c>
      <c r="DP302" t="s">
        <v>173</v>
      </c>
      <c r="DQ302" t="s">
        <v>189</v>
      </c>
      <c r="DR302" t="s">
        <v>722</v>
      </c>
      <c r="EA302" s="117"/>
      <c r="EB302">
        <v>3</v>
      </c>
      <c r="EC302">
        <v>3</v>
      </c>
      <c r="EE302" t="s">
        <v>679</v>
      </c>
      <c r="EF302">
        <v>6</v>
      </c>
      <c r="EV302">
        <v>7000</v>
      </c>
      <c r="EW302">
        <v>604</v>
      </c>
      <c r="EX302">
        <v>475</v>
      </c>
      <c r="EY302">
        <v>546</v>
      </c>
    </row>
    <row r="303" spans="1:155" x14ac:dyDescent="0.35">
      <c r="A303">
        <v>2026</v>
      </c>
      <c r="B303" t="s">
        <v>211</v>
      </c>
      <c r="C303" s="112" t="s">
        <v>683</v>
      </c>
      <c r="D303" t="s">
        <v>746</v>
      </c>
      <c r="E303" t="s">
        <v>214</v>
      </c>
      <c r="F303">
        <v>513</v>
      </c>
      <c r="G303" s="113">
        <v>2.7</v>
      </c>
      <c r="H303">
        <v>4</v>
      </c>
      <c r="I303" t="s">
        <v>166</v>
      </c>
      <c r="J303">
        <v>17</v>
      </c>
      <c r="K303">
        <v>20</v>
      </c>
      <c r="L303">
        <v>18</v>
      </c>
      <c r="M303">
        <v>21.540199999999999</v>
      </c>
      <c r="N303">
        <v>31.822399999999998</v>
      </c>
      <c r="O303">
        <v>25.204999999999998</v>
      </c>
      <c r="P303">
        <v>16.867699999999999</v>
      </c>
      <c r="Q303">
        <v>19.7273</v>
      </c>
      <c r="R303">
        <v>18.044799999999999</v>
      </c>
      <c r="T303" t="s">
        <v>168</v>
      </c>
      <c r="U303" t="s">
        <v>169</v>
      </c>
      <c r="V303" t="s">
        <v>170</v>
      </c>
      <c r="W303" t="s">
        <v>171</v>
      </c>
      <c r="Y303">
        <v>8</v>
      </c>
      <c r="Z303" t="s">
        <v>172</v>
      </c>
      <c r="AA303" t="s">
        <v>173</v>
      </c>
      <c r="AB303">
        <v>4</v>
      </c>
      <c r="AC303" t="s">
        <v>423</v>
      </c>
      <c r="AD303">
        <v>10</v>
      </c>
      <c r="AG303" t="s">
        <v>167</v>
      </c>
      <c r="AH303" t="s">
        <v>416</v>
      </c>
      <c r="AI303" t="s">
        <v>178</v>
      </c>
      <c r="AJ303" t="s">
        <v>179</v>
      </c>
      <c r="AK303" t="s">
        <v>664</v>
      </c>
      <c r="AL303" t="s">
        <v>665</v>
      </c>
      <c r="AS303">
        <v>2750</v>
      </c>
      <c r="AT303">
        <v>2750</v>
      </c>
      <c r="BN303" s="114" t="s">
        <v>198</v>
      </c>
      <c r="BO303">
        <v>2</v>
      </c>
      <c r="BP303">
        <v>2</v>
      </c>
      <c r="BQ303">
        <v>13</v>
      </c>
      <c r="BR303" t="s">
        <v>712</v>
      </c>
      <c r="BT303" t="s">
        <v>218</v>
      </c>
      <c r="BU303" s="115">
        <v>45838</v>
      </c>
      <c r="BV303">
        <v>36845</v>
      </c>
      <c r="BW303" s="116"/>
      <c r="BX303" t="s">
        <v>173</v>
      </c>
      <c r="BY303" t="s">
        <v>173</v>
      </c>
      <c r="CB303" t="s">
        <v>173</v>
      </c>
      <c r="CC303" t="s">
        <v>173</v>
      </c>
      <c r="CD303" t="s">
        <v>392</v>
      </c>
      <c r="CE303" t="s">
        <v>172</v>
      </c>
      <c r="CF303" t="s">
        <v>220</v>
      </c>
      <c r="CG303" t="s">
        <v>172</v>
      </c>
      <c r="CH303" t="s">
        <v>224</v>
      </c>
      <c r="CI303" t="s">
        <v>172</v>
      </c>
      <c r="CJ303" t="s">
        <v>390</v>
      </c>
      <c r="DJ303" t="s">
        <v>201</v>
      </c>
      <c r="DK303" t="s">
        <v>202</v>
      </c>
      <c r="DN303" t="s">
        <v>173</v>
      </c>
      <c r="DO303" t="s">
        <v>203</v>
      </c>
      <c r="DP303" t="s">
        <v>172</v>
      </c>
      <c r="DQ303" t="s">
        <v>204</v>
      </c>
      <c r="EA303" s="117"/>
      <c r="EB303">
        <v>3</v>
      </c>
      <c r="EC303">
        <v>3</v>
      </c>
      <c r="EE303" t="s">
        <v>667</v>
      </c>
      <c r="EF303">
        <v>6</v>
      </c>
      <c r="EV303">
        <v>5250</v>
      </c>
      <c r="EW303">
        <v>524</v>
      </c>
      <c r="EX303">
        <v>450</v>
      </c>
      <c r="EY303">
        <v>491</v>
      </c>
    </row>
    <row r="304" spans="1:155" x14ac:dyDescent="0.35">
      <c r="A304">
        <v>2026</v>
      </c>
      <c r="B304" t="s">
        <v>211</v>
      </c>
      <c r="C304" s="112" t="s">
        <v>683</v>
      </c>
      <c r="D304" t="s">
        <v>747</v>
      </c>
      <c r="E304" t="s">
        <v>214</v>
      </c>
      <c r="F304">
        <v>559</v>
      </c>
      <c r="G304" s="113">
        <v>6.2</v>
      </c>
      <c r="H304">
        <v>8</v>
      </c>
      <c r="I304" t="s">
        <v>669</v>
      </c>
      <c r="J304">
        <v>14</v>
      </c>
      <c r="K304">
        <v>16</v>
      </c>
      <c r="L304">
        <v>15</v>
      </c>
      <c r="M304">
        <v>18</v>
      </c>
      <c r="N304">
        <v>24.9</v>
      </c>
      <c r="O304">
        <v>20.564299999999999</v>
      </c>
      <c r="P304">
        <v>14</v>
      </c>
      <c r="Q304">
        <v>16</v>
      </c>
      <c r="R304">
        <v>15.454599999999999</v>
      </c>
      <c r="U304" t="s">
        <v>215</v>
      </c>
      <c r="V304" t="s">
        <v>170</v>
      </c>
      <c r="W304" t="s">
        <v>171</v>
      </c>
      <c r="Y304">
        <v>10</v>
      </c>
      <c r="Z304" t="s">
        <v>172</v>
      </c>
      <c r="AA304" t="s">
        <v>173</v>
      </c>
      <c r="AB304">
        <v>4</v>
      </c>
      <c r="AC304" t="s">
        <v>423</v>
      </c>
      <c r="AD304">
        <v>10</v>
      </c>
      <c r="AG304" t="s">
        <v>176</v>
      </c>
      <c r="AH304" t="s">
        <v>177</v>
      </c>
      <c r="AI304" t="s">
        <v>178</v>
      </c>
      <c r="AJ304" t="s">
        <v>179</v>
      </c>
      <c r="AK304" t="s">
        <v>664</v>
      </c>
      <c r="AL304" t="s">
        <v>665</v>
      </c>
      <c r="AS304">
        <v>4150</v>
      </c>
      <c r="AT304">
        <v>4150</v>
      </c>
      <c r="BN304" s="114" t="s">
        <v>198</v>
      </c>
      <c r="BO304">
        <v>1</v>
      </c>
      <c r="BP304">
        <v>1</v>
      </c>
      <c r="BQ304">
        <v>13</v>
      </c>
      <c r="BR304" t="s">
        <v>712</v>
      </c>
      <c r="BT304" t="s">
        <v>613</v>
      </c>
      <c r="BU304" s="115">
        <v>45838</v>
      </c>
      <c r="BV304">
        <v>36825</v>
      </c>
      <c r="BW304" s="116"/>
      <c r="BX304" t="s">
        <v>172</v>
      </c>
      <c r="BY304" t="s">
        <v>173</v>
      </c>
      <c r="CB304" t="s">
        <v>173</v>
      </c>
      <c r="CC304" t="s">
        <v>173</v>
      </c>
      <c r="CE304" t="s">
        <v>172</v>
      </c>
      <c r="CF304" t="s">
        <v>676</v>
      </c>
      <c r="CG304" t="s">
        <v>172</v>
      </c>
      <c r="CH304" t="s">
        <v>677</v>
      </c>
      <c r="CI304" t="s">
        <v>173</v>
      </c>
      <c r="DJ304" t="s">
        <v>201</v>
      </c>
      <c r="DK304" t="s">
        <v>202</v>
      </c>
      <c r="DN304" t="s">
        <v>173</v>
      </c>
      <c r="DO304" t="s">
        <v>203</v>
      </c>
      <c r="DP304" t="s">
        <v>172</v>
      </c>
      <c r="DQ304" t="s">
        <v>204</v>
      </c>
      <c r="EA304" s="117"/>
      <c r="EB304">
        <v>2</v>
      </c>
      <c r="EC304">
        <v>2</v>
      </c>
      <c r="EE304" t="s">
        <v>717</v>
      </c>
      <c r="EF304">
        <v>5</v>
      </c>
      <c r="EV304">
        <v>12250</v>
      </c>
      <c r="EW304">
        <v>638</v>
      </c>
      <c r="EX304">
        <v>557</v>
      </c>
      <c r="EY304">
        <v>601</v>
      </c>
    </row>
    <row r="305" spans="1:155" x14ac:dyDescent="0.35">
      <c r="A305">
        <v>2026</v>
      </c>
      <c r="B305" t="s">
        <v>211</v>
      </c>
      <c r="C305" s="112" t="s">
        <v>683</v>
      </c>
      <c r="D305" t="s">
        <v>747</v>
      </c>
      <c r="E305" t="s">
        <v>214</v>
      </c>
      <c r="F305">
        <v>710</v>
      </c>
      <c r="G305" s="113">
        <v>3</v>
      </c>
      <c r="H305">
        <v>6</v>
      </c>
      <c r="I305" t="s">
        <v>669</v>
      </c>
      <c r="J305">
        <v>19</v>
      </c>
      <c r="K305">
        <v>20</v>
      </c>
      <c r="L305">
        <v>19</v>
      </c>
      <c r="M305">
        <v>24.2</v>
      </c>
      <c r="N305">
        <v>30.4</v>
      </c>
      <c r="O305">
        <v>26.645399999999999</v>
      </c>
      <c r="P305">
        <v>19.22</v>
      </c>
      <c r="Q305">
        <v>19.664100000000001</v>
      </c>
      <c r="R305">
        <v>19.417300000000001</v>
      </c>
      <c r="T305" t="s">
        <v>168</v>
      </c>
      <c r="U305" t="s">
        <v>169</v>
      </c>
      <c r="V305" t="s">
        <v>170</v>
      </c>
      <c r="W305" t="s">
        <v>171</v>
      </c>
      <c r="Y305">
        <v>10</v>
      </c>
      <c r="Z305" t="s">
        <v>172</v>
      </c>
      <c r="AA305" t="s">
        <v>173</v>
      </c>
      <c r="AB305">
        <v>4</v>
      </c>
      <c r="AC305" t="s">
        <v>423</v>
      </c>
      <c r="AE305">
        <v>20</v>
      </c>
      <c r="AG305" t="s">
        <v>670</v>
      </c>
      <c r="AH305" t="s">
        <v>671</v>
      </c>
      <c r="AI305" t="s">
        <v>178</v>
      </c>
      <c r="AJ305" t="s">
        <v>179</v>
      </c>
      <c r="AK305" t="s">
        <v>664</v>
      </c>
      <c r="AL305" t="s">
        <v>665</v>
      </c>
      <c r="AS305">
        <v>2850</v>
      </c>
      <c r="AT305">
        <v>2850</v>
      </c>
      <c r="BN305" s="114"/>
      <c r="BO305">
        <v>2</v>
      </c>
      <c r="BP305">
        <v>2</v>
      </c>
      <c r="BQ305">
        <v>13</v>
      </c>
      <c r="BR305" t="s">
        <v>712</v>
      </c>
      <c r="BT305" t="s">
        <v>613</v>
      </c>
      <c r="BU305" s="115">
        <v>45839</v>
      </c>
      <c r="BV305">
        <v>36912</v>
      </c>
      <c r="BW305" s="116"/>
      <c r="BX305" t="s">
        <v>172</v>
      </c>
      <c r="BY305" t="s">
        <v>173</v>
      </c>
      <c r="CB305" t="s">
        <v>173</v>
      </c>
      <c r="CC305" t="s">
        <v>173</v>
      </c>
      <c r="CE305" t="s">
        <v>173</v>
      </c>
      <c r="CG305" t="s">
        <v>173</v>
      </c>
      <c r="CI305" t="s">
        <v>173</v>
      </c>
      <c r="DJ305" t="s">
        <v>672</v>
      </c>
      <c r="DK305" t="s">
        <v>673</v>
      </c>
      <c r="DN305" t="s">
        <v>173</v>
      </c>
      <c r="DO305" t="s">
        <v>203</v>
      </c>
      <c r="DP305" t="s">
        <v>172</v>
      </c>
      <c r="DQ305" t="s">
        <v>204</v>
      </c>
      <c r="EA305" s="117"/>
      <c r="EB305">
        <v>4</v>
      </c>
      <c r="EC305">
        <v>3</v>
      </c>
      <c r="EE305" t="s">
        <v>737</v>
      </c>
      <c r="EF305">
        <v>2</v>
      </c>
      <c r="EV305">
        <v>5750</v>
      </c>
      <c r="EW305">
        <v>530</v>
      </c>
      <c r="EX305">
        <v>516</v>
      </c>
      <c r="EY305">
        <v>524</v>
      </c>
    </row>
    <row r="306" spans="1:155" x14ac:dyDescent="0.35">
      <c r="A306">
        <v>2026</v>
      </c>
      <c r="B306" t="s">
        <v>211</v>
      </c>
      <c r="C306" s="112" t="s">
        <v>683</v>
      </c>
      <c r="D306" t="s">
        <v>748</v>
      </c>
      <c r="E306" t="s">
        <v>214</v>
      </c>
      <c r="F306">
        <v>518</v>
      </c>
      <c r="G306" s="113">
        <v>2.7</v>
      </c>
      <c r="H306">
        <v>4</v>
      </c>
      <c r="I306" t="s">
        <v>166</v>
      </c>
      <c r="J306">
        <v>17</v>
      </c>
      <c r="K306">
        <v>18</v>
      </c>
      <c r="L306">
        <v>17</v>
      </c>
      <c r="M306">
        <v>21.1</v>
      </c>
      <c r="N306">
        <v>29.6</v>
      </c>
      <c r="O306">
        <v>24.231200000000001</v>
      </c>
      <c r="P306">
        <v>16.5505</v>
      </c>
      <c r="Q306">
        <v>18.198899999999998</v>
      </c>
      <c r="R306">
        <v>17.253799999999998</v>
      </c>
      <c r="T306" t="s">
        <v>168</v>
      </c>
      <c r="U306" t="s">
        <v>169</v>
      </c>
      <c r="V306" t="s">
        <v>170</v>
      </c>
      <c r="W306" t="s">
        <v>171</v>
      </c>
      <c r="Y306">
        <v>8</v>
      </c>
      <c r="Z306" t="s">
        <v>172</v>
      </c>
      <c r="AA306" t="s">
        <v>173</v>
      </c>
      <c r="AB306">
        <v>4</v>
      </c>
      <c r="AC306" t="s">
        <v>423</v>
      </c>
      <c r="AD306">
        <v>10</v>
      </c>
      <c r="AG306" t="s">
        <v>167</v>
      </c>
      <c r="AH306" t="s">
        <v>416</v>
      </c>
      <c r="AI306" t="s">
        <v>178</v>
      </c>
      <c r="AJ306" t="s">
        <v>179</v>
      </c>
      <c r="AK306" t="s">
        <v>664</v>
      </c>
      <c r="AL306" t="s">
        <v>665</v>
      </c>
      <c r="AS306">
        <v>2900</v>
      </c>
      <c r="AT306">
        <v>2900</v>
      </c>
      <c r="BN306" s="114" t="s">
        <v>198</v>
      </c>
      <c r="BO306">
        <v>2</v>
      </c>
      <c r="BP306">
        <v>2</v>
      </c>
      <c r="BQ306">
        <v>13</v>
      </c>
      <c r="BR306" t="s">
        <v>712</v>
      </c>
      <c r="BT306" t="s">
        <v>218</v>
      </c>
      <c r="BU306" s="115">
        <v>45838</v>
      </c>
      <c r="BV306">
        <v>36874</v>
      </c>
      <c r="BW306" s="116"/>
      <c r="BX306" t="s">
        <v>173</v>
      </c>
      <c r="BY306" t="s">
        <v>173</v>
      </c>
      <c r="CB306" t="s">
        <v>173</v>
      </c>
      <c r="CC306" t="s">
        <v>173</v>
      </c>
      <c r="CD306" t="s">
        <v>392</v>
      </c>
      <c r="CE306" t="s">
        <v>172</v>
      </c>
      <c r="CF306" t="s">
        <v>220</v>
      </c>
      <c r="CG306" t="s">
        <v>172</v>
      </c>
      <c r="CH306" t="s">
        <v>224</v>
      </c>
      <c r="CI306" t="s">
        <v>172</v>
      </c>
      <c r="CJ306" t="s">
        <v>390</v>
      </c>
      <c r="DJ306" t="s">
        <v>201</v>
      </c>
      <c r="DK306" t="s">
        <v>202</v>
      </c>
      <c r="DN306" t="s">
        <v>173</v>
      </c>
      <c r="DO306" t="s">
        <v>203</v>
      </c>
      <c r="DP306" t="s">
        <v>172</v>
      </c>
      <c r="DQ306" t="s">
        <v>204</v>
      </c>
      <c r="DR306" t="s">
        <v>678</v>
      </c>
      <c r="EA306" s="117"/>
      <c r="EB306">
        <v>3</v>
      </c>
      <c r="EC306">
        <v>3</v>
      </c>
      <c r="EE306" t="s">
        <v>667</v>
      </c>
      <c r="EF306">
        <v>6</v>
      </c>
      <c r="EV306">
        <v>6000</v>
      </c>
      <c r="EW306">
        <v>535</v>
      </c>
      <c r="EX306">
        <v>486</v>
      </c>
      <c r="EY306">
        <v>513</v>
      </c>
    </row>
    <row r="307" spans="1:155" x14ac:dyDescent="0.35">
      <c r="A307">
        <v>2026</v>
      </c>
      <c r="B307" t="s">
        <v>211</v>
      </c>
      <c r="C307" s="112" t="s">
        <v>683</v>
      </c>
      <c r="D307" t="s">
        <v>749</v>
      </c>
      <c r="E307" t="s">
        <v>214</v>
      </c>
      <c r="F307">
        <v>557</v>
      </c>
      <c r="G307" s="113">
        <v>6.2</v>
      </c>
      <c r="H307">
        <v>8</v>
      </c>
      <c r="I307" t="s">
        <v>669</v>
      </c>
      <c r="J307">
        <v>14</v>
      </c>
      <c r="K307">
        <v>17</v>
      </c>
      <c r="L307">
        <v>15</v>
      </c>
      <c r="M307">
        <v>17.908300000000001</v>
      </c>
      <c r="N307">
        <v>26.202999999999999</v>
      </c>
      <c r="O307">
        <v>20.883099999999999</v>
      </c>
      <c r="P307">
        <v>14</v>
      </c>
      <c r="Q307">
        <v>17</v>
      </c>
      <c r="R307">
        <v>15</v>
      </c>
      <c r="U307" t="s">
        <v>215</v>
      </c>
      <c r="V307" t="s">
        <v>170</v>
      </c>
      <c r="W307" t="s">
        <v>171</v>
      </c>
      <c r="Y307">
        <v>10</v>
      </c>
      <c r="Z307" t="s">
        <v>172</v>
      </c>
      <c r="AA307" t="s">
        <v>173</v>
      </c>
      <c r="AB307">
        <v>4</v>
      </c>
      <c r="AC307" t="s">
        <v>423</v>
      </c>
      <c r="AD307">
        <v>10</v>
      </c>
      <c r="AG307" t="s">
        <v>176</v>
      </c>
      <c r="AH307" t="s">
        <v>177</v>
      </c>
      <c r="AI307" t="s">
        <v>178</v>
      </c>
      <c r="AJ307" t="s">
        <v>179</v>
      </c>
      <c r="AK307" t="s">
        <v>664</v>
      </c>
      <c r="AL307" t="s">
        <v>665</v>
      </c>
      <c r="AS307">
        <v>4150</v>
      </c>
      <c r="AT307">
        <v>4150</v>
      </c>
      <c r="BN307" s="114" t="s">
        <v>198</v>
      </c>
      <c r="BO307">
        <v>1</v>
      </c>
      <c r="BP307">
        <v>1</v>
      </c>
      <c r="BQ307">
        <v>13</v>
      </c>
      <c r="BR307" t="s">
        <v>712</v>
      </c>
      <c r="BT307" t="s">
        <v>613</v>
      </c>
      <c r="BU307" s="115">
        <v>45838</v>
      </c>
      <c r="BV307">
        <v>36827</v>
      </c>
      <c r="BW307" s="116"/>
      <c r="BX307" t="s">
        <v>172</v>
      </c>
      <c r="BY307" t="s">
        <v>173</v>
      </c>
      <c r="CB307" t="s">
        <v>173</v>
      </c>
      <c r="CC307" t="s">
        <v>173</v>
      </c>
      <c r="CE307" t="s">
        <v>172</v>
      </c>
      <c r="CF307" t="s">
        <v>676</v>
      </c>
      <c r="CG307" t="s">
        <v>172</v>
      </c>
      <c r="CH307" t="s">
        <v>677</v>
      </c>
      <c r="CI307" t="s">
        <v>173</v>
      </c>
      <c r="DJ307" t="s">
        <v>201</v>
      </c>
      <c r="DK307" t="s">
        <v>202</v>
      </c>
      <c r="DN307" t="s">
        <v>173</v>
      </c>
      <c r="DO307" t="s">
        <v>203</v>
      </c>
      <c r="DP307" t="s">
        <v>172</v>
      </c>
      <c r="DQ307" t="s">
        <v>204</v>
      </c>
      <c r="EA307" s="117"/>
      <c r="EB307">
        <v>2</v>
      </c>
      <c r="EC307">
        <v>2</v>
      </c>
      <c r="EE307" t="s">
        <v>717</v>
      </c>
      <c r="EF307">
        <v>5</v>
      </c>
      <c r="EV307">
        <v>12250</v>
      </c>
      <c r="EW307">
        <v>636</v>
      </c>
      <c r="EX307">
        <v>523</v>
      </c>
      <c r="EY307">
        <v>593</v>
      </c>
    </row>
    <row r="308" spans="1:155" x14ac:dyDescent="0.35">
      <c r="A308">
        <v>2026</v>
      </c>
      <c r="B308" t="s">
        <v>211</v>
      </c>
      <c r="C308" s="112" t="s">
        <v>683</v>
      </c>
      <c r="D308" t="s">
        <v>749</v>
      </c>
      <c r="E308" t="s">
        <v>214</v>
      </c>
      <c r="F308">
        <v>580</v>
      </c>
      <c r="G308" s="113">
        <v>5.3</v>
      </c>
      <c r="H308">
        <v>8</v>
      </c>
      <c r="I308" t="s">
        <v>669</v>
      </c>
      <c r="J308">
        <v>14</v>
      </c>
      <c r="K308">
        <v>17</v>
      </c>
      <c r="L308">
        <v>16</v>
      </c>
      <c r="M308">
        <v>18.151599999999998</v>
      </c>
      <c r="N308">
        <v>26.249199999999998</v>
      </c>
      <c r="O308">
        <v>21.0776</v>
      </c>
      <c r="P308">
        <v>14.4679</v>
      </c>
      <c r="Q308">
        <v>17.390899999999998</v>
      </c>
      <c r="R308">
        <v>15.6517</v>
      </c>
      <c r="U308" t="s">
        <v>215</v>
      </c>
      <c r="V308" t="s">
        <v>170</v>
      </c>
      <c r="W308" t="s">
        <v>171</v>
      </c>
      <c r="Y308">
        <v>10</v>
      </c>
      <c r="Z308" t="s">
        <v>172</v>
      </c>
      <c r="AA308" t="s">
        <v>173</v>
      </c>
      <c r="AB308">
        <v>4</v>
      </c>
      <c r="AC308" t="s">
        <v>423</v>
      </c>
      <c r="AD308">
        <v>10</v>
      </c>
      <c r="AG308" t="s">
        <v>167</v>
      </c>
      <c r="AH308" t="s">
        <v>416</v>
      </c>
      <c r="AI308" t="s">
        <v>178</v>
      </c>
      <c r="AJ308" t="s">
        <v>179</v>
      </c>
      <c r="AK308" t="s">
        <v>664</v>
      </c>
      <c r="AL308" t="s">
        <v>665</v>
      </c>
      <c r="AS308">
        <v>3100</v>
      </c>
      <c r="AT308">
        <v>3100</v>
      </c>
      <c r="BN308" s="114" t="s">
        <v>198</v>
      </c>
      <c r="BO308">
        <v>1</v>
      </c>
      <c r="BP308">
        <v>1</v>
      </c>
      <c r="BQ308">
        <v>13</v>
      </c>
      <c r="BR308" t="s">
        <v>712</v>
      </c>
      <c r="BT308" t="s">
        <v>218</v>
      </c>
      <c r="BU308" s="115">
        <v>45838</v>
      </c>
      <c r="BV308">
        <v>36871</v>
      </c>
      <c r="BW308" s="116"/>
      <c r="BX308" t="s">
        <v>172</v>
      </c>
      <c r="BY308" t="s">
        <v>173</v>
      </c>
      <c r="CB308" t="s">
        <v>173</v>
      </c>
      <c r="CC308" t="s">
        <v>173</v>
      </c>
      <c r="CE308" t="s">
        <v>172</v>
      </c>
      <c r="CF308" t="s">
        <v>676</v>
      </c>
      <c r="CG308" t="s">
        <v>172</v>
      </c>
      <c r="CH308" t="s">
        <v>677</v>
      </c>
      <c r="CI308" t="s">
        <v>173</v>
      </c>
      <c r="DJ308" t="s">
        <v>201</v>
      </c>
      <c r="DK308" t="s">
        <v>202</v>
      </c>
      <c r="DN308" t="s">
        <v>173</v>
      </c>
      <c r="DO308" t="s">
        <v>203</v>
      </c>
      <c r="DP308" t="s">
        <v>172</v>
      </c>
      <c r="DQ308" t="s">
        <v>204</v>
      </c>
      <c r="EA308" s="117"/>
      <c r="EB308">
        <v>3</v>
      </c>
      <c r="EC308">
        <v>3</v>
      </c>
      <c r="EE308" t="s">
        <v>679</v>
      </c>
      <c r="EF308">
        <v>6</v>
      </c>
      <c r="EV308">
        <v>7000</v>
      </c>
      <c r="EW308">
        <v>612</v>
      </c>
      <c r="EX308">
        <v>512</v>
      </c>
      <c r="EY308">
        <v>567</v>
      </c>
    </row>
    <row r="309" spans="1:155" x14ac:dyDescent="0.35">
      <c r="A309">
        <v>2026</v>
      </c>
      <c r="B309" t="s">
        <v>211</v>
      </c>
      <c r="C309" s="112" t="s">
        <v>683</v>
      </c>
      <c r="D309" t="s">
        <v>749</v>
      </c>
      <c r="E309" t="s">
        <v>214</v>
      </c>
      <c r="F309">
        <v>707</v>
      </c>
      <c r="G309" s="113">
        <v>3</v>
      </c>
      <c r="H309">
        <v>6</v>
      </c>
      <c r="I309" t="s">
        <v>669</v>
      </c>
      <c r="J309">
        <v>21</v>
      </c>
      <c r="K309">
        <v>24</v>
      </c>
      <c r="L309">
        <v>23</v>
      </c>
      <c r="M309">
        <v>27.251899999999999</v>
      </c>
      <c r="N309">
        <v>37.107500000000002</v>
      </c>
      <c r="O309">
        <v>30.9511</v>
      </c>
      <c r="P309">
        <v>21.4314</v>
      </c>
      <c r="Q309">
        <v>24.109200000000001</v>
      </c>
      <c r="R309">
        <v>22.558900000000001</v>
      </c>
      <c r="T309" t="s">
        <v>168</v>
      </c>
      <c r="U309" t="s">
        <v>169</v>
      </c>
      <c r="V309" t="s">
        <v>170</v>
      </c>
      <c r="W309" t="s">
        <v>171</v>
      </c>
      <c r="Y309">
        <v>10</v>
      </c>
      <c r="Z309" t="s">
        <v>172</v>
      </c>
      <c r="AA309" t="s">
        <v>173</v>
      </c>
      <c r="AB309">
        <v>4</v>
      </c>
      <c r="AC309" t="s">
        <v>423</v>
      </c>
      <c r="AE309">
        <v>20</v>
      </c>
      <c r="AG309" t="s">
        <v>670</v>
      </c>
      <c r="AH309" t="s">
        <v>671</v>
      </c>
      <c r="AI309" t="s">
        <v>178</v>
      </c>
      <c r="AJ309" t="s">
        <v>179</v>
      </c>
      <c r="AK309" t="s">
        <v>664</v>
      </c>
      <c r="AL309" t="s">
        <v>665</v>
      </c>
      <c r="AS309">
        <v>2350</v>
      </c>
      <c r="AT309">
        <v>2350</v>
      </c>
      <c r="BN309" s="114"/>
      <c r="BO309">
        <v>2</v>
      </c>
      <c r="BP309">
        <v>2</v>
      </c>
      <c r="BQ309">
        <v>13</v>
      </c>
      <c r="BR309" t="s">
        <v>712</v>
      </c>
      <c r="BT309" t="s">
        <v>613</v>
      </c>
      <c r="BU309" s="115">
        <v>45839</v>
      </c>
      <c r="BV309">
        <v>36909</v>
      </c>
      <c r="BW309" s="116"/>
      <c r="BX309" t="s">
        <v>172</v>
      </c>
      <c r="BY309" t="s">
        <v>173</v>
      </c>
      <c r="CB309" t="s">
        <v>173</v>
      </c>
      <c r="CC309" t="s">
        <v>173</v>
      </c>
      <c r="CE309" t="s">
        <v>173</v>
      </c>
      <c r="CG309" t="s">
        <v>173</v>
      </c>
      <c r="CI309" t="s">
        <v>173</v>
      </c>
      <c r="DJ309" t="s">
        <v>672</v>
      </c>
      <c r="DK309" t="s">
        <v>673</v>
      </c>
      <c r="DN309" t="s">
        <v>173</v>
      </c>
      <c r="DO309" t="s">
        <v>203</v>
      </c>
      <c r="DP309" t="s">
        <v>172</v>
      </c>
      <c r="DQ309" t="s">
        <v>204</v>
      </c>
      <c r="EA309" s="117"/>
      <c r="EB309">
        <v>5</v>
      </c>
      <c r="EC309">
        <v>4</v>
      </c>
      <c r="EE309" t="s">
        <v>674</v>
      </c>
      <c r="EF309">
        <v>4</v>
      </c>
      <c r="EV309">
        <v>3250</v>
      </c>
      <c r="EW309">
        <v>475</v>
      </c>
      <c r="EX309">
        <v>421</v>
      </c>
      <c r="EY309">
        <v>451</v>
      </c>
    </row>
    <row r="310" spans="1:155" x14ac:dyDescent="0.35">
      <c r="A310">
        <v>2026</v>
      </c>
      <c r="B310" t="s">
        <v>211</v>
      </c>
      <c r="C310" s="112" t="s">
        <v>683</v>
      </c>
      <c r="D310" t="s">
        <v>750</v>
      </c>
      <c r="E310" t="s">
        <v>214</v>
      </c>
      <c r="F310">
        <v>553</v>
      </c>
      <c r="G310" s="113">
        <v>5.3</v>
      </c>
      <c r="H310">
        <v>8</v>
      </c>
      <c r="I310" t="s">
        <v>669</v>
      </c>
      <c r="J310">
        <v>15</v>
      </c>
      <c r="K310">
        <v>19</v>
      </c>
      <c r="L310">
        <v>17</v>
      </c>
      <c r="M310">
        <v>19.100000000000001</v>
      </c>
      <c r="N310">
        <v>28.7</v>
      </c>
      <c r="O310">
        <v>22.484400000000001</v>
      </c>
      <c r="P310">
        <v>15.4251</v>
      </c>
      <c r="Q310">
        <v>19.2393</v>
      </c>
      <c r="R310">
        <v>16.936</v>
      </c>
      <c r="U310" t="s">
        <v>215</v>
      </c>
      <c r="V310" t="s">
        <v>170</v>
      </c>
      <c r="W310" t="s">
        <v>171</v>
      </c>
      <c r="Y310">
        <v>10</v>
      </c>
      <c r="Z310" t="s">
        <v>172</v>
      </c>
      <c r="AA310" t="s">
        <v>173</v>
      </c>
      <c r="AB310">
        <v>4</v>
      </c>
      <c r="AC310" t="s">
        <v>423</v>
      </c>
      <c r="AD310">
        <v>85</v>
      </c>
      <c r="AF310">
        <v>408</v>
      </c>
      <c r="AG310" t="s">
        <v>167</v>
      </c>
      <c r="AH310" t="s">
        <v>416</v>
      </c>
      <c r="AI310" t="s">
        <v>178</v>
      </c>
      <c r="AJ310" t="s">
        <v>179</v>
      </c>
      <c r="AK310" t="s">
        <v>664</v>
      </c>
      <c r="AL310" t="s">
        <v>665</v>
      </c>
      <c r="AS310">
        <v>2900</v>
      </c>
      <c r="AT310">
        <v>2900</v>
      </c>
      <c r="AU310">
        <v>11</v>
      </c>
      <c r="AV310">
        <v>14</v>
      </c>
      <c r="AW310">
        <v>12</v>
      </c>
      <c r="AX310">
        <v>13.7</v>
      </c>
      <c r="AY310">
        <v>21.1</v>
      </c>
      <c r="AZ310">
        <v>16.267299999999999</v>
      </c>
      <c r="BA310">
        <v>11.0641</v>
      </c>
      <c r="BB310">
        <v>14.144600000000001</v>
      </c>
      <c r="BC310">
        <v>12.2662</v>
      </c>
      <c r="BD310">
        <v>288</v>
      </c>
      <c r="BE310" t="s">
        <v>618</v>
      </c>
      <c r="BF310" t="s">
        <v>619</v>
      </c>
      <c r="BG310" t="s">
        <v>178</v>
      </c>
      <c r="BH310" t="s">
        <v>179</v>
      </c>
      <c r="BI310">
        <v>3550</v>
      </c>
      <c r="BJ310">
        <v>568</v>
      </c>
      <c r="BK310">
        <v>444</v>
      </c>
      <c r="BL310">
        <v>512</v>
      </c>
      <c r="BM310">
        <v>3550</v>
      </c>
      <c r="BN310" s="114" t="s">
        <v>620</v>
      </c>
      <c r="BO310">
        <v>1</v>
      </c>
      <c r="BP310">
        <v>1</v>
      </c>
      <c r="BQ310">
        <v>13</v>
      </c>
      <c r="BR310" t="s">
        <v>712</v>
      </c>
      <c r="BT310" t="s">
        <v>613</v>
      </c>
      <c r="BU310" s="115">
        <v>45838</v>
      </c>
      <c r="BV310">
        <v>36889</v>
      </c>
      <c r="BW310" s="116"/>
      <c r="BX310" t="s">
        <v>172</v>
      </c>
      <c r="BY310" t="s">
        <v>173</v>
      </c>
      <c r="CB310" t="s">
        <v>173</v>
      </c>
      <c r="CC310" t="s">
        <v>173</v>
      </c>
      <c r="CE310" t="s">
        <v>172</v>
      </c>
      <c r="CF310" t="s">
        <v>676</v>
      </c>
      <c r="CG310" t="s">
        <v>172</v>
      </c>
      <c r="CH310" t="s">
        <v>677</v>
      </c>
      <c r="CI310" t="s">
        <v>173</v>
      </c>
      <c r="DJ310" t="s">
        <v>201</v>
      </c>
      <c r="DK310" t="s">
        <v>202</v>
      </c>
      <c r="DN310" t="s">
        <v>173</v>
      </c>
      <c r="DO310" t="s">
        <v>203</v>
      </c>
      <c r="DP310" t="s">
        <v>173</v>
      </c>
      <c r="DQ310" t="s">
        <v>189</v>
      </c>
      <c r="EA310" s="117"/>
      <c r="EB310">
        <v>3</v>
      </c>
      <c r="EC310">
        <v>3</v>
      </c>
      <c r="ED310">
        <v>3</v>
      </c>
      <c r="EE310" t="s">
        <v>719</v>
      </c>
      <c r="EF310">
        <v>2</v>
      </c>
      <c r="EV310">
        <v>6000</v>
      </c>
      <c r="EW310">
        <v>576</v>
      </c>
      <c r="EX310">
        <v>462</v>
      </c>
      <c r="EY310">
        <v>524</v>
      </c>
    </row>
    <row r="311" spans="1:155" x14ac:dyDescent="0.35">
      <c r="A311">
        <v>2026</v>
      </c>
      <c r="B311" t="s">
        <v>211</v>
      </c>
      <c r="C311" s="112" t="s">
        <v>683</v>
      </c>
      <c r="D311" t="s">
        <v>751</v>
      </c>
      <c r="E311" t="s">
        <v>214</v>
      </c>
      <c r="F311">
        <v>563</v>
      </c>
      <c r="G311" s="113">
        <v>5.3</v>
      </c>
      <c r="H311">
        <v>8</v>
      </c>
      <c r="I311" t="s">
        <v>669</v>
      </c>
      <c r="J311">
        <v>15</v>
      </c>
      <c r="K311">
        <v>19</v>
      </c>
      <c r="L311">
        <v>16</v>
      </c>
      <c r="M311">
        <v>18.5</v>
      </c>
      <c r="N311">
        <v>28</v>
      </c>
      <c r="O311">
        <v>21.833500000000001</v>
      </c>
      <c r="P311">
        <v>14.655900000000001</v>
      </c>
      <c r="Q311">
        <v>18.777200000000001</v>
      </c>
      <c r="R311">
        <v>16.2621</v>
      </c>
      <c r="U311" t="s">
        <v>215</v>
      </c>
      <c r="V311" t="s">
        <v>170</v>
      </c>
      <c r="W311" t="s">
        <v>171</v>
      </c>
      <c r="Y311">
        <v>10</v>
      </c>
      <c r="Z311" t="s">
        <v>172</v>
      </c>
      <c r="AA311" t="s">
        <v>173</v>
      </c>
      <c r="AB311">
        <v>4</v>
      </c>
      <c r="AC311" t="s">
        <v>423</v>
      </c>
      <c r="AD311">
        <v>10</v>
      </c>
      <c r="AG311" t="s">
        <v>167</v>
      </c>
      <c r="AH311" t="s">
        <v>416</v>
      </c>
      <c r="AI311" t="s">
        <v>178</v>
      </c>
      <c r="AJ311" t="s">
        <v>179</v>
      </c>
      <c r="AK311" t="s">
        <v>664</v>
      </c>
      <c r="AL311" t="s">
        <v>665</v>
      </c>
      <c r="AS311">
        <v>3100</v>
      </c>
      <c r="AT311">
        <v>3100</v>
      </c>
      <c r="BN311" s="114" t="s">
        <v>198</v>
      </c>
      <c r="BO311">
        <v>1</v>
      </c>
      <c r="BP311">
        <v>1</v>
      </c>
      <c r="BQ311">
        <v>13</v>
      </c>
      <c r="BR311" t="s">
        <v>712</v>
      </c>
      <c r="BT311" t="s">
        <v>218</v>
      </c>
      <c r="BU311" s="115">
        <v>45838</v>
      </c>
      <c r="BV311">
        <v>36921</v>
      </c>
      <c r="BW311" s="116"/>
      <c r="BX311" t="s">
        <v>172</v>
      </c>
      <c r="BY311" t="s">
        <v>173</v>
      </c>
      <c r="CB311" t="s">
        <v>173</v>
      </c>
      <c r="CC311" t="s">
        <v>173</v>
      </c>
      <c r="CE311" t="s">
        <v>172</v>
      </c>
      <c r="CF311" t="s">
        <v>676</v>
      </c>
      <c r="CG311" t="s">
        <v>172</v>
      </c>
      <c r="CH311" t="s">
        <v>677</v>
      </c>
      <c r="CI311" t="s">
        <v>173</v>
      </c>
      <c r="DJ311" t="s">
        <v>201</v>
      </c>
      <c r="DK311" t="s">
        <v>202</v>
      </c>
      <c r="DN311" t="s">
        <v>173</v>
      </c>
      <c r="DO311" t="s">
        <v>203</v>
      </c>
      <c r="DP311" t="s">
        <v>173</v>
      </c>
      <c r="DQ311" t="s">
        <v>189</v>
      </c>
      <c r="DR311" t="s">
        <v>722</v>
      </c>
      <c r="EA311" s="117"/>
      <c r="EB311">
        <v>3</v>
      </c>
      <c r="EC311">
        <v>3</v>
      </c>
      <c r="EE311" t="s">
        <v>679</v>
      </c>
      <c r="EF311">
        <v>6</v>
      </c>
      <c r="EV311">
        <v>7000</v>
      </c>
      <c r="EW311">
        <v>604</v>
      </c>
      <c r="EX311">
        <v>475</v>
      </c>
      <c r="EY311">
        <v>546</v>
      </c>
    </row>
    <row r="312" spans="1:155" x14ac:dyDescent="0.35">
      <c r="A312">
        <v>2026</v>
      </c>
      <c r="B312" t="s">
        <v>211</v>
      </c>
      <c r="C312" s="112" t="s">
        <v>683</v>
      </c>
      <c r="D312" t="s">
        <v>752</v>
      </c>
      <c r="E312" t="s">
        <v>214</v>
      </c>
      <c r="F312">
        <v>504</v>
      </c>
      <c r="G312" s="113">
        <v>2.7</v>
      </c>
      <c r="H312">
        <v>4</v>
      </c>
      <c r="I312" t="s">
        <v>166</v>
      </c>
      <c r="J312">
        <v>16</v>
      </c>
      <c r="K312">
        <v>17</v>
      </c>
      <c r="L312">
        <v>17</v>
      </c>
      <c r="M312">
        <v>21.0503</v>
      </c>
      <c r="N312">
        <v>27.6341</v>
      </c>
      <c r="O312">
        <v>23.578199999999999</v>
      </c>
      <c r="P312">
        <v>16.0503</v>
      </c>
      <c r="Q312">
        <v>17.193300000000001</v>
      </c>
      <c r="R312">
        <v>16.545300000000001</v>
      </c>
      <c r="T312" t="s">
        <v>168</v>
      </c>
      <c r="U312" t="s">
        <v>169</v>
      </c>
      <c r="V312" t="s">
        <v>170</v>
      </c>
      <c r="W312" t="s">
        <v>171</v>
      </c>
      <c r="Y312">
        <v>8</v>
      </c>
      <c r="Z312" t="s">
        <v>172</v>
      </c>
      <c r="AA312" t="s">
        <v>173</v>
      </c>
      <c r="AB312">
        <v>4</v>
      </c>
      <c r="AC312" t="s">
        <v>423</v>
      </c>
      <c r="AD312">
        <v>10</v>
      </c>
      <c r="AG312" t="s">
        <v>167</v>
      </c>
      <c r="AH312" t="s">
        <v>416</v>
      </c>
      <c r="AI312" t="s">
        <v>178</v>
      </c>
      <c r="AJ312" t="s">
        <v>179</v>
      </c>
      <c r="AK312" t="s">
        <v>664</v>
      </c>
      <c r="AL312" t="s">
        <v>665</v>
      </c>
      <c r="AS312">
        <v>2900</v>
      </c>
      <c r="AT312">
        <v>2900</v>
      </c>
      <c r="BN312" s="114" t="s">
        <v>198</v>
      </c>
      <c r="BO312">
        <v>2</v>
      </c>
      <c r="BP312">
        <v>2</v>
      </c>
      <c r="BQ312">
        <v>13</v>
      </c>
      <c r="BR312" t="s">
        <v>712</v>
      </c>
      <c r="BT312" t="s">
        <v>218</v>
      </c>
      <c r="BU312" s="115">
        <v>45838</v>
      </c>
      <c r="BV312">
        <v>36849</v>
      </c>
      <c r="BW312" s="116"/>
      <c r="BX312" t="s">
        <v>173</v>
      </c>
      <c r="BY312" t="s">
        <v>173</v>
      </c>
      <c r="CB312" t="s">
        <v>173</v>
      </c>
      <c r="CC312" t="s">
        <v>173</v>
      </c>
      <c r="CD312" t="s">
        <v>392</v>
      </c>
      <c r="CE312" t="s">
        <v>172</v>
      </c>
      <c r="CF312" t="s">
        <v>220</v>
      </c>
      <c r="CG312" t="s">
        <v>172</v>
      </c>
      <c r="CH312" t="s">
        <v>224</v>
      </c>
      <c r="CI312" t="s">
        <v>172</v>
      </c>
      <c r="CJ312" t="s">
        <v>390</v>
      </c>
      <c r="DJ312" t="s">
        <v>201</v>
      </c>
      <c r="DK312" t="s">
        <v>202</v>
      </c>
      <c r="DN312" t="s">
        <v>173</v>
      </c>
      <c r="DO312" t="s">
        <v>203</v>
      </c>
      <c r="DP312" t="s">
        <v>172</v>
      </c>
      <c r="DQ312" t="s">
        <v>204</v>
      </c>
      <c r="EA312" s="117"/>
      <c r="EB312">
        <v>3</v>
      </c>
      <c r="EC312">
        <v>3</v>
      </c>
      <c r="EE312" t="s">
        <v>667</v>
      </c>
      <c r="EF312">
        <v>6</v>
      </c>
      <c r="EV312">
        <v>6000</v>
      </c>
      <c r="EW312">
        <v>552</v>
      </c>
      <c r="EX312">
        <v>517</v>
      </c>
      <c r="EY312">
        <v>536</v>
      </c>
    </row>
    <row r="313" spans="1:155" x14ac:dyDescent="0.35">
      <c r="A313">
        <v>2026</v>
      </c>
      <c r="B313" t="s">
        <v>211</v>
      </c>
      <c r="C313" s="112" t="s">
        <v>683</v>
      </c>
      <c r="D313" t="s">
        <v>753</v>
      </c>
      <c r="E313" t="s">
        <v>214</v>
      </c>
      <c r="F313">
        <v>570</v>
      </c>
      <c r="G313" s="113">
        <v>5.3</v>
      </c>
      <c r="H313">
        <v>8</v>
      </c>
      <c r="I313" t="s">
        <v>669</v>
      </c>
      <c r="J313">
        <v>15</v>
      </c>
      <c r="K313">
        <v>18</v>
      </c>
      <c r="L313">
        <v>16</v>
      </c>
      <c r="M313">
        <v>18.411999999999999</v>
      </c>
      <c r="N313">
        <v>26.685600000000001</v>
      </c>
      <c r="O313">
        <v>21.397300000000001</v>
      </c>
      <c r="P313">
        <v>14.6365</v>
      </c>
      <c r="Q313">
        <v>17.505400000000002</v>
      </c>
      <c r="R313">
        <v>15.8019</v>
      </c>
      <c r="U313" t="s">
        <v>215</v>
      </c>
      <c r="V313" t="s">
        <v>170</v>
      </c>
      <c r="W313" t="s">
        <v>171</v>
      </c>
      <c r="Y313">
        <v>10</v>
      </c>
      <c r="Z313" t="s">
        <v>172</v>
      </c>
      <c r="AA313" t="s">
        <v>173</v>
      </c>
      <c r="AB313">
        <v>4</v>
      </c>
      <c r="AC313" t="s">
        <v>423</v>
      </c>
      <c r="AD313">
        <v>10</v>
      </c>
      <c r="AG313" t="s">
        <v>167</v>
      </c>
      <c r="AH313" t="s">
        <v>416</v>
      </c>
      <c r="AI313" t="s">
        <v>178</v>
      </c>
      <c r="AJ313" t="s">
        <v>179</v>
      </c>
      <c r="AK313" t="s">
        <v>664</v>
      </c>
      <c r="AL313" t="s">
        <v>665</v>
      </c>
      <c r="AS313">
        <v>3100</v>
      </c>
      <c r="AT313">
        <v>3100</v>
      </c>
      <c r="BN313" s="114" t="s">
        <v>198</v>
      </c>
      <c r="BO313">
        <v>1</v>
      </c>
      <c r="BP313">
        <v>1</v>
      </c>
      <c r="BQ313">
        <v>13</v>
      </c>
      <c r="BR313" t="s">
        <v>712</v>
      </c>
      <c r="BT313" t="s">
        <v>218</v>
      </c>
      <c r="BU313" s="115">
        <v>45838</v>
      </c>
      <c r="BV313">
        <v>36880</v>
      </c>
      <c r="BW313" s="116"/>
      <c r="BX313" t="s">
        <v>172</v>
      </c>
      <c r="BY313" t="s">
        <v>173</v>
      </c>
      <c r="CB313" t="s">
        <v>173</v>
      </c>
      <c r="CC313" t="s">
        <v>173</v>
      </c>
      <c r="CE313" t="s">
        <v>172</v>
      </c>
      <c r="CF313" t="s">
        <v>676</v>
      </c>
      <c r="CG313" t="s">
        <v>172</v>
      </c>
      <c r="CH313" t="s">
        <v>677</v>
      </c>
      <c r="CI313" t="s">
        <v>173</v>
      </c>
      <c r="DJ313" t="s">
        <v>201</v>
      </c>
      <c r="DK313" t="s">
        <v>202</v>
      </c>
      <c r="DN313" t="s">
        <v>173</v>
      </c>
      <c r="DO313" t="s">
        <v>203</v>
      </c>
      <c r="DP313" t="s">
        <v>172</v>
      </c>
      <c r="DQ313" t="s">
        <v>204</v>
      </c>
      <c r="DR313" t="s">
        <v>678</v>
      </c>
      <c r="EA313" s="117"/>
      <c r="EB313">
        <v>3</v>
      </c>
      <c r="EC313">
        <v>3</v>
      </c>
      <c r="EE313" t="s">
        <v>679</v>
      </c>
      <c r="EF313">
        <v>6</v>
      </c>
      <c r="EV313">
        <v>7000</v>
      </c>
      <c r="EW313">
        <v>605</v>
      </c>
      <c r="EX313">
        <v>508</v>
      </c>
      <c r="EY313">
        <v>561</v>
      </c>
    </row>
    <row r="314" spans="1:155" x14ac:dyDescent="0.35">
      <c r="A314">
        <v>2026</v>
      </c>
      <c r="B314" t="s">
        <v>211</v>
      </c>
      <c r="C314" s="112" t="s">
        <v>683</v>
      </c>
      <c r="D314" t="s">
        <v>754</v>
      </c>
      <c r="E314" t="s">
        <v>214</v>
      </c>
      <c r="F314">
        <v>568</v>
      </c>
      <c r="G314" s="113">
        <v>5.3</v>
      </c>
      <c r="H314">
        <v>8</v>
      </c>
      <c r="I314" t="s">
        <v>669</v>
      </c>
      <c r="J314">
        <v>15</v>
      </c>
      <c r="K314">
        <v>19</v>
      </c>
      <c r="L314">
        <v>17</v>
      </c>
      <c r="M314">
        <v>19.893899999999999</v>
      </c>
      <c r="N314">
        <v>29.6495</v>
      </c>
      <c r="O314">
        <v>23.351400000000002</v>
      </c>
      <c r="P314">
        <v>15.417999999999999</v>
      </c>
      <c r="Q314">
        <v>19.420500000000001</v>
      </c>
      <c r="R314">
        <v>16.9941</v>
      </c>
      <c r="U314" t="s">
        <v>215</v>
      </c>
      <c r="V314" t="s">
        <v>170</v>
      </c>
      <c r="W314" t="s">
        <v>171</v>
      </c>
      <c r="Y314">
        <v>10</v>
      </c>
      <c r="Z314" t="s">
        <v>172</v>
      </c>
      <c r="AA314" t="s">
        <v>173</v>
      </c>
      <c r="AB314">
        <v>4</v>
      </c>
      <c r="AC314" t="s">
        <v>423</v>
      </c>
      <c r="AD314">
        <v>10</v>
      </c>
      <c r="AG314" t="s">
        <v>167</v>
      </c>
      <c r="AH314" t="s">
        <v>416</v>
      </c>
      <c r="AI314" t="s">
        <v>178</v>
      </c>
      <c r="AJ314" t="s">
        <v>179</v>
      </c>
      <c r="AK314" t="s">
        <v>664</v>
      </c>
      <c r="AL314" t="s">
        <v>665</v>
      </c>
      <c r="AS314">
        <v>2900</v>
      </c>
      <c r="AT314">
        <v>2900</v>
      </c>
      <c r="BN314" s="114" t="s">
        <v>198</v>
      </c>
      <c r="BO314">
        <v>1</v>
      </c>
      <c r="BP314">
        <v>1</v>
      </c>
      <c r="BQ314">
        <v>13</v>
      </c>
      <c r="BR314" t="s">
        <v>712</v>
      </c>
      <c r="BT314" t="s">
        <v>218</v>
      </c>
      <c r="BU314" s="115">
        <v>45838</v>
      </c>
      <c r="BV314">
        <v>36875</v>
      </c>
      <c r="BW314" s="116"/>
      <c r="BX314" t="s">
        <v>173</v>
      </c>
      <c r="BY314" t="s">
        <v>173</v>
      </c>
      <c r="CB314" t="s">
        <v>173</v>
      </c>
      <c r="CC314" t="s">
        <v>173</v>
      </c>
      <c r="CE314" t="s">
        <v>172</v>
      </c>
      <c r="CF314" t="s">
        <v>676</v>
      </c>
      <c r="CG314" t="s">
        <v>172</v>
      </c>
      <c r="CH314" t="s">
        <v>677</v>
      </c>
      <c r="CI314" t="s">
        <v>173</v>
      </c>
      <c r="DJ314" t="s">
        <v>201</v>
      </c>
      <c r="DK314" t="s">
        <v>202</v>
      </c>
      <c r="DN314" t="s">
        <v>173</v>
      </c>
      <c r="DO314" t="s">
        <v>203</v>
      </c>
      <c r="DP314" t="s">
        <v>172</v>
      </c>
      <c r="DQ314" t="s">
        <v>204</v>
      </c>
      <c r="DR314" t="s">
        <v>678</v>
      </c>
      <c r="EA314" s="117"/>
      <c r="EB314">
        <v>3</v>
      </c>
      <c r="EC314">
        <v>3</v>
      </c>
      <c r="EE314" t="s">
        <v>679</v>
      </c>
      <c r="EF314">
        <v>6</v>
      </c>
      <c r="EV314">
        <v>6000</v>
      </c>
      <c r="EW314">
        <v>574</v>
      </c>
      <c r="EX314">
        <v>458</v>
      </c>
      <c r="EY314">
        <v>522</v>
      </c>
    </row>
    <row r="315" spans="1:155" x14ac:dyDescent="0.35">
      <c r="A315">
        <v>2026</v>
      </c>
      <c r="B315" t="s">
        <v>481</v>
      </c>
      <c r="C315" s="112" t="s">
        <v>481</v>
      </c>
      <c r="D315" t="s">
        <v>1248</v>
      </c>
      <c r="E315" t="s">
        <v>483</v>
      </c>
      <c r="F315">
        <v>421</v>
      </c>
      <c r="G315" s="113">
        <v>3.5</v>
      </c>
      <c r="H315">
        <v>6</v>
      </c>
      <c r="I315" t="s">
        <v>896</v>
      </c>
      <c r="J315">
        <v>18</v>
      </c>
      <c r="K315">
        <v>24</v>
      </c>
      <c r="L315">
        <v>21</v>
      </c>
      <c r="M315">
        <v>23.6</v>
      </c>
      <c r="N315">
        <v>33.299999999999997</v>
      </c>
      <c r="O315">
        <v>27.1602</v>
      </c>
      <c r="P315">
        <v>18</v>
      </c>
      <c r="Q315">
        <v>23.7728</v>
      </c>
      <c r="R315">
        <v>20.740200000000002</v>
      </c>
      <c r="U315" t="s">
        <v>215</v>
      </c>
      <c r="V315" t="s">
        <v>196</v>
      </c>
      <c r="W315" t="s">
        <v>197</v>
      </c>
      <c r="Y315">
        <v>9</v>
      </c>
      <c r="Z315" t="s">
        <v>172</v>
      </c>
      <c r="AA315" t="s">
        <v>173</v>
      </c>
      <c r="AB315" t="s">
        <v>170</v>
      </c>
      <c r="AC315" t="s">
        <v>232</v>
      </c>
      <c r="AD315">
        <v>10</v>
      </c>
      <c r="AG315" t="s">
        <v>167</v>
      </c>
      <c r="AH315" t="s">
        <v>416</v>
      </c>
      <c r="AI315" t="s">
        <v>178</v>
      </c>
      <c r="AJ315" t="s">
        <v>179</v>
      </c>
      <c r="AK315" t="s">
        <v>664</v>
      </c>
      <c r="AL315" t="s">
        <v>665</v>
      </c>
      <c r="AS315">
        <v>2350</v>
      </c>
      <c r="AT315">
        <v>2350</v>
      </c>
      <c r="BN315" s="114" t="s">
        <v>198</v>
      </c>
      <c r="BO315">
        <v>2</v>
      </c>
      <c r="BP315">
        <v>2</v>
      </c>
      <c r="BQ315">
        <v>13</v>
      </c>
      <c r="BR315" t="s">
        <v>712</v>
      </c>
      <c r="BT315" t="s">
        <v>183</v>
      </c>
      <c r="BU315" s="115">
        <v>45909</v>
      </c>
      <c r="BV315">
        <v>37046</v>
      </c>
      <c r="BW315" s="116"/>
      <c r="BX315" t="s">
        <v>173</v>
      </c>
      <c r="BY315" t="s">
        <v>173</v>
      </c>
      <c r="CB315" t="s">
        <v>173</v>
      </c>
      <c r="CC315" t="s">
        <v>173</v>
      </c>
      <c r="CE315" t="s">
        <v>172</v>
      </c>
      <c r="CF315" t="s">
        <v>799</v>
      </c>
      <c r="CG315" t="s">
        <v>172</v>
      </c>
      <c r="CH315" t="s">
        <v>485</v>
      </c>
      <c r="CI315" t="s">
        <v>172</v>
      </c>
      <c r="CJ315" t="s">
        <v>485</v>
      </c>
      <c r="DJ315" t="s">
        <v>201</v>
      </c>
      <c r="DK315" t="s">
        <v>202</v>
      </c>
      <c r="DL315" t="s">
        <v>173</v>
      </c>
      <c r="DM315" t="s">
        <v>173</v>
      </c>
      <c r="DN315" t="s">
        <v>173</v>
      </c>
      <c r="DO315" t="s">
        <v>284</v>
      </c>
      <c r="DP315" t="s">
        <v>172</v>
      </c>
      <c r="DQ315" t="s">
        <v>204</v>
      </c>
      <c r="EA315" s="117"/>
      <c r="EB315">
        <v>4</v>
      </c>
      <c r="EC315">
        <v>4</v>
      </c>
      <c r="EE315" t="s">
        <v>1249</v>
      </c>
      <c r="EF315">
        <v>4</v>
      </c>
      <c r="EV315">
        <v>3250</v>
      </c>
      <c r="EW315">
        <v>494</v>
      </c>
      <c r="EX315">
        <v>375</v>
      </c>
      <c r="EY315">
        <v>441</v>
      </c>
    </row>
    <row r="316" spans="1:155" x14ac:dyDescent="0.35">
      <c r="A316">
        <v>2026</v>
      </c>
      <c r="B316" t="s">
        <v>481</v>
      </c>
      <c r="C316" s="112" t="s">
        <v>481</v>
      </c>
      <c r="D316" t="s">
        <v>1250</v>
      </c>
      <c r="E316" t="s">
        <v>483</v>
      </c>
      <c r="F316">
        <v>423</v>
      </c>
      <c r="G316" s="113">
        <v>3.5</v>
      </c>
      <c r="H316">
        <v>6</v>
      </c>
      <c r="I316" t="s">
        <v>896</v>
      </c>
      <c r="J316">
        <v>18</v>
      </c>
      <c r="K316">
        <v>23</v>
      </c>
      <c r="L316">
        <v>20</v>
      </c>
      <c r="M316">
        <v>23.5</v>
      </c>
      <c r="N316">
        <v>32.299999999999997</v>
      </c>
      <c r="O316">
        <v>26.7837</v>
      </c>
      <c r="P316">
        <v>18</v>
      </c>
      <c r="Q316">
        <v>23.111599999999999</v>
      </c>
      <c r="R316">
        <v>20.461600000000001</v>
      </c>
      <c r="U316" t="s">
        <v>215</v>
      </c>
      <c r="V316" t="s">
        <v>196</v>
      </c>
      <c r="W316" t="s">
        <v>197</v>
      </c>
      <c r="Y316">
        <v>9</v>
      </c>
      <c r="Z316" t="s">
        <v>172</v>
      </c>
      <c r="AA316" t="s">
        <v>173</v>
      </c>
      <c r="AB316" t="s">
        <v>170</v>
      </c>
      <c r="AC316" t="s">
        <v>232</v>
      </c>
      <c r="AD316">
        <v>10</v>
      </c>
      <c r="AG316" t="s">
        <v>167</v>
      </c>
      <c r="AH316" t="s">
        <v>416</v>
      </c>
      <c r="AI316" t="s">
        <v>178</v>
      </c>
      <c r="AJ316" t="s">
        <v>179</v>
      </c>
      <c r="AK316" t="s">
        <v>664</v>
      </c>
      <c r="AL316" t="s">
        <v>665</v>
      </c>
      <c r="AS316">
        <v>2500</v>
      </c>
      <c r="AT316">
        <v>2500</v>
      </c>
      <c r="BN316" s="114" t="s">
        <v>198</v>
      </c>
      <c r="BO316">
        <v>2</v>
      </c>
      <c r="BP316">
        <v>2</v>
      </c>
      <c r="BQ316">
        <v>13</v>
      </c>
      <c r="BR316" t="s">
        <v>712</v>
      </c>
      <c r="BT316" t="s">
        <v>183</v>
      </c>
      <c r="BU316" s="115">
        <v>45909</v>
      </c>
      <c r="BV316">
        <v>37047</v>
      </c>
      <c r="BW316" s="116"/>
      <c r="BX316" t="s">
        <v>173</v>
      </c>
      <c r="BY316" t="s">
        <v>173</v>
      </c>
      <c r="CB316" t="s">
        <v>173</v>
      </c>
      <c r="CC316" t="s">
        <v>173</v>
      </c>
      <c r="CE316" t="s">
        <v>172</v>
      </c>
      <c r="CF316" t="s">
        <v>799</v>
      </c>
      <c r="CG316" t="s">
        <v>172</v>
      </c>
      <c r="CH316" t="s">
        <v>485</v>
      </c>
      <c r="CI316" t="s">
        <v>172</v>
      </c>
      <c r="CJ316" t="s">
        <v>485</v>
      </c>
      <c r="DJ316" t="s">
        <v>201</v>
      </c>
      <c r="DK316" t="s">
        <v>202</v>
      </c>
      <c r="DL316" t="s">
        <v>173</v>
      </c>
      <c r="DM316" t="s">
        <v>173</v>
      </c>
      <c r="DN316" t="s">
        <v>173</v>
      </c>
      <c r="DO316" t="s">
        <v>284</v>
      </c>
      <c r="DP316" t="s">
        <v>172</v>
      </c>
      <c r="DQ316" t="s">
        <v>204</v>
      </c>
      <c r="EA316" s="117"/>
      <c r="EB316">
        <v>4</v>
      </c>
      <c r="EC316">
        <v>4</v>
      </c>
      <c r="EE316" t="s">
        <v>1249</v>
      </c>
      <c r="EF316">
        <v>4</v>
      </c>
      <c r="EV316">
        <v>4000</v>
      </c>
      <c r="EW316">
        <v>496</v>
      </c>
      <c r="EX316">
        <v>386</v>
      </c>
      <c r="EY316">
        <v>446</v>
      </c>
    </row>
    <row r="317" spans="1:155" x14ac:dyDescent="0.35">
      <c r="A317">
        <v>2026</v>
      </c>
      <c r="B317" t="s">
        <v>688</v>
      </c>
      <c r="C317" s="112" t="s">
        <v>949</v>
      </c>
      <c r="D317" t="s">
        <v>1251</v>
      </c>
      <c r="E317" t="s">
        <v>691</v>
      </c>
      <c r="F317">
        <v>529</v>
      </c>
      <c r="G317" s="113">
        <v>3.6</v>
      </c>
      <c r="H317">
        <v>6</v>
      </c>
      <c r="I317" t="s">
        <v>166</v>
      </c>
      <c r="J317">
        <v>17</v>
      </c>
      <c r="K317">
        <v>22</v>
      </c>
      <c r="L317">
        <v>19</v>
      </c>
      <c r="M317">
        <v>21.4</v>
      </c>
      <c r="N317">
        <v>30.2</v>
      </c>
      <c r="O317">
        <v>24.6296</v>
      </c>
      <c r="P317">
        <v>17.1523</v>
      </c>
      <c r="Q317">
        <v>21.713100000000001</v>
      </c>
      <c r="R317">
        <v>18.942799999999998</v>
      </c>
      <c r="U317" t="s">
        <v>215</v>
      </c>
      <c r="V317" t="s">
        <v>170</v>
      </c>
      <c r="W317" t="s">
        <v>171</v>
      </c>
      <c r="Y317">
        <v>8</v>
      </c>
      <c r="Z317" t="s">
        <v>172</v>
      </c>
      <c r="AA317" t="s">
        <v>173</v>
      </c>
      <c r="AB317">
        <v>4</v>
      </c>
      <c r="AC317" t="s">
        <v>423</v>
      </c>
      <c r="AD317">
        <v>10</v>
      </c>
      <c r="AG317" t="s">
        <v>167</v>
      </c>
      <c r="AH317" t="s">
        <v>416</v>
      </c>
      <c r="AI317" t="s">
        <v>178</v>
      </c>
      <c r="AJ317" t="s">
        <v>179</v>
      </c>
      <c r="AK317" t="s">
        <v>664</v>
      </c>
      <c r="AL317" t="s">
        <v>665</v>
      </c>
      <c r="AS317">
        <v>2600</v>
      </c>
      <c r="AT317">
        <v>2600</v>
      </c>
      <c r="BN317" s="114"/>
      <c r="BO317">
        <v>2</v>
      </c>
      <c r="BP317">
        <v>2</v>
      </c>
      <c r="BQ317">
        <v>13</v>
      </c>
      <c r="BR317" t="s">
        <v>712</v>
      </c>
      <c r="BT317" t="s">
        <v>183</v>
      </c>
      <c r="BU317" s="115">
        <v>45922</v>
      </c>
      <c r="BV317">
        <v>37577</v>
      </c>
      <c r="BW317" s="116"/>
      <c r="BX317" t="s">
        <v>173</v>
      </c>
      <c r="BY317" t="s">
        <v>173</v>
      </c>
      <c r="CB317" t="s">
        <v>173</v>
      </c>
      <c r="CC317" t="s">
        <v>173</v>
      </c>
      <c r="CE317" t="s">
        <v>173</v>
      </c>
      <c r="CG317" t="s">
        <v>172</v>
      </c>
      <c r="CH317" t="s">
        <v>224</v>
      </c>
      <c r="CI317" t="s">
        <v>173</v>
      </c>
      <c r="DJ317" t="s">
        <v>186</v>
      </c>
      <c r="DK317" t="s">
        <v>187</v>
      </c>
      <c r="DN317" t="s">
        <v>173</v>
      </c>
      <c r="DO317" t="s">
        <v>284</v>
      </c>
      <c r="DP317" t="s">
        <v>172</v>
      </c>
      <c r="DQ317" t="s">
        <v>204</v>
      </c>
      <c r="EA317" s="117"/>
      <c r="EB317">
        <v>4</v>
      </c>
      <c r="EC317">
        <v>4</v>
      </c>
      <c r="EE317" t="s">
        <v>1041</v>
      </c>
      <c r="EF317">
        <v>6</v>
      </c>
      <c r="EV317">
        <v>4500</v>
      </c>
      <c r="EW317">
        <v>518</v>
      </c>
      <c r="EX317">
        <v>409</v>
      </c>
      <c r="EY317">
        <v>469</v>
      </c>
    </row>
    <row r="318" spans="1:155" x14ac:dyDescent="0.35">
      <c r="A318">
        <v>2026</v>
      </c>
      <c r="B318" t="s">
        <v>862</v>
      </c>
      <c r="C318" s="112" t="s">
        <v>863</v>
      </c>
      <c r="D318" t="s">
        <v>1252</v>
      </c>
      <c r="E318" t="s">
        <v>865</v>
      </c>
      <c r="F318">
        <v>887</v>
      </c>
      <c r="G318" s="113">
        <v>3.8</v>
      </c>
      <c r="H318">
        <v>6</v>
      </c>
      <c r="I318" t="s">
        <v>896</v>
      </c>
      <c r="J318">
        <v>17</v>
      </c>
      <c r="K318">
        <v>21</v>
      </c>
      <c r="L318">
        <v>19</v>
      </c>
      <c r="M318">
        <v>22.166499999999999</v>
      </c>
      <c r="N318">
        <v>29.917999999999999</v>
      </c>
      <c r="O318">
        <v>25.091999999999999</v>
      </c>
      <c r="P318">
        <v>17</v>
      </c>
      <c r="Q318">
        <v>21</v>
      </c>
      <c r="R318">
        <v>19.252500000000001</v>
      </c>
      <c r="U318" t="s">
        <v>215</v>
      </c>
      <c r="V318" t="s">
        <v>196</v>
      </c>
      <c r="W318" t="s">
        <v>197</v>
      </c>
      <c r="Y318">
        <v>9</v>
      </c>
      <c r="Z318" t="s">
        <v>172</v>
      </c>
      <c r="AA318" t="s">
        <v>173</v>
      </c>
      <c r="AB318" t="s">
        <v>769</v>
      </c>
      <c r="AC318" t="s">
        <v>770</v>
      </c>
      <c r="AD318">
        <v>15</v>
      </c>
      <c r="AG318" t="s">
        <v>167</v>
      </c>
      <c r="AH318" t="s">
        <v>416</v>
      </c>
      <c r="AI318" t="s">
        <v>178</v>
      </c>
      <c r="AJ318" t="s">
        <v>179</v>
      </c>
      <c r="AK318" t="s">
        <v>664</v>
      </c>
      <c r="AL318" t="s">
        <v>665</v>
      </c>
      <c r="AS318">
        <v>2600</v>
      </c>
      <c r="AT318">
        <v>2600</v>
      </c>
      <c r="BN318" s="114" t="s">
        <v>198</v>
      </c>
      <c r="BO318">
        <v>2</v>
      </c>
      <c r="BP318">
        <v>2</v>
      </c>
      <c r="BQ318">
        <v>13</v>
      </c>
      <c r="BR318" t="s">
        <v>712</v>
      </c>
      <c r="BT318" t="s">
        <v>183</v>
      </c>
      <c r="BU318" s="115">
        <v>45895</v>
      </c>
      <c r="BV318">
        <v>37306</v>
      </c>
      <c r="BW318" s="116"/>
      <c r="BX318" t="s">
        <v>173</v>
      </c>
      <c r="CB318" t="s">
        <v>173</v>
      </c>
      <c r="CC318" t="s">
        <v>173</v>
      </c>
      <c r="CE318" t="s">
        <v>173</v>
      </c>
      <c r="CG318" t="s">
        <v>172</v>
      </c>
      <c r="CH318" t="s">
        <v>1056</v>
      </c>
      <c r="CI318" t="s">
        <v>173</v>
      </c>
      <c r="DJ318" t="s">
        <v>201</v>
      </c>
      <c r="DK318" t="s">
        <v>202</v>
      </c>
      <c r="DN318" t="s">
        <v>173</v>
      </c>
      <c r="DO318" t="s">
        <v>585</v>
      </c>
      <c r="DP318" t="s">
        <v>172</v>
      </c>
      <c r="DQ318" t="s">
        <v>204</v>
      </c>
      <c r="EA318" s="117"/>
      <c r="EB318">
        <v>4</v>
      </c>
      <c r="EC318">
        <v>4</v>
      </c>
      <c r="EE318" t="s">
        <v>1247</v>
      </c>
      <c r="EF318">
        <v>6</v>
      </c>
      <c r="EV318">
        <v>4500</v>
      </c>
      <c r="EW318">
        <v>525</v>
      </c>
      <c r="EX318">
        <v>424</v>
      </c>
      <c r="EY318">
        <v>479</v>
      </c>
    </row>
    <row r="319" spans="1:155" x14ac:dyDescent="0.35">
      <c r="A319">
        <v>2026</v>
      </c>
      <c r="B319" t="s">
        <v>862</v>
      </c>
      <c r="C319" s="112" t="s">
        <v>863</v>
      </c>
      <c r="D319" t="s">
        <v>1253</v>
      </c>
      <c r="E319" t="s">
        <v>865</v>
      </c>
      <c r="F319">
        <v>888</v>
      </c>
      <c r="G319" s="113">
        <v>3.8</v>
      </c>
      <c r="H319">
        <v>6</v>
      </c>
      <c r="I319" t="s">
        <v>896</v>
      </c>
      <c r="J319">
        <v>16</v>
      </c>
      <c r="K319">
        <v>20</v>
      </c>
      <c r="L319">
        <v>18</v>
      </c>
      <c r="M319">
        <v>20.855599999999999</v>
      </c>
      <c r="N319">
        <v>28.040800000000001</v>
      </c>
      <c r="O319">
        <v>23.573899999999998</v>
      </c>
      <c r="P319">
        <v>16</v>
      </c>
      <c r="Q319">
        <v>20.260999999999999</v>
      </c>
      <c r="R319">
        <v>18.163900000000002</v>
      </c>
      <c r="U319" t="s">
        <v>215</v>
      </c>
      <c r="V319" t="s">
        <v>196</v>
      </c>
      <c r="W319" t="s">
        <v>197</v>
      </c>
      <c r="Y319">
        <v>9</v>
      </c>
      <c r="Z319" t="s">
        <v>172</v>
      </c>
      <c r="AA319" t="s">
        <v>173</v>
      </c>
      <c r="AB319" t="s">
        <v>769</v>
      </c>
      <c r="AC319" t="s">
        <v>770</v>
      </c>
      <c r="AD319">
        <v>15</v>
      </c>
      <c r="AG319" t="s">
        <v>167</v>
      </c>
      <c r="AH319" t="s">
        <v>416</v>
      </c>
      <c r="AI319" t="s">
        <v>178</v>
      </c>
      <c r="AJ319" t="s">
        <v>179</v>
      </c>
      <c r="AK319" t="s">
        <v>664</v>
      </c>
      <c r="AL319" t="s">
        <v>665</v>
      </c>
      <c r="AS319">
        <v>2750</v>
      </c>
      <c r="AT319">
        <v>2750</v>
      </c>
      <c r="BN319" s="114" t="s">
        <v>198</v>
      </c>
      <c r="BO319">
        <v>2</v>
      </c>
      <c r="BP319">
        <v>2</v>
      </c>
      <c r="BQ319">
        <v>13</v>
      </c>
      <c r="BR319" t="s">
        <v>712</v>
      </c>
      <c r="BT319" t="s">
        <v>183</v>
      </c>
      <c r="BU319" s="115">
        <v>45895</v>
      </c>
      <c r="BV319">
        <v>37307</v>
      </c>
      <c r="BW319" s="116"/>
      <c r="BX319" t="s">
        <v>172</v>
      </c>
      <c r="CB319" t="s">
        <v>173</v>
      </c>
      <c r="CC319" t="s">
        <v>173</v>
      </c>
      <c r="CE319" t="s">
        <v>173</v>
      </c>
      <c r="CG319" t="s">
        <v>172</v>
      </c>
      <c r="CH319" t="s">
        <v>1056</v>
      </c>
      <c r="CI319" t="s">
        <v>173</v>
      </c>
      <c r="DJ319" t="s">
        <v>201</v>
      </c>
      <c r="DK319" t="s">
        <v>202</v>
      </c>
      <c r="DN319" t="s">
        <v>173</v>
      </c>
      <c r="DO319" t="s">
        <v>585</v>
      </c>
      <c r="DP319" t="s">
        <v>172</v>
      </c>
      <c r="DQ319" t="s">
        <v>204</v>
      </c>
      <c r="EA319" s="117"/>
      <c r="EB319">
        <v>3</v>
      </c>
      <c r="EC319">
        <v>3</v>
      </c>
      <c r="EE319" t="s">
        <v>1247</v>
      </c>
      <c r="EF319">
        <v>6</v>
      </c>
      <c r="EV319">
        <v>5250</v>
      </c>
      <c r="EW319">
        <v>557</v>
      </c>
      <c r="EX319">
        <v>440</v>
      </c>
      <c r="EY319">
        <v>504</v>
      </c>
    </row>
    <row r="320" spans="1:155" x14ac:dyDescent="0.35">
      <c r="A320">
        <v>2026</v>
      </c>
      <c r="B320" t="s">
        <v>688</v>
      </c>
      <c r="C320" s="112" t="s">
        <v>689</v>
      </c>
      <c r="D320" t="s">
        <v>755</v>
      </c>
      <c r="E320" t="s">
        <v>691</v>
      </c>
      <c r="F320">
        <v>507</v>
      </c>
      <c r="G320" s="113">
        <v>3</v>
      </c>
      <c r="H320">
        <v>6</v>
      </c>
      <c r="I320" t="s">
        <v>166</v>
      </c>
      <c r="J320">
        <v>18</v>
      </c>
      <c r="K320">
        <v>24</v>
      </c>
      <c r="L320">
        <v>20</v>
      </c>
      <c r="M320">
        <v>22.3</v>
      </c>
      <c r="N320">
        <v>33.399700000000003</v>
      </c>
      <c r="O320">
        <v>26.221399999999999</v>
      </c>
      <c r="P320">
        <v>17.821000000000002</v>
      </c>
      <c r="Q320">
        <v>23.8386</v>
      </c>
      <c r="R320">
        <v>20.104800000000001</v>
      </c>
      <c r="T320" t="s">
        <v>168</v>
      </c>
      <c r="U320" t="s">
        <v>169</v>
      </c>
      <c r="V320" t="s">
        <v>170</v>
      </c>
      <c r="W320" t="s">
        <v>171</v>
      </c>
      <c r="Y320">
        <v>8</v>
      </c>
      <c r="Z320" t="s">
        <v>172</v>
      </c>
      <c r="AA320" t="s">
        <v>173</v>
      </c>
      <c r="AB320">
        <v>4</v>
      </c>
      <c r="AC320" t="s">
        <v>423</v>
      </c>
      <c r="AD320">
        <v>10</v>
      </c>
      <c r="AG320" t="s">
        <v>167</v>
      </c>
      <c r="AH320" t="s">
        <v>416</v>
      </c>
      <c r="AI320" t="s">
        <v>178</v>
      </c>
      <c r="AJ320" t="s">
        <v>179</v>
      </c>
      <c r="AK320" t="s">
        <v>664</v>
      </c>
      <c r="AL320" t="s">
        <v>665</v>
      </c>
      <c r="AS320">
        <v>2500</v>
      </c>
      <c r="AT320">
        <v>2500</v>
      </c>
      <c r="BN320" s="114" t="s">
        <v>198</v>
      </c>
      <c r="BO320">
        <v>2</v>
      </c>
      <c r="BP320">
        <v>2</v>
      </c>
      <c r="BQ320">
        <v>13</v>
      </c>
      <c r="BR320" t="s">
        <v>712</v>
      </c>
      <c r="BT320" t="s">
        <v>183</v>
      </c>
      <c r="BU320" s="115">
        <v>45817</v>
      </c>
      <c r="BV320">
        <v>36759</v>
      </c>
      <c r="BW320" s="116"/>
      <c r="BX320" t="s">
        <v>173</v>
      </c>
      <c r="BY320" t="s">
        <v>173</v>
      </c>
      <c r="CB320" t="s">
        <v>173</v>
      </c>
      <c r="CC320" t="s">
        <v>173</v>
      </c>
      <c r="CD320" t="s">
        <v>692</v>
      </c>
      <c r="CE320" t="s">
        <v>173</v>
      </c>
      <c r="CG320" t="s">
        <v>172</v>
      </c>
      <c r="CH320" t="s">
        <v>693</v>
      </c>
      <c r="CI320" t="s">
        <v>173</v>
      </c>
      <c r="DJ320" t="s">
        <v>201</v>
      </c>
      <c r="DK320" t="s">
        <v>202</v>
      </c>
      <c r="DN320" t="s">
        <v>173</v>
      </c>
      <c r="DO320" t="s">
        <v>694</v>
      </c>
      <c r="DP320" t="s">
        <v>173</v>
      </c>
      <c r="DQ320" t="s">
        <v>189</v>
      </c>
      <c r="EA320" s="117"/>
      <c r="EB320">
        <v>4</v>
      </c>
      <c r="EC320">
        <v>4</v>
      </c>
      <c r="EE320" t="s">
        <v>695</v>
      </c>
      <c r="EF320">
        <v>6</v>
      </c>
      <c r="EV320">
        <v>4000</v>
      </c>
      <c r="EW320">
        <v>500</v>
      </c>
      <c r="EX320">
        <v>375</v>
      </c>
      <c r="EY320">
        <v>444</v>
      </c>
    </row>
    <row r="321" spans="1:155" x14ac:dyDescent="0.35">
      <c r="A321">
        <v>2026</v>
      </c>
      <c r="B321" t="s">
        <v>688</v>
      </c>
      <c r="C321" s="112" t="s">
        <v>689</v>
      </c>
      <c r="D321" t="s">
        <v>755</v>
      </c>
      <c r="E321" t="s">
        <v>691</v>
      </c>
      <c r="F321">
        <v>509</v>
      </c>
      <c r="G321" s="113">
        <v>3.6</v>
      </c>
      <c r="H321">
        <v>6</v>
      </c>
      <c r="I321" t="s">
        <v>166</v>
      </c>
      <c r="J321">
        <v>19</v>
      </c>
      <c r="K321">
        <v>24</v>
      </c>
      <c r="L321">
        <v>21</v>
      </c>
      <c r="M321">
        <v>24.460699999999999</v>
      </c>
      <c r="N321">
        <v>33.8919</v>
      </c>
      <c r="O321">
        <v>27.962199999999999</v>
      </c>
      <c r="P321">
        <v>19.410699999999999</v>
      </c>
      <c r="Q321">
        <v>24.162800000000001</v>
      </c>
      <c r="R321">
        <v>21.295400000000001</v>
      </c>
      <c r="U321" t="s">
        <v>215</v>
      </c>
      <c r="V321" t="s">
        <v>170</v>
      </c>
      <c r="W321" t="s">
        <v>171</v>
      </c>
      <c r="Y321">
        <v>8</v>
      </c>
      <c r="Z321" t="s">
        <v>172</v>
      </c>
      <c r="AA321" t="s">
        <v>173</v>
      </c>
      <c r="AB321">
        <v>4</v>
      </c>
      <c r="AC321" t="s">
        <v>423</v>
      </c>
      <c r="AD321">
        <v>10</v>
      </c>
      <c r="AG321" t="s">
        <v>167</v>
      </c>
      <c r="AH321" t="s">
        <v>416</v>
      </c>
      <c r="AI321" t="s">
        <v>178</v>
      </c>
      <c r="AJ321" t="s">
        <v>179</v>
      </c>
      <c r="AK321" t="s">
        <v>664</v>
      </c>
      <c r="AL321" t="s">
        <v>665</v>
      </c>
      <c r="AS321">
        <v>2350</v>
      </c>
      <c r="AT321">
        <v>2350</v>
      </c>
      <c r="BN321" s="114" t="s">
        <v>254</v>
      </c>
      <c r="BO321">
        <v>2</v>
      </c>
      <c r="BP321">
        <v>2</v>
      </c>
      <c r="BQ321">
        <v>13</v>
      </c>
      <c r="BR321" t="s">
        <v>712</v>
      </c>
      <c r="BT321" t="s">
        <v>183</v>
      </c>
      <c r="BU321" s="115">
        <v>45925</v>
      </c>
      <c r="BV321">
        <v>37716</v>
      </c>
      <c r="BW321" s="116"/>
      <c r="BX321" t="s">
        <v>173</v>
      </c>
      <c r="BY321" t="s">
        <v>173</v>
      </c>
      <c r="CB321" t="s">
        <v>173</v>
      </c>
      <c r="CC321" t="s">
        <v>173</v>
      </c>
      <c r="CE321" t="s">
        <v>173</v>
      </c>
      <c r="CG321" t="s">
        <v>172</v>
      </c>
      <c r="CH321" t="s">
        <v>224</v>
      </c>
      <c r="CI321" t="s">
        <v>173</v>
      </c>
      <c r="CK321" t="s">
        <v>259</v>
      </c>
      <c r="CM321">
        <v>1</v>
      </c>
      <c r="CN321" t="s">
        <v>260</v>
      </c>
      <c r="CP321">
        <v>48</v>
      </c>
      <c r="CQ321">
        <v>9.8000000000000007</v>
      </c>
      <c r="CR321">
        <v>42</v>
      </c>
      <c r="CS321" t="s">
        <v>261</v>
      </c>
      <c r="CV321" t="s">
        <v>262</v>
      </c>
      <c r="CX321" t="s">
        <v>263</v>
      </c>
      <c r="CY321" t="s">
        <v>173</v>
      </c>
      <c r="DD321">
        <v>1</v>
      </c>
      <c r="DE321" t="s">
        <v>760</v>
      </c>
      <c r="DG321">
        <v>11</v>
      </c>
      <c r="DJ321" t="s">
        <v>186</v>
      </c>
      <c r="DK321" t="s">
        <v>187</v>
      </c>
      <c r="DL321" t="s">
        <v>173</v>
      </c>
      <c r="DM321" t="s">
        <v>173</v>
      </c>
      <c r="DN321" t="s">
        <v>173</v>
      </c>
      <c r="DO321" t="s">
        <v>585</v>
      </c>
      <c r="DP321" t="s">
        <v>173</v>
      </c>
      <c r="DQ321" t="s">
        <v>189</v>
      </c>
      <c r="EA321" s="117"/>
      <c r="EB321">
        <v>4</v>
      </c>
      <c r="EC321">
        <v>4</v>
      </c>
      <c r="EE321" t="s">
        <v>2128</v>
      </c>
      <c r="EF321">
        <v>6</v>
      </c>
      <c r="EV321">
        <v>3250</v>
      </c>
      <c r="EW321">
        <v>457</v>
      </c>
      <c r="EX321">
        <v>368</v>
      </c>
      <c r="EY321">
        <v>417</v>
      </c>
    </row>
    <row r="322" spans="1:155" x14ac:dyDescent="0.35">
      <c r="A322">
        <v>2026</v>
      </c>
      <c r="B322" t="s">
        <v>688</v>
      </c>
      <c r="C322" s="112" t="s">
        <v>689</v>
      </c>
      <c r="D322" t="s">
        <v>755</v>
      </c>
      <c r="E322" t="s">
        <v>691</v>
      </c>
      <c r="F322">
        <v>510</v>
      </c>
      <c r="G322" s="113">
        <v>5.7</v>
      </c>
      <c r="H322">
        <v>8</v>
      </c>
      <c r="I322" t="s">
        <v>166</v>
      </c>
      <c r="J322">
        <v>16</v>
      </c>
      <c r="K322">
        <v>20</v>
      </c>
      <c r="L322">
        <v>18</v>
      </c>
      <c r="M322">
        <v>19.899999999999999</v>
      </c>
      <c r="N322">
        <v>28.1</v>
      </c>
      <c r="O322">
        <v>22.908200000000001</v>
      </c>
      <c r="P322">
        <v>16.0289</v>
      </c>
      <c r="Q322">
        <v>20.300999999999998</v>
      </c>
      <c r="R322">
        <v>17.7056</v>
      </c>
      <c r="U322" t="s">
        <v>215</v>
      </c>
      <c r="V322" t="s">
        <v>170</v>
      </c>
      <c r="W322" t="s">
        <v>171</v>
      </c>
      <c r="Y322">
        <v>8</v>
      </c>
      <c r="Z322" t="s">
        <v>172</v>
      </c>
      <c r="AA322" t="s">
        <v>173</v>
      </c>
      <c r="AB322">
        <v>4</v>
      </c>
      <c r="AC322" t="s">
        <v>423</v>
      </c>
      <c r="AD322">
        <v>10</v>
      </c>
      <c r="AG322" t="s">
        <v>756</v>
      </c>
      <c r="AH322" t="s">
        <v>757</v>
      </c>
      <c r="AI322" t="s">
        <v>178</v>
      </c>
      <c r="AJ322" t="s">
        <v>179</v>
      </c>
      <c r="AK322" t="s">
        <v>664</v>
      </c>
      <c r="AL322" t="s">
        <v>665</v>
      </c>
      <c r="AS322">
        <v>3150</v>
      </c>
      <c r="AT322">
        <v>3150</v>
      </c>
      <c r="BN322" s="114" t="s">
        <v>254</v>
      </c>
      <c r="BO322">
        <v>1</v>
      </c>
      <c r="BP322">
        <v>1</v>
      </c>
      <c r="BQ322">
        <v>13</v>
      </c>
      <c r="BR322" t="s">
        <v>712</v>
      </c>
      <c r="BT322" t="s">
        <v>183</v>
      </c>
      <c r="BU322" s="115">
        <v>45880</v>
      </c>
      <c r="BV322">
        <v>37262</v>
      </c>
      <c r="BW322" s="116"/>
      <c r="BX322" t="s">
        <v>173</v>
      </c>
      <c r="BY322" t="s">
        <v>173</v>
      </c>
      <c r="CB322" t="s">
        <v>173</v>
      </c>
      <c r="CC322" t="s">
        <v>173</v>
      </c>
      <c r="CE322" t="s">
        <v>172</v>
      </c>
      <c r="CF322" t="s">
        <v>758</v>
      </c>
      <c r="CG322" t="s">
        <v>172</v>
      </c>
      <c r="CH322" t="s">
        <v>759</v>
      </c>
      <c r="CI322" t="s">
        <v>173</v>
      </c>
      <c r="CK322" t="s">
        <v>259</v>
      </c>
      <c r="CM322">
        <v>1</v>
      </c>
      <c r="CN322" t="s">
        <v>260</v>
      </c>
      <c r="CP322">
        <v>48</v>
      </c>
      <c r="CQ322">
        <v>8</v>
      </c>
      <c r="CR322">
        <v>42</v>
      </c>
      <c r="CS322" t="s">
        <v>261</v>
      </c>
      <c r="CV322" t="s">
        <v>262</v>
      </c>
      <c r="CX322" t="s">
        <v>263</v>
      </c>
      <c r="CY322" t="s">
        <v>172</v>
      </c>
      <c r="DD322">
        <v>1</v>
      </c>
      <c r="DE322" t="s">
        <v>760</v>
      </c>
      <c r="DG322">
        <v>16</v>
      </c>
      <c r="DJ322" t="s">
        <v>186</v>
      </c>
      <c r="DK322" t="s">
        <v>187</v>
      </c>
      <c r="DL322" t="s">
        <v>173</v>
      </c>
      <c r="DM322" t="s">
        <v>173</v>
      </c>
      <c r="DN322" t="s">
        <v>173</v>
      </c>
      <c r="DO322" t="s">
        <v>585</v>
      </c>
      <c r="DP322" t="s">
        <v>173</v>
      </c>
      <c r="DQ322" t="s">
        <v>189</v>
      </c>
      <c r="EA322" s="117"/>
      <c r="EB322">
        <v>3</v>
      </c>
      <c r="EC322">
        <v>3</v>
      </c>
      <c r="EE322" t="s">
        <v>761</v>
      </c>
      <c r="EF322">
        <v>4</v>
      </c>
      <c r="EV322">
        <v>7250</v>
      </c>
      <c r="EW322">
        <v>555</v>
      </c>
      <c r="EX322">
        <v>437</v>
      </c>
      <c r="EY322">
        <v>502</v>
      </c>
    </row>
    <row r="323" spans="1:155" x14ac:dyDescent="0.35">
      <c r="A323">
        <v>2026</v>
      </c>
      <c r="B323" t="s">
        <v>688</v>
      </c>
      <c r="C323" s="112" t="s">
        <v>689</v>
      </c>
      <c r="D323" t="s">
        <v>762</v>
      </c>
      <c r="E323" t="s">
        <v>691</v>
      </c>
      <c r="F323">
        <v>501</v>
      </c>
      <c r="G323" s="113">
        <v>3</v>
      </c>
      <c r="H323">
        <v>6</v>
      </c>
      <c r="I323" t="s">
        <v>166</v>
      </c>
      <c r="J323">
        <v>15</v>
      </c>
      <c r="K323">
        <v>21</v>
      </c>
      <c r="L323">
        <v>17</v>
      </c>
      <c r="M323">
        <v>18.5</v>
      </c>
      <c r="N323">
        <v>28.4</v>
      </c>
      <c r="O323">
        <v>21.942</v>
      </c>
      <c r="P323">
        <v>14.9703</v>
      </c>
      <c r="Q323">
        <v>20.503599999999999</v>
      </c>
      <c r="R323">
        <v>17.0396</v>
      </c>
      <c r="T323" t="s">
        <v>168</v>
      </c>
      <c r="U323" t="s">
        <v>169</v>
      </c>
      <c r="V323" t="s">
        <v>170</v>
      </c>
      <c r="W323" t="s">
        <v>171</v>
      </c>
      <c r="Y323">
        <v>8</v>
      </c>
      <c r="Z323" t="s">
        <v>172</v>
      </c>
      <c r="AA323" t="s">
        <v>173</v>
      </c>
      <c r="AB323">
        <v>4</v>
      </c>
      <c r="AC323" t="s">
        <v>423</v>
      </c>
      <c r="AD323">
        <v>10</v>
      </c>
      <c r="AG323" t="s">
        <v>216</v>
      </c>
      <c r="AH323" t="s">
        <v>217</v>
      </c>
      <c r="AI323" t="s">
        <v>178</v>
      </c>
      <c r="AJ323" t="s">
        <v>179</v>
      </c>
      <c r="AK323" t="s">
        <v>664</v>
      </c>
      <c r="AL323" t="s">
        <v>665</v>
      </c>
      <c r="AS323">
        <v>3650</v>
      </c>
      <c r="AT323">
        <v>3650</v>
      </c>
      <c r="BN323" s="114" t="s">
        <v>198</v>
      </c>
      <c r="BO323">
        <v>2</v>
      </c>
      <c r="BP323">
        <v>2</v>
      </c>
      <c r="BQ323">
        <v>13</v>
      </c>
      <c r="BR323" t="s">
        <v>712</v>
      </c>
      <c r="BT323" t="s">
        <v>183</v>
      </c>
      <c r="BU323" s="115">
        <v>45817</v>
      </c>
      <c r="BV323">
        <v>36756</v>
      </c>
      <c r="BW323" s="116"/>
      <c r="BX323" t="s">
        <v>173</v>
      </c>
      <c r="BY323" t="s">
        <v>173</v>
      </c>
      <c r="CB323" t="s">
        <v>173</v>
      </c>
      <c r="CC323" t="s">
        <v>173</v>
      </c>
      <c r="CD323" t="s">
        <v>763</v>
      </c>
      <c r="CE323" t="s">
        <v>173</v>
      </c>
      <c r="CG323" t="s">
        <v>172</v>
      </c>
      <c r="CH323" t="s">
        <v>693</v>
      </c>
      <c r="CI323" t="s">
        <v>173</v>
      </c>
      <c r="DJ323" t="s">
        <v>201</v>
      </c>
      <c r="DK323" t="s">
        <v>202</v>
      </c>
      <c r="DN323" t="s">
        <v>173</v>
      </c>
      <c r="DO323" t="s">
        <v>694</v>
      </c>
      <c r="DP323" t="s">
        <v>172</v>
      </c>
      <c r="DQ323" t="s">
        <v>204</v>
      </c>
      <c r="EA323" s="117"/>
      <c r="EB323">
        <v>3</v>
      </c>
      <c r="EC323">
        <v>3</v>
      </c>
      <c r="EE323" t="s">
        <v>764</v>
      </c>
      <c r="EF323">
        <v>6</v>
      </c>
      <c r="EV323">
        <v>9750</v>
      </c>
      <c r="EW323">
        <v>593</v>
      </c>
      <c r="EX323">
        <v>434</v>
      </c>
      <c r="EY323">
        <v>521</v>
      </c>
    </row>
    <row r="324" spans="1:155" x14ac:dyDescent="0.35">
      <c r="A324">
        <v>2026</v>
      </c>
      <c r="B324" t="s">
        <v>688</v>
      </c>
      <c r="C324" s="112" t="s">
        <v>689</v>
      </c>
      <c r="D324" t="s">
        <v>765</v>
      </c>
      <c r="E324" t="s">
        <v>691</v>
      </c>
      <c r="F324">
        <v>502</v>
      </c>
      <c r="G324" s="113">
        <v>3</v>
      </c>
      <c r="H324">
        <v>6</v>
      </c>
      <c r="I324" t="s">
        <v>166</v>
      </c>
      <c r="J324">
        <v>14</v>
      </c>
      <c r="K324">
        <v>16</v>
      </c>
      <c r="L324">
        <v>15</v>
      </c>
      <c r="M324">
        <v>17.3</v>
      </c>
      <c r="N324">
        <v>22.7</v>
      </c>
      <c r="O324">
        <v>19.373999999999999</v>
      </c>
      <c r="P324">
        <v>14.055</v>
      </c>
      <c r="Q324">
        <v>15.7926</v>
      </c>
      <c r="R324">
        <v>14.787100000000001</v>
      </c>
      <c r="T324" t="s">
        <v>168</v>
      </c>
      <c r="U324" t="s">
        <v>169</v>
      </c>
      <c r="V324" t="s">
        <v>170</v>
      </c>
      <c r="W324" t="s">
        <v>171</v>
      </c>
      <c r="Y324">
        <v>8</v>
      </c>
      <c r="Z324" t="s">
        <v>172</v>
      </c>
      <c r="AA324" t="s">
        <v>173</v>
      </c>
      <c r="AB324">
        <v>4</v>
      </c>
      <c r="AC324" t="s">
        <v>423</v>
      </c>
      <c r="AD324">
        <v>10</v>
      </c>
      <c r="AG324" t="s">
        <v>216</v>
      </c>
      <c r="AH324" t="s">
        <v>217</v>
      </c>
      <c r="AI324" t="s">
        <v>178</v>
      </c>
      <c r="AJ324" t="s">
        <v>179</v>
      </c>
      <c r="AK324" t="s">
        <v>664</v>
      </c>
      <c r="AL324" t="s">
        <v>665</v>
      </c>
      <c r="AS324">
        <v>4150</v>
      </c>
      <c r="AT324">
        <v>4150</v>
      </c>
      <c r="BN324" s="114" t="s">
        <v>198</v>
      </c>
      <c r="BO324">
        <v>2</v>
      </c>
      <c r="BP324">
        <v>2</v>
      </c>
      <c r="BQ324">
        <v>13</v>
      </c>
      <c r="BR324" t="s">
        <v>712</v>
      </c>
      <c r="BT324" t="s">
        <v>613</v>
      </c>
      <c r="BU324" s="115">
        <v>45817</v>
      </c>
      <c r="BV324">
        <v>36757</v>
      </c>
      <c r="BW324" s="116"/>
      <c r="BX324" t="s">
        <v>173</v>
      </c>
      <c r="BY324" t="s">
        <v>173</v>
      </c>
      <c r="CB324" t="s">
        <v>173</v>
      </c>
      <c r="CC324" t="s">
        <v>173</v>
      </c>
      <c r="CD324" t="s">
        <v>763</v>
      </c>
      <c r="CE324" t="s">
        <v>173</v>
      </c>
      <c r="CG324" t="s">
        <v>172</v>
      </c>
      <c r="CH324" t="s">
        <v>693</v>
      </c>
      <c r="CI324" t="s">
        <v>173</v>
      </c>
      <c r="DJ324" t="s">
        <v>201</v>
      </c>
      <c r="DK324" t="s">
        <v>202</v>
      </c>
      <c r="DN324" t="s">
        <v>173</v>
      </c>
      <c r="DO324" t="s">
        <v>766</v>
      </c>
      <c r="DP324" t="s">
        <v>172</v>
      </c>
      <c r="DQ324" t="s">
        <v>204</v>
      </c>
      <c r="EA324" s="117"/>
      <c r="EB324">
        <v>2</v>
      </c>
      <c r="EC324">
        <v>2</v>
      </c>
      <c r="EE324" t="s">
        <v>767</v>
      </c>
      <c r="EF324">
        <v>6</v>
      </c>
      <c r="EV324">
        <v>12250</v>
      </c>
      <c r="EW324">
        <v>634</v>
      </c>
      <c r="EX324">
        <v>564</v>
      </c>
      <c r="EY324">
        <v>602</v>
      </c>
    </row>
    <row r="325" spans="1:155" x14ac:dyDescent="0.35">
      <c r="A325">
        <v>2026</v>
      </c>
      <c r="B325" t="s">
        <v>242</v>
      </c>
      <c r="C325" s="112" t="s">
        <v>239</v>
      </c>
      <c r="D325" t="s">
        <v>768</v>
      </c>
      <c r="E325" t="s">
        <v>245</v>
      </c>
      <c r="F325">
        <v>19</v>
      </c>
      <c r="G325" s="113">
        <v>3.4</v>
      </c>
      <c r="H325">
        <v>6</v>
      </c>
      <c r="I325" t="s">
        <v>246</v>
      </c>
      <c r="J325">
        <v>17</v>
      </c>
      <c r="K325">
        <v>22</v>
      </c>
      <c r="L325">
        <v>19</v>
      </c>
      <c r="M325">
        <v>21.4</v>
      </c>
      <c r="N325">
        <v>30.3</v>
      </c>
      <c r="O325">
        <v>24.659400000000002</v>
      </c>
      <c r="P325">
        <v>17.1523</v>
      </c>
      <c r="Q325">
        <v>21.78</v>
      </c>
      <c r="R325">
        <v>18.965699999999998</v>
      </c>
      <c r="T325" t="s">
        <v>168</v>
      </c>
      <c r="U325" t="s">
        <v>169</v>
      </c>
      <c r="V325" t="s">
        <v>196</v>
      </c>
      <c r="W325" t="s">
        <v>197</v>
      </c>
      <c r="Y325">
        <v>10</v>
      </c>
      <c r="Z325" t="s">
        <v>172</v>
      </c>
      <c r="AA325" t="s">
        <v>173</v>
      </c>
      <c r="AB325" t="s">
        <v>769</v>
      </c>
      <c r="AC325" t="s">
        <v>770</v>
      </c>
      <c r="AD325">
        <v>15</v>
      </c>
      <c r="AG325" t="s">
        <v>167</v>
      </c>
      <c r="AH325" t="s">
        <v>416</v>
      </c>
      <c r="AI325" t="s">
        <v>178</v>
      </c>
      <c r="AJ325" t="s">
        <v>179</v>
      </c>
      <c r="AK325" t="s">
        <v>664</v>
      </c>
      <c r="AL325" t="s">
        <v>665</v>
      </c>
      <c r="AS325">
        <v>2600</v>
      </c>
      <c r="AT325">
        <v>2600</v>
      </c>
      <c r="BN325" s="114" t="s">
        <v>247</v>
      </c>
      <c r="BO325">
        <v>2</v>
      </c>
      <c r="BP325">
        <v>2</v>
      </c>
      <c r="BQ325">
        <v>13</v>
      </c>
      <c r="BR325" t="s">
        <v>712</v>
      </c>
      <c r="BT325" t="s">
        <v>183</v>
      </c>
      <c r="BU325" s="115">
        <v>45875</v>
      </c>
      <c r="BV325">
        <v>36980</v>
      </c>
      <c r="BW325" s="116"/>
      <c r="BX325" t="s">
        <v>173</v>
      </c>
      <c r="BY325" t="s">
        <v>173</v>
      </c>
      <c r="CB325" t="s">
        <v>173</v>
      </c>
      <c r="CC325" t="s">
        <v>173</v>
      </c>
      <c r="CD325" t="s">
        <v>697</v>
      </c>
      <c r="CE325" t="s">
        <v>173</v>
      </c>
      <c r="CG325" t="s">
        <v>172</v>
      </c>
      <c r="CH325" t="s">
        <v>249</v>
      </c>
      <c r="CI325" t="s">
        <v>173</v>
      </c>
      <c r="DJ325" t="s">
        <v>250</v>
      </c>
      <c r="DK325" t="s">
        <v>251</v>
      </c>
      <c r="DN325" t="s">
        <v>173</v>
      </c>
      <c r="DO325" t="s">
        <v>284</v>
      </c>
      <c r="DP325" t="s">
        <v>172</v>
      </c>
      <c r="DQ325" t="s">
        <v>204</v>
      </c>
      <c r="EA325" s="117"/>
      <c r="EB325">
        <v>4</v>
      </c>
      <c r="EC325">
        <v>4</v>
      </c>
      <c r="EE325" t="s">
        <v>698</v>
      </c>
      <c r="EF325">
        <v>4</v>
      </c>
      <c r="EV325">
        <v>4500</v>
      </c>
      <c r="EW325">
        <v>518</v>
      </c>
      <c r="EX325">
        <v>408</v>
      </c>
      <c r="EY325">
        <v>468</v>
      </c>
    </row>
    <row r="326" spans="1:155" x14ac:dyDescent="0.35">
      <c r="A326">
        <v>2026</v>
      </c>
      <c r="B326" t="s">
        <v>242</v>
      </c>
      <c r="C326" s="112" t="s">
        <v>239</v>
      </c>
      <c r="D326" t="s">
        <v>768</v>
      </c>
      <c r="E326" t="s">
        <v>245</v>
      </c>
      <c r="F326">
        <v>20</v>
      </c>
      <c r="G326" s="113">
        <v>3.4</v>
      </c>
      <c r="H326">
        <v>6</v>
      </c>
      <c r="I326" t="s">
        <v>246</v>
      </c>
      <c r="J326">
        <v>17</v>
      </c>
      <c r="K326">
        <v>22</v>
      </c>
      <c r="L326">
        <v>19</v>
      </c>
      <c r="M326">
        <v>21.7</v>
      </c>
      <c r="N326">
        <v>31</v>
      </c>
      <c r="O326">
        <v>25.0867</v>
      </c>
      <c r="P326">
        <v>17.375599999999999</v>
      </c>
      <c r="Q326">
        <v>22.247399999999999</v>
      </c>
      <c r="R326">
        <v>19.274999999999999</v>
      </c>
      <c r="T326" t="s">
        <v>168</v>
      </c>
      <c r="U326" t="s">
        <v>169</v>
      </c>
      <c r="V326" t="s">
        <v>196</v>
      </c>
      <c r="W326" t="s">
        <v>197</v>
      </c>
      <c r="Y326">
        <v>10</v>
      </c>
      <c r="Z326" t="s">
        <v>172</v>
      </c>
      <c r="AA326" t="s">
        <v>173</v>
      </c>
      <c r="AB326" t="s">
        <v>769</v>
      </c>
      <c r="AC326" t="s">
        <v>770</v>
      </c>
      <c r="AD326">
        <v>15</v>
      </c>
      <c r="AG326" t="s">
        <v>167</v>
      </c>
      <c r="AH326" t="s">
        <v>416</v>
      </c>
      <c r="AI326" t="s">
        <v>178</v>
      </c>
      <c r="AJ326" t="s">
        <v>179</v>
      </c>
      <c r="AK326" t="s">
        <v>664</v>
      </c>
      <c r="AL326" t="s">
        <v>665</v>
      </c>
      <c r="AS326">
        <v>2600</v>
      </c>
      <c r="AT326">
        <v>2600</v>
      </c>
      <c r="BN326" s="114" t="s">
        <v>247</v>
      </c>
      <c r="BO326">
        <v>2</v>
      </c>
      <c r="BP326">
        <v>2</v>
      </c>
      <c r="BQ326">
        <v>13</v>
      </c>
      <c r="BR326" t="s">
        <v>712</v>
      </c>
      <c r="BT326" t="s">
        <v>183</v>
      </c>
      <c r="BU326" s="115">
        <v>45875</v>
      </c>
      <c r="BV326">
        <v>36981</v>
      </c>
      <c r="BW326" s="116"/>
      <c r="BX326" t="s">
        <v>173</v>
      </c>
      <c r="BY326" t="s">
        <v>173</v>
      </c>
      <c r="CB326" t="s">
        <v>173</v>
      </c>
      <c r="CC326" t="s">
        <v>173</v>
      </c>
      <c r="CD326" t="s">
        <v>699</v>
      </c>
      <c r="CE326" t="s">
        <v>173</v>
      </c>
      <c r="CG326" t="s">
        <v>172</v>
      </c>
      <c r="CH326" t="s">
        <v>249</v>
      </c>
      <c r="CI326" t="s">
        <v>173</v>
      </c>
      <c r="DJ326" t="s">
        <v>250</v>
      </c>
      <c r="DK326" t="s">
        <v>251</v>
      </c>
      <c r="DN326" t="s">
        <v>173</v>
      </c>
      <c r="DO326" t="s">
        <v>284</v>
      </c>
      <c r="DP326" t="s">
        <v>172</v>
      </c>
      <c r="DQ326" t="s">
        <v>204</v>
      </c>
      <c r="EA326" s="117"/>
      <c r="EB326">
        <v>4</v>
      </c>
      <c r="EC326">
        <v>4</v>
      </c>
      <c r="EE326" t="s">
        <v>698</v>
      </c>
      <c r="EF326">
        <v>4</v>
      </c>
      <c r="EV326">
        <v>4500</v>
      </c>
      <c r="EW326">
        <v>512</v>
      </c>
      <c r="EX326">
        <v>400</v>
      </c>
      <c r="EY326">
        <v>462</v>
      </c>
    </row>
    <row r="327" spans="1:155" x14ac:dyDescent="0.35">
      <c r="A327">
        <v>2026</v>
      </c>
      <c r="B327" t="s">
        <v>242</v>
      </c>
      <c r="C327" s="112" t="s">
        <v>239</v>
      </c>
      <c r="D327" t="s">
        <v>771</v>
      </c>
      <c r="E327" t="s">
        <v>245</v>
      </c>
      <c r="F327">
        <v>24</v>
      </c>
      <c r="G327" s="113">
        <v>3.4</v>
      </c>
      <c r="H327">
        <v>6</v>
      </c>
      <c r="I327" t="s">
        <v>246</v>
      </c>
      <c r="J327">
        <v>19</v>
      </c>
      <c r="K327">
        <v>22</v>
      </c>
      <c r="L327">
        <v>20</v>
      </c>
      <c r="M327">
        <v>23.510200000000001</v>
      </c>
      <c r="N327">
        <v>31.1526</v>
      </c>
      <c r="O327">
        <v>26.427700000000002</v>
      </c>
      <c r="P327">
        <v>18.714099999999998</v>
      </c>
      <c r="Q327">
        <v>22.3491</v>
      </c>
      <c r="R327">
        <v>20.192</v>
      </c>
      <c r="T327" t="s">
        <v>168</v>
      </c>
      <c r="U327" t="s">
        <v>169</v>
      </c>
      <c r="V327" t="s">
        <v>196</v>
      </c>
      <c r="W327" t="s">
        <v>197</v>
      </c>
      <c r="Y327">
        <v>10</v>
      </c>
      <c r="Z327" t="s">
        <v>172</v>
      </c>
      <c r="AA327" t="s">
        <v>173</v>
      </c>
      <c r="AB327" t="s">
        <v>769</v>
      </c>
      <c r="AC327" t="s">
        <v>770</v>
      </c>
      <c r="AD327">
        <v>15</v>
      </c>
      <c r="AG327" t="s">
        <v>167</v>
      </c>
      <c r="AH327" t="s">
        <v>416</v>
      </c>
      <c r="AI327" t="s">
        <v>178</v>
      </c>
      <c r="AJ327" t="s">
        <v>179</v>
      </c>
      <c r="AK327" t="s">
        <v>664</v>
      </c>
      <c r="AL327" t="s">
        <v>665</v>
      </c>
      <c r="AS327">
        <v>2500</v>
      </c>
      <c r="AT327">
        <v>2500</v>
      </c>
      <c r="BN327" s="114" t="s">
        <v>505</v>
      </c>
      <c r="BO327">
        <v>2</v>
      </c>
      <c r="BP327">
        <v>2</v>
      </c>
      <c r="BQ327">
        <v>13</v>
      </c>
      <c r="BR327" t="s">
        <v>712</v>
      </c>
      <c r="BT327" t="s">
        <v>183</v>
      </c>
      <c r="BU327" s="115">
        <v>45875</v>
      </c>
      <c r="BV327">
        <v>36985</v>
      </c>
      <c r="BW327" s="116"/>
      <c r="BX327" t="s">
        <v>173</v>
      </c>
      <c r="BY327" t="s">
        <v>173</v>
      </c>
      <c r="CB327" t="s">
        <v>173</v>
      </c>
      <c r="CC327" t="s">
        <v>173</v>
      </c>
      <c r="CD327" t="s">
        <v>701</v>
      </c>
      <c r="CE327" t="s">
        <v>173</v>
      </c>
      <c r="CG327" t="s">
        <v>172</v>
      </c>
      <c r="CH327" t="s">
        <v>249</v>
      </c>
      <c r="CI327" t="s">
        <v>173</v>
      </c>
      <c r="CK327" t="s">
        <v>259</v>
      </c>
      <c r="CM327">
        <v>1</v>
      </c>
      <c r="CN327" t="s">
        <v>515</v>
      </c>
      <c r="CP327">
        <v>288</v>
      </c>
      <c r="CQ327">
        <v>6.5</v>
      </c>
      <c r="CR327">
        <v>33</v>
      </c>
      <c r="CS327" t="s">
        <v>261</v>
      </c>
      <c r="CV327" t="s">
        <v>262</v>
      </c>
      <c r="CX327" t="s">
        <v>702</v>
      </c>
      <c r="CY327" t="s">
        <v>173</v>
      </c>
      <c r="DC327" t="s">
        <v>703</v>
      </c>
      <c r="DD327">
        <v>1</v>
      </c>
      <c r="DE327" t="s">
        <v>307</v>
      </c>
      <c r="DF327" t="s">
        <v>507</v>
      </c>
      <c r="DG327">
        <v>36</v>
      </c>
      <c r="DJ327" t="s">
        <v>250</v>
      </c>
      <c r="DK327" t="s">
        <v>251</v>
      </c>
      <c r="DL327" t="s">
        <v>173</v>
      </c>
      <c r="DM327" t="s">
        <v>173</v>
      </c>
      <c r="DN327" t="s">
        <v>173</v>
      </c>
      <c r="DO327" t="s">
        <v>284</v>
      </c>
      <c r="DP327" t="s">
        <v>172</v>
      </c>
      <c r="DQ327" t="s">
        <v>204</v>
      </c>
      <c r="DR327" t="s">
        <v>509</v>
      </c>
      <c r="EA327" s="117"/>
      <c r="EB327">
        <v>4</v>
      </c>
      <c r="EC327">
        <v>4</v>
      </c>
      <c r="EE327" t="s">
        <v>704</v>
      </c>
      <c r="EF327">
        <v>4</v>
      </c>
      <c r="EV327">
        <v>4000</v>
      </c>
      <c r="EW327">
        <v>473</v>
      </c>
      <c r="EX327">
        <v>397</v>
      </c>
      <c r="EY327">
        <v>439</v>
      </c>
    </row>
    <row r="328" spans="1:155" x14ac:dyDescent="0.35">
      <c r="A328">
        <v>2026</v>
      </c>
      <c r="B328" t="s">
        <v>242</v>
      </c>
      <c r="C328" s="112" t="s">
        <v>239</v>
      </c>
      <c r="D328" t="s">
        <v>772</v>
      </c>
      <c r="E328" t="s">
        <v>245</v>
      </c>
      <c r="F328">
        <v>211</v>
      </c>
      <c r="G328" s="113">
        <v>3.4</v>
      </c>
      <c r="H328">
        <v>6</v>
      </c>
      <c r="I328" t="s">
        <v>246</v>
      </c>
      <c r="J328">
        <v>19</v>
      </c>
      <c r="K328">
        <v>22</v>
      </c>
      <c r="L328">
        <v>20</v>
      </c>
      <c r="M328">
        <v>23.510200000000001</v>
      </c>
      <c r="N328">
        <v>31.1526</v>
      </c>
      <c r="O328">
        <v>26.427700000000002</v>
      </c>
      <c r="P328">
        <v>18.714099999999998</v>
      </c>
      <c r="Q328">
        <v>22.3491</v>
      </c>
      <c r="R328">
        <v>20.192</v>
      </c>
      <c r="T328" t="s">
        <v>168</v>
      </c>
      <c r="U328" t="s">
        <v>169</v>
      </c>
      <c r="V328" t="s">
        <v>196</v>
      </c>
      <c r="W328" t="s">
        <v>197</v>
      </c>
      <c r="Y328">
        <v>10</v>
      </c>
      <c r="Z328" t="s">
        <v>172</v>
      </c>
      <c r="AA328" t="s">
        <v>173</v>
      </c>
      <c r="AB328" t="s">
        <v>769</v>
      </c>
      <c r="AC328" t="s">
        <v>770</v>
      </c>
      <c r="AD328">
        <v>15</v>
      </c>
      <c r="AG328" t="s">
        <v>216</v>
      </c>
      <c r="AH328" t="s">
        <v>217</v>
      </c>
      <c r="AI328" t="s">
        <v>178</v>
      </c>
      <c r="AJ328" t="s">
        <v>179</v>
      </c>
      <c r="AK328" t="s">
        <v>664</v>
      </c>
      <c r="AL328" t="s">
        <v>665</v>
      </c>
      <c r="AS328">
        <v>3100</v>
      </c>
      <c r="AT328">
        <v>3100</v>
      </c>
      <c r="BN328" s="114" t="s">
        <v>505</v>
      </c>
      <c r="BO328">
        <v>2</v>
      </c>
      <c r="BP328">
        <v>2</v>
      </c>
      <c r="BQ328">
        <v>13</v>
      </c>
      <c r="BR328" t="s">
        <v>712</v>
      </c>
      <c r="BT328" t="s">
        <v>183</v>
      </c>
      <c r="BU328" s="115">
        <v>45875</v>
      </c>
      <c r="BV328">
        <v>37033</v>
      </c>
      <c r="BW328" s="116"/>
      <c r="BX328" t="s">
        <v>173</v>
      </c>
      <c r="BY328" t="s">
        <v>173</v>
      </c>
      <c r="CB328" t="s">
        <v>173</v>
      </c>
      <c r="CC328" t="s">
        <v>173</v>
      </c>
      <c r="CD328" t="s">
        <v>706</v>
      </c>
      <c r="CE328" t="s">
        <v>173</v>
      </c>
      <c r="CG328" t="s">
        <v>172</v>
      </c>
      <c r="CH328" t="s">
        <v>249</v>
      </c>
      <c r="CI328" t="s">
        <v>173</v>
      </c>
      <c r="CK328" t="s">
        <v>259</v>
      </c>
      <c r="CM328">
        <v>1</v>
      </c>
      <c r="CN328" t="s">
        <v>515</v>
      </c>
      <c r="CP328">
        <v>288</v>
      </c>
      <c r="CQ328">
        <v>6.5</v>
      </c>
      <c r="CR328">
        <v>33</v>
      </c>
      <c r="CS328" t="s">
        <v>261</v>
      </c>
      <c r="CV328" t="s">
        <v>262</v>
      </c>
      <c r="CX328" t="s">
        <v>702</v>
      </c>
      <c r="CY328" t="s">
        <v>173</v>
      </c>
      <c r="DC328" t="s">
        <v>703</v>
      </c>
      <c r="DD328">
        <v>1</v>
      </c>
      <c r="DE328" t="s">
        <v>307</v>
      </c>
      <c r="DF328" t="s">
        <v>507</v>
      </c>
      <c r="DG328">
        <v>36</v>
      </c>
      <c r="DJ328" t="s">
        <v>250</v>
      </c>
      <c r="DK328" t="s">
        <v>251</v>
      </c>
      <c r="DL328" t="s">
        <v>173</v>
      </c>
      <c r="DM328" t="s">
        <v>173</v>
      </c>
      <c r="DN328" t="s">
        <v>173</v>
      </c>
      <c r="DO328" t="s">
        <v>284</v>
      </c>
      <c r="DP328" t="s">
        <v>172</v>
      </c>
      <c r="DQ328" t="s">
        <v>204</v>
      </c>
      <c r="DR328" t="s">
        <v>707</v>
      </c>
      <c r="EA328" s="117"/>
      <c r="EB328">
        <v>4</v>
      </c>
      <c r="EC328">
        <v>4</v>
      </c>
      <c r="EE328" t="s">
        <v>704</v>
      </c>
      <c r="EF328">
        <v>4</v>
      </c>
      <c r="EV328">
        <v>7000</v>
      </c>
      <c r="EW328">
        <v>473</v>
      </c>
      <c r="EX328">
        <v>397</v>
      </c>
      <c r="EY328">
        <v>439</v>
      </c>
    </row>
    <row r="329" spans="1:155" x14ac:dyDescent="0.35">
      <c r="A329">
        <v>2026</v>
      </c>
      <c r="B329" t="s">
        <v>242</v>
      </c>
      <c r="C329" s="112" t="s">
        <v>239</v>
      </c>
      <c r="D329" t="s">
        <v>773</v>
      </c>
      <c r="E329" t="s">
        <v>245</v>
      </c>
      <c r="F329">
        <v>25</v>
      </c>
      <c r="G329" s="113">
        <v>3.4</v>
      </c>
      <c r="H329">
        <v>6</v>
      </c>
      <c r="I329" t="s">
        <v>246</v>
      </c>
      <c r="J329">
        <v>18</v>
      </c>
      <c r="K329">
        <v>20</v>
      </c>
      <c r="L329">
        <v>19</v>
      </c>
      <c r="M329">
        <v>22.9</v>
      </c>
      <c r="N329">
        <v>28.1</v>
      </c>
      <c r="O329">
        <v>24.9802</v>
      </c>
      <c r="P329">
        <v>18.264700000000001</v>
      </c>
      <c r="Q329">
        <v>20.300999999999998</v>
      </c>
      <c r="R329">
        <v>19.1281</v>
      </c>
      <c r="T329" t="s">
        <v>168</v>
      </c>
      <c r="U329" t="s">
        <v>169</v>
      </c>
      <c r="V329" t="s">
        <v>196</v>
      </c>
      <c r="W329" t="s">
        <v>197</v>
      </c>
      <c r="Y329">
        <v>10</v>
      </c>
      <c r="Z329" t="s">
        <v>172</v>
      </c>
      <c r="AA329" t="s">
        <v>173</v>
      </c>
      <c r="AB329" t="s">
        <v>769</v>
      </c>
      <c r="AC329" t="s">
        <v>770</v>
      </c>
      <c r="AD329">
        <v>15</v>
      </c>
      <c r="AG329" t="s">
        <v>167</v>
      </c>
      <c r="AH329" t="s">
        <v>416</v>
      </c>
      <c r="AI329" t="s">
        <v>178</v>
      </c>
      <c r="AJ329" t="s">
        <v>179</v>
      </c>
      <c r="AK329" t="s">
        <v>664</v>
      </c>
      <c r="AL329" t="s">
        <v>665</v>
      </c>
      <c r="AS329">
        <v>2600</v>
      </c>
      <c r="AT329">
        <v>2600</v>
      </c>
      <c r="BN329" s="114" t="s">
        <v>505</v>
      </c>
      <c r="BO329">
        <v>2</v>
      </c>
      <c r="BP329">
        <v>2</v>
      </c>
      <c r="BQ329">
        <v>13</v>
      </c>
      <c r="BR329" t="s">
        <v>712</v>
      </c>
      <c r="BT329" t="s">
        <v>183</v>
      </c>
      <c r="BU329" s="115">
        <v>45875</v>
      </c>
      <c r="BV329">
        <v>36986</v>
      </c>
      <c r="BW329" s="116"/>
      <c r="BX329" t="s">
        <v>172</v>
      </c>
      <c r="BY329" t="s">
        <v>173</v>
      </c>
      <c r="CB329" t="s">
        <v>173</v>
      </c>
      <c r="CC329" t="s">
        <v>173</v>
      </c>
      <c r="CD329" t="s">
        <v>701</v>
      </c>
      <c r="CE329" t="s">
        <v>173</v>
      </c>
      <c r="CG329" t="s">
        <v>172</v>
      </c>
      <c r="CH329" t="s">
        <v>249</v>
      </c>
      <c r="CI329" t="s">
        <v>173</v>
      </c>
      <c r="CK329" t="s">
        <v>259</v>
      </c>
      <c r="CM329">
        <v>1</v>
      </c>
      <c r="CN329" t="s">
        <v>515</v>
      </c>
      <c r="CP329">
        <v>288</v>
      </c>
      <c r="CQ329">
        <v>6.5</v>
      </c>
      <c r="CR329">
        <v>33</v>
      </c>
      <c r="CS329" t="s">
        <v>261</v>
      </c>
      <c r="CV329" t="s">
        <v>262</v>
      </c>
      <c r="CX329" t="s">
        <v>702</v>
      </c>
      <c r="CY329" t="s">
        <v>173</v>
      </c>
      <c r="DC329" t="s">
        <v>703</v>
      </c>
      <c r="DD329">
        <v>1</v>
      </c>
      <c r="DE329" t="s">
        <v>307</v>
      </c>
      <c r="DF329" t="s">
        <v>507</v>
      </c>
      <c r="DG329">
        <v>36</v>
      </c>
      <c r="DJ329" t="s">
        <v>250</v>
      </c>
      <c r="DK329" t="s">
        <v>251</v>
      </c>
      <c r="DL329" t="s">
        <v>173</v>
      </c>
      <c r="DM329" t="s">
        <v>173</v>
      </c>
      <c r="DN329" t="s">
        <v>173</v>
      </c>
      <c r="DO329" t="s">
        <v>284</v>
      </c>
      <c r="DP329" t="s">
        <v>172</v>
      </c>
      <c r="DQ329" t="s">
        <v>204</v>
      </c>
      <c r="DR329" t="s">
        <v>509</v>
      </c>
      <c r="EA329" s="117"/>
      <c r="EB329">
        <v>4</v>
      </c>
      <c r="EC329">
        <v>4</v>
      </c>
      <c r="EE329" t="s">
        <v>704</v>
      </c>
      <c r="EF329">
        <v>4</v>
      </c>
      <c r="EV329">
        <v>4500</v>
      </c>
      <c r="EW329">
        <v>483</v>
      </c>
      <c r="EX329">
        <v>435</v>
      </c>
      <c r="EY329">
        <v>461</v>
      </c>
    </row>
    <row r="330" spans="1:155" x14ac:dyDescent="0.35">
      <c r="A330">
        <v>2026</v>
      </c>
      <c r="B330" t="s">
        <v>242</v>
      </c>
      <c r="C330" s="112" t="s">
        <v>239</v>
      </c>
      <c r="D330" t="s">
        <v>774</v>
      </c>
      <c r="E330" t="s">
        <v>245</v>
      </c>
      <c r="F330">
        <v>212</v>
      </c>
      <c r="G330" s="113">
        <v>3.4</v>
      </c>
      <c r="H330">
        <v>6</v>
      </c>
      <c r="I330" t="s">
        <v>246</v>
      </c>
      <c r="J330">
        <v>18</v>
      </c>
      <c r="K330">
        <v>20</v>
      </c>
      <c r="L330">
        <v>19</v>
      </c>
      <c r="M330">
        <v>22.9</v>
      </c>
      <c r="N330">
        <v>28.1</v>
      </c>
      <c r="O330">
        <v>24.9802</v>
      </c>
      <c r="P330">
        <v>18.264700000000001</v>
      </c>
      <c r="Q330">
        <v>20.300999999999998</v>
      </c>
      <c r="R330">
        <v>19.1281</v>
      </c>
      <c r="T330" t="s">
        <v>168</v>
      </c>
      <c r="U330" t="s">
        <v>169</v>
      </c>
      <c r="V330" t="s">
        <v>196</v>
      </c>
      <c r="W330" t="s">
        <v>197</v>
      </c>
      <c r="Y330">
        <v>10</v>
      </c>
      <c r="Z330" t="s">
        <v>172</v>
      </c>
      <c r="AA330" t="s">
        <v>173</v>
      </c>
      <c r="AB330" t="s">
        <v>769</v>
      </c>
      <c r="AC330" t="s">
        <v>770</v>
      </c>
      <c r="AD330">
        <v>15</v>
      </c>
      <c r="AG330" t="s">
        <v>216</v>
      </c>
      <c r="AH330" t="s">
        <v>217</v>
      </c>
      <c r="AI330" t="s">
        <v>178</v>
      </c>
      <c r="AJ330" t="s">
        <v>179</v>
      </c>
      <c r="AK330" t="s">
        <v>664</v>
      </c>
      <c r="AL330" t="s">
        <v>665</v>
      </c>
      <c r="AS330">
        <v>3300</v>
      </c>
      <c r="AT330">
        <v>3300</v>
      </c>
      <c r="BN330" s="114" t="s">
        <v>505</v>
      </c>
      <c r="BO330">
        <v>2</v>
      </c>
      <c r="BP330">
        <v>2</v>
      </c>
      <c r="BQ330">
        <v>13</v>
      </c>
      <c r="BR330" t="s">
        <v>712</v>
      </c>
      <c r="BT330" t="s">
        <v>183</v>
      </c>
      <c r="BU330" s="115">
        <v>45875</v>
      </c>
      <c r="BV330">
        <v>37032</v>
      </c>
      <c r="BW330" s="116"/>
      <c r="BX330" t="s">
        <v>172</v>
      </c>
      <c r="BY330" t="s">
        <v>173</v>
      </c>
      <c r="CB330" t="s">
        <v>173</v>
      </c>
      <c r="CC330" t="s">
        <v>173</v>
      </c>
      <c r="CD330" t="s">
        <v>706</v>
      </c>
      <c r="CE330" t="s">
        <v>173</v>
      </c>
      <c r="CG330" t="s">
        <v>172</v>
      </c>
      <c r="CH330" t="s">
        <v>249</v>
      </c>
      <c r="CI330" t="s">
        <v>173</v>
      </c>
      <c r="CK330" t="s">
        <v>259</v>
      </c>
      <c r="CM330">
        <v>1</v>
      </c>
      <c r="CN330" t="s">
        <v>515</v>
      </c>
      <c r="CP330">
        <v>288</v>
      </c>
      <c r="CQ330">
        <v>6.5</v>
      </c>
      <c r="CR330">
        <v>33</v>
      </c>
      <c r="CS330" t="s">
        <v>261</v>
      </c>
      <c r="CV330" t="s">
        <v>262</v>
      </c>
      <c r="CX330" t="s">
        <v>702</v>
      </c>
      <c r="CY330" t="s">
        <v>173</v>
      </c>
      <c r="DC330" t="s">
        <v>703</v>
      </c>
      <c r="DD330">
        <v>1</v>
      </c>
      <c r="DE330" t="s">
        <v>307</v>
      </c>
      <c r="DF330" t="s">
        <v>507</v>
      </c>
      <c r="DG330">
        <v>36</v>
      </c>
      <c r="DJ330" t="s">
        <v>250</v>
      </c>
      <c r="DK330" t="s">
        <v>251</v>
      </c>
      <c r="DL330" t="s">
        <v>173</v>
      </c>
      <c r="DM330" t="s">
        <v>173</v>
      </c>
      <c r="DN330" t="s">
        <v>173</v>
      </c>
      <c r="DO330" t="s">
        <v>284</v>
      </c>
      <c r="DP330" t="s">
        <v>172</v>
      </c>
      <c r="DQ330" t="s">
        <v>204</v>
      </c>
      <c r="DR330" t="s">
        <v>707</v>
      </c>
      <c r="EA330" s="117"/>
      <c r="EB330">
        <v>4</v>
      </c>
      <c r="EC330">
        <v>4</v>
      </c>
      <c r="EE330" t="s">
        <v>704</v>
      </c>
      <c r="EF330">
        <v>4</v>
      </c>
      <c r="EV330">
        <v>8000</v>
      </c>
      <c r="EW330">
        <v>483</v>
      </c>
      <c r="EX330">
        <v>435</v>
      </c>
      <c r="EY330">
        <v>461</v>
      </c>
    </row>
    <row r="331" spans="1:155" x14ac:dyDescent="0.35">
      <c r="A331">
        <v>2026</v>
      </c>
      <c r="B331" t="s">
        <v>242</v>
      </c>
      <c r="C331" s="112" t="s">
        <v>239</v>
      </c>
      <c r="D331" t="s">
        <v>775</v>
      </c>
      <c r="E331" t="s">
        <v>245</v>
      </c>
      <c r="F331">
        <v>207</v>
      </c>
      <c r="G331" s="113">
        <v>3.4</v>
      </c>
      <c r="H331">
        <v>6</v>
      </c>
      <c r="I331" t="s">
        <v>246</v>
      </c>
      <c r="J331">
        <v>17</v>
      </c>
      <c r="K331">
        <v>22</v>
      </c>
      <c r="L331">
        <v>19</v>
      </c>
      <c r="M331">
        <v>21.7</v>
      </c>
      <c r="N331">
        <v>31</v>
      </c>
      <c r="O331">
        <v>25.0867</v>
      </c>
      <c r="P331">
        <v>17.375599999999999</v>
      </c>
      <c r="Q331">
        <v>22.247399999999999</v>
      </c>
      <c r="R331">
        <v>19.274999999999999</v>
      </c>
      <c r="T331" t="s">
        <v>168</v>
      </c>
      <c r="U331" t="s">
        <v>169</v>
      </c>
      <c r="V331" t="s">
        <v>196</v>
      </c>
      <c r="W331" t="s">
        <v>197</v>
      </c>
      <c r="Y331">
        <v>10</v>
      </c>
      <c r="Z331" t="s">
        <v>172</v>
      </c>
      <c r="AA331" t="s">
        <v>173</v>
      </c>
      <c r="AB331" t="s">
        <v>769</v>
      </c>
      <c r="AC331" t="s">
        <v>770</v>
      </c>
      <c r="AD331">
        <v>15</v>
      </c>
      <c r="AG331" t="s">
        <v>216</v>
      </c>
      <c r="AH331" t="s">
        <v>217</v>
      </c>
      <c r="AI331" t="s">
        <v>178</v>
      </c>
      <c r="AJ331" t="s">
        <v>179</v>
      </c>
      <c r="AK331" t="s">
        <v>664</v>
      </c>
      <c r="AL331" t="s">
        <v>665</v>
      </c>
      <c r="AS331">
        <v>3300</v>
      </c>
      <c r="AT331">
        <v>3300</v>
      </c>
      <c r="BN331" s="114" t="s">
        <v>247</v>
      </c>
      <c r="BO331">
        <v>2</v>
      </c>
      <c r="BP331">
        <v>2</v>
      </c>
      <c r="BQ331">
        <v>13</v>
      </c>
      <c r="BR331" t="s">
        <v>712</v>
      </c>
      <c r="BT331" t="s">
        <v>183</v>
      </c>
      <c r="BU331" s="115">
        <v>45875</v>
      </c>
      <c r="BV331">
        <v>37035</v>
      </c>
      <c r="BW331" s="116"/>
      <c r="BX331" t="s">
        <v>173</v>
      </c>
      <c r="BY331" t="s">
        <v>173</v>
      </c>
      <c r="CB331" t="s">
        <v>173</v>
      </c>
      <c r="CC331" t="s">
        <v>173</v>
      </c>
      <c r="CD331" t="s">
        <v>709</v>
      </c>
      <c r="CE331" t="s">
        <v>173</v>
      </c>
      <c r="CG331" t="s">
        <v>172</v>
      </c>
      <c r="CH331" t="s">
        <v>249</v>
      </c>
      <c r="CI331" t="s">
        <v>173</v>
      </c>
      <c r="DJ331" t="s">
        <v>250</v>
      </c>
      <c r="DK331" t="s">
        <v>251</v>
      </c>
      <c r="DN331" t="s">
        <v>173</v>
      </c>
      <c r="DO331" t="s">
        <v>284</v>
      </c>
      <c r="DP331" t="s">
        <v>172</v>
      </c>
      <c r="DQ331" t="s">
        <v>204</v>
      </c>
      <c r="DR331" t="s">
        <v>710</v>
      </c>
      <c r="EA331" s="117"/>
      <c r="EB331">
        <v>4</v>
      </c>
      <c r="EC331">
        <v>4</v>
      </c>
      <c r="EE331" t="s">
        <v>698</v>
      </c>
      <c r="EF331">
        <v>4</v>
      </c>
      <c r="EV331">
        <v>8000</v>
      </c>
      <c r="EW331">
        <v>512</v>
      </c>
      <c r="EX331">
        <v>400</v>
      </c>
      <c r="EY331">
        <v>462</v>
      </c>
    </row>
    <row r="332" spans="1:155" x14ac:dyDescent="0.35">
      <c r="A332">
        <v>2026</v>
      </c>
      <c r="B332" t="s">
        <v>228</v>
      </c>
      <c r="C332" s="112" t="s">
        <v>228</v>
      </c>
      <c r="D332" t="s">
        <v>776</v>
      </c>
      <c r="E332" t="s">
        <v>230</v>
      </c>
      <c r="F332">
        <v>506</v>
      </c>
      <c r="G332" s="113">
        <v>2</v>
      </c>
      <c r="H332">
        <v>4</v>
      </c>
      <c r="I332" t="s">
        <v>428</v>
      </c>
      <c r="J332">
        <v>26</v>
      </c>
      <c r="K332">
        <v>34</v>
      </c>
      <c r="L332">
        <v>29</v>
      </c>
      <c r="M332">
        <v>33.299999999999997</v>
      </c>
      <c r="N332">
        <v>49.3</v>
      </c>
      <c r="O332">
        <v>38.994999999999997</v>
      </c>
      <c r="P332">
        <v>25.687899999999999</v>
      </c>
      <c r="Q332">
        <v>33.957500000000003</v>
      </c>
      <c r="R332">
        <v>28.849399999999999</v>
      </c>
      <c r="T332" t="s">
        <v>168</v>
      </c>
      <c r="U332" t="s">
        <v>169</v>
      </c>
      <c r="V332" t="s">
        <v>429</v>
      </c>
      <c r="W332" t="s">
        <v>430</v>
      </c>
      <c r="Y332">
        <v>8</v>
      </c>
      <c r="Z332" t="s">
        <v>172</v>
      </c>
      <c r="AA332" t="s">
        <v>173</v>
      </c>
      <c r="AB332" t="s">
        <v>277</v>
      </c>
      <c r="AC332" t="s">
        <v>278</v>
      </c>
      <c r="AD332">
        <v>10</v>
      </c>
      <c r="AG332" t="s">
        <v>216</v>
      </c>
      <c r="AH332" t="s">
        <v>217</v>
      </c>
      <c r="AI332" t="s">
        <v>178</v>
      </c>
      <c r="AJ332" t="s">
        <v>179</v>
      </c>
      <c r="AK332" t="s">
        <v>173</v>
      </c>
      <c r="AL332" t="s">
        <v>180</v>
      </c>
      <c r="AS332">
        <v>2150</v>
      </c>
      <c r="AT332">
        <v>2150</v>
      </c>
      <c r="BN332" s="114" t="s">
        <v>256</v>
      </c>
      <c r="BO332">
        <v>2</v>
      </c>
      <c r="BP332">
        <v>2</v>
      </c>
      <c r="BQ332">
        <v>17</v>
      </c>
      <c r="BR332" t="s">
        <v>777</v>
      </c>
      <c r="BS332" t="s">
        <v>778</v>
      </c>
      <c r="BT332" t="s">
        <v>183</v>
      </c>
      <c r="BU332" s="115">
        <v>45765</v>
      </c>
      <c r="BV332">
        <v>36442</v>
      </c>
      <c r="BW332" s="116"/>
      <c r="BX332" t="s">
        <v>173</v>
      </c>
      <c r="BY332" t="s">
        <v>173</v>
      </c>
      <c r="CB332" t="s">
        <v>173</v>
      </c>
      <c r="CC332" t="s">
        <v>173</v>
      </c>
      <c r="CE332" t="s">
        <v>173</v>
      </c>
      <c r="CG332" t="s">
        <v>172</v>
      </c>
      <c r="CH332" t="s">
        <v>362</v>
      </c>
      <c r="CI332" t="s">
        <v>172</v>
      </c>
      <c r="CJ332" t="s">
        <v>438</v>
      </c>
      <c r="CK332" t="s">
        <v>259</v>
      </c>
      <c r="CM332">
        <v>1</v>
      </c>
      <c r="CN332" t="s">
        <v>260</v>
      </c>
      <c r="CP332">
        <v>48</v>
      </c>
      <c r="CQ332">
        <v>7.7</v>
      </c>
      <c r="CR332">
        <v>52.9</v>
      </c>
      <c r="CS332" t="s">
        <v>261</v>
      </c>
      <c r="CV332" t="s">
        <v>262</v>
      </c>
      <c r="CX332" t="s">
        <v>263</v>
      </c>
      <c r="CY332" t="s">
        <v>173</v>
      </c>
      <c r="DC332" t="s">
        <v>439</v>
      </c>
      <c r="DD332">
        <v>1</v>
      </c>
      <c r="DE332" t="s">
        <v>307</v>
      </c>
      <c r="DF332" t="s">
        <v>356</v>
      </c>
      <c r="DG332">
        <v>10</v>
      </c>
      <c r="DJ332" t="s">
        <v>201</v>
      </c>
      <c r="DK332" t="s">
        <v>202</v>
      </c>
      <c r="DL332" t="s">
        <v>173</v>
      </c>
      <c r="DM332" t="s">
        <v>173</v>
      </c>
      <c r="DN332" t="s">
        <v>173</v>
      </c>
      <c r="DO332" t="s">
        <v>235</v>
      </c>
      <c r="DP332" t="s">
        <v>172</v>
      </c>
      <c r="DQ332" t="s">
        <v>204</v>
      </c>
      <c r="DR332" t="s">
        <v>776</v>
      </c>
      <c r="DY332">
        <v>39.299999999999997</v>
      </c>
      <c r="EA332" s="117"/>
      <c r="EB332">
        <v>6</v>
      </c>
      <c r="EC332">
        <v>6</v>
      </c>
      <c r="EE332" t="s">
        <v>440</v>
      </c>
      <c r="EF332">
        <v>6</v>
      </c>
      <c r="EV332">
        <v>2250</v>
      </c>
      <c r="EW332">
        <v>344</v>
      </c>
      <c r="EX332">
        <v>260</v>
      </c>
      <c r="EY332">
        <v>306</v>
      </c>
    </row>
    <row r="333" spans="1:155" x14ac:dyDescent="0.35">
      <c r="A333">
        <v>2026</v>
      </c>
      <c r="B333" t="s">
        <v>228</v>
      </c>
      <c r="C333" s="112" t="s">
        <v>228</v>
      </c>
      <c r="D333" t="s">
        <v>1254</v>
      </c>
      <c r="E333" t="s">
        <v>230</v>
      </c>
      <c r="F333">
        <v>750</v>
      </c>
      <c r="G333" s="113">
        <v>2</v>
      </c>
      <c r="H333">
        <v>4</v>
      </c>
      <c r="I333" t="s">
        <v>428</v>
      </c>
      <c r="J333">
        <v>25</v>
      </c>
      <c r="K333">
        <v>33</v>
      </c>
      <c r="L333">
        <v>28</v>
      </c>
      <c r="M333">
        <v>32.9</v>
      </c>
      <c r="N333">
        <v>48.4</v>
      </c>
      <c r="O333">
        <v>38.439599999999999</v>
      </c>
      <c r="P333">
        <v>25.4114</v>
      </c>
      <c r="Q333">
        <v>33.403599999999997</v>
      </c>
      <c r="R333">
        <v>28.477499999999999</v>
      </c>
      <c r="T333" t="s">
        <v>168</v>
      </c>
      <c r="U333" t="s">
        <v>169</v>
      </c>
      <c r="V333" t="s">
        <v>429</v>
      </c>
      <c r="W333" t="s">
        <v>430</v>
      </c>
      <c r="Y333">
        <v>8</v>
      </c>
      <c r="Z333" t="s">
        <v>172</v>
      </c>
      <c r="AA333" t="s">
        <v>173</v>
      </c>
      <c r="AB333" t="s">
        <v>277</v>
      </c>
      <c r="AC333" t="s">
        <v>278</v>
      </c>
      <c r="AD333">
        <v>10</v>
      </c>
      <c r="AG333" t="s">
        <v>216</v>
      </c>
      <c r="AH333" t="s">
        <v>217</v>
      </c>
      <c r="AI333" t="s">
        <v>178</v>
      </c>
      <c r="AJ333" t="s">
        <v>179</v>
      </c>
      <c r="AK333" t="s">
        <v>173</v>
      </c>
      <c r="AL333" t="s">
        <v>180</v>
      </c>
      <c r="AS333">
        <v>2200</v>
      </c>
      <c r="AT333">
        <v>2200</v>
      </c>
      <c r="BN333" s="114" t="s">
        <v>1255</v>
      </c>
      <c r="BO333">
        <v>2</v>
      </c>
      <c r="BP333">
        <v>2</v>
      </c>
      <c r="BQ333">
        <v>17</v>
      </c>
      <c r="BR333" t="s">
        <v>777</v>
      </c>
      <c r="BS333" t="s">
        <v>778</v>
      </c>
      <c r="BT333" t="s">
        <v>183</v>
      </c>
      <c r="BU333" s="115">
        <v>45765</v>
      </c>
      <c r="BV333">
        <v>37405</v>
      </c>
      <c r="BW333" s="116"/>
      <c r="BX333" t="s">
        <v>173</v>
      </c>
      <c r="BY333" t="s">
        <v>172</v>
      </c>
      <c r="BZ333" t="s">
        <v>1256</v>
      </c>
      <c r="CA333" t="s">
        <v>1257</v>
      </c>
      <c r="CB333" t="s">
        <v>173</v>
      </c>
      <c r="CC333" t="s">
        <v>173</v>
      </c>
      <c r="CE333" t="s">
        <v>173</v>
      </c>
      <c r="CG333" t="s">
        <v>172</v>
      </c>
      <c r="CH333" t="s">
        <v>362</v>
      </c>
      <c r="CI333" t="s">
        <v>172</v>
      </c>
      <c r="CJ333" t="s">
        <v>438</v>
      </c>
      <c r="CK333" t="s">
        <v>259</v>
      </c>
      <c r="CM333">
        <v>1</v>
      </c>
      <c r="CN333" t="s">
        <v>260</v>
      </c>
      <c r="CP333">
        <v>48</v>
      </c>
      <c r="CQ333">
        <v>7.7</v>
      </c>
      <c r="CR333">
        <v>52.9</v>
      </c>
      <c r="CS333" t="s">
        <v>261</v>
      </c>
      <c r="CV333" t="s">
        <v>262</v>
      </c>
      <c r="CX333" t="s">
        <v>263</v>
      </c>
      <c r="CY333" t="s">
        <v>173</v>
      </c>
      <c r="DC333" t="s">
        <v>439</v>
      </c>
      <c r="DD333">
        <v>1</v>
      </c>
      <c r="DE333" t="s">
        <v>307</v>
      </c>
      <c r="DF333" t="s">
        <v>356</v>
      </c>
      <c r="DG333">
        <v>10</v>
      </c>
      <c r="DJ333" t="s">
        <v>201</v>
      </c>
      <c r="DK333" t="s">
        <v>202</v>
      </c>
      <c r="DL333" t="s">
        <v>173</v>
      </c>
      <c r="DM333" t="s">
        <v>173</v>
      </c>
      <c r="DN333" t="s">
        <v>173</v>
      </c>
      <c r="DO333" t="s">
        <v>235</v>
      </c>
      <c r="DP333" t="s">
        <v>172</v>
      </c>
      <c r="DQ333" t="s">
        <v>204</v>
      </c>
      <c r="DR333" t="s">
        <v>1254</v>
      </c>
      <c r="DY333">
        <v>38.700000000000003</v>
      </c>
      <c r="EA333" s="117"/>
      <c r="EB333">
        <v>5</v>
      </c>
      <c r="EC333">
        <v>5</v>
      </c>
      <c r="EE333" t="s">
        <v>440</v>
      </c>
      <c r="EF333">
        <v>6</v>
      </c>
      <c r="EV333">
        <v>2500</v>
      </c>
      <c r="EW333">
        <v>348</v>
      </c>
      <c r="EX333">
        <v>265</v>
      </c>
      <c r="EY333">
        <v>311</v>
      </c>
    </row>
    <row r="334" spans="1:155" x14ac:dyDescent="0.35">
      <c r="A334">
        <v>2026</v>
      </c>
      <c r="B334" t="s">
        <v>211</v>
      </c>
      <c r="C334" s="112" t="s">
        <v>212</v>
      </c>
      <c r="D334" t="s">
        <v>779</v>
      </c>
      <c r="E334" t="s">
        <v>214</v>
      </c>
      <c r="F334">
        <v>573</v>
      </c>
      <c r="G334" s="113">
        <v>5.3</v>
      </c>
      <c r="H334">
        <v>8</v>
      </c>
      <c r="I334" t="s">
        <v>669</v>
      </c>
      <c r="J334">
        <v>15</v>
      </c>
      <c r="K334">
        <v>18</v>
      </c>
      <c r="L334">
        <v>16</v>
      </c>
      <c r="M334">
        <v>18.536799999999999</v>
      </c>
      <c r="N334">
        <v>26.0687</v>
      </c>
      <c r="O334">
        <v>21.307099999999998</v>
      </c>
      <c r="P334">
        <v>14.9945</v>
      </c>
      <c r="Q334">
        <v>17.606999999999999</v>
      </c>
      <c r="R334">
        <v>16.067299999999999</v>
      </c>
      <c r="U334" t="s">
        <v>215</v>
      </c>
      <c r="V334" t="s">
        <v>170</v>
      </c>
      <c r="W334" t="s">
        <v>171</v>
      </c>
      <c r="Y334">
        <v>10</v>
      </c>
      <c r="Z334" t="s">
        <v>172</v>
      </c>
      <c r="AA334" t="s">
        <v>173</v>
      </c>
      <c r="AB334" t="s">
        <v>174</v>
      </c>
      <c r="AC334" t="s">
        <v>175</v>
      </c>
      <c r="AD334">
        <v>10</v>
      </c>
      <c r="AG334" t="s">
        <v>167</v>
      </c>
      <c r="AH334" t="s">
        <v>416</v>
      </c>
      <c r="AI334" t="s">
        <v>178</v>
      </c>
      <c r="AJ334" t="s">
        <v>179</v>
      </c>
      <c r="AK334" t="s">
        <v>664</v>
      </c>
      <c r="AL334" t="s">
        <v>665</v>
      </c>
      <c r="AS334">
        <v>3100</v>
      </c>
      <c r="AT334">
        <v>3100</v>
      </c>
      <c r="BN334" s="114" t="s">
        <v>198</v>
      </c>
      <c r="BO334">
        <v>1</v>
      </c>
      <c r="BP334">
        <v>1</v>
      </c>
      <c r="BQ334">
        <v>19</v>
      </c>
      <c r="BR334" t="s">
        <v>780</v>
      </c>
      <c r="BS334" t="s">
        <v>778</v>
      </c>
      <c r="BT334" t="s">
        <v>218</v>
      </c>
      <c r="BU334" s="115">
        <v>45838</v>
      </c>
      <c r="BV334">
        <v>36866</v>
      </c>
      <c r="BW334" s="116"/>
      <c r="BX334" t="s">
        <v>172</v>
      </c>
      <c r="BY334" t="s">
        <v>173</v>
      </c>
      <c r="CB334" t="s">
        <v>173</v>
      </c>
      <c r="CC334" t="s">
        <v>173</v>
      </c>
      <c r="CE334" t="s">
        <v>172</v>
      </c>
      <c r="CF334" t="s">
        <v>676</v>
      </c>
      <c r="CG334" t="s">
        <v>172</v>
      </c>
      <c r="CH334" t="s">
        <v>677</v>
      </c>
      <c r="CI334" t="s">
        <v>173</v>
      </c>
      <c r="DJ334" t="s">
        <v>201</v>
      </c>
      <c r="DK334" t="s">
        <v>202</v>
      </c>
      <c r="DN334" t="s">
        <v>173</v>
      </c>
      <c r="DO334" t="s">
        <v>203</v>
      </c>
      <c r="DP334" t="s">
        <v>172</v>
      </c>
      <c r="DQ334" t="s">
        <v>204</v>
      </c>
      <c r="EA334" s="117"/>
      <c r="EB334">
        <v>3</v>
      </c>
      <c r="EC334">
        <v>3</v>
      </c>
      <c r="EE334" t="s">
        <v>679</v>
      </c>
      <c r="EF334">
        <v>6</v>
      </c>
      <c r="EV334">
        <v>7000</v>
      </c>
      <c r="EW334">
        <v>590</v>
      </c>
      <c r="EX334">
        <v>504</v>
      </c>
      <c r="EY334">
        <v>551</v>
      </c>
    </row>
    <row r="335" spans="1:155" x14ac:dyDescent="0.35">
      <c r="A335">
        <v>2026</v>
      </c>
      <c r="B335" t="s">
        <v>211</v>
      </c>
      <c r="C335" s="112" t="s">
        <v>212</v>
      </c>
      <c r="D335" t="s">
        <v>781</v>
      </c>
      <c r="E335" t="s">
        <v>214</v>
      </c>
      <c r="F335">
        <v>577</v>
      </c>
      <c r="G335" s="113">
        <v>5.3</v>
      </c>
      <c r="H335">
        <v>8</v>
      </c>
      <c r="I335" t="s">
        <v>669</v>
      </c>
      <c r="J335">
        <v>14</v>
      </c>
      <c r="K335">
        <v>16</v>
      </c>
      <c r="L335">
        <v>15</v>
      </c>
      <c r="M335">
        <v>18.7</v>
      </c>
      <c r="N335">
        <v>25.1</v>
      </c>
      <c r="O335">
        <v>21.123799999999999</v>
      </c>
      <c r="P335">
        <v>14</v>
      </c>
      <c r="Q335">
        <v>16.3674</v>
      </c>
      <c r="R335">
        <v>15.2933</v>
      </c>
      <c r="U335" t="s">
        <v>215</v>
      </c>
      <c r="V335" t="s">
        <v>170</v>
      </c>
      <c r="W335" t="s">
        <v>171</v>
      </c>
      <c r="Y335">
        <v>10</v>
      </c>
      <c r="Z335" t="s">
        <v>172</v>
      </c>
      <c r="AA335" t="s">
        <v>173</v>
      </c>
      <c r="AB335">
        <v>4</v>
      </c>
      <c r="AC335" t="s">
        <v>423</v>
      </c>
      <c r="AD335">
        <v>10</v>
      </c>
      <c r="AG335" t="s">
        <v>167</v>
      </c>
      <c r="AH335" t="s">
        <v>416</v>
      </c>
      <c r="AI335" t="s">
        <v>178</v>
      </c>
      <c r="AJ335" t="s">
        <v>179</v>
      </c>
      <c r="AK335" t="s">
        <v>664</v>
      </c>
      <c r="AL335" t="s">
        <v>665</v>
      </c>
      <c r="AS335">
        <v>3300</v>
      </c>
      <c r="AT335">
        <v>3300</v>
      </c>
      <c r="BN335" s="114" t="s">
        <v>198</v>
      </c>
      <c r="BO335">
        <v>1</v>
      </c>
      <c r="BP335">
        <v>1</v>
      </c>
      <c r="BQ335">
        <v>19</v>
      </c>
      <c r="BR335" t="s">
        <v>780</v>
      </c>
      <c r="BS335" t="s">
        <v>778</v>
      </c>
      <c r="BT335" t="s">
        <v>218</v>
      </c>
      <c r="BU335" s="115">
        <v>45838</v>
      </c>
      <c r="BV335">
        <v>36869</v>
      </c>
      <c r="BW335" s="116"/>
      <c r="BX335" t="s">
        <v>172</v>
      </c>
      <c r="BY335" t="s">
        <v>173</v>
      </c>
      <c r="CB335" t="s">
        <v>173</v>
      </c>
      <c r="CC335" t="s">
        <v>173</v>
      </c>
      <c r="CE335" t="s">
        <v>172</v>
      </c>
      <c r="CF335" t="s">
        <v>676</v>
      </c>
      <c r="CG335" t="s">
        <v>172</v>
      </c>
      <c r="CH335" t="s">
        <v>677</v>
      </c>
      <c r="CI335" t="s">
        <v>173</v>
      </c>
      <c r="DJ335" t="s">
        <v>201</v>
      </c>
      <c r="DK335" t="s">
        <v>202</v>
      </c>
      <c r="DN335" t="s">
        <v>173</v>
      </c>
      <c r="DO335" t="s">
        <v>203</v>
      </c>
      <c r="DP335" t="s">
        <v>172</v>
      </c>
      <c r="DQ335" t="s">
        <v>204</v>
      </c>
      <c r="EA335" s="117"/>
      <c r="EB335">
        <v>2</v>
      </c>
      <c r="EC335">
        <v>2</v>
      </c>
      <c r="EE335" t="s">
        <v>679</v>
      </c>
      <c r="EF335">
        <v>6</v>
      </c>
      <c r="EV335">
        <v>8000</v>
      </c>
      <c r="EW335">
        <v>633</v>
      </c>
      <c r="EX335">
        <v>542</v>
      </c>
      <c r="EY335">
        <v>592</v>
      </c>
    </row>
    <row r="336" spans="1:155" x14ac:dyDescent="0.35">
      <c r="A336">
        <v>2026</v>
      </c>
      <c r="B336" t="s">
        <v>211</v>
      </c>
      <c r="C336" s="112" t="s">
        <v>683</v>
      </c>
      <c r="D336" t="s">
        <v>782</v>
      </c>
      <c r="E336" t="s">
        <v>214</v>
      </c>
      <c r="F336">
        <v>574</v>
      </c>
      <c r="G336" s="113">
        <v>5.3</v>
      </c>
      <c r="H336">
        <v>8</v>
      </c>
      <c r="I336" t="s">
        <v>669</v>
      </c>
      <c r="J336">
        <v>15</v>
      </c>
      <c r="K336">
        <v>18</v>
      </c>
      <c r="L336">
        <v>16</v>
      </c>
      <c r="M336">
        <v>18.536799999999999</v>
      </c>
      <c r="N336">
        <v>26.0687</v>
      </c>
      <c r="O336">
        <v>21.307099999999998</v>
      </c>
      <c r="P336">
        <v>14.9945</v>
      </c>
      <c r="Q336">
        <v>17.606999999999999</v>
      </c>
      <c r="R336">
        <v>16.067299999999999</v>
      </c>
      <c r="U336" t="s">
        <v>215</v>
      </c>
      <c r="V336" t="s">
        <v>170</v>
      </c>
      <c r="W336" t="s">
        <v>171</v>
      </c>
      <c r="Y336">
        <v>10</v>
      </c>
      <c r="Z336" t="s">
        <v>172</v>
      </c>
      <c r="AA336" t="s">
        <v>173</v>
      </c>
      <c r="AB336" t="s">
        <v>174</v>
      </c>
      <c r="AC336" t="s">
        <v>175</v>
      </c>
      <c r="AD336">
        <v>10</v>
      </c>
      <c r="AG336" t="s">
        <v>167</v>
      </c>
      <c r="AH336" t="s">
        <v>416</v>
      </c>
      <c r="AI336" t="s">
        <v>178</v>
      </c>
      <c r="AJ336" t="s">
        <v>179</v>
      </c>
      <c r="AK336" t="s">
        <v>664</v>
      </c>
      <c r="AL336" t="s">
        <v>665</v>
      </c>
      <c r="AS336">
        <v>3100</v>
      </c>
      <c r="AT336">
        <v>3100</v>
      </c>
      <c r="BN336" s="114" t="s">
        <v>198</v>
      </c>
      <c r="BO336">
        <v>1</v>
      </c>
      <c r="BP336">
        <v>1</v>
      </c>
      <c r="BQ336">
        <v>19</v>
      </c>
      <c r="BR336" t="s">
        <v>780</v>
      </c>
      <c r="BS336" t="s">
        <v>778</v>
      </c>
      <c r="BT336" t="s">
        <v>218</v>
      </c>
      <c r="BU336" s="115">
        <v>45838</v>
      </c>
      <c r="BV336">
        <v>36868</v>
      </c>
      <c r="BW336" s="116"/>
      <c r="BX336" t="s">
        <v>172</v>
      </c>
      <c r="BY336" t="s">
        <v>173</v>
      </c>
      <c r="CB336" t="s">
        <v>173</v>
      </c>
      <c r="CC336" t="s">
        <v>173</v>
      </c>
      <c r="CE336" t="s">
        <v>172</v>
      </c>
      <c r="CF336" t="s">
        <v>676</v>
      </c>
      <c r="CG336" t="s">
        <v>172</v>
      </c>
      <c r="CH336" t="s">
        <v>677</v>
      </c>
      <c r="CI336" t="s">
        <v>173</v>
      </c>
      <c r="DJ336" t="s">
        <v>201</v>
      </c>
      <c r="DK336" t="s">
        <v>202</v>
      </c>
      <c r="DN336" t="s">
        <v>173</v>
      </c>
      <c r="DO336" t="s">
        <v>203</v>
      </c>
      <c r="DP336" t="s">
        <v>172</v>
      </c>
      <c r="DQ336" t="s">
        <v>204</v>
      </c>
      <c r="EA336" s="117"/>
      <c r="EB336">
        <v>3</v>
      </c>
      <c r="EC336">
        <v>3</v>
      </c>
      <c r="EE336" t="s">
        <v>679</v>
      </c>
      <c r="EF336">
        <v>6</v>
      </c>
      <c r="EV336">
        <v>7000</v>
      </c>
      <c r="EW336">
        <v>590</v>
      </c>
      <c r="EX336">
        <v>504</v>
      </c>
      <c r="EY336">
        <v>551</v>
      </c>
    </row>
    <row r="337" spans="1:155" x14ac:dyDescent="0.35">
      <c r="A337">
        <v>2026</v>
      </c>
      <c r="B337" t="s">
        <v>211</v>
      </c>
      <c r="C337" s="112" t="s">
        <v>683</v>
      </c>
      <c r="D337" t="s">
        <v>783</v>
      </c>
      <c r="E337" t="s">
        <v>214</v>
      </c>
      <c r="F337">
        <v>578</v>
      </c>
      <c r="G337" s="113">
        <v>5.3</v>
      </c>
      <c r="H337">
        <v>8</v>
      </c>
      <c r="I337" t="s">
        <v>669</v>
      </c>
      <c r="J337">
        <v>14</v>
      </c>
      <c r="K337">
        <v>16</v>
      </c>
      <c r="L337">
        <v>15</v>
      </c>
      <c r="M337">
        <v>18.7</v>
      </c>
      <c r="N337">
        <v>25.1</v>
      </c>
      <c r="O337">
        <v>21.123799999999999</v>
      </c>
      <c r="P337">
        <v>14</v>
      </c>
      <c r="Q337">
        <v>16.3674</v>
      </c>
      <c r="R337">
        <v>15.2933</v>
      </c>
      <c r="U337" t="s">
        <v>215</v>
      </c>
      <c r="V337" t="s">
        <v>170</v>
      </c>
      <c r="W337" t="s">
        <v>171</v>
      </c>
      <c r="Y337">
        <v>10</v>
      </c>
      <c r="Z337" t="s">
        <v>172</v>
      </c>
      <c r="AA337" t="s">
        <v>173</v>
      </c>
      <c r="AB337">
        <v>4</v>
      </c>
      <c r="AC337" t="s">
        <v>423</v>
      </c>
      <c r="AD337">
        <v>10</v>
      </c>
      <c r="AG337" t="s">
        <v>167</v>
      </c>
      <c r="AH337" t="s">
        <v>416</v>
      </c>
      <c r="AI337" t="s">
        <v>178</v>
      </c>
      <c r="AJ337" t="s">
        <v>179</v>
      </c>
      <c r="AK337" t="s">
        <v>664</v>
      </c>
      <c r="AL337" t="s">
        <v>665</v>
      </c>
      <c r="AS337">
        <v>3300</v>
      </c>
      <c r="AT337">
        <v>3300</v>
      </c>
      <c r="BN337" s="114" t="s">
        <v>198</v>
      </c>
      <c r="BO337">
        <v>1</v>
      </c>
      <c r="BP337">
        <v>1</v>
      </c>
      <c r="BQ337">
        <v>19</v>
      </c>
      <c r="BR337" t="s">
        <v>780</v>
      </c>
      <c r="BS337" t="s">
        <v>778</v>
      </c>
      <c r="BT337" t="s">
        <v>218</v>
      </c>
      <c r="BU337" s="115">
        <v>45838</v>
      </c>
      <c r="BV337">
        <v>36870</v>
      </c>
      <c r="BW337" s="116"/>
      <c r="BX337" t="s">
        <v>172</v>
      </c>
      <c r="BY337" t="s">
        <v>173</v>
      </c>
      <c r="CB337" t="s">
        <v>173</v>
      </c>
      <c r="CC337" t="s">
        <v>173</v>
      </c>
      <c r="CE337" t="s">
        <v>172</v>
      </c>
      <c r="CF337" t="s">
        <v>676</v>
      </c>
      <c r="CG337" t="s">
        <v>172</v>
      </c>
      <c r="CH337" t="s">
        <v>677</v>
      </c>
      <c r="CI337" t="s">
        <v>173</v>
      </c>
      <c r="DJ337" t="s">
        <v>201</v>
      </c>
      <c r="DK337" t="s">
        <v>202</v>
      </c>
      <c r="DN337" t="s">
        <v>173</v>
      </c>
      <c r="DO337" t="s">
        <v>203</v>
      </c>
      <c r="DP337" t="s">
        <v>172</v>
      </c>
      <c r="DQ337" t="s">
        <v>204</v>
      </c>
      <c r="EA337" s="117"/>
      <c r="EB337">
        <v>2</v>
      </c>
      <c r="EC337">
        <v>2</v>
      </c>
      <c r="EE337" t="s">
        <v>679</v>
      </c>
      <c r="EF337">
        <v>6</v>
      </c>
      <c r="EV337">
        <v>8000</v>
      </c>
      <c r="EW337">
        <v>633</v>
      </c>
      <c r="EX337">
        <v>542</v>
      </c>
      <c r="EY337">
        <v>592</v>
      </c>
    </row>
    <row r="338" spans="1:155" x14ac:dyDescent="0.35">
      <c r="A338">
        <v>2026</v>
      </c>
      <c r="B338" t="s">
        <v>688</v>
      </c>
      <c r="C338" s="112" t="s">
        <v>784</v>
      </c>
      <c r="D338" t="s">
        <v>785</v>
      </c>
      <c r="E338" t="s">
        <v>691</v>
      </c>
      <c r="F338">
        <v>531</v>
      </c>
      <c r="G338" s="113">
        <v>3.6</v>
      </c>
      <c r="H338">
        <v>6</v>
      </c>
      <c r="I338" t="s">
        <v>231</v>
      </c>
      <c r="J338">
        <v>19</v>
      </c>
      <c r="K338">
        <v>28</v>
      </c>
      <c r="L338">
        <v>22</v>
      </c>
      <c r="M338">
        <v>23.8933</v>
      </c>
      <c r="N338">
        <v>40</v>
      </c>
      <c r="O338">
        <v>29.180900000000001</v>
      </c>
      <c r="P338">
        <v>18.9954</v>
      </c>
      <c r="Q338">
        <v>28.1266</v>
      </c>
      <c r="R338">
        <v>22.245200000000001</v>
      </c>
      <c r="U338" t="s">
        <v>215</v>
      </c>
      <c r="V338" t="s">
        <v>170</v>
      </c>
      <c r="W338" t="s">
        <v>171</v>
      </c>
      <c r="Y338">
        <v>9</v>
      </c>
      <c r="Z338" t="s">
        <v>172</v>
      </c>
      <c r="AA338" t="s">
        <v>173</v>
      </c>
      <c r="AB338" t="s">
        <v>277</v>
      </c>
      <c r="AC338" t="s">
        <v>278</v>
      </c>
      <c r="AD338">
        <v>10</v>
      </c>
      <c r="AG338" t="s">
        <v>167</v>
      </c>
      <c r="AH338" t="s">
        <v>416</v>
      </c>
      <c r="AI338" t="s">
        <v>178</v>
      </c>
      <c r="AJ338" t="s">
        <v>179</v>
      </c>
      <c r="AK338" t="s">
        <v>664</v>
      </c>
      <c r="AL338" t="s">
        <v>665</v>
      </c>
      <c r="AS338">
        <v>2250</v>
      </c>
      <c r="AT338">
        <v>2250</v>
      </c>
      <c r="BN338" s="114"/>
      <c r="BO338">
        <v>2</v>
      </c>
      <c r="BP338">
        <v>2</v>
      </c>
      <c r="BQ338">
        <v>20</v>
      </c>
      <c r="BR338" t="s">
        <v>786</v>
      </c>
      <c r="BS338">
        <v>1</v>
      </c>
      <c r="BT338" t="s">
        <v>183</v>
      </c>
      <c r="BU338" s="115">
        <v>45859</v>
      </c>
      <c r="BV338">
        <v>36989</v>
      </c>
      <c r="BW338" s="116"/>
      <c r="BX338" t="s">
        <v>173</v>
      </c>
      <c r="BY338" t="s">
        <v>173</v>
      </c>
      <c r="CB338" t="s">
        <v>173</v>
      </c>
      <c r="CC338" t="s">
        <v>173</v>
      </c>
      <c r="CE338" t="s">
        <v>173</v>
      </c>
      <c r="CG338" t="s">
        <v>172</v>
      </c>
      <c r="CH338" t="s">
        <v>224</v>
      </c>
      <c r="CI338" t="s">
        <v>173</v>
      </c>
      <c r="DJ338" t="s">
        <v>186</v>
      </c>
      <c r="DK338" t="s">
        <v>187</v>
      </c>
      <c r="DN338" t="s">
        <v>173</v>
      </c>
      <c r="DO338" t="s">
        <v>284</v>
      </c>
      <c r="DP338" t="s">
        <v>172</v>
      </c>
      <c r="DQ338" t="s">
        <v>204</v>
      </c>
      <c r="EA338" s="117"/>
      <c r="EB338">
        <v>4</v>
      </c>
      <c r="EC338">
        <v>4</v>
      </c>
      <c r="EE338" t="s">
        <v>787</v>
      </c>
      <c r="EF338">
        <v>5</v>
      </c>
      <c r="EV338">
        <v>2750</v>
      </c>
      <c r="EW338">
        <v>469</v>
      </c>
      <c r="EX338">
        <v>317</v>
      </c>
      <c r="EY338">
        <v>401</v>
      </c>
    </row>
    <row r="339" spans="1:155" x14ac:dyDescent="0.35">
      <c r="A339">
        <v>2026</v>
      </c>
      <c r="B339" t="s">
        <v>688</v>
      </c>
      <c r="C339" s="112" t="s">
        <v>784</v>
      </c>
      <c r="D339" t="s">
        <v>788</v>
      </c>
      <c r="E339" t="s">
        <v>691</v>
      </c>
      <c r="F339">
        <v>533</v>
      </c>
      <c r="G339" s="113">
        <v>3.6</v>
      </c>
      <c r="H339">
        <v>6</v>
      </c>
      <c r="I339" t="s">
        <v>231</v>
      </c>
      <c r="J339">
        <v>19</v>
      </c>
      <c r="K339">
        <v>28</v>
      </c>
      <c r="L339">
        <v>22</v>
      </c>
      <c r="M339">
        <v>23.8933</v>
      </c>
      <c r="N339">
        <v>40</v>
      </c>
      <c r="O339">
        <v>29.180900000000001</v>
      </c>
      <c r="P339">
        <v>18.9954</v>
      </c>
      <c r="Q339">
        <v>28.1266</v>
      </c>
      <c r="R339">
        <v>22.245200000000001</v>
      </c>
      <c r="U339" t="s">
        <v>215</v>
      </c>
      <c r="V339" t="s">
        <v>170</v>
      </c>
      <c r="W339" t="s">
        <v>171</v>
      </c>
      <c r="Y339">
        <v>9</v>
      </c>
      <c r="Z339" t="s">
        <v>172</v>
      </c>
      <c r="AA339" t="s">
        <v>173</v>
      </c>
      <c r="AB339" t="s">
        <v>277</v>
      </c>
      <c r="AC339" t="s">
        <v>278</v>
      </c>
      <c r="AD339">
        <v>10</v>
      </c>
      <c r="AG339" t="s">
        <v>167</v>
      </c>
      <c r="AH339" t="s">
        <v>416</v>
      </c>
      <c r="AI339" t="s">
        <v>178</v>
      </c>
      <c r="AJ339" t="s">
        <v>179</v>
      </c>
      <c r="AK339" t="s">
        <v>664</v>
      </c>
      <c r="AL339" t="s">
        <v>665</v>
      </c>
      <c r="AS339">
        <v>2250</v>
      </c>
      <c r="AT339">
        <v>2250</v>
      </c>
      <c r="BN339" s="114"/>
      <c r="BO339">
        <v>2</v>
      </c>
      <c r="BP339">
        <v>2</v>
      </c>
      <c r="BQ339">
        <v>20</v>
      </c>
      <c r="BR339" t="s">
        <v>786</v>
      </c>
      <c r="BS339">
        <v>1</v>
      </c>
      <c r="BT339" t="s">
        <v>183</v>
      </c>
      <c r="BU339" s="115">
        <v>45859</v>
      </c>
      <c r="BV339">
        <v>36996</v>
      </c>
      <c r="BW339" s="116"/>
      <c r="BX339" t="s">
        <v>173</v>
      </c>
      <c r="BY339" t="s">
        <v>173</v>
      </c>
      <c r="CB339" t="s">
        <v>173</v>
      </c>
      <c r="CC339" t="s">
        <v>173</v>
      </c>
      <c r="CE339" t="s">
        <v>173</v>
      </c>
      <c r="CG339" t="s">
        <v>172</v>
      </c>
      <c r="CH339" t="s">
        <v>224</v>
      </c>
      <c r="CI339" t="s">
        <v>173</v>
      </c>
      <c r="DJ339" t="s">
        <v>186</v>
      </c>
      <c r="DK339" t="s">
        <v>187</v>
      </c>
      <c r="DN339" t="s">
        <v>173</v>
      </c>
      <c r="DO339" t="s">
        <v>284</v>
      </c>
      <c r="DP339" t="s">
        <v>172</v>
      </c>
      <c r="DQ339" t="s">
        <v>204</v>
      </c>
      <c r="EA339" s="117"/>
      <c r="EB339">
        <v>4</v>
      </c>
      <c r="EC339">
        <v>4</v>
      </c>
      <c r="EE339" t="s">
        <v>787</v>
      </c>
      <c r="EF339">
        <v>5</v>
      </c>
      <c r="EV339">
        <v>2750</v>
      </c>
      <c r="EW339">
        <v>469</v>
      </c>
      <c r="EX339">
        <v>317</v>
      </c>
      <c r="EY339">
        <v>401</v>
      </c>
    </row>
    <row r="340" spans="1:155" x14ac:dyDescent="0.35">
      <c r="A340">
        <v>2026</v>
      </c>
      <c r="B340" t="s">
        <v>481</v>
      </c>
      <c r="C340" s="112" t="s">
        <v>481</v>
      </c>
      <c r="D340" t="s">
        <v>789</v>
      </c>
      <c r="E340" t="s">
        <v>483</v>
      </c>
      <c r="F340">
        <v>401</v>
      </c>
      <c r="G340" s="113">
        <v>3.5</v>
      </c>
      <c r="H340">
        <v>6</v>
      </c>
      <c r="I340" t="s">
        <v>246</v>
      </c>
      <c r="J340">
        <v>19</v>
      </c>
      <c r="K340">
        <v>28</v>
      </c>
      <c r="L340">
        <v>22</v>
      </c>
      <c r="M340">
        <v>24.3934</v>
      </c>
      <c r="N340">
        <v>39.411700000000003</v>
      </c>
      <c r="O340">
        <v>29.4421</v>
      </c>
      <c r="P340">
        <v>19.361499999999999</v>
      </c>
      <c r="Q340">
        <v>27.749600000000001</v>
      </c>
      <c r="R340">
        <v>22.409800000000001</v>
      </c>
      <c r="U340" t="s">
        <v>215</v>
      </c>
      <c r="V340" t="s">
        <v>196</v>
      </c>
      <c r="W340" t="s">
        <v>197</v>
      </c>
      <c r="Y340">
        <v>10</v>
      </c>
      <c r="Z340" t="s">
        <v>172</v>
      </c>
      <c r="AA340" t="s">
        <v>173</v>
      </c>
      <c r="AB340" t="s">
        <v>277</v>
      </c>
      <c r="AC340" t="s">
        <v>278</v>
      </c>
      <c r="AD340">
        <v>10</v>
      </c>
      <c r="AG340" t="s">
        <v>167</v>
      </c>
      <c r="AH340" t="s">
        <v>416</v>
      </c>
      <c r="AI340" t="s">
        <v>178</v>
      </c>
      <c r="AJ340" t="s">
        <v>179</v>
      </c>
      <c r="AK340" t="s">
        <v>664</v>
      </c>
      <c r="AL340" t="s">
        <v>665</v>
      </c>
      <c r="AS340">
        <v>2250</v>
      </c>
      <c r="AT340">
        <v>2250</v>
      </c>
      <c r="BN340" s="114" t="s">
        <v>198</v>
      </c>
      <c r="BO340">
        <v>2</v>
      </c>
      <c r="BP340">
        <v>2</v>
      </c>
      <c r="BQ340">
        <v>20</v>
      </c>
      <c r="BR340" t="s">
        <v>786</v>
      </c>
      <c r="BS340">
        <v>1</v>
      </c>
      <c r="BT340" t="s">
        <v>183</v>
      </c>
      <c r="BU340" s="115">
        <v>45859</v>
      </c>
      <c r="BV340">
        <v>36916</v>
      </c>
      <c r="BW340" s="116"/>
      <c r="BX340" t="s">
        <v>173</v>
      </c>
      <c r="BY340" t="s">
        <v>173</v>
      </c>
      <c r="CB340" t="s">
        <v>173</v>
      </c>
      <c r="CC340" t="s">
        <v>173</v>
      </c>
      <c r="CE340" t="s">
        <v>172</v>
      </c>
      <c r="CF340" t="s">
        <v>790</v>
      </c>
      <c r="CG340" t="s">
        <v>172</v>
      </c>
      <c r="CH340" t="s">
        <v>485</v>
      </c>
      <c r="CI340" t="s">
        <v>172</v>
      </c>
      <c r="CJ340" t="s">
        <v>485</v>
      </c>
      <c r="DJ340" t="s">
        <v>201</v>
      </c>
      <c r="DK340" t="s">
        <v>202</v>
      </c>
      <c r="DL340" t="s">
        <v>173</v>
      </c>
      <c r="DM340" t="s">
        <v>173</v>
      </c>
      <c r="DN340" t="s">
        <v>173</v>
      </c>
      <c r="DO340" t="s">
        <v>284</v>
      </c>
      <c r="DP340" t="s">
        <v>172</v>
      </c>
      <c r="DQ340" t="s">
        <v>204</v>
      </c>
      <c r="EA340" s="117"/>
      <c r="EB340">
        <v>4</v>
      </c>
      <c r="EC340">
        <v>4</v>
      </c>
      <c r="EE340" t="s">
        <v>791</v>
      </c>
      <c r="EF340">
        <v>4</v>
      </c>
      <c r="EV340">
        <v>2750</v>
      </c>
      <c r="EW340">
        <v>457</v>
      </c>
      <c r="EX340">
        <v>319</v>
      </c>
      <c r="EY340">
        <v>395</v>
      </c>
    </row>
    <row r="341" spans="1:155" x14ac:dyDescent="0.35">
      <c r="A341">
        <v>2026</v>
      </c>
      <c r="B341" t="s">
        <v>578</v>
      </c>
      <c r="C341" s="112" t="s">
        <v>579</v>
      </c>
      <c r="D341" t="s">
        <v>792</v>
      </c>
      <c r="E341" t="s">
        <v>581</v>
      </c>
      <c r="F341">
        <v>12</v>
      </c>
      <c r="G341" s="113">
        <v>3.5</v>
      </c>
      <c r="H341">
        <v>6</v>
      </c>
      <c r="I341" t="s">
        <v>195</v>
      </c>
      <c r="J341">
        <v>18</v>
      </c>
      <c r="K341">
        <v>25</v>
      </c>
      <c r="L341">
        <v>21</v>
      </c>
      <c r="M341">
        <v>22.852699999999999</v>
      </c>
      <c r="N341">
        <v>37.170900000000003</v>
      </c>
      <c r="O341">
        <v>27.644600000000001</v>
      </c>
      <c r="P341">
        <v>18.229800000000001</v>
      </c>
      <c r="Q341">
        <v>25.127300000000002</v>
      </c>
      <c r="R341">
        <v>20.798999999999999</v>
      </c>
      <c r="U341" t="s">
        <v>215</v>
      </c>
      <c r="V341" t="s">
        <v>196</v>
      </c>
      <c r="W341" t="s">
        <v>197</v>
      </c>
      <c r="Y341">
        <v>8</v>
      </c>
      <c r="Z341" t="s">
        <v>172</v>
      </c>
      <c r="AA341" t="s">
        <v>173</v>
      </c>
      <c r="AB341" t="s">
        <v>277</v>
      </c>
      <c r="AC341" t="s">
        <v>278</v>
      </c>
      <c r="AD341">
        <v>15</v>
      </c>
      <c r="AG341" t="s">
        <v>167</v>
      </c>
      <c r="AH341" t="s">
        <v>416</v>
      </c>
      <c r="AI341" t="s">
        <v>178</v>
      </c>
      <c r="AJ341" t="s">
        <v>179</v>
      </c>
      <c r="AK341" t="s">
        <v>664</v>
      </c>
      <c r="AL341" t="s">
        <v>665</v>
      </c>
      <c r="AS341">
        <v>2350</v>
      </c>
      <c r="AT341">
        <v>2350</v>
      </c>
      <c r="BN341" s="114" t="s">
        <v>247</v>
      </c>
      <c r="BO341">
        <v>2</v>
      </c>
      <c r="BP341">
        <v>2</v>
      </c>
      <c r="BQ341">
        <v>20</v>
      </c>
      <c r="BR341" t="s">
        <v>786</v>
      </c>
      <c r="BS341">
        <v>1</v>
      </c>
      <c r="BT341" t="s">
        <v>613</v>
      </c>
      <c r="BU341" s="115">
        <v>45740</v>
      </c>
      <c r="BV341">
        <v>36321</v>
      </c>
      <c r="BW341" s="116"/>
      <c r="BX341" t="s">
        <v>173</v>
      </c>
      <c r="BY341" t="s">
        <v>173</v>
      </c>
      <c r="CB341" t="s">
        <v>173</v>
      </c>
      <c r="CC341" t="s">
        <v>173</v>
      </c>
      <c r="CE341" t="s">
        <v>173</v>
      </c>
      <c r="CG341" t="s">
        <v>172</v>
      </c>
      <c r="CH341" t="s">
        <v>582</v>
      </c>
      <c r="CI341" t="s">
        <v>173</v>
      </c>
      <c r="DJ341" t="s">
        <v>250</v>
      </c>
      <c r="DK341" t="s">
        <v>251</v>
      </c>
      <c r="DN341" t="s">
        <v>173</v>
      </c>
      <c r="DO341" t="s">
        <v>203</v>
      </c>
      <c r="DP341" t="s">
        <v>173</v>
      </c>
      <c r="DQ341" t="s">
        <v>189</v>
      </c>
      <c r="EA341" s="117"/>
      <c r="EB341">
        <v>4</v>
      </c>
      <c r="EC341">
        <v>4</v>
      </c>
      <c r="EE341" t="s">
        <v>793</v>
      </c>
      <c r="EF341">
        <v>6</v>
      </c>
      <c r="EV341">
        <v>3250</v>
      </c>
      <c r="EW341">
        <v>489</v>
      </c>
      <c r="EX341">
        <v>354</v>
      </c>
      <c r="EY341">
        <v>428</v>
      </c>
    </row>
    <row r="342" spans="1:155" x14ac:dyDescent="0.35">
      <c r="A342">
        <v>2026</v>
      </c>
      <c r="B342" t="s">
        <v>578</v>
      </c>
      <c r="C342" s="112" t="s">
        <v>579</v>
      </c>
      <c r="D342" t="s">
        <v>794</v>
      </c>
      <c r="E342" t="s">
        <v>581</v>
      </c>
      <c r="F342">
        <v>48</v>
      </c>
      <c r="G342" s="113">
        <v>1.6</v>
      </c>
      <c r="H342">
        <v>4</v>
      </c>
      <c r="I342" t="s">
        <v>573</v>
      </c>
      <c r="J342">
        <v>34</v>
      </c>
      <c r="K342">
        <v>31</v>
      </c>
      <c r="L342">
        <v>32</v>
      </c>
      <c r="M342">
        <v>45.435099999999998</v>
      </c>
      <c r="N342">
        <v>44.451999999999998</v>
      </c>
      <c r="O342">
        <v>44.987400000000001</v>
      </c>
      <c r="P342">
        <v>33.756300000000003</v>
      </c>
      <c r="Q342">
        <v>30.948</v>
      </c>
      <c r="R342">
        <v>32.431899999999999</v>
      </c>
      <c r="T342" t="s">
        <v>168</v>
      </c>
      <c r="U342" t="s">
        <v>169</v>
      </c>
      <c r="V342" t="s">
        <v>275</v>
      </c>
      <c r="W342" t="s">
        <v>276</v>
      </c>
      <c r="Y342">
        <v>6</v>
      </c>
      <c r="Z342" t="s">
        <v>173</v>
      </c>
      <c r="AA342" t="s">
        <v>173</v>
      </c>
      <c r="AB342" t="s">
        <v>277</v>
      </c>
      <c r="AC342" t="s">
        <v>278</v>
      </c>
      <c r="AD342">
        <v>15</v>
      </c>
      <c r="AG342" t="s">
        <v>167</v>
      </c>
      <c r="AH342" t="s">
        <v>416</v>
      </c>
      <c r="AI342" t="s">
        <v>178</v>
      </c>
      <c r="AJ342" t="s">
        <v>179</v>
      </c>
      <c r="AK342" t="s">
        <v>664</v>
      </c>
      <c r="AL342" t="s">
        <v>665</v>
      </c>
      <c r="AS342">
        <v>1550</v>
      </c>
      <c r="AT342">
        <v>1550</v>
      </c>
      <c r="BN342" s="114" t="s">
        <v>492</v>
      </c>
      <c r="BO342">
        <v>2</v>
      </c>
      <c r="BP342">
        <v>2</v>
      </c>
      <c r="BQ342">
        <v>20</v>
      </c>
      <c r="BR342" t="s">
        <v>786</v>
      </c>
      <c r="BS342">
        <v>1</v>
      </c>
      <c r="BT342" t="s">
        <v>183</v>
      </c>
      <c r="BU342" s="115">
        <v>45737</v>
      </c>
      <c r="BV342">
        <v>36654</v>
      </c>
      <c r="BW342" s="116"/>
      <c r="BX342" t="s">
        <v>173</v>
      </c>
      <c r="BY342" t="s">
        <v>173</v>
      </c>
      <c r="CB342" t="s">
        <v>173</v>
      </c>
      <c r="CC342" t="s">
        <v>173</v>
      </c>
      <c r="CE342" t="s">
        <v>173</v>
      </c>
      <c r="CG342" t="s">
        <v>172</v>
      </c>
      <c r="CH342" t="s">
        <v>574</v>
      </c>
      <c r="CI342" t="s">
        <v>173</v>
      </c>
      <c r="CK342" t="s">
        <v>259</v>
      </c>
      <c r="CM342">
        <v>1</v>
      </c>
      <c r="CN342" t="s">
        <v>260</v>
      </c>
      <c r="CP342">
        <v>270</v>
      </c>
      <c r="CQ342">
        <v>5.5</v>
      </c>
      <c r="CR342">
        <v>35.4</v>
      </c>
      <c r="CS342" t="s">
        <v>261</v>
      </c>
      <c r="CV342" t="s">
        <v>262</v>
      </c>
      <c r="CX342" t="s">
        <v>493</v>
      </c>
      <c r="CY342" t="s">
        <v>173</v>
      </c>
      <c r="DD342">
        <v>1</v>
      </c>
      <c r="DE342" t="s">
        <v>307</v>
      </c>
      <c r="DF342" t="s">
        <v>330</v>
      </c>
      <c r="DG342">
        <v>54</v>
      </c>
      <c r="DJ342" t="s">
        <v>201</v>
      </c>
      <c r="DK342" t="s">
        <v>202</v>
      </c>
      <c r="DL342" t="s">
        <v>173</v>
      </c>
      <c r="DM342" t="s">
        <v>173</v>
      </c>
      <c r="DN342" t="s">
        <v>173</v>
      </c>
      <c r="DO342" t="s">
        <v>795</v>
      </c>
      <c r="DP342" t="s">
        <v>172</v>
      </c>
      <c r="DQ342" t="s">
        <v>204</v>
      </c>
      <c r="EA342" s="117"/>
      <c r="EB342">
        <v>6</v>
      </c>
      <c r="EC342">
        <v>6</v>
      </c>
      <c r="EE342" t="s">
        <v>796</v>
      </c>
      <c r="EF342">
        <v>6</v>
      </c>
      <c r="EU342">
        <v>750</v>
      </c>
      <c r="EW342">
        <v>264</v>
      </c>
      <c r="EX342">
        <v>288</v>
      </c>
      <c r="EY342">
        <v>275</v>
      </c>
    </row>
    <row r="343" spans="1:155" x14ac:dyDescent="0.35">
      <c r="A343">
        <v>2026</v>
      </c>
      <c r="B343" t="s">
        <v>481</v>
      </c>
      <c r="C343" s="112" t="s">
        <v>534</v>
      </c>
      <c r="D343" t="s">
        <v>797</v>
      </c>
      <c r="E343" t="s">
        <v>483</v>
      </c>
      <c r="F343">
        <v>502</v>
      </c>
      <c r="G343" s="113">
        <v>3.5</v>
      </c>
      <c r="H343">
        <v>6</v>
      </c>
      <c r="I343" t="s">
        <v>246</v>
      </c>
      <c r="J343">
        <v>19</v>
      </c>
      <c r="K343">
        <v>26</v>
      </c>
      <c r="L343">
        <v>22</v>
      </c>
      <c r="M343">
        <v>25</v>
      </c>
      <c r="N343">
        <v>37.200000000000003</v>
      </c>
      <c r="O343">
        <v>29.328299999999999</v>
      </c>
      <c r="P343">
        <v>19</v>
      </c>
      <c r="Q343">
        <v>26.3231</v>
      </c>
      <c r="R343">
        <v>22.287800000000001</v>
      </c>
      <c r="U343" t="s">
        <v>215</v>
      </c>
      <c r="V343" t="s">
        <v>196</v>
      </c>
      <c r="W343" t="s">
        <v>197</v>
      </c>
      <c r="Y343">
        <v>10</v>
      </c>
      <c r="Z343" t="s">
        <v>172</v>
      </c>
      <c r="AA343" t="s">
        <v>173</v>
      </c>
      <c r="AB343" t="s">
        <v>277</v>
      </c>
      <c r="AC343" t="s">
        <v>278</v>
      </c>
      <c r="AD343">
        <v>10</v>
      </c>
      <c r="AG343" t="s">
        <v>176</v>
      </c>
      <c r="AH343" t="s">
        <v>177</v>
      </c>
      <c r="AI343" t="s">
        <v>178</v>
      </c>
      <c r="AJ343" t="s">
        <v>179</v>
      </c>
      <c r="AK343" t="s">
        <v>664</v>
      </c>
      <c r="AL343" t="s">
        <v>665</v>
      </c>
      <c r="AS343">
        <v>2850</v>
      </c>
      <c r="AT343">
        <v>2850</v>
      </c>
      <c r="BN343" s="114" t="s">
        <v>198</v>
      </c>
      <c r="BO343">
        <v>2</v>
      </c>
      <c r="BP343">
        <v>2</v>
      </c>
      <c r="BQ343">
        <v>30</v>
      </c>
      <c r="BR343" t="s">
        <v>798</v>
      </c>
      <c r="BT343" t="s">
        <v>183</v>
      </c>
      <c r="BU343" s="115">
        <v>45798</v>
      </c>
      <c r="BV343">
        <v>36598</v>
      </c>
      <c r="BW343" s="116"/>
      <c r="BX343" t="s">
        <v>173</v>
      </c>
      <c r="BY343" t="s">
        <v>173</v>
      </c>
      <c r="CB343" t="s">
        <v>173</v>
      </c>
      <c r="CC343" t="s">
        <v>173</v>
      </c>
      <c r="CE343" t="s">
        <v>172</v>
      </c>
      <c r="CF343" t="s">
        <v>799</v>
      </c>
      <c r="CG343" t="s">
        <v>172</v>
      </c>
      <c r="CH343" t="s">
        <v>485</v>
      </c>
      <c r="CI343" t="s">
        <v>172</v>
      </c>
      <c r="CJ343" t="s">
        <v>485</v>
      </c>
      <c r="DJ343" t="s">
        <v>201</v>
      </c>
      <c r="DK343" t="s">
        <v>202</v>
      </c>
      <c r="DL343" t="s">
        <v>173</v>
      </c>
      <c r="DM343" t="s">
        <v>173</v>
      </c>
      <c r="DN343" t="s">
        <v>173</v>
      </c>
      <c r="DO343" t="s">
        <v>284</v>
      </c>
      <c r="DP343" t="s">
        <v>172</v>
      </c>
      <c r="DQ343" t="s">
        <v>204</v>
      </c>
      <c r="EA343" s="117"/>
      <c r="EB343">
        <v>4</v>
      </c>
      <c r="EC343">
        <v>4</v>
      </c>
      <c r="EE343" t="s">
        <v>800</v>
      </c>
      <c r="EF343">
        <v>4</v>
      </c>
      <c r="EV343">
        <v>5750</v>
      </c>
      <c r="EW343">
        <v>470</v>
      </c>
      <c r="EX343">
        <v>339</v>
      </c>
      <c r="EY343">
        <v>411</v>
      </c>
    </row>
    <row r="344" spans="1:155" x14ac:dyDescent="0.35">
      <c r="A344">
        <v>2026</v>
      </c>
      <c r="B344" t="s">
        <v>211</v>
      </c>
      <c r="C344" s="112" t="s">
        <v>609</v>
      </c>
      <c r="D344" t="s">
        <v>801</v>
      </c>
      <c r="E344" t="s">
        <v>214</v>
      </c>
      <c r="F344">
        <v>110</v>
      </c>
      <c r="G344" s="113">
        <v>1.3</v>
      </c>
      <c r="H344">
        <v>3</v>
      </c>
      <c r="I344" t="s">
        <v>487</v>
      </c>
      <c r="J344">
        <v>29</v>
      </c>
      <c r="K344">
        <v>31</v>
      </c>
      <c r="L344">
        <v>30</v>
      </c>
      <c r="M344">
        <v>38.9</v>
      </c>
      <c r="N344">
        <v>49.8</v>
      </c>
      <c r="O344">
        <v>43.15</v>
      </c>
      <c r="P344">
        <v>29.486699999999999</v>
      </c>
      <c r="Q344">
        <v>31</v>
      </c>
      <c r="R344">
        <v>30</v>
      </c>
      <c r="T344" t="s">
        <v>168</v>
      </c>
      <c r="U344" t="s">
        <v>169</v>
      </c>
      <c r="V344" t="s">
        <v>488</v>
      </c>
      <c r="W344" t="s">
        <v>489</v>
      </c>
      <c r="Y344">
        <v>1</v>
      </c>
      <c r="Z344" t="s">
        <v>173</v>
      </c>
      <c r="AA344" t="s">
        <v>173</v>
      </c>
      <c r="AB344" t="s">
        <v>277</v>
      </c>
      <c r="AC344" t="s">
        <v>278</v>
      </c>
      <c r="AD344">
        <v>10</v>
      </c>
      <c r="AG344" t="s">
        <v>167</v>
      </c>
      <c r="AH344" t="s">
        <v>416</v>
      </c>
      <c r="AI344" t="s">
        <v>178</v>
      </c>
      <c r="AJ344" t="s">
        <v>179</v>
      </c>
      <c r="AK344" t="s">
        <v>664</v>
      </c>
      <c r="AL344" t="s">
        <v>665</v>
      </c>
      <c r="AS344">
        <v>1650</v>
      </c>
      <c r="AT344">
        <v>1650</v>
      </c>
      <c r="BN344" s="114" t="s">
        <v>198</v>
      </c>
      <c r="BO344">
        <v>2</v>
      </c>
      <c r="BP344">
        <v>2</v>
      </c>
      <c r="BQ344">
        <v>30</v>
      </c>
      <c r="BR344" t="s">
        <v>798</v>
      </c>
      <c r="BT344" t="s">
        <v>183</v>
      </c>
      <c r="BU344" s="115">
        <v>45761</v>
      </c>
      <c r="BV344">
        <v>36384</v>
      </c>
      <c r="BW344" s="116"/>
      <c r="BX344" t="s">
        <v>173</v>
      </c>
      <c r="BY344" t="s">
        <v>173</v>
      </c>
      <c r="CB344" t="s">
        <v>173</v>
      </c>
      <c r="CC344" t="s">
        <v>173</v>
      </c>
      <c r="CE344" t="s">
        <v>173</v>
      </c>
      <c r="CG344" t="s">
        <v>172</v>
      </c>
      <c r="CH344" t="s">
        <v>615</v>
      </c>
      <c r="CI344" t="s">
        <v>173</v>
      </c>
      <c r="DJ344" t="s">
        <v>201</v>
      </c>
      <c r="DK344" t="s">
        <v>202</v>
      </c>
      <c r="DN344" t="s">
        <v>173</v>
      </c>
      <c r="DO344" t="s">
        <v>347</v>
      </c>
      <c r="DP344" t="s">
        <v>172</v>
      </c>
      <c r="DQ344" t="s">
        <v>204</v>
      </c>
      <c r="DY344">
        <v>43.4</v>
      </c>
      <c r="EA344" s="117"/>
      <c r="EB344">
        <v>6</v>
      </c>
      <c r="EC344">
        <v>6</v>
      </c>
      <c r="EE344" t="s">
        <v>802</v>
      </c>
      <c r="EF344">
        <v>6</v>
      </c>
      <c r="EU344">
        <v>250</v>
      </c>
      <c r="EW344">
        <v>302</v>
      </c>
      <c r="EX344">
        <v>287</v>
      </c>
      <c r="EY344">
        <v>297</v>
      </c>
    </row>
    <row r="345" spans="1:155" x14ac:dyDescent="0.35">
      <c r="A345">
        <v>2026</v>
      </c>
      <c r="B345" t="s">
        <v>211</v>
      </c>
      <c r="C345" s="112" t="s">
        <v>609</v>
      </c>
      <c r="D345" t="s">
        <v>803</v>
      </c>
      <c r="E345" t="s">
        <v>214</v>
      </c>
      <c r="F345">
        <v>106</v>
      </c>
      <c r="G345" s="113">
        <v>1.2</v>
      </c>
      <c r="H345">
        <v>3</v>
      </c>
      <c r="I345" t="s">
        <v>487</v>
      </c>
      <c r="J345">
        <v>30</v>
      </c>
      <c r="K345">
        <v>31</v>
      </c>
      <c r="L345">
        <v>30</v>
      </c>
      <c r="M345">
        <v>39.781599999999997</v>
      </c>
      <c r="N345">
        <v>47.347200000000001</v>
      </c>
      <c r="O345">
        <v>42.863700000000001</v>
      </c>
      <c r="P345">
        <v>30.072800000000001</v>
      </c>
      <c r="Q345">
        <v>31.0822</v>
      </c>
      <c r="R345">
        <v>30</v>
      </c>
      <c r="T345" t="s">
        <v>168</v>
      </c>
      <c r="U345" t="s">
        <v>169</v>
      </c>
      <c r="V345" t="s">
        <v>488</v>
      </c>
      <c r="W345" t="s">
        <v>489</v>
      </c>
      <c r="Y345">
        <v>1</v>
      </c>
      <c r="Z345" t="s">
        <v>173</v>
      </c>
      <c r="AA345" t="s">
        <v>173</v>
      </c>
      <c r="AB345" t="s">
        <v>277</v>
      </c>
      <c r="AC345" t="s">
        <v>278</v>
      </c>
      <c r="AD345">
        <v>85</v>
      </c>
      <c r="AF345">
        <v>396</v>
      </c>
      <c r="AG345" t="s">
        <v>167</v>
      </c>
      <c r="AH345" t="s">
        <v>416</v>
      </c>
      <c r="AI345" t="s">
        <v>178</v>
      </c>
      <c r="AJ345" t="s">
        <v>179</v>
      </c>
      <c r="AK345" t="s">
        <v>664</v>
      </c>
      <c r="AL345" t="s">
        <v>665</v>
      </c>
      <c r="AS345">
        <v>1650</v>
      </c>
      <c r="AT345">
        <v>1650</v>
      </c>
      <c r="AU345">
        <v>21</v>
      </c>
      <c r="AV345">
        <v>23</v>
      </c>
      <c r="AW345">
        <v>22</v>
      </c>
      <c r="AX345">
        <v>28.2803</v>
      </c>
      <c r="AY345">
        <v>34.6036</v>
      </c>
      <c r="AZ345">
        <v>30.8142</v>
      </c>
      <c r="BA345">
        <v>21.379200000000001</v>
      </c>
      <c r="BB345">
        <v>22.7164</v>
      </c>
      <c r="BC345">
        <v>21.960899999999999</v>
      </c>
      <c r="BD345">
        <v>290</v>
      </c>
      <c r="BE345" t="s">
        <v>618</v>
      </c>
      <c r="BF345" t="s">
        <v>619</v>
      </c>
      <c r="BG345" t="s">
        <v>178</v>
      </c>
      <c r="BH345" t="s">
        <v>179</v>
      </c>
      <c r="BI345">
        <v>1950</v>
      </c>
      <c r="BJ345">
        <v>295</v>
      </c>
      <c r="BK345">
        <v>278</v>
      </c>
      <c r="BL345">
        <v>288</v>
      </c>
      <c r="BM345">
        <v>1950</v>
      </c>
      <c r="BN345" s="114" t="s">
        <v>620</v>
      </c>
      <c r="BO345">
        <v>2</v>
      </c>
      <c r="BP345">
        <v>2</v>
      </c>
      <c r="BQ345">
        <v>30</v>
      </c>
      <c r="BR345" t="s">
        <v>798</v>
      </c>
      <c r="BT345" t="s">
        <v>613</v>
      </c>
      <c r="BU345" s="115">
        <v>45759</v>
      </c>
      <c r="BV345">
        <v>36382</v>
      </c>
      <c r="BW345" s="116"/>
      <c r="BX345" t="s">
        <v>173</v>
      </c>
      <c r="BY345" t="s">
        <v>173</v>
      </c>
      <c r="CB345" t="s">
        <v>173</v>
      </c>
      <c r="CC345" t="s">
        <v>173</v>
      </c>
      <c r="CD345" t="s">
        <v>614</v>
      </c>
      <c r="CE345" t="s">
        <v>173</v>
      </c>
      <c r="CG345" t="s">
        <v>172</v>
      </c>
      <c r="CH345" t="s">
        <v>615</v>
      </c>
      <c r="CI345" t="s">
        <v>173</v>
      </c>
      <c r="DJ345" t="s">
        <v>201</v>
      </c>
      <c r="DK345" t="s">
        <v>202</v>
      </c>
      <c r="DN345" t="s">
        <v>173</v>
      </c>
      <c r="DO345" t="s">
        <v>203</v>
      </c>
      <c r="DP345" t="s">
        <v>172</v>
      </c>
      <c r="DQ345" t="s">
        <v>204</v>
      </c>
      <c r="DY345">
        <v>43.1</v>
      </c>
      <c r="EA345" s="117"/>
      <c r="EB345">
        <v>6</v>
      </c>
      <c r="EC345">
        <v>6</v>
      </c>
      <c r="ED345">
        <v>6</v>
      </c>
      <c r="EE345" t="s">
        <v>621</v>
      </c>
      <c r="EF345">
        <v>6</v>
      </c>
      <c r="EU345">
        <v>250</v>
      </c>
      <c r="EW345">
        <v>296</v>
      </c>
      <c r="EX345">
        <v>287</v>
      </c>
      <c r="EY345">
        <v>297</v>
      </c>
    </row>
    <row r="346" spans="1:155" x14ac:dyDescent="0.35">
      <c r="A346">
        <v>2026</v>
      </c>
      <c r="B346" t="s">
        <v>211</v>
      </c>
      <c r="C346" s="112" t="s">
        <v>212</v>
      </c>
      <c r="D346" t="s">
        <v>804</v>
      </c>
      <c r="E346" t="s">
        <v>214</v>
      </c>
      <c r="F346">
        <v>100</v>
      </c>
      <c r="G346" s="113">
        <v>1.5</v>
      </c>
      <c r="H346">
        <v>4</v>
      </c>
      <c r="I346" t="s">
        <v>487</v>
      </c>
      <c r="J346">
        <v>26</v>
      </c>
      <c r="K346">
        <v>29</v>
      </c>
      <c r="L346">
        <v>27</v>
      </c>
      <c r="M346">
        <v>34.700000000000003</v>
      </c>
      <c r="N346">
        <v>44.1</v>
      </c>
      <c r="O346">
        <v>38.381500000000003</v>
      </c>
      <c r="P346">
        <v>26</v>
      </c>
      <c r="Q346">
        <v>29.132899999999999</v>
      </c>
      <c r="R346">
        <v>27</v>
      </c>
      <c r="T346" t="s">
        <v>168</v>
      </c>
      <c r="U346" t="s">
        <v>169</v>
      </c>
      <c r="V346" t="s">
        <v>488</v>
      </c>
      <c r="W346" t="s">
        <v>489</v>
      </c>
      <c r="Y346">
        <v>1</v>
      </c>
      <c r="Z346" t="s">
        <v>173</v>
      </c>
      <c r="AA346" t="s">
        <v>173</v>
      </c>
      <c r="AB346" t="s">
        <v>277</v>
      </c>
      <c r="AC346" t="s">
        <v>278</v>
      </c>
      <c r="AD346">
        <v>10</v>
      </c>
      <c r="AG346" t="s">
        <v>167</v>
      </c>
      <c r="AH346" t="s">
        <v>416</v>
      </c>
      <c r="AI346" t="s">
        <v>178</v>
      </c>
      <c r="AJ346" t="s">
        <v>179</v>
      </c>
      <c r="AK346" t="s">
        <v>664</v>
      </c>
      <c r="AL346" t="s">
        <v>665</v>
      </c>
      <c r="AO346">
        <v>104</v>
      </c>
      <c r="AP346">
        <v>30</v>
      </c>
      <c r="AS346">
        <v>1850</v>
      </c>
      <c r="AT346">
        <v>1850</v>
      </c>
      <c r="BN346" s="114" t="s">
        <v>198</v>
      </c>
      <c r="BO346">
        <v>2</v>
      </c>
      <c r="BP346">
        <v>2</v>
      </c>
      <c r="BQ346">
        <v>30</v>
      </c>
      <c r="BR346" t="s">
        <v>798</v>
      </c>
      <c r="BT346" t="s">
        <v>613</v>
      </c>
      <c r="BU346" s="115">
        <v>45762</v>
      </c>
      <c r="BV346">
        <v>36425</v>
      </c>
      <c r="BW346" s="116"/>
      <c r="BX346" t="s">
        <v>173</v>
      </c>
      <c r="BY346" t="s">
        <v>173</v>
      </c>
      <c r="CB346" t="s">
        <v>173</v>
      </c>
      <c r="CC346" t="s">
        <v>173</v>
      </c>
      <c r="CE346" t="s">
        <v>173</v>
      </c>
      <c r="CG346" t="s">
        <v>172</v>
      </c>
      <c r="CH346" t="s">
        <v>805</v>
      </c>
      <c r="CI346" t="s">
        <v>173</v>
      </c>
      <c r="DJ346" t="s">
        <v>201</v>
      </c>
      <c r="DK346" t="s">
        <v>202</v>
      </c>
      <c r="DN346" t="s">
        <v>173</v>
      </c>
      <c r="DO346" t="s">
        <v>203</v>
      </c>
      <c r="DP346" t="s">
        <v>172</v>
      </c>
      <c r="DQ346" t="s">
        <v>204</v>
      </c>
      <c r="DY346">
        <v>38.6</v>
      </c>
      <c r="EA346" s="117"/>
      <c r="EB346">
        <v>5</v>
      </c>
      <c r="EC346">
        <v>5</v>
      </c>
      <c r="EE346" t="s">
        <v>806</v>
      </c>
      <c r="EF346">
        <v>6</v>
      </c>
      <c r="EV346">
        <v>750</v>
      </c>
      <c r="EW346">
        <v>342</v>
      </c>
      <c r="EX346">
        <v>305</v>
      </c>
      <c r="EY346">
        <v>329</v>
      </c>
    </row>
    <row r="347" spans="1:155" x14ac:dyDescent="0.35">
      <c r="A347">
        <v>2026</v>
      </c>
      <c r="B347" t="s">
        <v>211</v>
      </c>
      <c r="C347" s="112" t="s">
        <v>212</v>
      </c>
      <c r="D347" t="s">
        <v>807</v>
      </c>
      <c r="E347" t="s">
        <v>214</v>
      </c>
      <c r="F347">
        <v>115</v>
      </c>
      <c r="G347" s="113">
        <v>1.3</v>
      </c>
      <c r="H347">
        <v>3</v>
      </c>
      <c r="I347" t="s">
        <v>487</v>
      </c>
      <c r="J347">
        <v>29</v>
      </c>
      <c r="K347">
        <v>33</v>
      </c>
      <c r="L347">
        <v>31</v>
      </c>
      <c r="M347">
        <v>39.6</v>
      </c>
      <c r="N347">
        <v>50.9</v>
      </c>
      <c r="O347">
        <v>43.995199999999997</v>
      </c>
      <c r="P347">
        <v>29</v>
      </c>
      <c r="Q347">
        <v>33</v>
      </c>
      <c r="R347">
        <v>31</v>
      </c>
      <c r="T347" t="s">
        <v>168</v>
      </c>
      <c r="U347" t="s">
        <v>169</v>
      </c>
      <c r="V347" t="s">
        <v>488</v>
      </c>
      <c r="W347" t="s">
        <v>489</v>
      </c>
      <c r="Y347">
        <v>1</v>
      </c>
      <c r="Z347" t="s">
        <v>173</v>
      </c>
      <c r="AA347" t="s">
        <v>173</v>
      </c>
      <c r="AB347" t="s">
        <v>277</v>
      </c>
      <c r="AC347" t="s">
        <v>278</v>
      </c>
      <c r="AD347">
        <v>10</v>
      </c>
      <c r="AG347" t="s">
        <v>167</v>
      </c>
      <c r="AH347" t="s">
        <v>416</v>
      </c>
      <c r="AI347" t="s">
        <v>178</v>
      </c>
      <c r="AJ347" t="s">
        <v>179</v>
      </c>
      <c r="AK347" t="s">
        <v>664</v>
      </c>
      <c r="AL347" t="s">
        <v>665</v>
      </c>
      <c r="AS347">
        <v>1600</v>
      </c>
      <c r="AT347">
        <v>1600</v>
      </c>
      <c r="BN347" s="114" t="s">
        <v>198</v>
      </c>
      <c r="BO347">
        <v>2</v>
      </c>
      <c r="BP347">
        <v>2</v>
      </c>
      <c r="BQ347">
        <v>30</v>
      </c>
      <c r="BR347" t="s">
        <v>798</v>
      </c>
      <c r="BT347" t="s">
        <v>183</v>
      </c>
      <c r="BU347" s="115">
        <v>45748</v>
      </c>
      <c r="BV347">
        <v>36247</v>
      </c>
      <c r="BW347" s="116"/>
      <c r="BX347" t="s">
        <v>173</v>
      </c>
      <c r="BY347" t="s">
        <v>173</v>
      </c>
      <c r="CB347" t="s">
        <v>173</v>
      </c>
      <c r="CC347" t="s">
        <v>173</v>
      </c>
      <c r="CE347" t="s">
        <v>173</v>
      </c>
      <c r="CG347" t="s">
        <v>172</v>
      </c>
      <c r="CH347" t="s">
        <v>615</v>
      </c>
      <c r="CI347" t="s">
        <v>173</v>
      </c>
      <c r="DJ347" t="s">
        <v>201</v>
      </c>
      <c r="DK347" t="s">
        <v>202</v>
      </c>
      <c r="DN347" t="s">
        <v>173</v>
      </c>
      <c r="DO347" t="s">
        <v>347</v>
      </c>
      <c r="DP347" t="s">
        <v>172</v>
      </c>
      <c r="DQ347" t="s">
        <v>204</v>
      </c>
      <c r="DY347">
        <v>44.3</v>
      </c>
      <c r="EA347" s="117"/>
      <c r="EB347">
        <v>6</v>
      </c>
      <c r="EC347">
        <v>6</v>
      </c>
      <c r="EE347" t="s">
        <v>802</v>
      </c>
      <c r="EF347">
        <v>6</v>
      </c>
      <c r="EU347">
        <v>500</v>
      </c>
      <c r="EW347">
        <v>307</v>
      </c>
      <c r="EX347">
        <v>270</v>
      </c>
      <c r="EY347">
        <v>287</v>
      </c>
    </row>
    <row r="348" spans="1:155" x14ac:dyDescent="0.35">
      <c r="A348">
        <v>2026</v>
      </c>
      <c r="B348" t="s">
        <v>211</v>
      </c>
      <c r="C348" s="112" t="s">
        <v>212</v>
      </c>
      <c r="D348" t="s">
        <v>808</v>
      </c>
      <c r="E348" t="s">
        <v>214</v>
      </c>
      <c r="F348">
        <v>105</v>
      </c>
      <c r="G348" s="113">
        <v>1.2</v>
      </c>
      <c r="H348">
        <v>3</v>
      </c>
      <c r="I348" t="s">
        <v>487</v>
      </c>
      <c r="J348">
        <v>30</v>
      </c>
      <c r="K348">
        <v>31</v>
      </c>
      <c r="L348">
        <v>30</v>
      </c>
      <c r="M348">
        <v>39.781599999999997</v>
      </c>
      <c r="N348">
        <v>47.347200000000001</v>
      </c>
      <c r="O348">
        <v>42.863700000000001</v>
      </c>
      <c r="P348">
        <v>30.072800000000001</v>
      </c>
      <c r="Q348">
        <v>31.0822</v>
      </c>
      <c r="R348">
        <v>30</v>
      </c>
      <c r="T348" t="s">
        <v>168</v>
      </c>
      <c r="U348" t="s">
        <v>169</v>
      </c>
      <c r="V348" t="s">
        <v>488</v>
      </c>
      <c r="W348" t="s">
        <v>489</v>
      </c>
      <c r="Y348">
        <v>1</v>
      </c>
      <c r="Z348" t="s">
        <v>173</v>
      </c>
      <c r="AA348" t="s">
        <v>173</v>
      </c>
      <c r="AB348" t="s">
        <v>277</v>
      </c>
      <c r="AC348" t="s">
        <v>278</v>
      </c>
      <c r="AD348">
        <v>85</v>
      </c>
      <c r="AF348">
        <v>396</v>
      </c>
      <c r="AG348" t="s">
        <v>167</v>
      </c>
      <c r="AH348" t="s">
        <v>416</v>
      </c>
      <c r="AI348" t="s">
        <v>178</v>
      </c>
      <c r="AJ348" t="s">
        <v>179</v>
      </c>
      <c r="AK348" t="s">
        <v>664</v>
      </c>
      <c r="AL348" t="s">
        <v>665</v>
      </c>
      <c r="AS348">
        <v>1650</v>
      </c>
      <c r="AT348">
        <v>1650</v>
      </c>
      <c r="AU348">
        <v>21</v>
      </c>
      <c r="AV348">
        <v>23</v>
      </c>
      <c r="AW348">
        <v>22</v>
      </c>
      <c r="AX348">
        <v>28.2803</v>
      </c>
      <c r="AY348">
        <v>34.6036</v>
      </c>
      <c r="AZ348">
        <v>30.8142</v>
      </c>
      <c r="BA348">
        <v>21.379200000000001</v>
      </c>
      <c r="BB348">
        <v>22.7164</v>
      </c>
      <c r="BC348">
        <v>21.960899999999999</v>
      </c>
      <c r="BD348">
        <v>290</v>
      </c>
      <c r="BE348" t="s">
        <v>618</v>
      </c>
      <c r="BF348" t="s">
        <v>619</v>
      </c>
      <c r="BG348" t="s">
        <v>178</v>
      </c>
      <c r="BH348" t="s">
        <v>179</v>
      </c>
      <c r="BI348">
        <v>1950</v>
      </c>
      <c r="BJ348">
        <v>295</v>
      </c>
      <c r="BK348">
        <v>278</v>
      </c>
      <c r="BL348">
        <v>288</v>
      </c>
      <c r="BM348">
        <v>1950</v>
      </c>
      <c r="BN348" s="114" t="s">
        <v>620</v>
      </c>
      <c r="BO348">
        <v>2</v>
      </c>
      <c r="BP348">
        <v>2</v>
      </c>
      <c r="BQ348">
        <v>30</v>
      </c>
      <c r="BR348" t="s">
        <v>798</v>
      </c>
      <c r="BT348" t="s">
        <v>613</v>
      </c>
      <c r="BU348" s="115">
        <v>45759</v>
      </c>
      <c r="BV348">
        <v>36381</v>
      </c>
      <c r="BW348" s="116"/>
      <c r="BX348" t="s">
        <v>173</v>
      </c>
      <c r="BY348" t="s">
        <v>173</v>
      </c>
      <c r="CB348" t="s">
        <v>173</v>
      </c>
      <c r="CC348" t="s">
        <v>173</v>
      </c>
      <c r="CD348" t="s">
        <v>614</v>
      </c>
      <c r="CE348" t="s">
        <v>173</v>
      </c>
      <c r="CG348" t="s">
        <v>172</v>
      </c>
      <c r="CH348" t="s">
        <v>615</v>
      </c>
      <c r="CI348" t="s">
        <v>173</v>
      </c>
      <c r="DJ348" t="s">
        <v>201</v>
      </c>
      <c r="DK348" t="s">
        <v>202</v>
      </c>
      <c r="DN348" t="s">
        <v>173</v>
      </c>
      <c r="DO348" t="s">
        <v>203</v>
      </c>
      <c r="DP348" t="s">
        <v>172</v>
      </c>
      <c r="DQ348" t="s">
        <v>204</v>
      </c>
      <c r="DY348">
        <v>43.1</v>
      </c>
      <c r="EA348" s="117"/>
      <c r="EB348">
        <v>6</v>
      </c>
      <c r="EC348">
        <v>6</v>
      </c>
      <c r="ED348">
        <v>6</v>
      </c>
      <c r="EE348" t="s">
        <v>621</v>
      </c>
      <c r="EF348">
        <v>6</v>
      </c>
      <c r="EU348">
        <v>250</v>
      </c>
      <c r="EW348">
        <v>296</v>
      </c>
      <c r="EX348">
        <v>287</v>
      </c>
      <c r="EY348">
        <v>297</v>
      </c>
    </row>
    <row r="349" spans="1:155" x14ac:dyDescent="0.35">
      <c r="A349">
        <v>2026</v>
      </c>
      <c r="B349" t="s">
        <v>978</v>
      </c>
      <c r="C349" s="112" t="s">
        <v>1170</v>
      </c>
      <c r="D349" t="s">
        <v>1259</v>
      </c>
      <c r="E349" t="s">
        <v>981</v>
      </c>
      <c r="F349">
        <v>50</v>
      </c>
      <c r="G349" s="113">
        <v>1.5</v>
      </c>
      <c r="H349">
        <v>3</v>
      </c>
      <c r="I349" t="s">
        <v>166</v>
      </c>
      <c r="J349">
        <v>27</v>
      </c>
      <c r="K349">
        <v>34</v>
      </c>
      <c r="L349">
        <v>30</v>
      </c>
      <c r="M349">
        <v>34.5</v>
      </c>
      <c r="N349">
        <v>49.9</v>
      </c>
      <c r="O349">
        <v>40.064</v>
      </c>
      <c r="P349">
        <v>26.513200000000001</v>
      </c>
      <c r="Q349">
        <v>34.325499999999998</v>
      </c>
      <c r="R349">
        <v>29.538399999999999</v>
      </c>
      <c r="T349" t="s">
        <v>168</v>
      </c>
      <c r="U349" t="s">
        <v>169</v>
      </c>
      <c r="V349" t="s">
        <v>170</v>
      </c>
      <c r="W349" t="s">
        <v>171</v>
      </c>
      <c r="Y349">
        <v>8</v>
      </c>
      <c r="Z349" t="s">
        <v>172</v>
      </c>
      <c r="AA349" t="s">
        <v>173</v>
      </c>
      <c r="AB349" t="s">
        <v>277</v>
      </c>
      <c r="AC349" t="s">
        <v>278</v>
      </c>
      <c r="AD349">
        <v>10</v>
      </c>
      <c r="AG349" t="s">
        <v>167</v>
      </c>
      <c r="AH349" t="s">
        <v>416</v>
      </c>
      <c r="AI349" t="s">
        <v>178</v>
      </c>
      <c r="AJ349" t="s">
        <v>179</v>
      </c>
      <c r="AK349" t="s">
        <v>664</v>
      </c>
      <c r="AL349" t="s">
        <v>665</v>
      </c>
      <c r="AS349">
        <v>1650</v>
      </c>
      <c r="AT349">
        <v>1650</v>
      </c>
      <c r="BN349" s="114" t="s">
        <v>247</v>
      </c>
      <c r="BO349">
        <v>2</v>
      </c>
      <c r="BP349">
        <v>2</v>
      </c>
      <c r="BQ349">
        <v>30</v>
      </c>
      <c r="BR349" t="s">
        <v>798</v>
      </c>
      <c r="BT349" t="s">
        <v>183</v>
      </c>
      <c r="BU349" s="115">
        <v>45908</v>
      </c>
      <c r="BV349">
        <v>37757</v>
      </c>
      <c r="BW349" s="116"/>
      <c r="BX349" t="s">
        <v>173</v>
      </c>
      <c r="BY349" t="s">
        <v>173</v>
      </c>
      <c r="CB349" t="s">
        <v>173</v>
      </c>
      <c r="CC349" t="s">
        <v>173</v>
      </c>
      <c r="CE349" t="s">
        <v>173</v>
      </c>
      <c r="CG349" t="s">
        <v>172</v>
      </c>
      <c r="CH349" t="s">
        <v>1260</v>
      </c>
      <c r="CI349" t="s">
        <v>173</v>
      </c>
      <c r="DJ349" t="s">
        <v>250</v>
      </c>
      <c r="DK349" t="s">
        <v>251</v>
      </c>
      <c r="DN349" t="s">
        <v>173</v>
      </c>
      <c r="DO349" t="s">
        <v>1261</v>
      </c>
      <c r="DP349" t="s">
        <v>172</v>
      </c>
      <c r="DQ349" t="s">
        <v>204</v>
      </c>
      <c r="DY349">
        <v>40.299999999999997</v>
      </c>
      <c r="EA349" s="117"/>
      <c r="EB349">
        <v>6</v>
      </c>
      <c r="EC349">
        <v>6</v>
      </c>
      <c r="EE349" t="s">
        <v>1262</v>
      </c>
      <c r="EF349">
        <v>6</v>
      </c>
      <c r="EU349">
        <v>250</v>
      </c>
      <c r="EW349">
        <v>332</v>
      </c>
      <c r="EX349">
        <v>256</v>
      </c>
      <c r="EY349">
        <v>298</v>
      </c>
    </row>
    <row r="350" spans="1:155" x14ac:dyDescent="0.35">
      <c r="A350">
        <v>2026</v>
      </c>
      <c r="B350" t="s">
        <v>400</v>
      </c>
      <c r="C350" s="112" t="s">
        <v>401</v>
      </c>
      <c r="D350" t="s">
        <v>809</v>
      </c>
      <c r="E350" t="s">
        <v>403</v>
      </c>
      <c r="F350">
        <v>84</v>
      </c>
      <c r="G350" s="113">
        <v>2.5</v>
      </c>
      <c r="H350">
        <v>4</v>
      </c>
      <c r="I350" t="s">
        <v>195</v>
      </c>
      <c r="J350">
        <v>20</v>
      </c>
      <c r="K350">
        <v>26</v>
      </c>
      <c r="L350">
        <v>22</v>
      </c>
      <c r="M350">
        <v>24.9</v>
      </c>
      <c r="N350">
        <v>36.200000000000003</v>
      </c>
      <c r="O350">
        <v>28.9693</v>
      </c>
      <c r="P350">
        <v>19.731100000000001</v>
      </c>
      <c r="Q350">
        <v>25.673500000000001</v>
      </c>
      <c r="R350">
        <v>22.025200000000002</v>
      </c>
      <c r="T350" t="s">
        <v>168</v>
      </c>
      <c r="U350" t="s">
        <v>169</v>
      </c>
      <c r="V350" t="s">
        <v>196</v>
      </c>
      <c r="W350" t="s">
        <v>197</v>
      </c>
      <c r="Y350">
        <v>8</v>
      </c>
      <c r="Z350" t="s">
        <v>172</v>
      </c>
      <c r="AA350" t="s">
        <v>173</v>
      </c>
      <c r="AB350" t="s">
        <v>174</v>
      </c>
      <c r="AC350" t="s">
        <v>175</v>
      </c>
      <c r="AD350">
        <v>15</v>
      </c>
      <c r="AG350" t="s">
        <v>176</v>
      </c>
      <c r="AH350" t="s">
        <v>177</v>
      </c>
      <c r="AI350" t="s">
        <v>178</v>
      </c>
      <c r="AJ350" t="s">
        <v>179</v>
      </c>
      <c r="AK350" t="s">
        <v>664</v>
      </c>
      <c r="AL350" t="s">
        <v>665</v>
      </c>
      <c r="AS350">
        <v>2850</v>
      </c>
      <c r="AT350">
        <v>2850</v>
      </c>
      <c r="BN350" s="114" t="s">
        <v>247</v>
      </c>
      <c r="BO350">
        <v>2</v>
      </c>
      <c r="BP350">
        <v>2</v>
      </c>
      <c r="BQ350">
        <v>30</v>
      </c>
      <c r="BR350" t="s">
        <v>798</v>
      </c>
      <c r="BT350" t="s">
        <v>183</v>
      </c>
      <c r="BU350" s="115">
        <v>45823</v>
      </c>
      <c r="BV350">
        <v>36736</v>
      </c>
      <c r="BW350" s="116"/>
      <c r="BX350" t="s">
        <v>173</v>
      </c>
      <c r="BY350" t="s">
        <v>173</v>
      </c>
      <c r="CB350" t="s">
        <v>173</v>
      </c>
      <c r="CC350" t="s">
        <v>173</v>
      </c>
      <c r="CE350" t="s">
        <v>173</v>
      </c>
      <c r="CG350" t="s">
        <v>172</v>
      </c>
      <c r="CH350" t="s">
        <v>551</v>
      </c>
      <c r="CI350" t="s">
        <v>173</v>
      </c>
      <c r="DJ350" t="s">
        <v>250</v>
      </c>
      <c r="DK350" t="s">
        <v>251</v>
      </c>
      <c r="DN350" t="s">
        <v>173</v>
      </c>
      <c r="DO350" t="s">
        <v>552</v>
      </c>
      <c r="DP350" t="s">
        <v>172</v>
      </c>
      <c r="DQ350" t="s">
        <v>204</v>
      </c>
      <c r="EA350" s="117"/>
      <c r="EB350">
        <v>4</v>
      </c>
      <c r="EC350">
        <v>4</v>
      </c>
      <c r="EE350" t="s">
        <v>810</v>
      </c>
      <c r="EF350">
        <v>6</v>
      </c>
      <c r="EV350">
        <v>5750</v>
      </c>
      <c r="EW350">
        <v>449</v>
      </c>
      <c r="EX350">
        <v>346</v>
      </c>
      <c r="EY350">
        <v>403</v>
      </c>
    </row>
    <row r="351" spans="1:155" x14ac:dyDescent="0.35">
      <c r="A351">
        <v>2026</v>
      </c>
      <c r="B351" t="s">
        <v>211</v>
      </c>
      <c r="C351" s="112" t="s">
        <v>683</v>
      </c>
      <c r="D351" t="s">
        <v>811</v>
      </c>
      <c r="E351" t="s">
        <v>214</v>
      </c>
      <c r="F351">
        <v>101</v>
      </c>
      <c r="G351" s="113">
        <v>1.5</v>
      </c>
      <c r="H351">
        <v>4</v>
      </c>
      <c r="I351" t="s">
        <v>487</v>
      </c>
      <c r="J351">
        <v>26</v>
      </c>
      <c r="K351">
        <v>28</v>
      </c>
      <c r="L351">
        <v>27</v>
      </c>
      <c r="M351">
        <v>34.700000000000003</v>
      </c>
      <c r="N351">
        <v>44.1</v>
      </c>
      <c r="O351">
        <v>38.381500000000003</v>
      </c>
      <c r="P351">
        <v>26</v>
      </c>
      <c r="Q351">
        <v>28</v>
      </c>
      <c r="R351">
        <v>27</v>
      </c>
      <c r="T351" t="s">
        <v>168</v>
      </c>
      <c r="U351" t="s">
        <v>169</v>
      </c>
      <c r="V351" t="s">
        <v>488</v>
      </c>
      <c r="W351" t="s">
        <v>489</v>
      </c>
      <c r="Y351">
        <v>1</v>
      </c>
      <c r="Z351" t="s">
        <v>173</v>
      </c>
      <c r="AA351" t="s">
        <v>173</v>
      </c>
      <c r="AB351" t="s">
        <v>277</v>
      </c>
      <c r="AC351" t="s">
        <v>278</v>
      </c>
      <c r="AD351">
        <v>10</v>
      </c>
      <c r="AG351" t="s">
        <v>167</v>
      </c>
      <c r="AH351" t="s">
        <v>416</v>
      </c>
      <c r="AI351" t="s">
        <v>178</v>
      </c>
      <c r="AJ351" t="s">
        <v>179</v>
      </c>
      <c r="AK351" t="s">
        <v>664</v>
      </c>
      <c r="AL351" t="s">
        <v>665</v>
      </c>
      <c r="AS351">
        <v>1850</v>
      </c>
      <c r="AT351">
        <v>1850</v>
      </c>
      <c r="BN351" s="114" t="s">
        <v>198</v>
      </c>
      <c r="BO351">
        <v>2</v>
      </c>
      <c r="BP351">
        <v>2</v>
      </c>
      <c r="BQ351">
        <v>30</v>
      </c>
      <c r="BR351" t="s">
        <v>798</v>
      </c>
      <c r="BT351" t="s">
        <v>613</v>
      </c>
      <c r="BU351" s="115">
        <v>45762</v>
      </c>
      <c r="BV351">
        <v>36426</v>
      </c>
      <c r="BW351" s="116"/>
      <c r="BX351" t="s">
        <v>173</v>
      </c>
      <c r="BY351" t="s">
        <v>173</v>
      </c>
      <c r="CB351" t="s">
        <v>173</v>
      </c>
      <c r="CC351" t="s">
        <v>173</v>
      </c>
      <c r="CE351" t="s">
        <v>173</v>
      </c>
      <c r="CG351" t="s">
        <v>172</v>
      </c>
      <c r="CH351" t="s">
        <v>805</v>
      </c>
      <c r="CI351" t="s">
        <v>173</v>
      </c>
      <c r="DJ351" t="s">
        <v>201</v>
      </c>
      <c r="DK351" t="s">
        <v>202</v>
      </c>
      <c r="DN351" t="s">
        <v>173</v>
      </c>
      <c r="DO351" t="s">
        <v>203</v>
      </c>
      <c r="DP351" t="s">
        <v>172</v>
      </c>
      <c r="DQ351" t="s">
        <v>204</v>
      </c>
      <c r="DY351">
        <v>38.6</v>
      </c>
      <c r="EA351" s="117"/>
      <c r="EB351">
        <v>5</v>
      </c>
      <c r="EC351">
        <v>5</v>
      </c>
      <c r="EE351" t="s">
        <v>806</v>
      </c>
      <c r="EF351">
        <v>6</v>
      </c>
      <c r="EV351">
        <v>750</v>
      </c>
      <c r="EW351">
        <v>342</v>
      </c>
      <c r="EX351">
        <v>318</v>
      </c>
      <c r="EY351">
        <v>329</v>
      </c>
    </row>
    <row r="352" spans="1:155" x14ac:dyDescent="0.35">
      <c r="A352">
        <v>2026</v>
      </c>
      <c r="B352" t="s">
        <v>400</v>
      </c>
      <c r="C352" s="112" t="s">
        <v>561</v>
      </c>
      <c r="D352" t="s">
        <v>812</v>
      </c>
      <c r="E352" t="s">
        <v>403</v>
      </c>
      <c r="F352">
        <v>32</v>
      </c>
      <c r="G352" s="113">
        <v>2</v>
      </c>
      <c r="H352">
        <v>4</v>
      </c>
      <c r="I352" t="s">
        <v>813</v>
      </c>
      <c r="J352">
        <v>28</v>
      </c>
      <c r="K352">
        <v>35</v>
      </c>
      <c r="L352">
        <v>31</v>
      </c>
      <c r="M352">
        <v>36.9</v>
      </c>
      <c r="N352">
        <v>53.9</v>
      </c>
      <c r="O352">
        <v>43.003500000000003</v>
      </c>
      <c r="P352">
        <v>28.145199999999999</v>
      </c>
      <c r="Q352">
        <v>34.857900000000001</v>
      </c>
      <c r="R352">
        <v>30.8156</v>
      </c>
      <c r="U352" t="s">
        <v>215</v>
      </c>
      <c r="V352" t="s">
        <v>497</v>
      </c>
      <c r="W352" t="s">
        <v>498</v>
      </c>
      <c r="Y352">
        <v>1</v>
      </c>
      <c r="Z352" t="s">
        <v>172</v>
      </c>
      <c r="AA352" t="s">
        <v>173</v>
      </c>
      <c r="AB352" t="s">
        <v>277</v>
      </c>
      <c r="AC352" t="s">
        <v>278</v>
      </c>
      <c r="AD352">
        <v>15</v>
      </c>
      <c r="AG352" t="s">
        <v>167</v>
      </c>
      <c r="AH352" t="s">
        <v>416</v>
      </c>
      <c r="AI352" t="s">
        <v>178</v>
      </c>
      <c r="AJ352" t="s">
        <v>179</v>
      </c>
      <c r="AK352" t="s">
        <v>664</v>
      </c>
      <c r="AL352" t="s">
        <v>665</v>
      </c>
      <c r="AS352">
        <v>1600</v>
      </c>
      <c r="AT352">
        <v>1600</v>
      </c>
      <c r="BN352" s="114"/>
      <c r="BO352">
        <v>2</v>
      </c>
      <c r="BP352">
        <v>2</v>
      </c>
      <c r="BQ352">
        <v>30</v>
      </c>
      <c r="BR352" t="s">
        <v>798</v>
      </c>
      <c r="BT352" t="s">
        <v>613</v>
      </c>
      <c r="BU352" s="115">
        <v>45809</v>
      </c>
      <c r="BV352">
        <v>36619</v>
      </c>
      <c r="BW352" s="116"/>
      <c r="BX352" t="s">
        <v>173</v>
      </c>
      <c r="BY352" t="s">
        <v>173</v>
      </c>
      <c r="CB352" t="s">
        <v>173</v>
      </c>
      <c r="CC352" t="s">
        <v>173</v>
      </c>
      <c r="CE352" t="s">
        <v>173</v>
      </c>
      <c r="CG352" t="s">
        <v>172</v>
      </c>
      <c r="CH352" t="s">
        <v>563</v>
      </c>
      <c r="CI352" t="s">
        <v>173</v>
      </c>
      <c r="DJ352" t="s">
        <v>186</v>
      </c>
      <c r="DK352" t="s">
        <v>187</v>
      </c>
      <c r="DN352" t="s">
        <v>173</v>
      </c>
      <c r="DO352" t="s">
        <v>564</v>
      </c>
      <c r="DP352" t="s">
        <v>173</v>
      </c>
      <c r="DQ352" t="s">
        <v>189</v>
      </c>
      <c r="DR352" t="s">
        <v>814</v>
      </c>
      <c r="EA352" s="117"/>
      <c r="EB352">
        <v>6</v>
      </c>
      <c r="EC352">
        <v>6</v>
      </c>
      <c r="EE352" t="s">
        <v>815</v>
      </c>
      <c r="EF352">
        <v>6</v>
      </c>
      <c r="EU352">
        <v>500</v>
      </c>
      <c r="EW352">
        <v>316</v>
      </c>
      <c r="EX352">
        <v>255</v>
      </c>
      <c r="EY352">
        <v>288</v>
      </c>
    </row>
    <row r="353" spans="1:155" x14ac:dyDescent="0.35">
      <c r="A353">
        <v>2026</v>
      </c>
      <c r="B353" t="s">
        <v>400</v>
      </c>
      <c r="C353" s="112" t="s">
        <v>561</v>
      </c>
      <c r="D353" t="s">
        <v>816</v>
      </c>
      <c r="E353" t="s">
        <v>403</v>
      </c>
      <c r="F353">
        <v>30</v>
      </c>
      <c r="G353" s="113">
        <v>1.6</v>
      </c>
      <c r="H353">
        <v>4</v>
      </c>
      <c r="I353" t="s">
        <v>195</v>
      </c>
      <c r="J353">
        <v>26</v>
      </c>
      <c r="K353">
        <v>31</v>
      </c>
      <c r="L353">
        <v>28</v>
      </c>
      <c r="M353">
        <v>33.048099999999998</v>
      </c>
      <c r="N353">
        <v>49.099800000000002</v>
      </c>
      <c r="O353">
        <v>38.748600000000003</v>
      </c>
      <c r="P353">
        <v>25.5139</v>
      </c>
      <c r="Q353">
        <v>31.1129</v>
      </c>
      <c r="R353">
        <v>27.7621</v>
      </c>
      <c r="T353" t="s">
        <v>168</v>
      </c>
      <c r="U353" t="s">
        <v>169</v>
      </c>
      <c r="V353" t="s">
        <v>196</v>
      </c>
      <c r="W353" t="s">
        <v>197</v>
      </c>
      <c r="Y353">
        <v>8</v>
      </c>
      <c r="Z353" t="s">
        <v>172</v>
      </c>
      <c r="AA353" t="s">
        <v>173</v>
      </c>
      <c r="AB353" t="s">
        <v>277</v>
      </c>
      <c r="AC353" t="s">
        <v>278</v>
      </c>
      <c r="AD353">
        <v>15</v>
      </c>
      <c r="AG353" t="s">
        <v>167</v>
      </c>
      <c r="AH353" t="s">
        <v>416</v>
      </c>
      <c r="AI353" t="s">
        <v>178</v>
      </c>
      <c r="AJ353" t="s">
        <v>179</v>
      </c>
      <c r="AK353" t="s">
        <v>664</v>
      </c>
      <c r="AL353" t="s">
        <v>665</v>
      </c>
      <c r="AS353">
        <v>1750</v>
      </c>
      <c r="AT353">
        <v>1750</v>
      </c>
      <c r="BN353" s="114" t="s">
        <v>198</v>
      </c>
      <c r="BO353">
        <v>2</v>
      </c>
      <c r="BP353">
        <v>2</v>
      </c>
      <c r="BQ353">
        <v>30</v>
      </c>
      <c r="BR353" t="s">
        <v>798</v>
      </c>
      <c r="BT353" t="s">
        <v>613</v>
      </c>
      <c r="BU353" s="115">
        <v>45809</v>
      </c>
      <c r="BV353">
        <v>36615</v>
      </c>
      <c r="BW353" s="116"/>
      <c r="BX353" t="s">
        <v>173</v>
      </c>
      <c r="BY353" t="s">
        <v>173</v>
      </c>
      <c r="CB353" t="s">
        <v>173</v>
      </c>
      <c r="CC353" t="s">
        <v>173</v>
      </c>
      <c r="CE353" t="s">
        <v>173</v>
      </c>
      <c r="CG353" t="s">
        <v>172</v>
      </c>
      <c r="CH353" t="s">
        <v>563</v>
      </c>
      <c r="CI353" t="s">
        <v>173</v>
      </c>
      <c r="DJ353" t="s">
        <v>201</v>
      </c>
      <c r="DK353" t="s">
        <v>202</v>
      </c>
      <c r="DN353" t="s">
        <v>173</v>
      </c>
      <c r="DO353" t="s">
        <v>564</v>
      </c>
      <c r="DP353" t="s">
        <v>173</v>
      </c>
      <c r="DQ353" t="s">
        <v>189</v>
      </c>
      <c r="DR353" t="s">
        <v>817</v>
      </c>
      <c r="EA353" s="117"/>
      <c r="EB353">
        <v>5</v>
      </c>
      <c r="EC353">
        <v>5</v>
      </c>
      <c r="EE353" t="s">
        <v>818</v>
      </c>
      <c r="EF353">
        <v>6</v>
      </c>
      <c r="EV353">
        <v>250</v>
      </c>
      <c r="EW353">
        <v>348</v>
      </c>
      <c r="EX353">
        <v>286</v>
      </c>
      <c r="EY353">
        <v>320</v>
      </c>
    </row>
    <row r="354" spans="1:155" x14ac:dyDescent="0.35">
      <c r="A354">
        <v>2026</v>
      </c>
      <c r="B354" t="s">
        <v>400</v>
      </c>
      <c r="C354" s="112" t="s">
        <v>561</v>
      </c>
      <c r="D354" t="s">
        <v>819</v>
      </c>
      <c r="E354" t="s">
        <v>403</v>
      </c>
      <c r="F354">
        <v>70</v>
      </c>
      <c r="G354" s="113">
        <v>2</v>
      </c>
      <c r="H354">
        <v>4</v>
      </c>
      <c r="I354" t="s">
        <v>813</v>
      </c>
      <c r="J354">
        <v>29</v>
      </c>
      <c r="K354">
        <v>34</v>
      </c>
      <c r="L354">
        <v>31</v>
      </c>
      <c r="M354">
        <v>38.299999999999997</v>
      </c>
      <c r="N354">
        <v>54.6</v>
      </c>
      <c r="O354">
        <v>44.243699999999997</v>
      </c>
      <c r="P354">
        <v>29.085999999999999</v>
      </c>
      <c r="Q354">
        <v>34.4587</v>
      </c>
      <c r="R354">
        <v>31.2807</v>
      </c>
      <c r="U354" t="s">
        <v>215</v>
      </c>
      <c r="V354" t="s">
        <v>497</v>
      </c>
      <c r="W354" t="s">
        <v>498</v>
      </c>
      <c r="Y354">
        <v>1</v>
      </c>
      <c r="Z354" t="s">
        <v>172</v>
      </c>
      <c r="AA354" t="s">
        <v>173</v>
      </c>
      <c r="AB354" t="s">
        <v>277</v>
      </c>
      <c r="AC354" t="s">
        <v>278</v>
      </c>
      <c r="AD354">
        <v>15</v>
      </c>
      <c r="AG354" t="s">
        <v>167</v>
      </c>
      <c r="AH354" t="s">
        <v>416</v>
      </c>
      <c r="AI354" t="s">
        <v>178</v>
      </c>
      <c r="AJ354" t="s">
        <v>179</v>
      </c>
      <c r="AK354" t="s">
        <v>664</v>
      </c>
      <c r="AL354" t="s">
        <v>665</v>
      </c>
      <c r="AS354">
        <v>1600</v>
      </c>
      <c r="AT354">
        <v>1600</v>
      </c>
      <c r="BN354" s="114"/>
      <c r="BO354">
        <v>2</v>
      </c>
      <c r="BP354">
        <v>2</v>
      </c>
      <c r="BQ354">
        <v>30</v>
      </c>
      <c r="BR354" t="s">
        <v>798</v>
      </c>
      <c r="BT354" t="s">
        <v>613</v>
      </c>
      <c r="BU354" s="115">
        <v>45809</v>
      </c>
      <c r="BV354">
        <v>36618</v>
      </c>
      <c r="BW354" s="116"/>
      <c r="BX354" t="s">
        <v>173</v>
      </c>
      <c r="BY354" t="s">
        <v>173</v>
      </c>
      <c r="CB354" t="s">
        <v>173</v>
      </c>
      <c r="CC354" t="s">
        <v>173</v>
      </c>
      <c r="CE354" t="s">
        <v>173</v>
      </c>
      <c r="CG354" t="s">
        <v>172</v>
      </c>
      <c r="CH354" t="s">
        <v>563</v>
      </c>
      <c r="CI354" t="s">
        <v>173</v>
      </c>
      <c r="DJ354" t="s">
        <v>186</v>
      </c>
      <c r="DK354" t="s">
        <v>187</v>
      </c>
      <c r="DN354" t="s">
        <v>173</v>
      </c>
      <c r="DO354" t="s">
        <v>564</v>
      </c>
      <c r="DP354" t="s">
        <v>172</v>
      </c>
      <c r="DQ354" t="s">
        <v>204</v>
      </c>
      <c r="DR354" t="s">
        <v>571</v>
      </c>
      <c r="EA354" s="117"/>
      <c r="EB354">
        <v>6</v>
      </c>
      <c r="EC354">
        <v>6</v>
      </c>
      <c r="EE354" t="s">
        <v>815</v>
      </c>
      <c r="EF354">
        <v>6</v>
      </c>
      <c r="EU354">
        <v>500</v>
      </c>
      <c r="EW354">
        <v>305</v>
      </c>
      <c r="EX354">
        <v>258</v>
      </c>
      <c r="EY354">
        <v>284</v>
      </c>
    </row>
    <row r="355" spans="1:155" x14ac:dyDescent="0.35">
      <c r="A355">
        <v>2026</v>
      </c>
      <c r="B355" t="s">
        <v>400</v>
      </c>
      <c r="C355" s="112" t="s">
        <v>561</v>
      </c>
      <c r="D355" t="s">
        <v>820</v>
      </c>
      <c r="E355" t="s">
        <v>403</v>
      </c>
      <c r="F355">
        <v>45</v>
      </c>
      <c r="G355" s="113">
        <v>2.5</v>
      </c>
      <c r="H355">
        <v>4</v>
      </c>
      <c r="I355" t="s">
        <v>195</v>
      </c>
      <c r="J355">
        <v>22</v>
      </c>
      <c r="K355">
        <v>30</v>
      </c>
      <c r="L355">
        <v>25</v>
      </c>
      <c r="M355">
        <v>28</v>
      </c>
      <c r="N355">
        <v>43</v>
      </c>
      <c r="O355">
        <v>33.213799999999999</v>
      </c>
      <c r="P355">
        <v>21.966799999999999</v>
      </c>
      <c r="Q355">
        <v>30.033999999999999</v>
      </c>
      <c r="R355">
        <v>24.986999999999998</v>
      </c>
      <c r="U355" t="s">
        <v>215</v>
      </c>
      <c r="V355" t="s">
        <v>196</v>
      </c>
      <c r="W355" t="s">
        <v>197</v>
      </c>
      <c r="Y355">
        <v>8</v>
      </c>
      <c r="Z355" t="s">
        <v>172</v>
      </c>
      <c r="AA355" t="s">
        <v>173</v>
      </c>
      <c r="AB355" t="s">
        <v>277</v>
      </c>
      <c r="AC355" t="s">
        <v>278</v>
      </c>
      <c r="AD355">
        <v>15</v>
      </c>
      <c r="AG355" t="s">
        <v>167</v>
      </c>
      <c r="AH355" t="s">
        <v>416</v>
      </c>
      <c r="AI355" t="s">
        <v>178</v>
      </c>
      <c r="AJ355" t="s">
        <v>179</v>
      </c>
      <c r="AK355" t="s">
        <v>664</v>
      </c>
      <c r="AL355" t="s">
        <v>665</v>
      </c>
      <c r="AS355">
        <v>2000</v>
      </c>
      <c r="AT355">
        <v>2000</v>
      </c>
      <c r="BN355" s="114" t="s">
        <v>247</v>
      </c>
      <c r="BO355">
        <v>2</v>
      </c>
      <c r="BP355">
        <v>2</v>
      </c>
      <c r="BQ355">
        <v>30</v>
      </c>
      <c r="BR355" t="s">
        <v>798</v>
      </c>
      <c r="BT355" t="s">
        <v>183</v>
      </c>
      <c r="BU355" s="115">
        <v>45823</v>
      </c>
      <c r="BV355">
        <v>36703</v>
      </c>
      <c r="BW355" s="116"/>
      <c r="BX355" t="s">
        <v>173</v>
      </c>
      <c r="BY355" t="s">
        <v>173</v>
      </c>
      <c r="CB355" t="s">
        <v>173</v>
      </c>
      <c r="CC355" t="s">
        <v>173</v>
      </c>
      <c r="CE355" t="s">
        <v>173</v>
      </c>
      <c r="CG355" t="s">
        <v>172</v>
      </c>
      <c r="CH355" t="s">
        <v>567</v>
      </c>
      <c r="CI355" t="s">
        <v>173</v>
      </c>
      <c r="DJ355" t="s">
        <v>250</v>
      </c>
      <c r="DK355" t="s">
        <v>251</v>
      </c>
      <c r="DN355" t="s">
        <v>173</v>
      </c>
      <c r="DO355" t="s">
        <v>564</v>
      </c>
      <c r="DP355" t="s">
        <v>173</v>
      </c>
      <c r="DQ355" t="s">
        <v>189</v>
      </c>
      <c r="DR355" t="s">
        <v>821</v>
      </c>
      <c r="EA355" s="117"/>
      <c r="EB355">
        <v>5</v>
      </c>
      <c r="EC355">
        <v>5</v>
      </c>
      <c r="EE355" t="s">
        <v>822</v>
      </c>
      <c r="EF355">
        <v>6</v>
      </c>
      <c r="EV355">
        <v>1500</v>
      </c>
      <c r="EW355">
        <v>405</v>
      </c>
      <c r="EX355">
        <v>296</v>
      </c>
      <c r="EY355">
        <v>356</v>
      </c>
    </row>
    <row r="356" spans="1:155" x14ac:dyDescent="0.35">
      <c r="A356">
        <v>2026</v>
      </c>
      <c r="B356" t="s">
        <v>400</v>
      </c>
      <c r="C356" s="112" t="s">
        <v>561</v>
      </c>
      <c r="D356" t="s">
        <v>823</v>
      </c>
      <c r="E356" t="s">
        <v>403</v>
      </c>
      <c r="F356">
        <v>49</v>
      </c>
      <c r="G356" s="113">
        <v>2.5</v>
      </c>
      <c r="H356">
        <v>4</v>
      </c>
      <c r="I356" t="s">
        <v>195</v>
      </c>
      <c r="J356">
        <v>20</v>
      </c>
      <c r="K356">
        <v>29</v>
      </c>
      <c r="L356">
        <v>24</v>
      </c>
      <c r="M356">
        <v>25.956099999999999</v>
      </c>
      <c r="N356">
        <v>41.612299999999998</v>
      </c>
      <c r="O356">
        <v>31.246400000000001</v>
      </c>
      <c r="P356">
        <v>20.497800000000002</v>
      </c>
      <c r="Q356">
        <v>29.154900000000001</v>
      </c>
      <c r="R356">
        <v>23.659099999999999</v>
      </c>
      <c r="T356" t="s">
        <v>168</v>
      </c>
      <c r="U356" t="s">
        <v>169</v>
      </c>
      <c r="V356" t="s">
        <v>196</v>
      </c>
      <c r="W356" t="s">
        <v>197</v>
      </c>
      <c r="Y356">
        <v>8</v>
      </c>
      <c r="Z356" t="s">
        <v>172</v>
      </c>
      <c r="AA356" t="s">
        <v>173</v>
      </c>
      <c r="AB356" t="s">
        <v>277</v>
      </c>
      <c r="AC356" t="s">
        <v>278</v>
      </c>
      <c r="AD356">
        <v>15</v>
      </c>
      <c r="AG356" t="s">
        <v>167</v>
      </c>
      <c r="AH356" t="s">
        <v>416</v>
      </c>
      <c r="AI356" t="s">
        <v>178</v>
      </c>
      <c r="AJ356" t="s">
        <v>179</v>
      </c>
      <c r="AK356" t="s">
        <v>664</v>
      </c>
      <c r="AL356" t="s">
        <v>665</v>
      </c>
      <c r="AS356">
        <v>2050</v>
      </c>
      <c r="AT356">
        <v>2050</v>
      </c>
      <c r="BN356" s="114" t="s">
        <v>247</v>
      </c>
      <c r="BO356">
        <v>2</v>
      </c>
      <c r="BP356">
        <v>2</v>
      </c>
      <c r="BQ356">
        <v>30</v>
      </c>
      <c r="BR356" t="s">
        <v>798</v>
      </c>
      <c r="BT356" t="s">
        <v>183</v>
      </c>
      <c r="BU356" s="115">
        <v>45823</v>
      </c>
      <c r="BV356">
        <v>36715</v>
      </c>
      <c r="BW356" s="116"/>
      <c r="BX356" t="s">
        <v>173</v>
      </c>
      <c r="BY356" t="s">
        <v>173</v>
      </c>
      <c r="CB356" t="s">
        <v>173</v>
      </c>
      <c r="CC356" t="s">
        <v>173</v>
      </c>
      <c r="CE356" t="s">
        <v>173</v>
      </c>
      <c r="CG356" t="s">
        <v>172</v>
      </c>
      <c r="CH356" t="s">
        <v>551</v>
      </c>
      <c r="CI356" t="s">
        <v>173</v>
      </c>
      <c r="DJ356" t="s">
        <v>250</v>
      </c>
      <c r="DK356" t="s">
        <v>251</v>
      </c>
      <c r="DN356" t="s">
        <v>173</v>
      </c>
      <c r="DO356" t="s">
        <v>552</v>
      </c>
      <c r="DP356" t="s">
        <v>172</v>
      </c>
      <c r="DQ356" t="s">
        <v>204</v>
      </c>
      <c r="EA356" s="117"/>
      <c r="EB356">
        <v>5</v>
      </c>
      <c r="EC356">
        <v>5</v>
      </c>
      <c r="EE356" t="s">
        <v>824</v>
      </c>
      <c r="EF356">
        <v>6</v>
      </c>
      <c r="EV356">
        <v>1750</v>
      </c>
      <c r="EW356">
        <v>431</v>
      </c>
      <c r="EX356">
        <v>303</v>
      </c>
      <c r="EY356">
        <v>374</v>
      </c>
    </row>
    <row r="357" spans="1:155" x14ac:dyDescent="0.35">
      <c r="A357">
        <v>2026</v>
      </c>
      <c r="B357" t="s">
        <v>400</v>
      </c>
      <c r="C357" s="112" t="s">
        <v>561</v>
      </c>
      <c r="D357" t="s">
        <v>825</v>
      </c>
      <c r="E357" t="s">
        <v>403</v>
      </c>
      <c r="F357">
        <v>22</v>
      </c>
      <c r="G357" s="113">
        <v>1.6</v>
      </c>
      <c r="H357">
        <v>4</v>
      </c>
      <c r="I357" t="s">
        <v>573</v>
      </c>
      <c r="J357">
        <v>37</v>
      </c>
      <c r="K357">
        <v>36</v>
      </c>
      <c r="L357">
        <v>36</v>
      </c>
      <c r="M357">
        <v>48.906799999999997</v>
      </c>
      <c r="N357">
        <v>49.240400000000001</v>
      </c>
      <c r="O357">
        <v>49.056399999999996</v>
      </c>
      <c r="P357">
        <v>36.744900000000001</v>
      </c>
      <c r="Q357">
        <v>36.078899999999997</v>
      </c>
      <c r="R357">
        <v>36.4422</v>
      </c>
      <c r="T357" t="s">
        <v>168</v>
      </c>
      <c r="U357" t="s">
        <v>169</v>
      </c>
      <c r="V357" t="s">
        <v>275</v>
      </c>
      <c r="W357" t="s">
        <v>276</v>
      </c>
      <c r="Y357">
        <v>6</v>
      </c>
      <c r="Z357" t="s">
        <v>173</v>
      </c>
      <c r="AA357" t="s">
        <v>173</v>
      </c>
      <c r="AB357" t="s">
        <v>277</v>
      </c>
      <c r="AC357" t="s">
        <v>278</v>
      </c>
      <c r="AD357">
        <v>15</v>
      </c>
      <c r="AG357" t="s">
        <v>167</v>
      </c>
      <c r="AH357" t="s">
        <v>416</v>
      </c>
      <c r="AI357" t="s">
        <v>178</v>
      </c>
      <c r="AJ357" t="s">
        <v>179</v>
      </c>
      <c r="AK357" t="s">
        <v>664</v>
      </c>
      <c r="AL357" t="s">
        <v>665</v>
      </c>
      <c r="AS357">
        <v>1400</v>
      </c>
      <c r="AT357">
        <v>1400</v>
      </c>
      <c r="BN357" s="114" t="s">
        <v>492</v>
      </c>
      <c r="BO357">
        <v>2</v>
      </c>
      <c r="BP357">
        <v>2</v>
      </c>
      <c r="BQ357">
        <v>30</v>
      </c>
      <c r="BR357" t="s">
        <v>798</v>
      </c>
      <c r="BT357" t="s">
        <v>218</v>
      </c>
      <c r="BU357" s="115">
        <v>45823</v>
      </c>
      <c r="BV357">
        <v>36681</v>
      </c>
      <c r="BW357" s="116"/>
      <c r="BX357" t="s">
        <v>173</v>
      </c>
      <c r="BY357" t="s">
        <v>173</v>
      </c>
      <c r="CB357" t="s">
        <v>173</v>
      </c>
      <c r="CC357" t="s">
        <v>173</v>
      </c>
      <c r="CE357" t="s">
        <v>173</v>
      </c>
      <c r="CG357" t="s">
        <v>172</v>
      </c>
      <c r="CH357" t="s">
        <v>826</v>
      </c>
      <c r="CI357" t="s">
        <v>173</v>
      </c>
      <c r="CK357" t="s">
        <v>259</v>
      </c>
      <c r="CM357">
        <v>1</v>
      </c>
      <c r="CN357" t="s">
        <v>260</v>
      </c>
      <c r="CP357">
        <v>270</v>
      </c>
      <c r="CQ357">
        <v>5.5</v>
      </c>
      <c r="CR357">
        <v>40.1</v>
      </c>
      <c r="CS357" t="s">
        <v>261</v>
      </c>
      <c r="CV357" t="s">
        <v>262</v>
      </c>
      <c r="CX357" t="s">
        <v>493</v>
      </c>
      <c r="CY357" t="s">
        <v>172</v>
      </c>
      <c r="DD357">
        <v>1</v>
      </c>
      <c r="DE357" t="s">
        <v>307</v>
      </c>
      <c r="DF357" t="s">
        <v>330</v>
      </c>
      <c r="DG357">
        <v>48</v>
      </c>
      <c r="DJ357" t="s">
        <v>201</v>
      </c>
      <c r="DK357" t="s">
        <v>202</v>
      </c>
      <c r="DL357" t="s">
        <v>173</v>
      </c>
      <c r="DM357" t="s">
        <v>173</v>
      </c>
      <c r="DN357" t="s">
        <v>173</v>
      </c>
      <c r="DO357" t="s">
        <v>827</v>
      </c>
      <c r="DP357" t="s">
        <v>172</v>
      </c>
      <c r="DQ357" t="s">
        <v>204</v>
      </c>
      <c r="EA357" s="117"/>
      <c r="EB357">
        <v>7</v>
      </c>
      <c r="EC357">
        <v>7</v>
      </c>
      <c r="EE357" t="s">
        <v>828</v>
      </c>
      <c r="EF357">
        <v>6</v>
      </c>
      <c r="EU357">
        <v>1500</v>
      </c>
      <c r="EW357">
        <v>241</v>
      </c>
      <c r="EX357">
        <v>247</v>
      </c>
      <c r="EY357">
        <v>244</v>
      </c>
    </row>
    <row r="358" spans="1:155" x14ac:dyDescent="0.35">
      <c r="A358">
        <v>2026</v>
      </c>
      <c r="B358" t="s">
        <v>400</v>
      </c>
      <c r="C358" s="112" t="s">
        <v>561</v>
      </c>
      <c r="D358" t="s">
        <v>829</v>
      </c>
      <c r="E358" t="s">
        <v>403</v>
      </c>
      <c r="F358">
        <v>58</v>
      </c>
      <c r="G358" s="113">
        <v>2.5</v>
      </c>
      <c r="H358">
        <v>4</v>
      </c>
      <c r="I358" t="s">
        <v>195</v>
      </c>
      <c r="J358">
        <v>25</v>
      </c>
      <c r="K358">
        <v>33</v>
      </c>
      <c r="L358">
        <v>28</v>
      </c>
      <c r="M358">
        <v>31.777799999999999</v>
      </c>
      <c r="N358">
        <v>47.036000000000001</v>
      </c>
      <c r="O358">
        <v>37.209600000000002</v>
      </c>
      <c r="P358">
        <v>24.632000000000001</v>
      </c>
      <c r="Q358">
        <v>32.560099999999998</v>
      </c>
      <c r="R358">
        <v>27.6631</v>
      </c>
      <c r="U358" t="s">
        <v>215</v>
      </c>
      <c r="V358" t="s">
        <v>196</v>
      </c>
      <c r="W358" t="s">
        <v>197</v>
      </c>
      <c r="Y358">
        <v>8</v>
      </c>
      <c r="Z358" t="s">
        <v>172</v>
      </c>
      <c r="AA358" t="s">
        <v>173</v>
      </c>
      <c r="AB358" t="s">
        <v>277</v>
      </c>
      <c r="AC358" t="s">
        <v>278</v>
      </c>
      <c r="AD358">
        <v>15</v>
      </c>
      <c r="AG358" t="s">
        <v>167</v>
      </c>
      <c r="AH358" t="s">
        <v>416</v>
      </c>
      <c r="AI358" t="s">
        <v>178</v>
      </c>
      <c r="AJ358" t="s">
        <v>179</v>
      </c>
      <c r="AK358" t="s">
        <v>664</v>
      </c>
      <c r="AL358" t="s">
        <v>665</v>
      </c>
      <c r="AS358">
        <v>1750</v>
      </c>
      <c r="AT358">
        <v>1750</v>
      </c>
      <c r="BN358" s="114" t="s">
        <v>247</v>
      </c>
      <c r="BO358">
        <v>2</v>
      </c>
      <c r="BP358">
        <v>2</v>
      </c>
      <c r="BQ358">
        <v>30</v>
      </c>
      <c r="BR358" t="s">
        <v>798</v>
      </c>
      <c r="BT358" t="s">
        <v>183</v>
      </c>
      <c r="BU358" s="115">
        <v>45870</v>
      </c>
      <c r="BV358">
        <v>37252</v>
      </c>
      <c r="BW358" s="116"/>
      <c r="BX358" t="s">
        <v>173</v>
      </c>
      <c r="BY358" t="s">
        <v>173</v>
      </c>
      <c r="CB358" t="s">
        <v>173</v>
      </c>
      <c r="CC358" t="s">
        <v>173</v>
      </c>
      <c r="CE358" t="s">
        <v>173</v>
      </c>
      <c r="CG358" t="s">
        <v>172</v>
      </c>
      <c r="CH358" t="s">
        <v>567</v>
      </c>
      <c r="CI358" t="s">
        <v>173</v>
      </c>
      <c r="DJ358" t="s">
        <v>250</v>
      </c>
      <c r="DK358" t="s">
        <v>251</v>
      </c>
      <c r="DN358" t="s">
        <v>173</v>
      </c>
      <c r="DO358" t="s">
        <v>564</v>
      </c>
      <c r="DP358" t="s">
        <v>172</v>
      </c>
      <c r="DQ358" t="s">
        <v>204</v>
      </c>
      <c r="DR358" t="s">
        <v>830</v>
      </c>
      <c r="EA358" s="117"/>
      <c r="EB358">
        <v>5</v>
      </c>
      <c r="EC358">
        <v>5</v>
      </c>
      <c r="EE358" t="s">
        <v>831</v>
      </c>
      <c r="EF358">
        <v>6</v>
      </c>
      <c r="EV358">
        <v>250</v>
      </c>
      <c r="EW358">
        <v>361</v>
      </c>
      <c r="EX358">
        <v>274</v>
      </c>
      <c r="EY358">
        <v>322</v>
      </c>
    </row>
    <row r="359" spans="1:155" x14ac:dyDescent="0.35">
      <c r="A359">
        <v>2026</v>
      </c>
      <c r="B359" t="s">
        <v>400</v>
      </c>
      <c r="C359" s="112" t="s">
        <v>561</v>
      </c>
      <c r="D359" t="s">
        <v>832</v>
      </c>
      <c r="E359" t="s">
        <v>403</v>
      </c>
      <c r="F359">
        <v>51</v>
      </c>
      <c r="G359" s="113">
        <v>1.6</v>
      </c>
      <c r="H359">
        <v>4</v>
      </c>
      <c r="I359" t="s">
        <v>813</v>
      </c>
      <c r="J359">
        <v>29</v>
      </c>
      <c r="K359">
        <v>33</v>
      </c>
      <c r="L359">
        <v>31</v>
      </c>
      <c r="M359">
        <v>37.688800000000001</v>
      </c>
      <c r="N359">
        <v>49.331800000000001</v>
      </c>
      <c r="O359">
        <v>42.167200000000001</v>
      </c>
      <c r="P359">
        <v>29.3325</v>
      </c>
      <c r="Q359">
        <v>32.533099999999997</v>
      </c>
      <c r="R359">
        <v>30.691199999999998</v>
      </c>
      <c r="U359" t="s">
        <v>215</v>
      </c>
      <c r="V359" t="s">
        <v>497</v>
      </c>
      <c r="W359" t="s">
        <v>498</v>
      </c>
      <c r="Y359">
        <v>1</v>
      </c>
      <c r="Z359" t="s">
        <v>172</v>
      </c>
      <c r="AA359" t="s">
        <v>173</v>
      </c>
      <c r="AB359" t="s">
        <v>277</v>
      </c>
      <c r="AC359" t="s">
        <v>278</v>
      </c>
      <c r="AD359">
        <v>15</v>
      </c>
      <c r="AG359" t="s">
        <v>167</v>
      </c>
      <c r="AH359" t="s">
        <v>416</v>
      </c>
      <c r="AI359" t="s">
        <v>178</v>
      </c>
      <c r="AJ359" t="s">
        <v>179</v>
      </c>
      <c r="AK359" t="s">
        <v>664</v>
      </c>
      <c r="AL359" t="s">
        <v>665</v>
      </c>
      <c r="AS359">
        <v>1600</v>
      </c>
      <c r="AT359">
        <v>1600</v>
      </c>
      <c r="BN359" s="114"/>
      <c r="BO359">
        <v>2</v>
      </c>
      <c r="BP359">
        <v>2</v>
      </c>
      <c r="BQ359">
        <v>30</v>
      </c>
      <c r="BR359" t="s">
        <v>798</v>
      </c>
      <c r="BT359" t="s">
        <v>218</v>
      </c>
      <c r="BU359" s="115">
        <v>45870</v>
      </c>
      <c r="BV359">
        <v>37123</v>
      </c>
      <c r="BW359" s="116"/>
      <c r="BX359" t="s">
        <v>173</v>
      </c>
      <c r="BY359" t="s">
        <v>173</v>
      </c>
      <c r="CB359" t="s">
        <v>173</v>
      </c>
      <c r="CC359" t="s">
        <v>173</v>
      </c>
      <c r="CE359" t="s">
        <v>173</v>
      </c>
      <c r="CG359" t="s">
        <v>172</v>
      </c>
      <c r="CH359" t="s">
        <v>563</v>
      </c>
      <c r="CI359" t="s">
        <v>173</v>
      </c>
      <c r="DJ359" t="s">
        <v>186</v>
      </c>
      <c r="DK359" t="s">
        <v>187</v>
      </c>
      <c r="DN359" t="s">
        <v>173</v>
      </c>
      <c r="DO359" t="s">
        <v>564</v>
      </c>
      <c r="DP359" t="s">
        <v>173</v>
      </c>
      <c r="DQ359" t="s">
        <v>189</v>
      </c>
      <c r="EA359" s="117"/>
      <c r="EB359">
        <v>6</v>
      </c>
      <c r="EC359">
        <v>6</v>
      </c>
      <c r="EE359" t="s">
        <v>833</v>
      </c>
      <c r="EF359">
        <v>4</v>
      </c>
      <c r="EU359">
        <v>500</v>
      </c>
      <c r="EW359">
        <v>304</v>
      </c>
      <c r="EX359">
        <v>274</v>
      </c>
      <c r="EY359">
        <v>291</v>
      </c>
    </row>
    <row r="360" spans="1:155" x14ac:dyDescent="0.35">
      <c r="A360">
        <v>2026</v>
      </c>
      <c r="B360" t="s">
        <v>578</v>
      </c>
      <c r="C360" s="112" t="s">
        <v>579</v>
      </c>
      <c r="D360" t="s">
        <v>834</v>
      </c>
      <c r="E360" t="s">
        <v>581</v>
      </c>
      <c r="F360">
        <v>28</v>
      </c>
      <c r="G360" s="113">
        <v>1.6</v>
      </c>
      <c r="H360">
        <v>4</v>
      </c>
      <c r="I360" t="s">
        <v>573</v>
      </c>
      <c r="J360">
        <v>53</v>
      </c>
      <c r="K360">
        <v>45</v>
      </c>
      <c r="L360">
        <v>49</v>
      </c>
      <c r="M360">
        <v>68.2</v>
      </c>
      <c r="N360">
        <v>62.5</v>
      </c>
      <c r="O360">
        <v>65.511399999999995</v>
      </c>
      <c r="P360">
        <v>52.553199999999997</v>
      </c>
      <c r="Q360">
        <v>45.245199999999997</v>
      </c>
      <c r="R360">
        <v>48.992199999999997</v>
      </c>
      <c r="U360" t="s">
        <v>215</v>
      </c>
      <c r="V360" t="s">
        <v>275</v>
      </c>
      <c r="W360" t="s">
        <v>276</v>
      </c>
      <c r="Y360">
        <v>6</v>
      </c>
      <c r="Z360" t="s">
        <v>173</v>
      </c>
      <c r="AA360" t="s">
        <v>173</v>
      </c>
      <c r="AB360" t="s">
        <v>277</v>
      </c>
      <c r="AC360" t="s">
        <v>278</v>
      </c>
      <c r="AD360">
        <v>15</v>
      </c>
      <c r="AG360" t="s">
        <v>167</v>
      </c>
      <c r="AH360" t="s">
        <v>416</v>
      </c>
      <c r="AI360" t="s">
        <v>178</v>
      </c>
      <c r="AJ360" t="s">
        <v>179</v>
      </c>
      <c r="AK360" t="s">
        <v>664</v>
      </c>
      <c r="AL360" t="s">
        <v>665</v>
      </c>
      <c r="AO360">
        <v>105</v>
      </c>
      <c r="AP360">
        <v>23</v>
      </c>
      <c r="AS360">
        <v>1000</v>
      </c>
      <c r="AT360">
        <v>1000</v>
      </c>
      <c r="BN360" s="114" t="s">
        <v>492</v>
      </c>
      <c r="BO360">
        <v>2</v>
      </c>
      <c r="BP360">
        <v>2</v>
      </c>
      <c r="BQ360">
        <v>30</v>
      </c>
      <c r="BR360" t="s">
        <v>798</v>
      </c>
      <c r="BT360" t="s">
        <v>218</v>
      </c>
      <c r="BU360" s="115">
        <v>45825</v>
      </c>
      <c r="BV360">
        <v>36787</v>
      </c>
      <c r="BW360" s="116"/>
      <c r="BX360" t="s">
        <v>173</v>
      </c>
      <c r="BY360" t="s">
        <v>173</v>
      </c>
      <c r="CB360" t="s">
        <v>173</v>
      </c>
      <c r="CC360" t="s">
        <v>173</v>
      </c>
      <c r="CE360" t="s">
        <v>173</v>
      </c>
      <c r="CG360" t="s">
        <v>172</v>
      </c>
      <c r="CH360" t="s">
        <v>835</v>
      </c>
      <c r="CI360" t="s">
        <v>173</v>
      </c>
      <c r="CK360" t="s">
        <v>259</v>
      </c>
      <c r="CM360">
        <v>1</v>
      </c>
      <c r="CN360" t="s">
        <v>260</v>
      </c>
      <c r="CP360">
        <v>240</v>
      </c>
      <c r="CQ360">
        <v>5.5</v>
      </c>
      <c r="CR360">
        <v>38.799999999999997</v>
      </c>
      <c r="CS360" t="s">
        <v>261</v>
      </c>
      <c r="CV360" t="s">
        <v>262</v>
      </c>
      <c r="CX360" t="s">
        <v>493</v>
      </c>
      <c r="CY360" t="s">
        <v>173</v>
      </c>
      <c r="DD360">
        <v>1</v>
      </c>
      <c r="DE360" t="s">
        <v>307</v>
      </c>
      <c r="DF360" t="s">
        <v>330</v>
      </c>
      <c r="DG360">
        <v>32</v>
      </c>
      <c r="DJ360" t="s">
        <v>201</v>
      </c>
      <c r="DK360" t="s">
        <v>202</v>
      </c>
      <c r="DL360" t="s">
        <v>173</v>
      </c>
      <c r="DM360" t="s">
        <v>173</v>
      </c>
      <c r="DN360" t="s">
        <v>173</v>
      </c>
      <c r="DO360" t="s">
        <v>836</v>
      </c>
      <c r="DP360" t="s">
        <v>172</v>
      </c>
      <c r="DQ360" t="s">
        <v>204</v>
      </c>
      <c r="EA360" s="117"/>
      <c r="EB360">
        <v>8</v>
      </c>
      <c r="EC360">
        <v>8</v>
      </c>
      <c r="EE360" t="s">
        <v>837</v>
      </c>
      <c r="EF360">
        <v>6</v>
      </c>
      <c r="EU360">
        <v>3500</v>
      </c>
      <c r="EW360">
        <v>168</v>
      </c>
      <c r="EX360">
        <v>196</v>
      </c>
      <c r="EY360">
        <v>181</v>
      </c>
    </row>
    <row r="361" spans="1:155" x14ac:dyDescent="0.35">
      <c r="A361">
        <v>2026</v>
      </c>
      <c r="B361" t="s">
        <v>578</v>
      </c>
      <c r="C361" s="112" t="s">
        <v>579</v>
      </c>
      <c r="D361" t="s">
        <v>838</v>
      </c>
      <c r="E361" t="s">
        <v>581</v>
      </c>
      <c r="F361">
        <v>29</v>
      </c>
      <c r="G361" s="113">
        <v>1.6</v>
      </c>
      <c r="H361">
        <v>4</v>
      </c>
      <c r="I361" t="s">
        <v>573</v>
      </c>
      <c r="J361">
        <v>53</v>
      </c>
      <c r="K361">
        <v>54</v>
      </c>
      <c r="L361">
        <v>53</v>
      </c>
      <c r="M361">
        <v>70.400000000000006</v>
      </c>
      <c r="N361">
        <v>66.7</v>
      </c>
      <c r="O361">
        <v>68.685400000000001</v>
      </c>
      <c r="P361">
        <v>52.686300000000003</v>
      </c>
      <c r="Q361">
        <v>53.6295</v>
      </c>
      <c r="R361">
        <v>53.1066</v>
      </c>
      <c r="U361" t="s">
        <v>215</v>
      </c>
      <c r="V361" t="s">
        <v>275</v>
      </c>
      <c r="W361" t="s">
        <v>276</v>
      </c>
      <c r="Y361">
        <v>6</v>
      </c>
      <c r="Z361" t="s">
        <v>173</v>
      </c>
      <c r="AA361" t="s">
        <v>173</v>
      </c>
      <c r="AB361" t="s">
        <v>277</v>
      </c>
      <c r="AC361" t="s">
        <v>278</v>
      </c>
      <c r="AD361">
        <v>15</v>
      </c>
      <c r="AG361" t="s">
        <v>167</v>
      </c>
      <c r="AH361" t="s">
        <v>416</v>
      </c>
      <c r="AI361" t="s">
        <v>178</v>
      </c>
      <c r="AJ361" t="s">
        <v>179</v>
      </c>
      <c r="AK361" t="s">
        <v>664</v>
      </c>
      <c r="AL361" t="s">
        <v>665</v>
      </c>
      <c r="AO361">
        <v>105</v>
      </c>
      <c r="AP361">
        <v>23</v>
      </c>
      <c r="AS361">
        <v>950</v>
      </c>
      <c r="AT361">
        <v>950</v>
      </c>
      <c r="BN361" s="114" t="s">
        <v>492</v>
      </c>
      <c r="BO361">
        <v>2</v>
      </c>
      <c r="BP361">
        <v>2</v>
      </c>
      <c r="BQ361">
        <v>30</v>
      </c>
      <c r="BR361" t="s">
        <v>798</v>
      </c>
      <c r="BT361" t="s">
        <v>218</v>
      </c>
      <c r="BU361" s="115">
        <v>45825</v>
      </c>
      <c r="BV361">
        <v>36788</v>
      </c>
      <c r="BW361" s="116"/>
      <c r="BX361" t="s">
        <v>173</v>
      </c>
      <c r="BY361" t="s">
        <v>173</v>
      </c>
      <c r="CB361" t="s">
        <v>173</v>
      </c>
      <c r="CC361" t="s">
        <v>173</v>
      </c>
      <c r="CE361" t="s">
        <v>173</v>
      </c>
      <c r="CG361" t="s">
        <v>172</v>
      </c>
      <c r="CH361" t="s">
        <v>835</v>
      </c>
      <c r="CI361" t="s">
        <v>173</v>
      </c>
      <c r="CK361" t="s">
        <v>259</v>
      </c>
      <c r="CM361">
        <v>1</v>
      </c>
      <c r="CN361" t="s">
        <v>260</v>
      </c>
      <c r="CP361">
        <v>240</v>
      </c>
      <c r="CQ361">
        <v>5.5</v>
      </c>
      <c r="CR361">
        <v>38.799999999999997</v>
      </c>
      <c r="CS361" t="s">
        <v>261</v>
      </c>
      <c r="CV361" t="s">
        <v>262</v>
      </c>
      <c r="CX361" t="s">
        <v>493</v>
      </c>
      <c r="CY361" t="s">
        <v>173</v>
      </c>
      <c r="DD361">
        <v>1</v>
      </c>
      <c r="DE361" t="s">
        <v>307</v>
      </c>
      <c r="DF361" t="s">
        <v>330</v>
      </c>
      <c r="DG361">
        <v>32</v>
      </c>
      <c r="DJ361" t="s">
        <v>201</v>
      </c>
      <c r="DK361" t="s">
        <v>202</v>
      </c>
      <c r="DL361" t="s">
        <v>173</v>
      </c>
      <c r="DM361" t="s">
        <v>173</v>
      </c>
      <c r="DN361" t="s">
        <v>173</v>
      </c>
      <c r="DO361" t="s">
        <v>836</v>
      </c>
      <c r="DP361" t="s">
        <v>172</v>
      </c>
      <c r="DQ361" t="s">
        <v>204</v>
      </c>
      <c r="EA361" s="117"/>
      <c r="EB361">
        <v>8</v>
      </c>
      <c r="EC361">
        <v>8</v>
      </c>
      <c r="EE361" t="s">
        <v>837</v>
      </c>
      <c r="EF361">
        <v>6</v>
      </c>
      <c r="EU361">
        <v>3750</v>
      </c>
      <c r="EW361">
        <v>168</v>
      </c>
      <c r="EX361">
        <v>165</v>
      </c>
      <c r="EY361">
        <v>167</v>
      </c>
    </row>
    <row r="362" spans="1:155" x14ac:dyDescent="0.35">
      <c r="A362">
        <v>2026</v>
      </c>
      <c r="B362" t="s">
        <v>578</v>
      </c>
      <c r="C362" s="112" t="s">
        <v>579</v>
      </c>
      <c r="D362" t="s">
        <v>839</v>
      </c>
      <c r="E362" t="s">
        <v>581</v>
      </c>
      <c r="F362">
        <v>39</v>
      </c>
      <c r="G362" s="113">
        <v>2.5</v>
      </c>
      <c r="H362">
        <v>4</v>
      </c>
      <c r="I362" t="s">
        <v>195</v>
      </c>
      <c r="J362">
        <v>23</v>
      </c>
      <c r="K362">
        <v>31</v>
      </c>
      <c r="L362">
        <v>26</v>
      </c>
      <c r="M362">
        <v>30.1</v>
      </c>
      <c r="N362">
        <v>44.4</v>
      </c>
      <c r="O362">
        <v>35.201900000000002</v>
      </c>
      <c r="P362">
        <v>23.456299999999999</v>
      </c>
      <c r="Q362">
        <v>30.915299999999998</v>
      </c>
      <c r="R362">
        <v>26.313199999999998</v>
      </c>
      <c r="U362" t="s">
        <v>215</v>
      </c>
      <c r="V362" t="s">
        <v>196</v>
      </c>
      <c r="W362" t="s">
        <v>197</v>
      </c>
      <c r="Y362">
        <v>8</v>
      </c>
      <c r="Z362" t="s">
        <v>172</v>
      </c>
      <c r="AA362" t="s">
        <v>173</v>
      </c>
      <c r="AB362" t="s">
        <v>277</v>
      </c>
      <c r="AC362" t="s">
        <v>278</v>
      </c>
      <c r="AD362">
        <v>15</v>
      </c>
      <c r="AG362" t="s">
        <v>167</v>
      </c>
      <c r="AH362" t="s">
        <v>416</v>
      </c>
      <c r="AI362" t="s">
        <v>178</v>
      </c>
      <c r="AJ362" t="s">
        <v>179</v>
      </c>
      <c r="AK362" t="s">
        <v>664</v>
      </c>
      <c r="AL362" t="s">
        <v>665</v>
      </c>
      <c r="AS362">
        <v>1900</v>
      </c>
      <c r="AT362">
        <v>1900</v>
      </c>
      <c r="BN362" s="114" t="s">
        <v>247</v>
      </c>
      <c r="BO362">
        <v>2</v>
      </c>
      <c r="BP362">
        <v>2</v>
      </c>
      <c r="BQ362">
        <v>30</v>
      </c>
      <c r="BR362" t="s">
        <v>798</v>
      </c>
      <c r="BT362" t="s">
        <v>183</v>
      </c>
      <c r="BU362" s="115">
        <v>45856</v>
      </c>
      <c r="BV362">
        <v>37011</v>
      </c>
      <c r="BW362" s="116"/>
      <c r="BX362" t="s">
        <v>173</v>
      </c>
      <c r="BY362" t="s">
        <v>173</v>
      </c>
      <c r="CB362" t="s">
        <v>173</v>
      </c>
      <c r="CC362" t="s">
        <v>173</v>
      </c>
      <c r="CE362" t="s">
        <v>173</v>
      </c>
      <c r="CG362" t="s">
        <v>172</v>
      </c>
      <c r="CH362" t="s">
        <v>551</v>
      </c>
      <c r="CI362" t="s">
        <v>173</v>
      </c>
      <c r="DJ362" t="s">
        <v>250</v>
      </c>
      <c r="DK362" t="s">
        <v>251</v>
      </c>
      <c r="DN362" t="s">
        <v>173</v>
      </c>
      <c r="DO362" t="s">
        <v>564</v>
      </c>
      <c r="DP362" t="s">
        <v>172</v>
      </c>
      <c r="DQ362" t="s">
        <v>204</v>
      </c>
      <c r="EA362" s="117"/>
      <c r="EB362">
        <v>5</v>
      </c>
      <c r="EC362">
        <v>5</v>
      </c>
      <c r="EE362" t="s">
        <v>841</v>
      </c>
      <c r="EF362">
        <v>6</v>
      </c>
      <c r="EV362">
        <v>1000</v>
      </c>
      <c r="EW362">
        <v>380</v>
      </c>
      <c r="EX362">
        <v>289</v>
      </c>
      <c r="EY362">
        <v>339</v>
      </c>
    </row>
    <row r="363" spans="1:155" x14ac:dyDescent="0.35">
      <c r="A363">
        <v>2026</v>
      </c>
      <c r="B363" t="s">
        <v>578</v>
      </c>
      <c r="C363" s="112" t="s">
        <v>579</v>
      </c>
      <c r="D363" t="s">
        <v>839</v>
      </c>
      <c r="E363" t="s">
        <v>581</v>
      </c>
      <c r="F363">
        <v>41</v>
      </c>
      <c r="G363" s="113">
        <v>2.5</v>
      </c>
      <c r="H363">
        <v>4</v>
      </c>
      <c r="I363" t="s">
        <v>289</v>
      </c>
      <c r="J363">
        <v>20</v>
      </c>
      <c r="K363">
        <v>29</v>
      </c>
      <c r="L363">
        <v>23</v>
      </c>
      <c r="M363">
        <v>25.5</v>
      </c>
      <c r="N363">
        <v>40.9</v>
      </c>
      <c r="O363">
        <v>30.702100000000002</v>
      </c>
      <c r="P363">
        <v>20.167300000000001</v>
      </c>
      <c r="Q363">
        <v>28.701499999999999</v>
      </c>
      <c r="R363">
        <v>23.282699999999998</v>
      </c>
      <c r="T363" t="s">
        <v>168</v>
      </c>
      <c r="U363" t="s">
        <v>169</v>
      </c>
      <c r="V363" t="s">
        <v>275</v>
      </c>
      <c r="W363" t="s">
        <v>276</v>
      </c>
      <c r="Y363">
        <v>8</v>
      </c>
      <c r="Z363" t="s">
        <v>173</v>
      </c>
      <c r="AA363" t="s">
        <v>173</v>
      </c>
      <c r="AB363" t="s">
        <v>277</v>
      </c>
      <c r="AC363" t="s">
        <v>278</v>
      </c>
      <c r="AD363">
        <v>15</v>
      </c>
      <c r="AG363" t="s">
        <v>167</v>
      </c>
      <c r="AH363" t="s">
        <v>416</v>
      </c>
      <c r="AI363" t="s">
        <v>178</v>
      </c>
      <c r="AJ363" t="s">
        <v>179</v>
      </c>
      <c r="AK363" t="s">
        <v>664</v>
      </c>
      <c r="AL363" t="s">
        <v>665</v>
      </c>
      <c r="AS363">
        <v>2150</v>
      </c>
      <c r="AT363">
        <v>2150</v>
      </c>
      <c r="BN363" s="114" t="s">
        <v>247</v>
      </c>
      <c r="BO363">
        <v>2</v>
      </c>
      <c r="BP363">
        <v>2</v>
      </c>
      <c r="BQ363">
        <v>30</v>
      </c>
      <c r="BR363" t="s">
        <v>798</v>
      </c>
      <c r="BT363" t="s">
        <v>183</v>
      </c>
      <c r="BU363" s="115">
        <v>45856</v>
      </c>
      <c r="BV363">
        <v>37014</v>
      </c>
      <c r="BW363" s="116"/>
      <c r="BX363" t="s">
        <v>173</v>
      </c>
      <c r="BY363" t="s">
        <v>173</v>
      </c>
      <c r="CB363" t="s">
        <v>173</v>
      </c>
      <c r="CC363" t="s">
        <v>173</v>
      </c>
      <c r="CE363" t="s">
        <v>173</v>
      </c>
      <c r="CG363" t="s">
        <v>172</v>
      </c>
      <c r="CH363" t="s">
        <v>551</v>
      </c>
      <c r="CI363" t="s">
        <v>173</v>
      </c>
      <c r="DJ363" t="s">
        <v>250</v>
      </c>
      <c r="DK363" t="s">
        <v>251</v>
      </c>
      <c r="DN363" t="s">
        <v>173</v>
      </c>
      <c r="DO363" t="s">
        <v>552</v>
      </c>
      <c r="DP363" t="s">
        <v>172</v>
      </c>
      <c r="DQ363" t="s">
        <v>204</v>
      </c>
      <c r="EA363" s="117"/>
      <c r="EB363">
        <v>5</v>
      </c>
      <c r="EC363">
        <v>5</v>
      </c>
      <c r="EE363" t="s">
        <v>840</v>
      </c>
      <c r="EF363">
        <v>6</v>
      </c>
      <c r="EV363">
        <v>2250</v>
      </c>
      <c r="EW363">
        <v>441</v>
      </c>
      <c r="EX363">
        <v>311</v>
      </c>
      <c r="EY363">
        <v>382</v>
      </c>
    </row>
    <row r="364" spans="1:155" x14ac:dyDescent="0.35">
      <c r="A364">
        <v>2026</v>
      </c>
      <c r="B364" t="s">
        <v>578</v>
      </c>
      <c r="C364" s="112" t="s">
        <v>579</v>
      </c>
      <c r="D364" t="s">
        <v>842</v>
      </c>
      <c r="E364" t="s">
        <v>581</v>
      </c>
      <c r="F364">
        <v>24</v>
      </c>
      <c r="G364" s="113">
        <v>1.6</v>
      </c>
      <c r="H364">
        <v>4</v>
      </c>
      <c r="I364" t="s">
        <v>573</v>
      </c>
      <c r="J364">
        <v>37</v>
      </c>
      <c r="K364">
        <v>36</v>
      </c>
      <c r="L364">
        <v>37</v>
      </c>
      <c r="M364">
        <v>50.6</v>
      </c>
      <c r="N364">
        <v>47.6</v>
      </c>
      <c r="O364">
        <v>49.204500000000003</v>
      </c>
      <c r="P364">
        <v>37.398400000000002</v>
      </c>
      <c r="Q364">
        <v>36.109699999999997</v>
      </c>
      <c r="R364">
        <v>36.807299999999998</v>
      </c>
      <c r="T364" t="s">
        <v>168</v>
      </c>
      <c r="U364" t="s">
        <v>169</v>
      </c>
      <c r="V364" t="s">
        <v>275</v>
      </c>
      <c r="W364" t="s">
        <v>276</v>
      </c>
      <c r="Y364">
        <v>6</v>
      </c>
      <c r="Z364" t="s">
        <v>173</v>
      </c>
      <c r="AA364" t="s">
        <v>173</v>
      </c>
      <c r="AB364" t="s">
        <v>277</v>
      </c>
      <c r="AC364" t="s">
        <v>278</v>
      </c>
      <c r="AD364">
        <v>15</v>
      </c>
      <c r="AG364" t="s">
        <v>167</v>
      </c>
      <c r="AH364" t="s">
        <v>416</v>
      </c>
      <c r="AI364" t="s">
        <v>178</v>
      </c>
      <c r="AJ364" t="s">
        <v>179</v>
      </c>
      <c r="AK364" t="s">
        <v>664</v>
      </c>
      <c r="AL364" t="s">
        <v>665</v>
      </c>
      <c r="AS364">
        <v>1350</v>
      </c>
      <c r="AT364">
        <v>1350</v>
      </c>
      <c r="BN364" s="114" t="s">
        <v>492</v>
      </c>
      <c r="BO364">
        <v>2</v>
      </c>
      <c r="BP364">
        <v>2</v>
      </c>
      <c r="BQ364">
        <v>30</v>
      </c>
      <c r="BR364" t="s">
        <v>798</v>
      </c>
      <c r="BT364" t="s">
        <v>218</v>
      </c>
      <c r="BU364" s="115">
        <v>45855</v>
      </c>
      <c r="BV364">
        <v>37143</v>
      </c>
      <c r="BW364" s="116"/>
      <c r="BX364" t="s">
        <v>173</v>
      </c>
      <c r="BY364" t="s">
        <v>173</v>
      </c>
      <c r="CB364" t="s">
        <v>173</v>
      </c>
      <c r="CC364" t="s">
        <v>173</v>
      </c>
      <c r="CE364" t="s">
        <v>173</v>
      </c>
      <c r="CG364" t="s">
        <v>172</v>
      </c>
      <c r="CH364" t="s">
        <v>843</v>
      </c>
      <c r="CI364" t="s">
        <v>173</v>
      </c>
      <c r="CK364" t="s">
        <v>259</v>
      </c>
      <c r="CM364">
        <v>1</v>
      </c>
      <c r="CN364" t="s">
        <v>260</v>
      </c>
      <c r="CP364">
        <v>270</v>
      </c>
      <c r="CQ364">
        <v>5.5</v>
      </c>
      <c r="CR364">
        <v>37.1</v>
      </c>
      <c r="CS364" t="s">
        <v>261</v>
      </c>
      <c r="CV364" t="s">
        <v>262</v>
      </c>
      <c r="CX364" t="s">
        <v>493</v>
      </c>
      <c r="CY364" t="s">
        <v>172</v>
      </c>
      <c r="DD364">
        <v>1</v>
      </c>
      <c r="DE364" t="s">
        <v>307</v>
      </c>
      <c r="DF364" t="s">
        <v>330</v>
      </c>
      <c r="DG364">
        <v>48</v>
      </c>
      <c r="DJ364" t="s">
        <v>201</v>
      </c>
      <c r="DK364" t="s">
        <v>202</v>
      </c>
      <c r="DL364" t="s">
        <v>173</v>
      </c>
      <c r="DM364" t="s">
        <v>173</v>
      </c>
      <c r="DN364" t="s">
        <v>173</v>
      </c>
      <c r="DO364" t="s">
        <v>284</v>
      </c>
      <c r="DP364" t="s">
        <v>172</v>
      </c>
      <c r="DQ364" t="s">
        <v>204</v>
      </c>
      <c r="EA364" s="117"/>
      <c r="EB364">
        <v>7</v>
      </c>
      <c r="EC364">
        <v>7</v>
      </c>
      <c r="EE364" t="s">
        <v>844</v>
      </c>
      <c r="EF364">
        <v>6</v>
      </c>
      <c r="EU364">
        <v>1750</v>
      </c>
      <c r="EW364">
        <v>236</v>
      </c>
      <c r="EX364">
        <v>245</v>
      </c>
      <c r="EY364">
        <v>240</v>
      </c>
    </row>
    <row r="365" spans="1:155" x14ac:dyDescent="0.35">
      <c r="A365">
        <v>2026</v>
      </c>
      <c r="B365" t="s">
        <v>578</v>
      </c>
      <c r="C365" s="112" t="s">
        <v>579</v>
      </c>
      <c r="D365" t="s">
        <v>845</v>
      </c>
      <c r="E365" t="s">
        <v>581</v>
      </c>
      <c r="F365">
        <v>2</v>
      </c>
      <c r="G365" s="113">
        <v>2.5</v>
      </c>
      <c r="H365">
        <v>4</v>
      </c>
      <c r="I365" t="s">
        <v>195</v>
      </c>
      <c r="J365">
        <v>25</v>
      </c>
      <c r="K365">
        <v>33</v>
      </c>
      <c r="L365">
        <v>28</v>
      </c>
      <c r="M365">
        <v>32.217799999999997</v>
      </c>
      <c r="N365">
        <v>47.988199999999999</v>
      </c>
      <c r="O365">
        <v>37.809199999999997</v>
      </c>
      <c r="P365">
        <v>24.938199999999998</v>
      </c>
      <c r="Q365">
        <v>33.149500000000003</v>
      </c>
      <c r="R365">
        <v>28.066800000000001</v>
      </c>
      <c r="U365" t="s">
        <v>215</v>
      </c>
      <c r="V365" t="s">
        <v>196</v>
      </c>
      <c r="W365" t="s">
        <v>197</v>
      </c>
      <c r="Y365">
        <v>8</v>
      </c>
      <c r="Z365" t="s">
        <v>172</v>
      </c>
      <c r="AA365" t="s">
        <v>173</v>
      </c>
      <c r="AB365" t="s">
        <v>277</v>
      </c>
      <c r="AC365" t="s">
        <v>278</v>
      </c>
      <c r="AD365">
        <v>15</v>
      </c>
      <c r="AG365" t="s">
        <v>167</v>
      </c>
      <c r="AH365" t="s">
        <v>416</v>
      </c>
      <c r="AI365" t="s">
        <v>178</v>
      </c>
      <c r="AJ365" t="s">
        <v>179</v>
      </c>
      <c r="AK365" t="s">
        <v>664</v>
      </c>
      <c r="AL365" t="s">
        <v>665</v>
      </c>
      <c r="AS365">
        <v>1750</v>
      </c>
      <c r="AT365">
        <v>1750</v>
      </c>
      <c r="BN365" s="114" t="s">
        <v>247</v>
      </c>
      <c r="BO365">
        <v>2</v>
      </c>
      <c r="BP365">
        <v>2</v>
      </c>
      <c r="BQ365">
        <v>30</v>
      </c>
      <c r="BR365" t="s">
        <v>798</v>
      </c>
      <c r="BT365" t="s">
        <v>183</v>
      </c>
      <c r="BU365" s="115">
        <v>45731</v>
      </c>
      <c r="BV365">
        <v>36327</v>
      </c>
      <c r="BW365" s="116"/>
      <c r="BX365" t="s">
        <v>173</v>
      </c>
      <c r="BY365" t="s">
        <v>173</v>
      </c>
      <c r="CB365" t="s">
        <v>173</v>
      </c>
      <c r="CC365" t="s">
        <v>173</v>
      </c>
      <c r="CE365" t="s">
        <v>173</v>
      </c>
      <c r="CG365" t="s">
        <v>172</v>
      </c>
      <c r="CH365" t="s">
        <v>567</v>
      </c>
      <c r="CI365" t="s">
        <v>173</v>
      </c>
      <c r="DJ365" t="s">
        <v>250</v>
      </c>
      <c r="DK365" t="s">
        <v>251</v>
      </c>
      <c r="DN365" t="s">
        <v>173</v>
      </c>
      <c r="DO365" t="s">
        <v>585</v>
      </c>
      <c r="DP365" t="s">
        <v>172</v>
      </c>
      <c r="DQ365" t="s">
        <v>204</v>
      </c>
      <c r="EA365" s="117"/>
      <c r="EB365">
        <v>5</v>
      </c>
      <c r="EC365">
        <v>5</v>
      </c>
      <c r="EE365" t="s">
        <v>846</v>
      </c>
      <c r="EF365">
        <v>6</v>
      </c>
      <c r="EV365">
        <v>250</v>
      </c>
      <c r="EW365">
        <v>357</v>
      </c>
      <c r="EX365">
        <v>269</v>
      </c>
      <c r="EY365">
        <v>317</v>
      </c>
    </row>
    <row r="366" spans="1:155" x14ac:dyDescent="0.35">
      <c r="A366">
        <v>2026</v>
      </c>
      <c r="B366" t="s">
        <v>578</v>
      </c>
      <c r="C366" s="112" t="s">
        <v>579</v>
      </c>
      <c r="D366" t="s">
        <v>847</v>
      </c>
      <c r="E366" t="s">
        <v>581</v>
      </c>
      <c r="F366">
        <v>4</v>
      </c>
      <c r="G366" s="113">
        <v>1.6</v>
      </c>
      <c r="H366">
        <v>4</v>
      </c>
      <c r="I366" t="s">
        <v>573</v>
      </c>
      <c r="J366">
        <v>41</v>
      </c>
      <c r="K366">
        <v>44</v>
      </c>
      <c r="L366">
        <v>42</v>
      </c>
      <c r="M366">
        <v>54.7</v>
      </c>
      <c r="N366">
        <v>56.8</v>
      </c>
      <c r="O366">
        <v>55.625500000000002</v>
      </c>
      <c r="P366">
        <v>41.113999999999997</v>
      </c>
      <c r="Q366">
        <v>44.2104</v>
      </c>
      <c r="R366">
        <v>42.451999999999998</v>
      </c>
      <c r="T366" t="s">
        <v>168</v>
      </c>
      <c r="U366" t="s">
        <v>169</v>
      </c>
      <c r="V366" t="s">
        <v>275</v>
      </c>
      <c r="W366" t="s">
        <v>276</v>
      </c>
      <c r="Y366">
        <v>6</v>
      </c>
      <c r="Z366" t="s">
        <v>173</v>
      </c>
      <c r="AA366" t="s">
        <v>173</v>
      </c>
      <c r="AB366" t="s">
        <v>277</v>
      </c>
      <c r="AC366" t="s">
        <v>278</v>
      </c>
      <c r="AD366">
        <v>15</v>
      </c>
      <c r="AG366" t="s">
        <v>167</v>
      </c>
      <c r="AH366" t="s">
        <v>416</v>
      </c>
      <c r="AI366" t="s">
        <v>178</v>
      </c>
      <c r="AJ366" t="s">
        <v>179</v>
      </c>
      <c r="AK366" t="s">
        <v>664</v>
      </c>
      <c r="AL366" t="s">
        <v>665</v>
      </c>
      <c r="AS366">
        <v>1200</v>
      </c>
      <c r="AT366">
        <v>1200</v>
      </c>
      <c r="BN366" s="114" t="s">
        <v>492</v>
      </c>
      <c r="BO366">
        <v>2</v>
      </c>
      <c r="BP366">
        <v>2</v>
      </c>
      <c r="BQ366">
        <v>30</v>
      </c>
      <c r="BR366" t="s">
        <v>798</v>
      </c>
      <c r="BT366" t="s">
        <v>218</v>
      </c>
      <c r="BU366" s="115">
        <v>45792</v>
      </c>
      <c r="BV366">
        <v>36661</v>
      </c>
      <c r="BW366" s="116"/>
      <c r="BX366" t="s">
        <v>173</v>
      </c>
      <c r="BY366" t="s">
        <v>173</v>
      </c>
      <c r="CB366" t="s">
        <v>173</v>
      </c>
      <c r="CC366" t="s">
        <v>173</v>
      </c>
      <c r="CE366" t="s">
        <v>173</v>
      </c>
      <c r="CG366" t="s">
        <v>172</v>
      </c>
      <c r="CH366" t="s">
        <v>848</v>
      </c>
      <c r="CI366" t="s">
        <v>173</v>
      </c>
      <c r="CK366" t="s">
        <v>259</v>
      </c>
      <c r="CM366">
        <v>1</v>
      </c>
      <c r="CN366" t="s">
        <v>260</v>
      </c>
      <c r="CP366">
        <v>270</v>
      </c>
      <c r="CQ366">
        <v>5.5</v>
      </c>
      <c r="CR366">
        <v>37.5</v>
      </c>
      <c r="CS366" t="s">
        <v>261</v>
      </c>
      <c r="CV366" t="s">
        <v>262</v>
      </c>
      <c r="CX366" t="s">
        <v>493</v>
      </c>
      <c r="CY366" t="s">
        <v>172</v>
      </c>
      <c r="DD366">
        <v>1</v>
      </c>
      <c r="DE366" t="s">
        <v>307</v>
      </c>
      <c r="DF366" t="s">
        <v>330</v>
      </c>
      <c r="DG366">
        <v>48</v>
      </c>
      <c r="DJ366" t="s">
        <v>201</v>
      </c>
      <c r="DK366" t="s">
        <v>202</v>
      </c>
      <c r="DL366" t="s">
        <v>173</v>
      </c>
      <c r="DM366" t="s">
        <v>173</v>
      </c>
      <c r="DN366" t="s">
        <v>173</v>
      </c>
      <c r="DO366" t="s">
        <v>849</v>
      </c>
      <c r="DP366" t="s">
        <v>172</v>
      </c>
      <c r="DQ366" t="s">
        <v>204</v>
      </c>
      <c r="EA366" s="117"/>
      <c r="EB366">
        <v>7</v>
      </c>
      <c r="EC366">
        <v>7</v>
      </c>
      <c r="EE366" t="s">
        <v>850</v>
      </c>
      <c r="EF366">
        <v>6</v>
      </c>
      <c r="EU366">
        <v>2500</v>
      </c>
      <c r="EW366">
        <v>216</v>
      </c>
      <c r="EX366">
        <v>202</v>
      </c>
      <c r="EY366">
        <v>209</v>
      </c>
    </row>
    <row r="367" spans="1:155" x14ac:dyDescent="0.35">
      <c r="A367">
        <v>2026</v>
      </c>
      <c r="B367" t="s">
        <v>242</v>
      </c>
      <c r="C367" s="112" t="s">
        <v>243</v>
      </c>
      <c r="D367" t="s">
        <v>851</v>
      </c>
      <c r="E367" t="s">
        <v>245</v>
      </c>
      <c r="F367">
        <v>4</v>
      </c>
      <c r="G367" s="113">
        <v>2.5</v>
      </c>
      <c r="H367">
        <v>4</v>
      </c>
      <c r="I367" t="s">
        <v>852</v>
      </c>
      <c r="J367">
        <v>42</v>
      </c>
      <c r="K367">
        <v>38</v>
      </c>
      <c r="L367">
        <v>40</v>
      </c>
      <c r="M367">
        <v>58.061100000000003</v>
      </c>
      <c r="N367">
        <v>52.372199999999999</v>
      </c>
      <c r="O367">
        <v>55.3553</v>
      </c>
      <c r="P367">
        <v>42.4893</v>
      </c>
      <c r="Q367">
        <v>38</v>
      </c>
      <c r="R367">
        <v>40</v>
      </c>
      <c r="U367" t="s">
        <v>215</v>
      </c>
      <c r="V367" t="s">
        <v>497</v>
      </c>
      <c r="W367" t="s">
        <v>498</v>
      </c>
      <c r="Y367">
        <v>6</v>
      </c>
      <c r="Z367" t="s">
        <v>173</v>
      </c>
      <c r="AA367" t="s">
        <v>173</v>
      </c>
      <c r="AB367" t="s">
        <v>277</v>
      </c>
      <c r="AC367" t="s">
        <v>278</v>
      </c>
      <c r="AD367">
        <v>15</v>
      </c>
      <c r="AG367" t="s">
        <v>176</v>
      </c>
      <c r="AH367" t="s">
        <v>177</v>
      </c>
      <c r="AI367" t="s">
        <v>178</v>
      </c>
      <c r="AJ367" t="s">
        <v>179</v>
      </c>
      <c r="AK367" t="s">
        <v>664</v>
      </c>
      <c r="AL367" t="s">
        <v>665</v>
      </c>
      <c r="AS367">
        <v>1550</v>
      </c>
      <c r="AT367">
        <v>1550</v>
      </c>
      <c r="BN367" s="114" t="s">
        <v>505</v>
      </c>
      <c r="BO367">
        <v>2</v>
      </c>
      <c r="BP367">
        <v>2</v>
      </c>
      <c r="BQ367">
        <v>30</v>
      </c>
      <c r="BR367" t="s">
        <v>798</v>
      </c>
      <c r="BT367" t="s">
        <v>218</v>
      </c>
      <c r="BU367" s="115">
        <v>45875</v>
      </c>
      <c r="BV367">
        <v>36957</v>
      </c>
      <c r="BW367" s="116"/>
      <c r="BX367" t="s">
        <v>173</v>
      </c>
      <c r="BY367" t="s">
        <v>173</v>
      </c>
      <c r="CB367" t="s">
        <v>173</v>
      </c>
      <c r="CC367" t="s">
        <v>173</v>
      </c>
      <c r="CD367" t="s">
        <v>853</v>
      </c>
      <c r="CE367" t="s">
        <v>173</v>
      </c>
      <c r="CG367" t="s">
        <v>172</v>
      </c>
      <c r="CH367" t="s">
        <v>249</v>
      </c>
      <c r="CI367" t="s">
        <v>173</v>
      </c>
      <c r="CK367" t="s">
        <v>259</v>
      </c>
      <c r="CM367">
        <v>1</v>
      </c>
      <c r="CN367" t="s">
        <v>260</v>
      </c>
      <c r="CP367">
        <v>259</v>
      </c>
      <c r="CQ367">
        <v>4.3</v>
      </c>
      <c r="CR367">
        <v>35</v>
      </c>
      <c r="CS367" t="s">
        <v>261</v>
      </c>
      <c r="CV367" t="s">
        <v>262</v>
      </c>
      <c r="CX367" t="s">
        <v>263</v>
      </c>
      <c r="CY367" t="s">
        <v>173</v>
      </c>
      <c r="DC367" t="s">
        <v>854</v>
      </c>
      <c r="DD367">
        <v>2</v>
      </c>
      <c r="DE367" t="s">
        <v>307</v>
      </c>
      <c r="DF367" t="s">
        <v>855</v>
      </c>
      <c r="DG367">
        <v>40</v>
      </c>
      <c r="DJ367" t="s">
        <v>250</v>
      </c>
      <c r="DK367" t="s">
        <v>251</v>
      </c>
      <c r="DL367" t="s">
        <v>173</v>
      </c>
      <c r="DM367" t="s">
        <v>173</v>
      </c>
      <c r="DN367" t="s">
        <v>173</v>
      </c>
      <c r="DO367" t="s">
        <v>856</v>
      </c>
      <c r="DP367" t="s">
        <v>172</v>
      </c>
      <c r="DQ367" t="s">
        <v>204</v>
      </c>
      <c r="DR367" t="s">
        <v>509</v>
      </c>
      <c r="EA367" s="117"/>
      <c r="EB367">
        <v>7</v>
      </c>
      <c r="EC367">
        <v>7</v>
      </c>
      <c r="EE367" t="s">
        <v>857</v>
      </c>
      <c r="EF367">
        <v>6</v>
      </c>
      <c r="EU367">
        <v>750</v>
      </c>
      <c r="EW367">
        <v>207</v>
      </c>
      <c r="EX367">
        <v>233</v>
      </c>
      <c r="EY367">
        <v>220</v>
      </c>
    </row>
    <row r="368" spans="1:155" x14ac:dyDescent="0.35">
      <c r="A368">
        <v>2026</v>
      </c>
      <c r="B368" t="s">
        <v>242</v>
      </c>
      <c r="C368" s="112" t="s">
        <v>243</v>
      </c>
      <c r="D368" t="s">
        <v>1263</v>
      </c>
      <c r="E368" t="s">
        <v>245</v>
      </c>
      <c r="F368">
        <v>79</v>
      </c>
      <c r="G368" s="113">
        <v>2.4</v>
      </c>
      <c r="H368">
        <v>4</v>
      </c>
      <c r="I368" t="s">
        <v>195</v>
      </c>
      <c r="J368">
        <v>22</v>
      </c>
      <c r="K368">
        <v>29</v>
      </c>
      <c r="L368">
        <v>25</v>
      </c>
      <c r="M368">
        <v>28.297899999999998</v>
      </c>
      <c r="N368">
        <v>41.412100000000002</v>
      </c>
      <c r="O368">
        <v>33.000599999999999</v>
      </c>
      <c r="P368">
        <v>22.179400000000001</v>
      </c>
      <c r="Q368">
        <v>29.0276</v>
      </c>
      <c r="R368">
        <v>24.813700000000001</v>
      </c>
      <c r="T368" t="s">
        <v>168</v>
      </c>
      <c r="U368" t="s">
        <v>169</v>
      </c>
      <c r="V368" t="s">
        <v>196</v>
      </c>
      <c r="W368" t="s">
        <v>197</v>
      </c>
      <c r="Y368">
        <v>8</v>
      </c>
      <c r="Z368" t="s">
        <v>172</v>
      </c>
      <c r="AA368" t="s">
        <v>173</v>
      </c>
      <c r="AB368" t="s">
        <v>277</v>
      </c>
      <c r="AC368" t="s">
        <v>278</v>
      </c>
      <c r="AD368">
        <v>15</v>
      </c>
      <c r="AG368" t="s">
        <v>216</v>
      </c>
      <c r="AH368" t="s">
        <v>217</v>
      </c>
      <c r="AI368" t="s">
        <v>178</v>
      </c>
      <c r="AJ368" t="s">
        <v>179</v>
      </c>
      <c r="AK368" t="s">
        <v>664</v>
      </c>
      <c r="AL368" t="s">
        <v>665</v>
      </c>
      <c r="AS368">
        <v>2500</v>
      </c>
      <c r="AT368">
        <v>2500</v>
      </c>
      <c r="BN368" s="114" t="s">
        <v>247</v>
      </c>
      <c r="BO368">
        <v>2</v>
      </c>
      <c r="BP368">
        <v>2</v>
      </c>
      <c r="BQ368">
        <v>30</v>
      </c>
      <c r="BR368" t="s">
        <v>798</v>
      </c>
      <c r="BT368" t="s">
        <v>183</v>
      </c>
      <c r="BU368" s="115">
        <v>45917</v>
      </c>
      <c r="BV368">
        <v>37028</v>
      </c>
      <c r="BW368" s="116"/>
      <c r="BX368" t="s">
        <v>172</v>
      </c>
      <c r="BY368" t="s">
        <v>173</v>
      </c>
      <c r="CB368" t="s">
        <v>173</v>
      </c>
      <c r="CC368" t="s">
        <v>173</v>
      </c>
      <c r="CD368" t="s">
        <v>974</v>
      </c>
      <c r="CE368" t="s">
        <v>173</v>
      </c>
      <c r="CG368" t="s">
        <v>172</v>
      </c>
      <c r="CH368" t="s">
        <v>249</v>
      </c>
      <c r="CI368" t="s">
        <v>173</v>
      </c>
      <c r="DJ368" t="s">
        <v>250</v>
      </c>
      <c r="DK368" t="s">
        <v>251</v>
      </c>
      <c r="DN368" t="s">
        <v>173</v>
      </c>
      <c r="DO368" t="s">
        <v>284</v>
      </c>
      <c r="DP368" t="s">
        <v>172</v>
      </c>
      <c r="DQ368" t="s">
        <v>204</v>
      </c>
      <c r="EA368" s="117"/>
      <c r="EB368">
        <v>5</v>
      </c>
      <c r="EC368">
        <v>5</v>
      </c>
      <c r="EE368" t="s">
        <v>975</v>
      </c>
      <c r="EF368">
        <v>6</v>
      </c>
      <c r="EV368">
        <v>4000</v>
      </c>
      <c r="EW368">
        <v>396</v>
      </c>
      <c r="EX368">
        <v>303</v>
      </c>
      <c r="EY368">
        <v>354</v>
      </c>
    </row>
    <row r="369" spans="1:155" x14ac:dyDescent="0.35">
      <c r="A369">
        <v>2026</v>
      </c>
      <c r="B369" t="s">
        <v>978</v>
      </c>
      <c r="C369" s="112" t="s">
        <v>979</v>
      </c>
      <c r="D369" t="s">
        <v>1264</v>
      </c>
      <c r="E369" t="s">
        <v>981</v>
      </c>
      <c r="F369">
        <v>56</v>
      </c>
      <c r="G369" s="113">
        <v>2</v>
      </c>
      <c r="H369">
        <v>4</v>
      </c>
      <c r="I369" t="s">
        <v>195</v>
      </c>
      <c r="J369">
        <v>22</v>
      </c>
      <c r="K369">
        <v>30</v>
      </c>
      <c r="L369">
        <v>25</v>
      </c>
      <c r="M369">
        <v>27.9</v>
      </c>
      <c r="N369">
        <v>42.8</v>
      </c>
      <c r="O369">
        <v>33.082700000000003</v>
      </c>
      <c r="P369">
        <v>21.895399999999999</v>
      </c>
      <c r="Q369">
        <v>29.907599999999999</v>
      </c>
      <c r="R369">
        <v>24.896799999999999</v>
      </c>
      <c r="T369" t="s">
        <v>168</v>
      </c>
      <c r="U369" t="s">
        <v>169</v>
      </c>
      <c r="V369" t="s">
        <v>196</v>
      </c>
      <c r="W369" t="s">
        <v>197</v>
      </c>
      <c r="Y369">
        <v>8</v>
      </c>
      <c r="Z369" t="s">
        <v>172</v>
      </c>
      <c r="AA369" t="s">
        <v>173</v>
      </c>
      <c r="AB369" t="s">
        <v>277</v>
      </c>
      <c r="AC369" t="s">
        <v>278</v>
      </c>
      <c r="AD369">
        <v>85</v>
      </c>
      <c r="AG369" t="s">
        <v>167</v>
      </c>
      <c r="AH369" t="s">
        <v>416</v>
      </c>
      <c r="AI369" t="s">
        <v>178</v>
      </c>
      <c r="AJ369" t="s">
        <v>179</v>
      </c>
      <c r="AK369" t="s">
        <v>664</v>
      </c>
      <c r="AL369" t="s">
        <v>665</v>
      </c>
      <c r="AS369">
        <v>2000</v>
      </c>
      <c r="AT369">
        <v>2000</v>
      </c>
      <c r="BN369" s="114" t="s">
        <v>247</v>
      </c>
      <c r="BO369">
        <v>2</v>
      </c>
      <c r="BP369">
        <v>2</v>
      </c>
      <c r="BQ369">
        <v>30</v>
      </c>
      <c r="BR369" t="s">
        <v>798</v>
      </c>
      <c r="BT369" t="s">
        <v>183</v>
      </c>
      <c r="BU369" s="115">
        <v>45908</v>
      </c>
      <c r="BV369">
        <v>37399</v>
      </c>
      <c r="BW369" s="116"/>
      <c r="BX369" t="s">
        <v>173</v>
      </c>
      <c r="BY369" t="s">
        <v>173</v>
      </c>
      <c r="CB369" t="s">
        <v>173</v>
      </c>
      <c r="CC369" t="s">
        <v>173</v>
      </c>
      <c r="CD369" t="s">
        <v>1265</v>
      </c>
      <c r="CE369" t="s">
        <v>173</v>
      </c>
      <c r="CG369" t="s">
        <v>172</v>
      </c>
      <c r="CH369" t="s">
        <v>1260</v>
      </c>
      <c r="CI369" t="s">
        <v>173</v>
      </c>
      <c r="DJ369" t="s">
        <v>250</v>
      </c>
      <c r="DK369" t="s">
        <v>251</v>
      </c>
      <c r="DN369" t="s">
        <v>173</v>
      </c>
      <c r="DO369" t="s">
        <v>983</v>
      </c>
      <c r="DP369" t="s">
        <v>172</v>
      </c>
      <c r="DQ369" t="s">
        <v>204</v>
      </c>
      <c r="DY369">
        <v>33.299999999999997</v>
      </c>
      <c r="EA369" s="117"/>
      <c r="EB369">
        <v>5</v>
      </c>
      <c r="EC369">
        <v>5</v>
      </c>
      <c r="EE369" t="s">
        <v>1266</v>
      </c>
      <c r="EF369">
        <v>5</v>
      </c>
      <c r="EV369">
        <v>1500</v>
      </c>
      <c r="EW369">
        <v>406</v>
      </c>
      <c r="EX369">
        <v>298</v>
      </c>
      <c r="EY369">
        <v>358</v>
      </c>
    </row>
    <row r="370" spans="1:155" x14ac:dyDescent="0.35">
      <c r="A370">
        <v>2026</v>
      </c>
      <c r="B370" t="s">
        <v>228</v>
      </c>
      <c r="C370" s="112" t="s">
        <v>228</v>
      </c>
      <c r="D370" t="s">
        <v>858</v>
      </c>
      <c r="E370" t="s">
        <v>230</v>
      </c>
      <c r="F370">
        <v>111</v>
      </c>
      <c r="G370" s="113">
        <v>2</v>
      </c>
      <c r="H370">
        <v>4</v>
      </c>
      <c r="I370" t="s">
        <v>231</v>
      </c>
      <c r="J370">
        <v>24</v>
      </c>
      <c r="K370">
        <v>32</v>
      </c>
      <c r="L370">
        <v>27</v>
      </c>
      <c r="M370">
        <v>31.1</v>
      </c>
      <c r="N370">
        <v>46.7</v>
      </c>
      <c r="O370">
        <v>36.6021</v>
      </c>
      <c r="P370">
        <v>24.1585</v>
      </c>
      <c r="Q370">
        <v>32.351500000000001</v>
      </c>
      <c r="R370">
        <v>27.265799999999999</v>
      </c>
      <c r="T370" t="s">
        <v>168</v>
      </c>
      <c r="U370" t="s">
        <v>169</v>
      </c>
      <c r="V370" t="s">
        <v>170</v>
      </c>
      <c r="W370" t="s">
        <v>171</v>
      </c>
      <c r="Y370">
        <v>9</v>
      </c>
      <c r="Z370" t="s">
        <v>172</v>
      </c>
      <c r="AA370" t="s">
        <v>173</v>
      </c>
      <c r="AB370" t="s">
        <v>174</v>
      </c>
      <c r="AC370" t="s">
        <v>175</v>
      </c>
      <c r="AD370">
        <v>10</v>
      </c>
      <c r="AG370" t="s">
        <v>216</v>
      </c>
      <c r="AH370" t="s">
        <v>217</v>
      </c>
      <c r="AI370" t="s">
        <v>178</v>
      </c>
      <c r="AJ370" t="s">
        <v>179</v>
      </c>
      <c r="AK370" t="s">
        <v>664</v>
      </c>
      <c r="AL370" t="s">
        <v>665</v>
      </c>
      <c r="AS370">
        <v>2300</v>
      </c>
      <c r="AT370">
        <v>2300</v>
      </c>
      <c r="BN370" s="114" t="s">
        <v>256</v>
      </c>
      <c r="BO370">
        <v>2</v>
      </c>
      <c r="BP370">
        <v>2</v>
      </c>
      <c r="BQ370">
        <v>30</v>
      </c>
      <c r="BR370" t="s">
        <v>798</v>
      </c>
      <c r="BT370" t="s">
        <v>183</v>
      </c>
      <c r="BU370" s="115">
        <v>45863</v>
      </c>
      <c r="BV370">
        <v>37122</v>
      </c>
      <c r="BW370" s="116"/>
      <c r="BX370" t="s">
        <v>173</v>
      </c>
      <c r="CB370" t="s">
        <v>173</v>
      </c>
      <c r="CC370" t="s">
        <v>173</v>
      </c>
      <c r="CD370" t="s">
        <v>859</v>
      </c>
      <c r="CE370" t="s">
        <v>173</v>
      </c>
      <c r="CG370" t="s">
        <v>172</v>
      </c>
      <c r="CH370" t="s">
        <v>860</v>
      </c>
      <c r="CI370" t="s">
        <v>173</v>
      </c>
      <c r="CK370" t="s">
        <v>259</v>
      </c>
      <c r="CM370">
        <v>1</v>
      </c>
      <c r="CN370" t="s">
        <v>260</v>
      </c>
      <c r="CP370">
        <v>48</v>
      </c>
      <c r="CQ370">
        <v>17.5</v>
      </c>
      <c r="CR370">
        <v>62.2</v>
      </c>
      <c r="CS370" t="s">
        <v>261</v>
      </c>
      <c r="CV370" t="s">
        <v>262</v>
      </c>
      <c r="CX370" t="s">
        <v>263</v>
      </c>
      <c r="CY370" t="s">
        <v>173</v>
      </c>
      <c r="DC370" t="s">
        <v>355</v>
      </c>
      <c r="DD370">
        <v>1</v>
      </c>
      <c r="DE370" t="s">
        <v>307</v>
      </c>
      <c r="DF370" t="s">
        <v>356</v>
      </c>
      <c r="DG370">
        <v>17</v>
      </c>
      <c r="DJ370" t="s">
        <v>201</v>
      </c>
      <c r="DK370" t="s">
        <v>202</v>
      </c>
      <c r="DL370" t="s">
        <v>173</v>
      </c>
      <c r="DM370" t="s">
        <v>173</v>
      </c>
      <c r="DN370" t="s">
        <v>173</v>
      </c>
      <c r="DO370" t="s">
        <v>347</v>
      </c>
      <c r="DP370" t="s">
        <v>172</v>
      </c>
      <c r="DQ370" t="s">
        <v>204</v>
      </c>
      <c r="DR370" t="s">
        <v>858</v>
      </c>
      <c r="DY370">
        <v>36.9</v>
      </c>
      <c r="EA370" s="117"/>
      <c r="EB370">
        <v>5</v>
      </c>
      <c r="EC370">
        <v>5</v>
      </c>
      <c r="EE370" t="s">
        <v>861</v>
      </c>
      <c r="EF370">
        <v>6</v>
      </c>
      <c r="EV370">
        <v>3000</v>
      </c>
      <c r="EW370">
        <v>365</v>
      </c>
      <c r="EX370">
        <v>273</v>
      </c>
      <c r="EY370">
        <v>323</v>
      </c>
    </row>
    <row r="371" spans="1:155" x14ac:dyDescent="0.35">
      <c r="A371">
        <v>2026</v>
      </c>
      <c r="B371" t="s">
        <v>862</v>
      </c>
      <c r="C371" s="112" t="s">
        <v>863</v>
      </c>
      <c r="D371" t="s">
        <v>1270</v>
      </c>
      <c r="E371" t="s">
        <v>865</v>
      </c>
      <c r="F371">
        <v>391</v>
      </c>
      <c r="G371" s="113">
        <v>2</v>
      </c>
      <c r="H371">
        <v>4</v>
      </c>
      <c r="I371" t="s">
        <v>487</v>
      </c>
      <c r="J371">
        <v>28</v>
      </c>
      <c r="K371">
        <v>35</v>
      </c>
      <c r="L371">
        <v>31</v>
      </c>
      <c r="M371">
        <v>39.339599999999997</v>
      </c>
      <c r="N371">
        <v>52.190300000000001</v>
      </c>
      <c r="O371">
        <v>44.241700000000002</v>
      </c>
      <c r="P371">
        <v>28</v>
      </c>
      <c r="Q371">
        <v>35</v>
      </c>
      <c r="R371">
        <v>31</v>
      </c>
      <c r="U371" t="s">
        <v>215</v>
      </c>
      <c r="V371" t="s">
        <v>488</v>
      </c>
      <c r="W371" t="s">
        <v>489</v>
      </c>
      <c r="Y371">
        <v>1</v>
      </c>
      <c r="Z371" t="s">
        <v>172</v>
      </c>
      <c r="AA371" t="s">
        <v>173</v>
      </c>
      <c r="AB371" t="s">
        <v>277</v>
      </c>
      <c r="AC371" t="s">
        <v>278</v>
      </c>
      <c r="AD371">
        <v>10</v>
      </c>
      <c r="AG371" t="s">
        <v>167</v>
      </c>
      <c r="AH371" t="s">
        <v>416</v>
      </c>
      <c r="AI371" t="s">
        <v>178</v>
      </c>
      <c r="AJ371" t="s">
        <v>179</v>
      </c>
      <c r="AK371" t="s">
        <v>664</v>
      </c>
      <c r="AL371" t="s">
        <v>665</v>
      </c>
      <c r="AS371">
        <v>1600</v>
      </c>
      <c r="AT371">
        <v>1600</v>
      </c>
      <c r="BN371" s="114" t="s">
        <v>198</v>
      </c>
      <c r="BO371">
        <v>2</v>
      </c>
      <c r="BP371">
        <v>2</v>
      </c>
      <c r="BQ371">
        <v>30</v>
      </c>
      <c r="BR371" t="s">
        <v>798</v>
      </c>
      <c r="BT371" t="s">
        <v>183</v>
      </c>
      <c r="BU371" s="115">
        <v>45905</v>
      </c>
      <c r="BV371">
        <v>37253</v>
      </c>
      <c r="BW371" s="116"/>
      <c r="BX371" t="s">
        <v>173</v>
      </c>
      <c r="CB371" t="s">
        <v>173</v>
      </c>
      <c r="CC371" t="s">
        <v>173</v>
      </c>
      <c r="CD371" t="s">
        <v>1271</v>
      </c>
      <c r="CE371" t="s">
        <v>173</v>
      </c>
      <c r="CG371" t="s">
        <v>172</v>
      </c>
      <c r="CH371" t="s">
        <v>1056</v>
      </c>
      <c r="CI371" t="s">
        <v>173</v>
      </c>
      <c r="DJ371" t="s">
        <v>201</v>
      </c>
      <c r="DK371" t="s">
        <v>202</v>
      </c>
      <c r="DN371" t="s">
        <v>173</v>
      </c>
      <c r="DO371" t="s">
        <v>585</v>
      </c>
      <c r="DP371" t="s">
        <v>172</v>
      </c>
      <c r="DQ371" t="s">
        <v>204</v>
      </c>
      <c r="EA371" s="117"/>
      <c r="EB371">
        <v>6</v>
      </c>
      <c r="EC371">
        <v>6</v>
      </c>
      <c r="EE371" t="s">
        <v>1272</v>
      </c>
      <c r="EF371">
        <v>7</v>
      </c>
      <c r="EU371">
        <v>500</v>
      </c>
      <c r="EW371">
        <v>318</v>
      </c>
      <c r="EX371">
        <v>255</v>
      </c>
      <c r="EY371">
        <v>287</v>
      </c>
    </row>
    <row r="372" spans="1:155" x14ac:dyDescent="0.35">
      <c r="A372">
        <v>2026</v>
      </c>
      <c r="B372" t="s">
        <v>862</v>
      </c>
      <c r="C372" s="112" t="s">
        <v>863</v>
      </c>
      <c r="D372" t="s">
        <v>864</v>
      </c>
      <c r="E372" t="s">
        <v>865</v>
      </c>
      <c r="F372">
        <v>195</v>
      </c>
      <c r="G372" s="113">
        <v>1.5</v>
      </c>
      <c r="H372">
        <v>3</v>
      </c>
      <c r="I372" t="s">
        <v>644</v>
      </c>
      <c r="J372">
        <v>29</v>
      </c>
      <c r="K372">
        <v>36</v>
      </c>
      <c r="L372">
        <v>32</v>
      </c>
      <c r="M372">
        <v>38.841000000000001</v>
      </c>
      <c r="N372">
        <v>51.906399999999998</v>
      </c>
      <c r="O372">
        <v>43.802399999999999</v>
      </c>
      <c r="P372">
        <v>29.447299999999998</v>
      </c>
      <c r="Q372">
        <v>35.549100000000003</v>
      </c>
      <c r="R372">
        <v>31.912199999999999</v>
      </c>
      <c r="T372" t="s">
        <v>168</v>
      </c>
      <c r="U372" t="s">
        <v>169</v>
      </c>
      <c r="V372" t="s">
        <v>497</v>
      </c>
      <c r="W372" t="s">
        <v>498</v>
      </c>
      <c r="Y372">
        <v>8</v>
      </c>
      <c r="Z372" t="s">
        <v>172</v>
      </c>
      <c r="AA372" t="s">
        <v>173</v>
      </c>
      <c r="AB372" t="s">
        <v>277</v>
      </c>
      <c r="AC372" t="s">
        <v>278</v>
      </c>
      <c r="AD372">
        <v>15</v>
      </c>
      <c r="AG372" t="s">
        <v>167</v>
      </c>
      <c r="AH372" t="s">
        <v>416</v>
      </c>
      <c r="AI372" t="s">
        <v>178</v>
      </c>
      <c r="AJ372" t="s">
        <v>179</v>
      </c>
      <c r="AK372" t="s">
        <v>664</v>
      </c>
      <c r="AL372" t="s">
        <v>665</v>
      </c>
      <c r="AS372">
        <v>1550</v>
      </c>
      <c r="AT372">
        <v>1550</v>
      </c>
      <c r="BN372" s="114" t="s">
        <v>198</v>
      </c>
      <c r="BO372">
        <v>2</v>
      </c>
      <c r="BP372">
        <v>2</v>
      </c>
      <c r="BQ372">
        <v>30</v>
      </c>
      <c r="BR372" t="s">
        <v>798</v>
      </c>
      <c r="BT372" t="s">
        <v>183</v>
      </c>
      <c r="BU372" s="115">
        <v>45867</v>
      </c>
      <c r="BV372">
        <v>36998</v>
      </c>
      <c r="BW372" s="116"/>
      <c r="BX372" t="s">
        <v>173</v>
      </c>
      <c r="CB372" t="s">
        <v>173</v>
      </c>
      <c r="CC372" t="s">
        <v>173</v>
      </c>
      <c r="CE372" t="s">
        <v>173</v>
      </c>
      <c r="CG372" t="s">
        <v>172</v>
      </c>
      <c r="CH372" t="s">
        <v>866</v>
      </c>
      <c r="CI372" t="s">
        <v>173</v>
      </c>
      <c r="DJ372" t="s">
        <v>201</v>
      </c>
      <c r="DK372" t="s">
        <v>202</v>
      </c>
      <c r="DN372" t="s">
        <v>173</v>
      </c>
      <c r="DO372" t="s">
        <v>585</v>
      </c>
      <c r="DP372" t="s">
        <v>172</v>
      </c>
      <c r="DQ372" t="s">
        <v>204</v>
      </c>
      <c r="EA372" s="117"/>
      <c r="EB372">
        <v>6</v>
      </c>
      <c r="EC372">
        <v>6</v>
      </c>
      <c r="EE372" t="s">
        <v>867</v>
      </c>
      <c r="EF372">
        <v>5</v>
      </c>
      <c r="EU372">
        <v>750</v>
      </c>
      <c r="EW372">
        <v>303</v>
      </c>
      <c r="EX372">
        <v>251</v>
      </c>
      <c r="EY372">
        <v>279</v>
      </c>
    </row>
    <row r="373" spans="1:155" x14ac:dyDescent="0.35">
      <c r="A373">
        <v>2026</v>
      </c>
      <c r="B373" t="s">
        <v>242</v>
      </c>
      <c r="C373" s="112" t="s">
        <v>239</v>
      </c>
      <c r="D373" t="s">
        <v>1273</v>
      </c>
      <c r="E373" t="s">
        <v>245</v>
      </c>
      <c r="F373">
        <v>6</v>
      </c>
      <c r="G373" s="113">
        <v>2</v>
      </c>
      <c r="H373">
        <v>4</v>
      </c>
      <c r="I373" t="s">
        <v>1195</v>
      </c>
      <c r="J373">
        <v>31</v>
      </c>
      <c r="K373">
        <v>33</v>
      </c>
      <c r="L373">
        <v>32</v>
      </c>
      <c r="M373">
        <v>41.3</v>
      </c>
      <c r="N373">
        <v>53.6</v>
      </c>
      <c r="O373">
        <v>46.055999999999997</v>
      </c>
      <c r="P373">
        <v>31.0746</v>
      </c>
      <c r="Q373">
        <v>32.603099999999998</v>
      </c>
      <c r="R373">
        <v>31.744299999999999</v>
      </c>
      <c r="U373" t="s">
        <v>215</v>
      </c>
      <c r="V373" t="s">
        <v>497</v>
      </c>
      <c r="W373" t="s">
        <v>498</v>
      </c>
      <c r="Y373">
        <v>10</v>
      </c>
      <c r="Z373" t="s">
        <v>172</v>
      </c>
      <c r="AA373" t="s">
        <v>173</v>
      </c>
      <c r="AB373" t="s">
        <v>277</v>
      </c>
      <c r="AC373" t="s">
        <v>278</v>
      </c>
      <c r="AD373">
        <v>15</v>
      </c>
      <c r="AG373" t="s">
        <v>167</v>
      </c>
      <c r="AH373" t="s">
        <v>416</v>
      </c>
      <c r="AI373" t="s">
        <v>178</v>
      </c>
      <c r="AJ373" t="s">
        <v>179</v>
      </c>
      <c r="AK373" t="s">
        <v>664</v>
      </c>
      <c r="AL373" t="s">
        <v>665</v>
      </c>
      <c r="AS373">
        <v>1550</v>
      </c>
      <c r="AT373">
        <v>1550</v>
      </c>
      <c r="BN373" s="114" t="s">
        <v>247</v>
      </c>
      <c r="BO373">
        <v>2</v>
      </c>
      <c r="BP373">
        <v>2</v>
      </c>
      <c r="BQ373">
        <v>30</v>
      </c>
      <c r="BR373" t="s">
        <v>798</v>
      </c>
      <c r="BT373" t="s">
        <v>613</v>
      </c>
      <c r="BU373" s="115">
        <v>45874</v>
      </c>
      <c r="BV373">
        <v>37499</v>
      </c>
      <c r="BW373" s="116"/>
      <c r="BX373" t="s">
        <v>173</v>
      </c>
      <c r="BY373" t="s">
        <v>173</v>
      </c>
      <c r="CB373" t="s">
        <v>173</v>
      </c>
      <c r="CC373" t="s">
        <v>173</v>
      </c>
      <c r="CE373" t="s">
        <v>173</v>
      </c>
      <c r="CG373" t="s">
        <v>172</v>
      </c>
      <c r="CH373" t="s">
        <v>249</v>
      </c>
      <c r="CI373" t="s">
        <v>173</v>
      </c>
      <c r="DJ373" t="s">
        <v>250</v>
      </c>
      <c r="DK373" t="s">
        <v>251</v>
      </c>
      <c r="DN373" t="s">
        <v>173</v>
      </c>
      <c r="DO373" t="s">
        <v>516</v>
      </c>
      <c r="DP373" t="s">
        <v>172</v>
      </c>
      <c r="DQ373" t="s">
        <v>204</v>
      </c>
      <c r="EA373" s="117"/>
      <c r="EB373">
        <v>6</v>
      </c>
      <c r="EC373">
        <v>6</v>
      </c>
      <c r="EE373" t="s">
        <v>1274</v>
      </c>
      <c r="EF373">
        <v>5</v>
      </c>
      <c r="EU373">
        <v>750</v>
      </c>
      <c r="EW373">
        <v>283</v>
      </c>
      <c r="EX373">
        <v>267</v>
      </c>
      <c r="EY373">
        <v>276</v>
      </c>
    </row>
    <row r="374" spans="1:155" x14ac:dyDescent="0.35">
      <c r="A374">
        <v>2026</v>
      </c>
      <c r="B374" t="s">
        <v>444</v>
      </c>
      <c r="C374" s="112" t="s">
        <v>445</v>
      </c>
      <c r="D374" t="s">
        <v>868</v>
      </c>
      <c r="E374" t="s">
        <v>447</v>
      </c>
      <c r="F374">
        <v>7</v>
      </c>
      <c r="G374" s="113">
        <v>2</v>
      </c>
      <c r="H374">
        <v>4</v>
      </c>
      <c r="I374" t="s">
        <v>195</v>
      </c>
      <c r="J374">
        <v>20</v>
      </c>
      <c r="K374">
        <v>27</v>
      </c>
      <c r="L374">
        <v>23</v>
      </c>
      <c r="M374">
        <v>25.700700000000001</v>
      </c>
      <c r="N374">
        <v>38.164499999999997</v>
      </c>
      <c r="O374">
        <v>30.128399999999999</v>
      </c>
      <c r="P374">
        <v>20.312899999999999</v>
      </c>
      <c r="Q374">
        <v>26.946899999999999</v>
      </c>
      <c r="R374">
        <v>22.843599999999999</v>
      </c>
      <c r="T374" t="s">
        <v>168</v>
      </c>
      <c r="U374" t="s">
        <v>169</v>
      </c>
      <c r="V374" t="s">
        <v>196</v>
      </c>
      <c r="W374" t="s">
        <v>197</v>
      </c>
      <c r="Y374">
        <v>8</v>
      </c>
      <c r="Z374" t="s">
        <v>172</v>
      </c>
      <c r="AA374" t="s">
        <v>173</v>
      </c>
      <c r="AB374" t="s">
        <v>277</v>
      </c>
      <c r="AC374" t="s">
        <v>278</v>
      </c>
      <c r="AD374">
        <v>15</v>
      </c>
      <c r="AG374" t="s">
        <v>167</v>
      </c>
      <c r="AH374" t="s">
        <v>416</v>
      </c>
      <c r="AI374" t="s">
        <v>178</v>
      </c>
      <c r="AJ374" t="s">
        <v>179</v>
      </c>
      <c r="AK374" t="s">
        <v>664</v>
      </c>
      <c r="AL374" t="s">
        <v>665</v>
      </c>
      <c r="AS374">
        <v>2150</v>
      </c>
      <c r="AT374">
        <v>2150</v>
      </c>
      <c r="BN374" s="114" t="s">
        <v>198</v>
      </c>
      <c r="BO374">
        <v>2</v>
      </c>
      <c r="BP374">
        <v>2</v>
      </c>
      <c r="BQ374">
        <v>30</v>
      </c>
      <c r="BR374" t="s">
        <v>798</v>
      </c>
      <c r="BT374" t="s">
        <v>183</v>
      </c>
      <c r="BU374" s="115">
        <v>45845</v>
      </c>
      <c r="BV374">
        <v>36995</v>
      </c>
      <c r="BW374" s="116"/>
      <c r="BX374" t="s">
        <v>172</v>
      </c>
      <c r="BY374" t="s">
        <v>173</v>
      </c>
      <c r="CB374" t="s">
        <v>173</v>
      </c>
      <c r="CC374" t="s">
        <v>173</v>
      </c>
      <c r="CD374" t="s">
        <v>869</v>
      </c>
      <c r="CE374" t="s">
        <v>173</v>
      </c>
      <c r="CG374" t="s">
        <v>172</v>
      </c>
      <c r="CH374" t="s">
        <v>870</v>
      </c>
      <c r="CI374" t="s">
        <v>172</v>
      </c>
      <c r="CJ374" t="s">
        <v>871</v>
      </c>
      <c r="DJ374" t="s">
        <v>201</v>
      </c>
      <c r="DK374" t="s">
        <v>202</v>
      </c>
      <c r="DN374" t="s">
        <v>173</v>
      </c>
      <c r="DO374" t="s">
        <v>451</v>
      </c>
      <c r="DP374" t="s">
        <v>172</v>
      </c>
      <c r="DQ374" t="s">
        <v>204</v>
      </c>
      <c r="EA374" s="117"/>
      <c r="EB374">
        <v>5</v>
      </c>
      <c r="EC374">
        <v>5</v>
      </c>
      <c r="EE374" t="s">
        <v>872</v>
      </c>
      <c r="EF374">
        <v>4</v>
      </c>
      <c r="EV374">
        <v>2250</v>
      </c>
      <c r="EW374">
        <v>438</v>
      </c>
      <c r="EX374">
        <v>331</v>
      </c>
      <c r="EY374">
        <v>390</v>
      </c>
    </row>
    <row r="375" spans="1:155" x14ac:dyDescent="0.35">
      <c r="A375">
        <v>2026</v>
      </c>
      <c r="B375" t="s">
        <v>444</v>
      </c>
      <c r="C375" s="112" t="s">
        <v>445</v>
      </c>
      <c r="D375" t="s">
        <v>873</v>
      </c>
      <c r="E375" t="s">
        <v>447</v>
      </c>
      <c r="F375">
        <v>8</v>
      </c>
      <c r="G375" s="113">
        <v>2</v>
      </c>
      <c r="H375">
        <v>4</v>
      </c>
      <c r="I375" t="s">
        <v>195</v>
      </c>
      <c r="J375">
        <v>20</v>
      </c>
      <c r="K375">
        <v>27</v>
      </c>
      <c r="L375">
        <v>23</v>
      </c>
      <c r="M375">
        <v>25.700700000000001</v>
      </c>
      <c r="N375">
        <v>38.164499999999997</v>
      </c>
      <c r="O375">
        <v>30.128399999999999</v>
      </c>
      <c r="P375">
        <v>20.312899999999999</v>
      </c>
      <c r="Q375">
        <v>26.946899999999999</v>
      </c>
      <c r="R375">
        <v>22.843599999999999</v>
      </c>
      <c r="T375" t="s">
        <v>168</v>
      </c>
      <c r="U375" t="s">
        <v>169</v>
      </c>
      <c r="V375" t="s">
        <v>196</v>
      </c>
      <c r="W375" t="s">
        <v>197</v>
      </c>
      <c r="Y375">
        <v>8</v>
      </c>
      <c r="Z375" t="s">
        <v>172</v>
      </c>
      <c r="AA375" t="s">
        <v>173</v>
      </c>
      <c r="AB375" t="s">
        <v>277</v>
      </c>
      <c r="AC375" t="s">
        <v>278</v>
      </c>
      <c r="AD375">
        <v>15</v>
      </c>
      <c r="AG375" t="s">
        <v>167</v>
      </c>
      <c r="AH375" t="s">
        <v>416</v>
      </c>
      <c r="AI375" t="s">
        <v>178</v>
      </c>
      <c r="AJ375" t="s">
        <v>179</v>
      </c>
      <c r="AK375" t="s">
        <v>664</v>
      </c>
      <c r="AL375" t="s">
        <v>665</v>
      </c>
      <c r="AS375">
        <v>2150</v>
      </c>
      <c r="AT375">
        <v>2150</v>
      </c>
      <c r="BN375" s="114" t="s">
        <v>874</v>
      </c>
      <c r="BO375">
        <v>2</v>
      </c>
      <c r="BP375">
        <v>2</v>
      </c>
      <c r="BQ375">
        <v>30</v>
      </c>
      <c r="BR375" t="s">
        <v>798</v>
      </c>
      <c r="BT375" t="s">
        <v>183</v>
      </c>
      <c r="BU375" s="115">
        <v>45845</v>
      </c>
      <c r="BV375">
        <v>36994</v>
      </c>
      <c r="BW375" s="116"/>
      <c r="BX375" t="s">
        <v>172</v>
      </c>
      <c r="BY375" t="s">
        <v>172</v>
      </c>
      <c r="BZ375" t="s">
        <v>875</v>
      </c>
      <c r="CA375" t="s">
        <v>876</v>
      </c>
      <c r="CB375" t="s">
        <v>173</v>
      </c>
      <c r="CC375" t="s">
        <v>173</v>
      </c>
      <c r="CD375" t="s">
        <v>869</v>
      </c>
      <c r="CE375" t="s">
        <v>173</v>
      </c>
      <c r="CG375" t="s">
        <v>172</v>
      </c>
      <c r="CH375" t="s">
        <v>870</v>
      </c>
      <c r="CI375" t="s">
        <v>172</v>
      </c>
      <c r="CJ375" t="s">
        <v>871</v>
      </c>
      <c r="DJ375" t="s">
        <v>201</v>
      </c>
      <c r="DK375" t="s">
        <v>202</v>
      </c>
      <c r="DN375" t="s">
        <v>173</v>
      </c>
      <c r="DO375" t="s">
        <v>451</v>
      </c>
      <c r="DP375" t="s">
        <v>172</v>
      </c>
      <c r="DQ375" t="s">
        <v>204</v>
      </c>
      <c r="EA375" s="117"/>
      <c r="EB375">
        <v>5</v>
      </c>
      <c r="EC375">
        <v>5</v>
      </c>
      <c r="EE375" t="s">
        <v>872</v>
      </c>
      <c r="EF375">
        <v>4</v>
      </c>
      <c r="EV375">
        <v>2250</v>
      </c>
      <c r="EW375">
        <v>438</v>
      </c>
      <c r="EX375">
        <v>331</v>
      </c>
      <c r="EY375">
        <v>390</v>
      </c>
    </row>
    <row r="376" spans="1:155" x14ac:dyDescent="0.35">
      <c r="A376">
        <v>2026</v>
      </c>
      <c r="B376" t="s">
        <v>444</v>
      </c>
      <c r="C376" s="112" t="s">
        <v>445</v>
      </c>
      <c r="D376" t="s">
        <v>877</v>
      </c>
      <c r="E376" t="s">
        <v>447</v>
      </c>
      <c r="F376">
        <v>29</v>
      </c>
      <c r="G376" s="113">
        <v>1.5</v>
      </c>
      <c r="H376">
        <v>4</v>
      </c>
      <c r="I376" t="s">
        <v>195</v>
      </c>
      <c r="J376">
        <v>28</v>
      </c>
      <c r="K376">
        <v>36</v>
      </c>
      <c r="L376">
        <v>31</v>
      </c>
      <c r="M376">
        <v>37.4</v>
      </c>
      <c r="N376">
        <v>54</v>
      </c>
      <c r="O376">
        <v>43.404299999999999</v>
      </c>
      <c r="P376">
        <v>28.482099999999999</v>
      </c>
      <c r="Q376">
        <v>36</v>
      </c>
      <c r="R376">
        <v>31</v>
      </c>
      <c r="T376" t="s">
        <v>168</v>
      </c>
      <c r="U376" t="s">
        <v>169</v>
      </c>
      <c r="V376" t="s">
        <v>196</v>
      </c>
      <c r="W376" t="s">
        <v>197</v>
      </c>
      <c r="Y376">
        <v>8</v>
      </c>
      <c r="Z376" t="s">
        <v>172</v>
      </c>
      <c r="AA376" t="s">
        <v>173</v>
      </c>
      <c r="AB376" t="s">
        <v>277</v>
      </c>
      <c r="AC376" t="s">
        <v>278</v>
      </c>
      <c r="AD376">
        <v>15</v>
      </c>
      <c r="AG376" t="s">
        <v>167</v>
      </c>
      <c r="AH376" t="s">
        <v>416</v>
      </c>
      <c r="AI376" t="s">
        <v>178</v>
      </c>
      <c r="AJ376" t="s">
        <v>179</v>
      </c>
      <c r="AK376" t="s">
        <v>664</v>
      </c>
      <c r="AL376" t="s">
        <v>665</v>
      </c>
      <c r="AO376">
        <v>100</v>
      </c>
      <c r="AP376">
        <v>28</v>
      </c>
      <c r="AS376">
        <v>1600</v>
      </c>
      <c r="AT376">
        <v>1600</v>
      </c>
      <c r="BN376" s="114" t="s">
        <v>198</v>
      </c>
      <c r="BO376">
        <v>2</v>
      </c>
      <c r="BP376">
        <v>2</v>
      </c>
      <c r="BQ376">
        <v>30</v>
      </c>
      <c r="BR376" t="s">
        <v>798</v>
      </c>
      <c r="BT376" t="s">
        <v>183</v>
      </c>
      <c r="BU376" s="115">
        <v>45835</v>
      </c>
      <c r="BV376">
        <v>36822</v>
      </c>
      <c r="BW376" s="116"/>
      <c r="BX376" t="s">
        <v>173</v>
      </c>
      <c r="BY376" t="s">
        <v>173</v>
      </c>
      <c r="CB376" t="s">
        <v>173</v>
      </c>
      <c r="CC376" t="s">
        <v>173</v>
      </c>
      <c r="CD376" t="s">
        <v>878</v>
      </c>
      <c r="CE376" t="s">
        <v>173</v>
      </c>
      <c r="CG376" t="s">
        <v>172</v>
      </c>
      <c r="CH376" t="s">
        <v>455</v>
      </c>
      <c r="CI376" t="s">
        <v>173</v>
      </c>
      <c r="DJ376" t="s">
        <v>201</v>
      </c>
      <c r="DK376" t="s">
        <v>202</v>
      </c>
      <c r="DN376" t="s">
        <v>173</v>
      </c>
      <c r="DO376" t="s">
        <v>451</v>
      </c>
      <c r="DP376" t="s">
        <v>172</v>
      </c>
      <c r="DQ376" t="s">
        <v>204</v>
      </c>
      <c r="DY376">
        <v>43.7</v>
      </c>
      <c r="EA376" s="117"/>
      <c r="EB376">
        <v>6</v>
      </c>
      <c r="EC376">
        <v>6</v>
      </c>
      <c r="EE376" t="s">
        <v>879</v>
      </c>
      <c r="EF376">
        <v>7</v>
      </c>
      <c r="EU376">
        <v>500</v>
      </c>
      <c r="EW376">
        <v>312</v>
      </c>
      <c r="EX376">
        <v>247</v>
      </c>
      <c r="EY376">
        <v>287</v>
      </c>
    </row>
    <row r="377" spans="1:155" x14ac:dyDescent="0.35">
      <c r="A377">
        <v>2026</v>
      </c>
      <c r="B377" t="s">
        <v>444</v>
      </c>
      <c r="C377" s="112" t="s">
        <v>445</v>
      </c>
      <c r="D377" t="s">
        <v>880</v>
      </c>
      <c r="E377" t="s">
        <v>447</v>
      </c>
      <c r="F377">
        <v>32</v>
      </c>
      <c r="G377" s="113">
        <v>2</v>
      </c>
      <c r="H377">
        <v>4</v>
      </c>
      <c r="I377" t="s">
        <v>195</v>
      </c>
      <c r="J377">
        <v>25</v>
      </c>
      <c r="K377">
        <v>32</v>
      </c>
      <c r="L377">
        <v>28</v>
      </c>
      <c r="M377">
        <v>32.299999999999997</v>
      </c>
      <c r="N377">
        <v>46.3</v>
      </c>
      <c r="O377">
        <v>37.3872</v>
      </c>
      <c r="P377">
        <v>24.9954</v>
      </c>
      <c r="Q377">
        <v>32.102800000000002</v>
      </c>
      <c r="R377">
        <v>27.761199999999999</v>
      </c>
      <c r="T377" t="s">
        <v>168</v>
      </c>
      <c r="U377" t="s">
        <v>169</v>
      </c>
      <c r="V377" t="s">
        <v>196</v>
      </c>
      <c r="W377" t="s">
        <v>197</v>
      </c>
      <c r="Y377">
        <v>8</v>
      </c>
      <c r="Z377" t="s">
        <v>172</v>
      </c>
      <c r="AA377" t="s">
        <v>173</v>
      </c>
      <c r="AB377" t="s">
        <v>277</v>
      </c>
      <c r="AC377" t="s">
        <v>278</v>
      </c>
      <c r="AD377">
        <v>15</v>
      </c>
      <c r="AG377" t="s">
        <v>167</v>
      </c>
      <c r="AH377" t="s">
        <v>416</v>
      </c>
      <c r="AI377" t="s">
        <v>178</v>
      </c>
      <c r="AJ377" t="s">
        <v>179</v>
      </c>
      <c r="AK377" t="s">
        <v>664</v>
      </c>
      <c r="AL377" t="s">
        <v>665</v>
      </c>
      <c r="AS377">
        <v>1750</v>
      </c>
      <c r="AT377">
        <v>1750</v>
      </c>
      <c r="BN377" s="114" t="s">
        <v>198</v>
      </c>
      <c r="BO377">
        <v>2</v>
      </c>
      <c r="BP377">
        <v>2</v>
      </c>
      <c r="BQ377">
        <v>30</v>
      </c>
      <c r="BR377" t="s">
        <v>798</v>
      </c>
      <c r="BT377" t="s">
        <v>183</v>
      </c>
      <c r="BU377" s="115">
        <v>45869</v>
      </c>
      <c r="BV377">
        <v>37079</v>
      </c>
      <c r="BW377" s="116"/>
      <c r="BX377" t="s">
        <v>172</v>
      </c>
      <c r="BY377" t="s">
        <v>173</v>
      </c>
      <c r="CB377" t="s">
        <v>173</v>
      </c>
      <c r="CC377" t="s">
        <v>173</v>
      </c>
      <c r="CD377" t="s">
        <v>881</v>
      </c>
      <c r="CE377" t="s">
        <v>173</v>
      </c>
      <c r="CG377" t="s">
        <v>172</v>
      </c>
      <c r="CH377" t="s">
        <v>882</v>
      </c>
      <c r="CI377" t="s">
        <v>173</v>
      </c>
      <c r="DJ377" t="s">
        <v>201</v>
      </c>
      <c r="DK377" t="s">
        <v>202</v>
      </c>
      <c r="DN377" t="s">
        <v>173</v>
      </c>
      <c r="DO377" t="s">
        <v>451</v>
      </c>
      <c r="DP377" t="s">
        <v>172</v>
      </c>
      <c r="DQ377" t="s">
        <v>204</v>
      </c>
      <c r="EA377" s="117"/>
      <c r="EB377">
        <v>5</v>
      </c>
      <c r="EC377">
        <v>5</v>
      </c>
      <c r="EE377" t="s">
        <v>883</v>
      </c>
      <c r="EF377">
        <v>6</v>
      </c>
      <c r="EV377">
        <v>250</v>
      </c>
      <c r="EW377">
        <v>355</v>
      </c>
      <c r="EX377">
        <v>277</v>
      </c>
      <c r="EY377">
        <v>320</v>
      </c>
    </row>
    <row r="378" spans="1:155" x14ac:dyDescent="0.35">
      <c r="A378">
        <v>2026</v>
      </c>
      <c r="B378" t="s">
        <v>444</v>
      </c>
      <c r="C378" s="112" t="s">
        <v>445</v>
      </c>
      <c r="D378" t="s">
        <v>884</v>
      </c>
      <c r="E378" t="s">
        <v>447</v>
      </c>
      <c r="F378">
        <v>33</v>
      </c>
      <c r="G378" s="113">
        <v>2</v>
      </c>
      <c r="H378">
        <v>4</v>
      </c>
      <c r="I378" t="s">
        <v>195</v>
      </c>
      <c r="J378">
        <v>26</v>
      </c>
      <c r="K378">
        <v>34</v>
      </c>
      <c r="L378">
        <v>29</v>
      </c>
      <c r="M378">
        <v>33.4</v>
      </c>
      <c r="N378">
        <v>49.7</v>
      </c>
      <c r="O378">
        <v>39.1828</v>
      </c>
      <c r="P378">
        <v>25.756900000000002</v>
      </c>
      <c r="Q378">
        <v>34.2029</v>
      </c>
      <c r="R378">
        <v>28.976900000000001</v>
      </c>
      <c r="T378" t="s">
        <v>168</v>
      </c>
      <c r="U378" t="s">
        <v>169</v>
      </c>
      <c r="V378" t="s">
        <v>196</v>
      </c>
      <c r="W378" t="s">
        <v>197</v>
      </c>
      <c r="Y378">
        <v>8</v>
      </c>
      <c r="Z378" t="s">
        <v>172</v>
      </c>
      <c r="AA378" t="s">
        <v>173</v>
      </c>
      <c r="AB378" t="s">
        <v>277</v>
      </c>
      <c r="AC378" t="s">
        <v>278</v>
      </c>
      <c r="AD378">
        <v>15</v>
      </c>
      <c r="AG378" t="s">
        <v>167</v>
      </c>
      <c r="AH378" t="s">
        <v>416</v>
      </c>
      <c r="AI378" t="s">
        <v>178</v>
      </c>
      <c r="AJ378" t="s">
        <v>179</v>
      </c>
      <c r="AK378" t="s">
        <v>664</v>
      </c>
      <c r="AL378" t="s">
        <v>665</v>
      </c>
      <c r="AS378">
        <v>1700</v>
      </c>
      <c r="AT378">
        <v>1700</v>
      </c>
      <c r="BN378" s="114" t="s">
        <v>198</v>
      </c>
      <c r="BO378">
        <v>2</v>
      </c>
      <c r="BP378">
        <v>2</v>
      </c>
      <c r="BQ378">
        <v>30</v>
      </c>
      <c r="BR378" t="s">
        <v>798</v>
      </c>
      <c r="BT378" t="s">
        <v>183</v>
      </c>
      <c r="BU378" s="115">
        <v>45869</v>
      </c>
      <c r="BV378">
        <v>37080</v>
      </c>
      <c r="BW378" s="116"/>
      <c r="BX378" t="s">
        <v>172</v>
      </c>
      <c r="BY378" t="s">
        <v>173</v>
      </c>
      <c r="CB378" t="s">
        <v>173</v>
      </c>
      <c r="CC378" t="s">
        <v>173</v>
      </c>
      <c r="CD378" t="s">
        <v>881</v>
      </c>
      <c r="CE378" t="s">
        <v>173</v>
      </c>
      <c r="CG378" t="s">
        <v>172</v>
      </c>
      <c r="CH378" t="s">
        <v>882</v>
      </c>
      <c r="CI378" t="s">
        <v>173</v>
      </c>
      <c r="DJ378" t="s">
        <v>201</v>
      </c>
      <c r="DK378" t="s">
        <v>202</v>
      </c>
      <c r="DN378" t="s">
        <v>173</v>
      </c>
      <c r="DO378" t="s">
        <v>451</v>
      </c>
      <c r="DP378" t="s">
        <v>172</v>
      </c>
      <c r="DQ378" t="s">
        <v>204</v>
      </c>
      <c r="EA378" s="117"/>
      <c r="EB378">
        <v>6</v>
      </c>
      <c r="EC378">
        <v>6</v>
      </c>
      <c r="EE378" t="s">
        <v>883</v>
      </c>
      <c r="EF378">
        <v>6</v>
      </c>
      <c r="EU378">
        <v>0</v>
      </c>
      <c r="EW378">
        <v>345</v>
      </c>
      <c r="EX378">
        <v>260</v>
      </c>
      <c r="EY378">
        <v>307</v>
      </c>
    </row>
    <row r="379" spans="1:155" x14ac:dyDescent="0.35">
      <c r="A379">
        <v>2026</v>
      </c>
      <c r="B379" t="s">
        <v>524</v>
      </c>
      <c r="C379" s="112" t="s">
        <v>525</v>
      </c>
      <c r="D379" t="s">
        <v>885</v>
      </c>
      <c r="E379" t="s">
        <v>527</v>
      </c>
      <c r="F379">
        <v>280</v>
      </c>
      <c r="G379" s="113">
        <v>2</v>
      </c>
      <c r="H379">
        <v>4</v>
      </c>
      <c r="I379" t="s">
        <v>195</v>
      </c>
      <c r="J379">
        <v>25</v>
      </c>
      <c r="K379">
        <v>32</v>
      </c>
      <c r="L379">
        <v>27</v>
      </c>
      <c r="M379">
        <v>31.6</v>
      </c>
      <c r="N379">
        <v>45.6</v>
      </c>
      <c r="O379">
        <v>36.665599999999998</v>
      </c>
      <c r="P379">
        <v>24.507999999999999</v>
      </c>
      <c r="Q379">
        <v>31.666499999999999</v>
      </c>
      <c r="R379">
        <v>27.2835</v>
      </c>
      <c r="T379" t="s">
        <v>168</v>
      </c>
      <c r="U379" t="s">
        <v>169</v>
      </c>
      <c r="V379" t="s">
        <v>196</v>
      </c>
      <c r="W379" t="s">
        <v>197</v>
      </c>
      <c r="Y379">
        <v>8</v>
      </c>
      <c r="Z379" t="s">
        <v>172</v>
      </c>
      <c r="AA379" t="s">
        <v>173</v>
      </c>
      <c r="AB379" t="s">
        <v>277</v>
      </c>
      <c r="AC379" t="s">
        <v>278</v>
      </c>
      <c r="AD379">
        <v>10</v>
      </c>
      <c r="AG379" t="s">
        <v>216</v>
      </c>
      <c r="AH379" t="s">
        <v>217</v>
      </c>
      <c r="AI379" t="s">
        <v>178</v>
      </c>
      <c r="AJ379" t="s">
        <v>179</v>
      </c>
      <c r="AK379" t="s">
        <v>664</v>
      </c>
      <c r="AL379" t="s">
        <v>665</v>
      </c>
      <c r="AS379">
        <v>2300</v>
      </c>
      <c r="AT379">
        <v>2300</v>
      </c>
      <c r="BN379" s="114" t="s">
        <v>256</v>
      </c>
      <c r="BO379">
        <v>2</v>
      </c>
      <c r="BP379">
        <v>2</v>
      </c>
      <c r="BQ379">
        <v>30</v>
      </c>
      <c r="BR379" t="s">
        <v>798</v>
      </c>
      <c r="BT379" t="s">
        <v>183</v>
      </c>
      <c r="BU379" s="115">
        <v>45800</v>
      </c>
      <c r="BV379">
        <v>36383</v>
      </c>
      <c r="BW379" s="116"/>
      <c r="BY379" t="s">
        <v>173</v>
      </c>
      <c r="CB379" t="s">
        <v>173</v>
      </c>
      <c r="CC379" t="s">
        <v>173</v>
      </c>
      <c r="CD379" t="s">
        <v>528</v>
      </c>
      <c r="CE379" t="s">
        <v>173</v>
      </c>
      <c r="CG379" t="s">
        <v>172</v>
      </c>
      <c r="CH379" t="s">
        <v>529</v>
      </c>
      <c r="CI379" t="s">
        <v>173</v>
      </c>
      <c r="CK379" t="s">
        <v>259</v>
      </c>
      <c r="CM379">
        <v>1</v>
      </c>
      <c r="CN379" t="s">
        <v>260</v>
      </c>
      <c r="CP379">
        <v>44</v>
      </c>
      <c r="CQ379">
        <v>8.4</v>
      </c>
      <c r="CR379">
        <v>56</v>
      </c>
      <c r="CS379" t="s">
        <v>261</v>
      </c>
      <c r="CV379" t="s">
        <v>262</v>
      </c>
      <c r="CX379" t="s">
        <v>263</v>
      </c>
      <c r="CY379" t="s">
        <v>173</v>
      </c>
      <c r="DD379">
        <v>1</v>
      </c>
      <c r="DE379" t="s">
        <v>530</v>
      </c>
      <c r="DG379">
        <v>10</v>
      </c>
      <c r="DJ379" t="s">
        <v>201</v>
      </c>
      <c r="DK379" t="s">
        <v>202</v>
      </c>
      <c r="DL379" t="s">
        <v>173</v>
      </c>
      <c r="DM379" t="s">
        <v>173</v>
      </c>
      <c r="DN379" t="s">
        <v>173</v>
      </c>
      <c r="DO379" t="s">
        <v>531</v>
      </c>
      <c r="DP379" t="s">
        <v>172</v>
      </c>
      <c r="DQ379" t="s">
        <v>204</v>
      </c>
      <c r="DR379" t="s">
        <v>532</v>
      </c>
      <c r="DY379">
        <v>36.700000000000003</v>
      </c>
      <c r="EA379" s="117"/>
      <c r="EB379">
        <v>5</v>
      </c>
      <c r="EC379">
        <v>5</v>
      </c>
      <c r="EE379" t="s">
        <v>533</v>
      </c>
      <c r="EF379">
        <v>4</v>
      </c>
      <c r="EV379">
        <v>3000</v>
      </c>
      <c r="EW379">
        <v>362</v>
      </c>
      <c r="EX379">
        <v>281</v>
      </c>
      <c r="EY379">
        <v>326</v>
      </c>
    </row>
    <row r="380" spans="1:155" x14ac:dyDescent="0.35">
      <c r="A380">
        <v>2026</v>
      </c>
      <c r="B380" t="s">
        <v>481</v>
      </c>
      <c r="C380" s="112" t="s">
        <v>534</v>
      </c>
      <c r="D380" t="s">
        <v>886</v>
      </c>
      <c r="E380" t="s">
        <v>483</v>
      </c>
      <c r="F380">
        <v>501</v>
      </c>
      <c r="G380" s="113">
        <v>3.5</v>
      </c>
      <c r="H380">
        <v>6</v>
      </c>
      <c r="I380" t="s">
        <v>246</v>
      </c>
      <c r="J380">
        <v>19</v>
      </c>
      <c r="K380">
        <v>25</v>
      </c>
      <c r="L380">
        <v>21</v>
      </c>
      <c r="M380">
        <v>23.4</v>
      </c>
      <c r="N380">
        <v>36</v>
      </c>
      <c r="O380">
        <v>27.7745</v>
      </c>
      <c r="P380">
        <v>18.633099999999999</v>
      </c>
      <c r="Q380">
        <v>25</v>
      </c>
      <c r="R380">
        <v>21.215800000000002</v>
      </c>
      <c r="U380" t="s">
        <v>215</v>
      </c>
      <c r="V380" t="s">
        <v>196</v>
      </c>
      <c r="W380" t="s">
        <v>197</v>
      </c>
      <c r="Y380">
        <v>10</v>
      </c>
      <c r="Z380" t="s">
        <v>172</v>
      </c>
      <c r="AA380" t="s">
        <v>173</v>
      </c>
      <c r="AB380" t="s">
        <v>170</v>
      </c>
      <c r="AC380" t="s">
        <v>232</v>
      </c>
      <c r="AD380">
        <v>10</v>
      </c>
      <c r="AG380" t="s">
        <v>176</v>
      </c>
      <c r="AH380" t="s">
        <v>177</v>
      </c>
      <c r="AI380" t="s">
        <v>178</v>
      </c>
      <c r="AJ380" t="s">
        <v>179</v>
      </c>
      <c r="AK380" t="s">
        <v>664</v>
      </c>
      <c r="AL380" t="s">
        <v>665</v>
      </c>
      <c r="AS380">
        <v>2950</v>
      </c>
      <c r="AT380">
        <v>2950</v>
      </c>
      <c r="BN380" s="114" t="s">
        <v>198</v>
      </c>
      <c r="BO380">
        <v>2</v>
      </c>
      <c r="BP380">
        <v>2</v>
      </c>
      <c r="BQ380">
        <v>31</v>
      </c>
      <c r="BR380" t="s">
        <v>887</v>
      </c>
      <c r="BT380" t="s">
        <v>183</v>
      </c>
      <c r="BU380" s="115">
        <v>45798</v>
      </c>
      <c r="BV380">
        <v>36597</v>
      </c>
      <c r="BW380" s="116"/>
      <c r="BX380" t="s">
        <v>173</v>
      </c>
      <c r="BY380" t="s">
        <v>173</v>
      </c>
      <c r="CB380" t="s">
        <v>173</v>
      </c>
      <c r="CC380" t="s">
        <v>173</v>
      </c>
      <c r="CE380" t="s">
        <v>172</v>
      </c>
      <c r="CF380" t="s">
        <v>799</v>
      </c>
      <c r="CG380" t="s">
        <v>172</v>
      </c>
      <c r="CH380" t="s">
        <v>485</v>
      </c>
      <c r="CI380" t="s">
        <v>172</v>
      </c>
      <c r="CJ380" t="s">
        <v>485</v>
      </c>
      <c r="DJ380" t="s">
        <v>201</v>
      </c>
      <c r="DK380" t="s">
        <v>202</v>
      </c>
      <c r="DL380" t="s">
        <v>173</v>
      </c>
      <c r="DM380" t="s">
        <v>173</v>
      </c>
      <c r="DN380" t="s">
        <v>173</v>
      </c>
      <c r="DO380" t="s">
        <v>284</v>
      </c>
      <c r="DP380" t="s">
        <v>172</v>
      </c>
      <c r="DQ380" t="s">
        <v>204</v>
      </c>
      <c r="EA380" s="117"/>
      <c r="EB380">
        <v>4</v>
      </c>
      <c r="EC380">
        <v>4</v>
      </c>
      <c r="EE380" t="s">
        <v>800</v>
      </c>
      <c r="EF380">
        <v>4</v>
      </c>
      <c r="EV380">
        <v>6250</v>
      </c>
      <c r="EW380">
        <v>477</v>
      </c>
      <c r="EX380">
        <v>357</v>
      </c>
      <c r="EY380">
        <v>423</v>
      </c>
    </row>
    <row r="381" spans="1:155" x14ac:dyDescent="0.35">
      <c r="A381">
        <v>2026</v>
      </c>
      <c r="B381" t="s">
        <v>481</v>
      </c>
      <c r="C381" s="112" t="s">
        <v>534</v>
      </c>
      <c r="D381" t="s">
        <v>1275</v>
      </c>
      <c r="E381" t="s">
        <v>483</v>
      </c>
      <c r="F381">
        <v>481</v>
      </c>
      <c r="G381" s="113">
        <v>2</v>
      </c>
      <c r="H381">
        <v>4</v>
      </c>
      <c r="I381" t="s">
        <v>246</v>
      </c>
      <c r="J381">
        <v>21</v>
      </c>
      <c r="K381">
        <v>27</v>
      </c>
      <c r="L381">
        <v>23</v>
      </c>
      <c r="M381">
        <v>27.2</v>
      </c>
      <c r="N381">
        <v>39</v>
      </c>
      <c r="O381">
        <v>31.487100000000002</v>
      </c>
      <c r="P381">
        <v>21.394200000000001</v>
      </c>
      <c r="Q381">
        <v>27.485099999999999</v>
      </c>
      <c r="R381">
        <v>23</v>
      </c>
      <c r="T381" t="s">
        <v>168</v>
      </c>
      <c r="U381" t="s">
        <v>169</v>
      </c>
      <c r="V381" t="s">
        <v>196</v>
      </c>
      <c r="W381" t="s">
        <v>197</v>
      </c>
      <c r="Y381">
        <v>10</v>
      </c>
      <c r="Z381" t="s">
        <v>172</v>
      </c>
      <c r="AA381" t="s">
        <v>173</v>
      </c>
      <c r="AB381" t="s">
        <v>170</v>
      </c>
      <c r="AC381" t="s">
        <v>232</v>
      </c>
      <c r="AD381">
        <v>10</v>
      </c>
      <c r="AG381" t="s">
        <v>176</v>
      </c>
      <c r="AH381" t="s">
        <v>177</v>
      </c>
      <c r="AI381" t="s">
        <v>178</v>
      </c>
      <c r="AJ381" t="s">
        <v>179</v>
      </c>
      <c r="AK381" t="s">
        <v>664</v>
      </c>
      <c r="AL381" t="s">
        <v>665</v>
      </c>
      <c r="AS381">
        <v>2700</v>
      </c>
      <c r="AT381">
        <v>2700</v>
      </c>
      <c r="BN381" s="114" t="s">
        <v>198</v>
      </c>
      <c r="BO381">
        <v>2</v>
      </c>
      <c r="BP381">
        <v>2</v>
      </c>
      <c r="BQ381">
        <v>31</v>
      </c>
      <c r="BR381" t="s">
        <v>887</v>
      </c>
      <c r="BT381" t="s">
        <v>183</v>
      </c>
      <c r="BU381" s="115">
        <v>45923</v>
      </c>
      <c r="BV381">
        <v>37048</v>
      </c>
      <c r="BW381" s="116"/>
      <c r="BX381" t="s">
        <v>173</v>
      </c>
      <c r="BY381" t="s">
        <v>173</v>
      </c>
      <c r="CB381" t="s">
        <v>173</v>
      </c>
      <c r="CC381" t="s">
        <v>173</v>
      </c>
      <c r="CE381" t="s">
        <v>173</v>
      </c>
      <c r="CG381" t="s">
        <v>172</v>
      </c>
      <c r="CH381" t="s">
        <v>1276</v>
      </c>
      <c r="CI381" t="s">
        <v>172</v>
      </c>
      <c r="CJ381" t="s">
        <v>1276</v>
      </c>
      <c r="DJ381" t="s">
        <v>201</v>
      </c>
      <c r="DK381" t="s">
        <v>202</v>
      </c>
      <c r="DL381" t="s">
        <v>173</v>
      </c>
      <c r="DM381" t="s">
        <v>173</v>
      </c>
      <c r="DN381" t="s">
        <v>173</v>
      </c>
      <c r="DO381" t="s">
        <v>284</v>
      </c>
      <c r="DP381" t="s">
        <v>172</v>
      </c>
      <c r="DQ381" t="s">
        <v>204</v>
      </c>
      <c r="EA381" s="117"/>
      <c r="EB381">
        <v>5</v>
      </c>
      <c r="EC381">
        <v>5</v>
      </c>
      <c r="EE381" t="s">
        <v>1277</v>
      </c>
      <c r="EF381">
        <v>5</v>
      </c>
      <c r="EV381">
        <v>5000</v>
      </c>
      <c r="EW381">
        <v>415</v>
      </c>
      <c r="EX381">
        <v>322</v>
      </c>
      <c r="EY381">
        <v>385</v>
      </c>
    </row>
    <row r="382" spans="1:155" x14ac:dyDescent="0.35">
      <c r="A382">
        <v>2026</v>
      </c>
      <c r="B382" t="s">
        <v>481</v>
      </c>
      <c r="C382" s="112" t="s">
        <v>534</v>
      </c>
      <c r="D382" t="s">
        <v>1278</v>
      </c>
      <c r="E382" t="s">
        <v>483</v>
      </c>
      <c r="F382">
        <v>483</v>
      </c>
      <c r="G382" s="113">
        <v>2</v>
      </c>
      <c r="H382">
        <v>4</v>
      </c>
      <c r="I382" t="s">
        <v>246</v>
      </c>
      <c r="J382">
        <v>21</v>
      </c>
      <c r="K382">
        <v>26</v>
      </c>
      <c r="L382">
        <v>23</v>
      </c>
      <c r="M382">
        <v>26.6</v>
      </c>
      <c r="N382">
        <v>38.5</v>
      </c>
      <c r="O382">
        <v>30.897600000000001</v>
      </c>
      <c r="P382">
        <v>20.962700000000002</v>
      </c>
      <c r="Q382">
        <v>25.906500000000001</v>
      </c>
      <c r="R382">
        <v>22.931999999999999</v>
      </c>
      <c r="T382" t="s">
        <v>168</v>
      </c>
      <c r="U382" t="s">
        <v>169</v>
      </c>
      <c r="V382" t="s">
        <v>196</v>
      </c>
      <c r="W382" t="s">
        <v>197</v>
      </c>
      <c r="Y382">
        <v>10</v>
      </c>
      <c r="Z382" t="s">
        <v>172</v>
      </c>
      <c r="AA382" t="s">
        <v>173</v>
      </c>
      <c r="AB382" t="s">
        <v>170</v>
      </c>
      <c r="AC382" t="s">
        <v>232</v>
      </c>
      <c r="AD382">
        <v>10</v>
      </c>
      <c r="AG382" t="s">
        <v>176</v>
      </c>
      <c r="AH382" t="s">
        <v>177</v>
      </c>
      <c r="AI382" t="s">
        <v>178</v>
      </c>
      <c r="AJ382" t="s">
        <v>179</v>
      </c>
      <c r="AK382" t="s">
        <v>664</v>
      </c>
      <c r="AL382" t="s">
        <v>665</v>
      </c>
      <c r="AS382">
        <v>2700</v>
      </c>
      <c r="AT382">
        <v>2700</v>
      </c>
      <c r="BN382" s="114" t="s">
        <v>198</v>
      </c>
      <c r="BO382">
        <v>2</v>
      </c>
      <c r="BP382">
        <v>2</v>
      </c>
      <c r="BQ382">
        <v>31</v>
      </c>
      <c r="BR382" t="s">
        <v>887</v>
      </c>
      <c r="BT382" t="s">
        <v>613</v>
      </c>
      <c r="BU382" s="115">
        <v>45923</v>
      </c>
      <c r="BV382">
        <v>37049</v>
      </c>
      <c r="BW382" s="116"/>
      <c r="BX382" t="s">
        <v>173</v>
      </c>
      <c r="BY382" t="s">
        <v>173</v>
      </c>
      <c r="CB382" t="s">
        <v>173</v>
      </c>
      <c r="CC382" t="s">
        <v>173</v>
      </c>
      <c r="CE382" t="s">
        <v>173</v>
      </c>
      <c r="CG382" t="s">
        <v>172</v>
      </c>
      <c r="CH382" t="s">
        <v>1276</v>
      </c>
      <c r="CI382" t="s">
        <v>172</v>
      </c>
      <c r="CJ382" t="s">
        <v>1276</v>
      </c>
      <c r="DJ382" t="s">
        <v>201</v>
      </c>
      <c r="DK382" t="s">
        <v>202</v>
      </c>
      <c r="DL382" t="s">
        <v>173</v>
      </c>
      <c r="DM382" t="s">
        <v>173</v>
      </c>
      <c r="DN382" t="s">
        <v>173</v>
      </c>
      <c r="DO382" t="s">
        <v>284</v>
      </c>
      <c r="DP382" t="s">
        <v>172</v>
      </c>
      <c r="DQ382" t="s">
        <v>204</v>
      </c>
      <c r="EA382" s="117"/>
      <c r="EB382">
        <v>5</v>
      </c>
      <c r="EC382">
        <v>5</v>
      </c>
      <c r="EE382" t="s">
        <v>1279</v>
      </c>
      <c r="EF382">
        <v>5</v>
      </c>
      <c r="EV382">
        <v>5000</v>
      </c>
      <c r="EW382">
        <v>423</v>
      </c>
      <c r="EX382">
        <v>342</v>
      </c>
      <c r="EY382">
        <v>386</v>
      </c>
    </row>
    <row r="383" spans="1:155" x14ac:dyDescent="0.35">
      <c r="A383">
        <v>2026</v>
      </c>
      <c r="B383" t="s">
        <v>192</v>
      </c>
      <c r="C383" s="112" t="s">
        <v>192</v>
      </c>
      <c r="D383" t="s">
        <v>888</v>
      </c>
      <c r="E383" t="s">
        <v>194</v>
      </c>
      <c r="F383">
        <v>152</v>
      </c>
      <c r="G383" s="113">
        <v>2</v>
      </c>
      <c r="H383">
        <v>4</v>
      </c>
      <c r="I383" t="s">
        <v>274</v>
      </c>
      <c r="J383">
        <v>24</v>
      </c>
      <c r="K383">
        <v>32</v>
      </c>
      <c r="L383">
        <v>27</v>
      </c>
      <c r="M383">
        <v>30.376200000000001</v>
      </c>
      <c r="N383">
        <v>45.848599999999998</v>
      </c>
      <c r="O383">
        <v>35.815100000000001</v>
      </c>
      <c r="P383">
        <v>23.650700000000001</v>
      </c>
      <c r="Q383">
        <v>31.8216</v>
      </c>
      <c r="R383">
        <v>26.740500000000001</v>
      </c>
      <c r="T383" t="s">
        <v>168</v>
      </c>
      <c r="U383" t="s">
        <v>169</v>
      </c>
      <c r="V383" t="s">
        <v>275</v>
      </c>
      <c r="W383" t="s">
        <v>276</v>
      </c>
      <c r="Y383">
        <v>7</v>
      </c>
      <c r="Z383" t="s">
        <v>173</v>
      </c>
      <c r="AA383" t="s">
        <v>173</v>
      </c>
      <c r="AB383" t="s">
        <v>170</v>
      </c>
      <c r="AC383" t="s">
        <v>232</v>
      </c>
      <c r="AD383">
        <v>10</v>
      </c>
      <c r="AG383" t="s">
        <v>176</v>
      </c>
      <c r="AH383" t="s">
        <v>177</v>
      </c>
      <c r="AI383" t="s">
        <v>178</v>
      </c>
      <c r="AJ383" t="s">
        <v>179</v>
      </c>
      <c r="AK383" t="s">
        <v>664</v>
      </c>
      <c r="AL383" t="s">
        <v>665</v>
      </c>
      <c r="AS383">
        <v>2300</v>
      </c>
      <c r="AT383">
        <v>2300</v>
      </c>
      <c r="BN383" s="114" t="s">
        <v>247</v>
      </c>
      <c r="BO383">
        <v>2</v>
      </c>
      <c r="BP383">
        <v>2</v>
      </c>
      <c r="BQ383">
        <v>31</v>
      </c>
      <c r="BR383" t="s">
        <v>887</v>
      </c>
      <c r="BT383" t="s">
        <v>183</v>
      </c>
      <c r="BU383" s="115">
        <v>45870</v>
      </c>
      <c r="BV383">
        <v>37110</v>
      </c>
      <c r="BW383" s="116"/>
      <c r="BX383" t="s">
        <v>172</v>
      </c>
      <c r="BY383" t="s">
        <v>173</v>
      </c>
      <c r="CB383" t="s">
        <v>173</v>
      </c>
      <c r="CC383" t="s">
        <v>173</v>
      </c>
      <c r="CE383" t="s">
        <v>173</v>
      </c>
      <c r="CG383" t="s">
        <v>172</v>
      </c>
      <c r="CH383" t="s">
        <v>282</v>
      </c>
      <c r="CI383" t="s">
        <v>172</v>
      </c>
      <c r="CJ383" t="s">
        <v>283</v>
      </c>
      <c r="DJ383" t="s">
        <v>250</v>
      </c>
      <c r="DK383" t="s">
        <v>251</v>
      </c>
      <c r="DN383" t="s">
        <v>173</v>
      </c>
      <c r="DO383" t="s">
        <v>284</v>
      </c>
      <c r="DP383" t="s">
        <v>172</v>
      </c>
      <c r="DQ383" t="s">
        <v>204</v>
      </c>
      <c r="EA383" s="117"/>
      <c r="EB383">
        <v>5</v>
      </c>
      <c r="EC383">
        <v>5</v>
      </c>
      <c r="EE383" t="s">
        <v>380</v>
      </c>
      <c r="EF383">
        <v>5</v>
      </c>
      <c r="EV383">
        <v>3000</v>
      </c>
      <c r="EW383">
        <v>370</v>
      </c>
      <c r="EX383">
        <v>275</v>
      </c>
      <c r="EY383">
        <v>327</v>
      </c>
    </row>
    <row r="384" spans="1:155" x14ac:dyDescent="0.35">
      <c r="A384">
        <v>2026</v>
      </c>
      <c r="B384" t="s">
        <v>192</v>
      </c>
      <c r="C384" s="112" t="s">
        <v>192</v>
      </c>
      <c r="D384" t="s">
        <v>889</v>
      </c>
      <c r="E384" t="s">
        <v>194</v>
      </c>
      <c r="F384">
        <v>150</v>
      </c>
      <c r="G384" s="113">
        <v>2</v>
      </c>
      <c r="H384">
        <v>4</v>
      </c>
      <c r="I384" t="s">
        <v>274</v>
      </c>
      <c r="J384">
        <v>25</v>
      </c>
      <c r="K384">
        <v>34</v>
      </c>
      <c r="L384">
        <v>28</v>
      </c>
      <c r="M384">
        <v>32.045099999999998</v>
      </c>
      <c r="N384">
        <v>49.192599999999999</v>
      </c>
      <c r="O384">
        <v>38.006900000000002</v>
      </c>
      <c r="P384">
        <v>24.818100000000001</v>
      </c>
      <c r="Q384">
        <v>33.891500000000001</v>
      </c>
      <c r="R384">
        <v>28.217600000000001</v>
      </c>
      <c r="T384" t="s">
        <v>168</v>
      </c>
      <c r="U384" t="s">
        <v>169</v>
      </c>
      <c r="V384" t="s">
        <v>275</v>
      </c>
      <c r="W384" t="s">
        <v>276</v>
      </c>
      <c r="Y384">
        <v>7</v>
      </c>
      <c r="Z384" t="s">
        <v>173</v>
      </c>
      <c r="AA384" t="s">
        <v>173</v>
      </c>
      <c r="AB384" t="s">
        <v>170</v>
      </c>
      <c r="AC384" t="s">
        <v>232</v>
      </c>
      <c r="AD384">
        <v>10</v>
      </c>
      <c r="AG384" t="s">
        <v>176</v>
      </c>
      <c r="AH384" t="s">
        <v>177</v>
      </c>
      <c r="AI384" t="s">
        <v>178</v>
      </c>
      <c r="AJ384" t="s">
        <v>179</v>
      </c>
      <c r="AK384" t="s">
        <v>664</v>
      </c>
      <c r="AL384" t="s">
        <v>665</v>
      </c>
      <c r="AS384">
        <v>2200</v>
      </c>
      <c r="AT384">
        <v>2200</v>
      </c>
      <c r="BN384" s="114" t="s">
        <v>247</v>
      </c>
      <c r="BO384">
        <v>2</v>
      </c>
      <c r="BP384">
        <v>2</v>
      </c>
      <c r="BQ384">
        <v>31</v>
      </c>
      <c r="BR384" t="s">
        <v>887</v>
      </c>
      <c r="BT384" t="s">
        <v>183</v>
      </c>
      <c r="BU384" s="115">
        <v>45870</v>
      </c>
      <c r="BV384">
        <v>37086</v>
      </c>
      <c r="BW384" s="116"/>
      <c r="BX384" t="s">
        <v>172</v>
      </c>
      <c r="BY384" t="s">
        <v>173</v>
      </c>
      <c r="CB384" t="s">
        <v>173</v>
      </c>
      <c r="CC384" t="s">
        <v>173</v>
      </c>
      <c r="CE384" t="s">
        <v>173</v>
      </c>
      <c r="CG384" t="s">
        <v>172</v>
      </c>
      <c r="CH384" t="s">
        <v>282</v>
      </c>
      <c r="CI384" t="s">
        <v>172</v>
      </c>
      <c r="CJ384" t="s">
        <v>283</v>
      </c>
      <c r="DJ384" t="s">
        <v>250</v>
      </c>
      <c r="DK384" t="s">
        <v>251</v>
      </c>
      <c r="DL384" t="s">
        <v>173</v>
      </c>
      <c r="DM384" t="s">
        <v>173</v>
      </c>
      <c r="DN384" t="s">
        <v>173</v>
      </c>
      <c r="DO384" t="s">
        <v>284</v>
      </c>
      <c r="DP384" t="s">
        <v>172</v>
      </c>
      <c r="DQ384" t="s">
        <v>204</v>
      </c>
      <c r="EA384" s="117"/>
      <c r="EB384">
        <v>5</v>
      </c>
      <c r="EC384">
        <v>5</v>
      </c>
      <c r="EE384" t="s">
        <v>285</v>
      </c>
      <c r="EF384">
        <v>7</v>
      </c>
      <c r="EV384">
        <v>2500</v>
      </c>
      <c r="EW384">
        <v>352</v>
      </c>
      <c r="EX384">
        <v>259</v>
      </c>
      <c r="EY384">
        <v>311</v>
      </c>
    </row>
    <row r="385" spans="1:155" x14ac:dyDescent="0.35">
      <c r="A385">
        <v>2026</v>
      </c>
      <c r="B385" t="s">
        <v>192</v>
      </c>
      <c r="C385" s="112" t="s">
        <v>192</v>
      </c>
      <c r="D385" t="s">
        <v>890</v>
      </c>
      <c r="E385" t="s">
        <v>194</v>
      </c>
      <c r="F385">
        <v>252</v>
      </c>
      <c r="G385" s="113">
        <v>2</v>
      </c>
      <c r="H385">
        <v>4</v>
      </c>
      <c r="I385" t="s">
        <v>274</v>
      </c>
      <c r="J385">
        <v>23</v>
      </c>
      <c r="K385">
        <v>31</v>
      </c>
      <c r="L385">
        <v>26</v>
      </c>
      <c r="M385">
        <v>29.116499999999998</v>
      </c>
      <c r="N385">
        <v>44.869399999999999</v>
      </c>
      <c r="O385">
        <v>34.579599999999999</v>
      </c>
      <c r="P385">
        <v>22.761199999999999</v>
      </c>
      <c r="Q385">
        <v>31.209599999999998</v>
      </c>
      <c r="R385">
        <v>25.918500000000002</v>
      </c>
      <c r="T385" t="s">
        <v>168</v>
      </c>
      <c r="U385" t="s">
        <v>169</v>
      </c>
      <c r="V385" t="s">
        <v>275</v>
      </c>
      <c r="W385" t="s">
        <v>276</v>
      </c>
      <c r="Y385">
        <v>7</v>
      </c>
      <c r="Z385" t="s">
        <v>173</v>
      </c>
      <c r="AA385" t="s">
        <v>173</v>
      </c>
      <c r="AB385" t="s">
        <v>170</v>
      </c>
      <c r="AC385" t="s">
        <v>232</v>
      </c>
      <c r="AD385">
        <v>10</v>
      </c>
      <c r="AG385" t="s">
        <v>176</v>
      </c>
      <c r="AH385" t="s">
        <v>177</v>
      </c>
      <c r="AI385" t="s">
        <v>178</v>
      </c>
      <c r="AJ385" t="s">
        <v>179</v>
      </c>
      <c r="AK385" t="s">
        <v>664</v>
      </c>
      <c r="AL385" t="s">
        <v>665</v>
      </c>
      <c r="AS385">
        <v>2400</v>
      </c>
      <c r="AT385">
        <v>2400</v>
      </c>
      <c r="BN385" s="114" t="s">
        <v>247</v>
      </c>
      <c r="BO385">
        <v>2</v>
      </c>
      <c r="BP385">
        <v>2</v>
      </c>
      <c r="BQ385">
        <v>31</v>
      </c>
      <c r="BR385" t="s">
        <v>887</v>
      </c>
      <c r="BT385" t="s">
        <v>183</v>
      </c>
      <c r="BU385" s="115">
        <v>45870</v>
      </c>
      <c r="BV385">
        <v>37114</v>
      </c>
      <c r="BW385" s="116"/>
      <c r="BX385" t="s">
        <v>172</v>
      </c>
      <c r="BY385" t="s">
        <v>173</v>
      </c>
      <c r="CB385" t="s">
        <v>173</v>
      </c>
      <c r="CC385" t="s">
        <v>173</v>
      </c>
      <c r="CE385" t="s">
        <v>173</v>
      </c>
      <c r="CG385" t="s">
        <v>172</v>
      </c>
      <c r="CH385" t="s">
        <v>282</v>
      </c>
      <c r="CI385" t="s">
        <v>172</v>
      </c>
      <c r="CJ385" t="s">
        <v>283</v>
      </c>
      <c r="DJ385" t="s">
        <v>250</v>
      </c>
      <c r="DK385" t="s">
        <v>251</v>
      </c>
      <c r="DN385" t="s">
        <v>173</v>
      </c>
      <c r="DO385" t="s">
        <v>284</v>
      </c>
      <c r="DP385" t="s">
        <v>172</v>
      </c>
      <c r="DQ385" t="s">
        <v>204</v>
      </c>
      <c r="EA385" s="117"/>
      <c r="EB385">
        <v>5</v>
      </c>
      <c r="EC385">
        <v>5</v>
      </c>
      <c r="EE385" t="s">
        <v>380</v>
      </c>
      <c r="EF385">
        <v>5</v>
      </c>
      <c r="EV385">
        <v>3500</v>
      </c>
      <c r="EW385">
        <v>385</v>
      </c>
      <c r="EX385">
        <v>281</v>
      </c>
      <c r="EY385">
        <v>338</v>
      </c>
    </row>
    <row r="386" spans="1:155" x14ac:dyDescent="0.35">
      <c r="A386">
        <v>2026</v>
      </c>
      <c r="B386" t="s">
        <v>192</v>
      </c>
      <c r="C386" s="112" t="s">
        <v>192</v>
      </c>
      <c r="D386" t="s">
        <v>891</v>
      </c>
      <c r="E386" t="s">
        <v>194</v>
      </c>
      <c r="F386">
        <v>250</v>
      </c>
      <c r="G386" s="113">
        <v>2</v>
      </c>
      <c r="H386">
        <v>4</v>
      </c>
      <c r="I386" t="s">
        <v>274</v>
      </c>
      <c r="J386">
        <v>24</v>
      </c>
      <c r="K386">
        <v>34</v>
      </c>
      <c r="L386">
        <v>28</v>
      </c>
      <c r="M386">
        <v>31.3887</v>
      </c>
      <c r="N386">
        <v>49.226500000000001</v>
      </c>
      <c r="O386">
        <v>37.504300000000001</v>
      </c>
      <c r="P386">
        <v>24.360399999999998</v>
      </c>
      <c r="Q386">
        <v>33.912300000000002</v>
      </c>
      <c r="R386">
        <v>27.8963</v>
      </c>
      <c r="T386" t="s">
        <v>168</v>
      </c>
      <c r="U386" t="s">
        <v>169</v>
      </c>
      <c r="V386" t="s">
        <v>275</v>
      </c>
      <c r="W386" t="s">
        <v>276</v>
      </c>
      <c r="Y386">
        <v>7</v>
      </c>
      <c r="Z386" t="s">
        <v>173</v>
      </c>
      <c r="AA386" t="s">
        <v>173</v>
      </c>
      <c r="AB386" t="s">
        <v>170</v>
      </c>
      <c r="AC386" t="s">
        <v>232</v>
      </c>
      <c r="AD386">
        <v>10</v>
      </c>
      <c r="AG386" t="s">
        <v>176</v>
      </c>
      <c r="AH386" t="s">
        <v>177</v>
      </c>
      <c r="AI386" t="s">
        <v>178</v>
      </c>
      <c r="AJ386" t="s">
        <v>179</v>
      </c>
      <c r="AK386" t="s">
        <v>664</v>
      </c>
      <c r="AL386" t="s">
        <v>665</v>
      </c>
      <c r="AS386">
        <v>2200</v>
      </c>
      <c r="AT386">
        <v>2200</v>
      </c>
      <c r="BN386" s="114" t="s">
        <v>247</v>
      </c>
      <c r="BO386">
        <v>2</v>
      </c>
      <c r="BP386">
        <v>2</v>
      </c>
      <c r="BQ386">
        <v>31</v>
      </c>
      <c r="BR386" t="s">
        <v>887</v>
      </c>
      <c r="BT386" t="s">
        <v>183</v>
      </c>
      <c r="BU386" s="115">
        <v>45870</v>
      </c>
      <c r="BV386">
        <v>37098</v>
      </c>
      <c r="BW386" s="116"/>
      <c r="BX386" t="s">
        <v>172</v>
      </c>
      <c r="BY386" t="s">
        <v>173</v>
      </c>
      <c r="CB386" t="s">
        <v>173</v>
      </c>
      <c r="CC386" t="s">
        <v>173</v>
      </c>
      <c r="CE386" t="s">
        <v>173</v>
      </c>
      <c r="CG386" t="s">
        <v>172</v>
      </c>
      <c r="CH386" t="s">
        <v>282</v>
      </c>
      <c r="CI386" t="s">
        <v>172</v>
      </c>
      <c r="CJ386" t="s">
        <v>283</v>
      </c>
      <c r="DJ386" t="s">
        <v>250</v>
      </c>
      <c r="DK386" t="s">
        <v>251</v>
      </c>
      <c r="DL386" t="s">
        <v>173</v>
      </c>
      <c r="DM386" t="s">
        <v>173</v>
      </c>
      <c r="DN386" t="s">
        <v>173</v>
      </c>
      <c r="DO386" t="s">
        <v>284</v>
      </c>
      <c r="DP386" t="s">
        <v>172</v>
      </c>
      <c r="DQ386" t="s">
        <v>204</v>
      </c>
      <c r="EA386" s="117"/>
      <c r="EB386">
        <v>5</v>
      </c>
      <c r="EC386">
        <v>5</v>
      </c>
      <c r="EE386" t="s">
        <v>285</v>
      </c>
      <c r="EF386">
        <v>7</v>
      </c>
      <c r="EV386">
        <v>2500</v>
      </c>
      <c r="EW386">
        <v>359</v>
      </c>
      <c r="EX386">
        <v>259</v>
      </c>
      <c r="EY386">
        <v>314</v>
      </c>
    </row>
    <row r="387" spans="1:155" x14ac:dyDescent="0.35">
      <c r="A387">
        <v>2026</v>
      </c>
      <c r="B387" t="s">
        <v>192</v>
      </c>
      <c r="C387" s="112" t="s">
        <v>192</v>
      </c>
      <c r="D387" t="s">
        <v>892</v>
      </c>
      <c r="E387" t="s">
        <v>194</v>
      </c>
      <c r="F387">
        <v>372</v>
      </c>
      <c r="G387" s="113">
        <v>3</v>
      </c>
      <c r="H387">
        <v>6</v>
      </c>
      <c r="I387" t="s">
        <v>195</v>
      </c>
      <c r="J387">
        <v>25</v>
      </c>
      <c r="K387">
        <v>30</v>
      </c>
      <c r="L387">
        <v>27</v>
      </c>
      <c r="M387">
        <v>32.688400000000001</v>
      </c>
      <c r="N387">
        <v>43.569600000000001</v>
      </c>
      <c r="O387">
        <v>36.827199999999998</v>
      </c>
      <c r="P387">
        <v>25.264900000000001</v>
      </c>
      <c r="Q387">
        <v>30.3932</v>
      </c>
      <c r="R387">
        <v>27.340900000000001</v>
      </c>
      <c r="T387" t="s">
        <v>168</v>
      </c>
      <c r="U387" t="s">
        <v>169</v>
      </c>
      <c r="V387" t="s">
        <v>196</v>
      </c>
      <c r="W387" t="s">
        <v>197</v>
      </c>
      <c r="Y387">
        <v>8</v>
      </c>
      <c r="Z387" t="s">
        <v>172</v>
      </c>
      <c r="AA387" t="s">
        <v>173</v>
      </c>
      <c r="AB387" t="s">
        <v>170</v>
      </c>
      <c r="AC387" t="s">
        <v>232</v>
      </c>
      <c r="AD387">
        <v>10</v>
      </c>
      <c r="AG387" t="s">
        <v>176</v>
      </c>
      <c r="AH387" t="s">
        <v>177</v>
      </c>
      <c r="AI387" t="s">
        <v>178</v>
      </c>
      <c r="AJ387" t="s">
        <v>179</v>
      </c>
      <c r="AK387" t="s">
        <v>664</v>
      </c>
      <c r="AL387" t="s">
        <v>665</v>
      </c>
      <c r="AS387">
        <v>2300</v>
      </c>
      <c r="AT387">
        <v>2300</v>
      </c>
      <c r="BN387" s="114" t="s">
        <v>304</v>
      </c>
      <c r="BO387">
        <v>2</v>
      </c>
      <c r="BP387">
        <v>2</v>
      </c>
      <c r="BQ387">
        <v>31</v>
      </c>
      <c r="BR387" t="s">
        <v>887</v>
      </c>
      <c r="BT387" t="s">
        <v>183</v>
      </c>
      <c r="BU387" s="115">
        <v>45870</v>
      </c>
      <c r="BV387">
        <v>36778</v>
      </c>
      <c r="BW387" s="116"/>
      <c r="BX387" t="s">
        <v>173</v>
      </c>
      <c r="BY387" t="s">
        <v>173</v>
      </c>
      <c r="CB387" t="s">
        <v>173</v>
      </c>
      <c r="CC387" t="s">
        <v>173</v>
      </c>
      <c r="CE387" t="s">
        <v>173</v>
      </c>
      <c r="CG387" t="s">
        <v>172</v>
      </c>
      <c r="CH387" t="s">
        <v>282</v>
      </c>
      <c r="CI387" t="s">
        <v>172</v>
      </c>
      <c r="CJ387" t="s">
        <v>305</v>
      </c>
      <c r="CK387" t="s">
        <v>259</v>
      </c>
      <c r="CM387">
        <v>1</v>
      </c>
      <c r="CN387" t="s">
        <v>260</v>
      </c>
      <c r="CP387">
        <v>44</v>
      </c>
      <c r="CQ387">
        <v>10</v>
      </c>
      <c r="CR387">
        <v>38</v>
      </c>
      <c r="CS387" t="s">
        <v>261</v>
      </c>
      <c r="CV387" t="s">
        <v>262</v>
      </c>
      <c r="CX387" t="s">
        <v>263</v>
      </c>
      <c r="CY387" t="s">
        <v>173</v>
      </c>
      <c r="DC387" t="s">
        <v>329</v>
      </c>
      <c r="DD387">
        <v>1</v>
      </c>
      <c r="DE387" t="s">
        <v>307</v>
      </c>
      <c r="DF387" t="s">
        <v>330</v>
      </c>
      <c r="DG387">
        <v>9</v>
      </c>
      <c r="DJ387" t="s">
        <v>250</v>
      </c>
      <c r="DK387" t="s">
        <v>251</v>
      </c>
      <c r="DL387" t="s">
        <v>173</v>
      </c>
      <c r="DM387" t="s">
        <v>173</v>
      </c>
      <c r="DN387" t="s">
        <v>173</v>
      </c>
      <c r="DO387" t="s">
        <v>309</v>
      </c>
      <c r="DP387" t="s">
        <v>172</v>
      </c>
      <c r="DQ387" t="s">
        <v>204</v>
      </c>
      <c r="EA387" s="117"/>
      <c r="EB387">
        <v>5</v>
      </c>
      <c r="EC387">
        <v>5</v>
      </c>
      <c r="EE387" t="s">
        <v>331</v>
      </c>
      <c r="EF387">
        <v>6</v>
      </c>
      <c r="EV387">
        <v>3000</v>
      </c>
      <c r="EW387">
        <v>346</v>
      </c>
      <c r="EX387">
        <v>288</v>
      </c>
      <c r="EY387">
        <v>320</v>
      </c>
    </row>
    <row r="388" spans="1:155" x14ac:dyDescent="0.35">
      <c r="A388">
        <v>2026</v>
      </c>
      <c r="B388" t="s">
        <v>192</v>
      </c>
      <c r="C388" s="112" t="s">
        <v>192</v>
      </c>
      <c r="D388" t="s">
        <v>893</v>
      </c>
      <c r="E388" t="s">
        <v>194</v>
      </c>
      <c r="F388">
        <v>370</v>
      </c>
      <c r="G388" s="113">
        <v>2</v>
      </c>
      <c r="H388">
        <v>4</v>
      </c>
      <c r="I388" t="s">
        <v>195</v>
      </c>
      <c r="J388">
        <v>27</v>
      </c>
      <c r="K388">
        <v>33</v>
      </c>
      <c r="L388">
        <v>29</v>
      </c>
      <c r="M388">
        <v>34.803100000000001</v>
      </c>
      <c r="N388">
        <v>47.706200000000003</v>
      </c>
      <c r="O388">
        <v>39.625999999999998</v>
      </c>
      <c r="P388">
        <v>26.720700000000001</v>
      </c>
      <c r="Q388">
        <v>32.975200000000001</v>
      </c>
      <c r="R388">
        <v>29.214200000000002</v>
      </c>
      <c r="T388" t="s">
        <v>168</v>
      </c>
      <c r="U388" t="s">
        <v>169</v>
      </c>
      <c r="V388" t="s">
        <v>196</v>
      </c>
      <c r="W388" t="s">
        <v>197</v>
      </c>
      <c r="Y388">
        <v>8</v>
      </c>
      <c r="Z388" t="s">
        <v>172</v>
      </c>
      <c r="AA388" t="s">
        <v>173</v>
      </c>
      <c r="AB388" t="s">
        <v>170</v>
      </c>
      <c r="AC388" t="s">
        <v>232</v>
      </c>
      <c r="AD388">
        <v>10</v>
      </c>
      <c r="AG388" t="s">
        <v>176</v>
      </c>
      <c r="AH388" t="s">
        <v>177</v>
      </c>
      <c r="AI388" t="s">
        <v>178</v>
      </c>
      <c r="AJ388" t="s">
        <v>179</v>
      </c>
      <c r="AK388" t="s">
        <v>664</v>
      </c>
      <c r="AL388" t="s">
        <v>665</v>
      </c>
      <c r="AS388">
        <v>2150</v>
      </c>
      <c r="AT388">
        <v>2150</v>
      </c>
      <c r="BN388" s="114" t="s">
        <v>304</v>
      </c>
      <c r="BO388">
        <v>2</v>
      </c>
      <c r="BP388">
        <v>2</v>
      </c>
      <c r="BQ388">
        <v>31</v>
      </c>
      <c r="BR388" t="s">
        <v>887</v>
      </c>
      <c r="BT388" t="s">
        <v>183</v>
      </c>
      <c r="BU388" s="115">
        <v>45870</v>
      </c>
      <c r="BV388">
        <v>36684</v>
      </c>
      <c r="BW388" s="116"/>
      <c r="BX388" t="s">
        <v>173</v>
      </c>
      <c r="BY388" t="s">
        <v>173</v>
      </c>
      <c r="CB388" t="s">
        <v>173</v>
      </c>
      <c r="CC388" t="s">
        <v>173</v>
      </c>
      <c r="CE388" t="s">
        <v>173</v>
      </c>
      <c r="CG388" t="s">
        <v>172</v>
      </c>
      <c r="CH388" t="s">
        <v>282</v>
      </c>
      <c r="CI388" t="s">
        <v>172</v>
      </c>
      <c r="CJ388" t="s">
        <v>305</v>
      </c>
      <c r="CK388" t="s">
        <v>259</v>
      </c>
      <c r="CM388">
        <v>1</v>
      </c>
      <c r="CN388" t="s">
        <v>260</v>
      </c>
      <c r="CP388">
        <v>44</v>
      </c>
      <c r="CQ388">
        <v>10</v>
      </c>
      <c r="CR388">
        <v>40</v>
      </c>
      <c r="CS388" t="s">
        <v>261</v>
      </c>
      <c r="CV388" t="s">
        <v>262</v>
      </c>
      <c r="CX388" t="s">
        <v>263</v>
      </c>
      <c r="CY388" t="s">
        <v>173</v>
      </c>
      <c r="DC388" t="s">
        <v>306</v>
      </c>
      <c r="DD388">
        <v>1</v>
      </c>
      <c r="DE388" t="s">
        <v>307</v>
      </c>
      <c r="DF388" t="s">
        <v>308</v>
      </c>
      <c r="DG388">
        <v>8</v>
      </c>
      <c r="DJ388" t="s">
        <v>250</v>
      </c>
      <c r="DK388" t="s">
        <v>251</v>
      </c>
      <c r="DL388" t="s">
        <v>173</v>
      </c>
      <c r="DM388" t="s">
        <v>173</v>
      </c>
      <c r="DN388" t="s">
        <v>173</v>
      </c>
      <c r="DO388" t="s">
        <v>309</v>
      </c>
      <c r="DP388" t="s">
        <v>172</v>
      </c>
      <c r="DQ388" t="s">
        <v>204</v>
      </c>
      <c r="EA388" s="117"/>
      <c r="EB388">
        <v>6</v>
      </c>
      <c r="EC388">
        <v>6</v>
      </c>
      <c r="EE388" t="s">
        <v>310</v>
      </c>
      <c r="EF388">
        <v>7</v>
      </c>
      <c r="EV388">
        <v>2250</v>
      </c>
      <c r="EW388">
        <v>327</v>
      </c>
      <c r="EX388">
        <v>265</v>
      </c>
      <c r="EY388">
        <v>299</v>
      </c>
    </row>
    <row r="389" spans="1:155" x14ac:dyDescent="0.35">
      <c r="A389">
        <v>2026</v>
      </c>
      <c r="B389" t="s">
        <v>211</v>
      </c>
      <c r="C389" s="112" t="s">
        <v>609</v>
      </c>
      <c r="D389" t="s">
        <v>894</v>
      </c>
      <c r="E389" t="s">
        <v>214</v>
      </c>
      <c r="F389">
        <v>905</v>
      </c>
      <c r="G389" s="113">
        <v>1.3</v>
      </c>
      <c r="H389">
        <v>3</v>
      </c>
      <c r="I389" t="s">
        <v>231</v>
      </c>
      <c r="J389">
        <v>26</v>
      </c>
      <c r="K389">
        <v>28</v>
      </c>
      <c r="L389">
        <v>27</v>
      </c>
      <c r="M389">
        <v>33.326599999999999</v>
      </c>
      <c r="N389">
        <v>43.192999999999998</v>
      </c>
      <c r="O389">
        <v>37.144799999999996</v>
      </c>
      <c r="P389">
        <v>25.706299999999999</v>
      </c>
      <c r="Q389">
        <v>28</v>
      </c>
      <c r="R389">
        <v>27</v>
      </c>
      <c r="T389" t="s">
        <v>168</v>
      </c>
      <c r="U389" t="s">
        <v>169</v>
      </c>
      <c r="V389" t="s">
        <v>170</v>
      </c>
      <c r="W389" t="s">
        <v>171</v>
      </c>
      <c r="Y389">
        <v>9</v>
      </c>
      <c r="Z389" t="s">
        <v>172</v>
      </c>
      <c r="AA389" t="s">
        <v>173</v>
      </c>
      <c r="AB389" t="s">
        <v>170</v>
      </c>
      <c r="AC389" t="s">
        <v>232</v>
      </c>
      <c r="AD389">
        <v>10</v>
      </c>
      <c r="AG389" t="s">
        <v>167</v>
      </c>
      <c r="AH389" t="s">
        <v>416</v>
      </c>
      <c r="AI389" t="s">
        <v>178</v>
      </c>
      <c r="AJ389" t="s">
        <v>179</v>
      </c>
      <c r="AK389" t="s">
        <v>664</v>
      </c>
      <c r="AL389" t="s">
        <v>665</v>
      </c>
      <c r="AO389">
        <v>94</v>
      </c>
      <c r="AP389">
        <v>24</v>
      </c>
      <c r="AS389">
        <v>1850</v>
      </c>
      <c r="AT389">
        <v>1850</v>
      </c>
      <c r="BN389" s="114" t="s">
        <v>198</v>
      </c>
      <c r="BO389">
        <v>2</v>
      </c>
      <c r="BP389">
        <v>2</v>
      </c>
      <c r="BQ389">
        <v>31</v>
      </c>
      <c r="BR389" t="s">
        <v>887</v>
      </c>
      <c r="BT389" t="s">
        <v>183</v>
      </c>
      <c r="BU389" s="115">
        <v>45759</v>
      </c>
      <c r="BV389">
        <v>36385</v>
      </c>
      <c r="BW389" s="116"/>
      <c r="BX389" t="s">
        <v>173</v>
      </c>
      <c r="BY389" t="s">
        <v>173</v>
      </c>
      <c r="CB389" t="s">
        <v>173</v>
      </c>
      <c r="CC389" t="s">
        <v>173</v>
      </c>
      <c r="CE389" t="s">
        <v>173</v>
      </c>
      <c r="CG389" t="s">
        <v>172</v>
      </c>
      <c r="CH389" t="s">
        <v>615</v>
      </c>
      <c r="CI389" t="s">
        <v>173</v>
      </c>
      <c r="DJ389" t="s">
        <v>201</v>
      </c>
      <c r="DK389" t="s">
        <v>202</v>
      </c>
      <c r="DN389" t="s">
        <v>173</v>
      </c>
      <c r="DO389" t="s">
        <v>347</v>
      </c>
      <c r="DP389" t="s">
        <v>172</v>
      </c>
      <c r="DQ389" t="s">
        <v>204</v>
      </c>
      <c r="EA389" s="117"/>
      <c r="EB389">
        <v>5</v>
      </c>
      <c r="EC389">
        <v>5</v>
      </c>
      <c r="EE389" t="s">
        <v>802</v>
      </c>
      <c r="EF389">
        <v>6</v>
      </c>
      <c r="EV389">
        <v>750</v>
      </c>
      <c r="EW389">
        <v>347</v>
      </c>
      <c r="EX389">
        <v>309</v>
      </c>
      <c r="EY389">
        <v>327</v>
      </c>
    </row>
    <row r="390" spans="1:155" x14ac:dyDescent="0.35">
      <c r="A390">
        <v>2026</v>
      </c>
      <c r="B390" t="s">
        <v>211</v>
      </c>
      <c r="C390" s="112" t="s">
        <v>609</v>
      </c>
      <c r="D390" t="s">
        <v>895</v>
      </c>
      <c r="E390" t="s">
        <v>214</v>
      </c>
      <c r="F390">
        <v>850</v>
      </c>
      <c r="G390" s="113">
        <v>2</v>
      </c>
      <c r="H390">
        <v>4</v>
      </c>
      <c r="I390" t="s">
        <v>896</v>
      </c>
      <c r="J390">
        <v>22</v>
      </c>
      <c r="K390">
        <v>28</v>
      </c>
      <c r="L390">
        <v>25</v>
      </c>
      <c r="M390">
        <v>28.581800000000001</v>
      </c>
      <c r="N390">
        <v>41.9467</v>
      </c>
      <c r="O390">
        <v>33.365699999999997</v>
      </c>
      <c r="P390">
        <v>22.381499999999999</v>
      </c>
      <c r="Q390">
        <v>28.093499999999999</v>
      </c>
      <c r="R390">
        <v>24.6355</v>
      </c>
      <c r="T390" t="s">
        <v>168</v>
      </c>
      <c r="U390" t="s">
        <v>169</v>
      </c>
      <c r="V390" t="s">
        <v>196</v>
      </c>
      <c r="W390" t="s">
        <v>197</v>
      </c>
      <c r="Y390">
        <v>9</v>
      </c>
      <c r="Z390" t="s">
        <v>172</v>
      </c>
      <c r="AA390" t="s">
        <v>173</v>
      </c>
      <c r="AB390" t="s">
        <v>170</v>
      </c>
      <c r="AC390" t="s">
        <v>232</v>
      </c>
      <c r="AD390">
        <v>10</v>
      </c>
      <c r="AG390" t="s">
        <v>167</v>
      </c>
      <c r="AH390" t="s">
        <v>416</v>
      </c>
      <c r="AI390" t="s">
        <v>178</v>
      </c>
      <c r="AJ390" t="s">
        <v>179</v>
      </c>
      <c r="AK390" t="s">
        <v>664</v>
      </c>
      <c r="AL390" t="s">
        <v>665</v>
      </c>
      <c r="AS390">
        <v>2000</v>
      </c>
      <c r="AT390">
        <v>2000</v>
      </c>
      <c r="BN390" s="114" t="s">
        <v>198</v>
      </c>
      <c r="BO390">
        <v>2</v>
      </c>
      <c r="BP390">
        <v>2</v>
      </c>
      <c r="BQ390">
        <v>31</v>
      </c>
      <c r="BR390" t="s">
        <v>887</v>
      </c>
      <c r="BT390" t="s">
        <v>613</v>
      </c>
      <c r="BU390" s="115">
        <v>45873</v>
      </c>
      <c r="BV390">
        <v>37042</v>
      </c>
      <c r="BW390" s="116"/>
      <c r="BX390" t="s">
        <v>173</v>
      </c>
      <c r="BY390" t="s">
        <v>173</v>
      </c>
      <c r="CB390" t="s">
        <v>173</v>
      </c>
      <c r="CC390" t="s">
        <v>173</v>
      </c>
      <c r="CE390" t="s">
        <v>172</v>
      </c>
      <c r="CF390" t="s">
        <v>220</v>
      </c>
      <c r="CG390" t="s">
        <v>172</v>
      </c>
      <c r="CH390" t="s">
        <v>224</v>
      </c>
      <c r="CI390" t="s">
        <v>172</v>
      </c>
      <c r="CJ390" t="s">
        <v>390</v>
      </c>
      <c r="DJ390" t="s">
        <v>201</v>
      </c>
      <c r="DK390" t="s">
        <v>202</v>
      </c>
      <c r="DN390" t="s">
        <v>173</v>
      </c>
      <c r="DO390" t="s">
        <v>203</v>
      </c>
      <c r="DP390" t="s">
        <v>172</v>
      </c>
      <c r="DQ390" t="s">
        <v>204</v>
      </c>
      <c r="EA390" s="117"/>
      <c r="EB390">
        <v>5</v>
      </c>
      <c r="EC390">
        <v>5</v>
      </c>
      <c r="EE390" t="s">
        <v>897</v>
      </c>
      <c r="EF390">
        <v>6</v>
      </c>
      <c r="EV390">
        <v>1500</v>
      </c>
      <c r="EW390">
        <v>397</v>
      </c>
      <c r="EX390">
        <v>317</v>
      </c>
      <c r="EY390">
        <v>361</v>
      </c>
    </row>
    <row r="391" spans="1:155" x14ac:dyDescent="0.35">
      <c r="A391">
        <v>2026</v>
      </c>
      <c r="B391" t="s">
        <v>211</v>
      </c>
      <c r="C391" s="112" t="s">
        <v>212</v>
      </c>
      <c r="D391" t="s">
        <v>898</v>
      </c>
      <c r="E391" t="s">
        <v>214</v>
      </c>
      <c r="F391">
        <v>900</v>
      </c>
      <c r="G391" s="113">
        <v>1.5</v>
      </c>
      <c r="H391">
        <v>4</v>
      </c>
      <c r="I391" t="s">
        <v>166</v>
      </c>
      <c r="J391">
        <v>25</v>
      </c>
      <c r="K391">
        <v>29</v>
      </c>
      <c r="L391">
        <v>26</v>
      </c>
      <c r="M391">
        <v>32.1</v>
      </c>
      <c r="N391">
        <v>43.9</v>
      </c>
      <c r="O391">
        <v>36.517000000000003</v>
      </c>
      <c r="P391">
        <v>24.856300000000001</v>
      </c>
      <c r="Q391">
        <v>29.235099999999999</v>
      </c>
      <c r="R391">
        <v>26</v>
      </c>
      <c r="T391" t="s">
        <v>168</v>
      </c>
      <c r="U391" t="s">
        <v>169</v>
      </c>
      <c r="V391" t="s">
        <v>170</v>
      </c>
      <c r="W391" t="s">
        <v>171</v>
      </c>
      <c r="Y391">
        <v>8</v>
      </c>
      <c r="Z391" t="s">
        <v>172</v>
      </c>
      <c r="AA391" t="s">
        <v>173</v>
      </c>
      <c r="AB391" t="s">
        <v>170</v>
      </c>
      <c r="AC391" t="s">
        <v>232</v>
      </c>
      <c r="AD391">
        <v>10</v>
      </c>
      <c r="AG391" t="s">
        <v>167</v>
      </c>
      <c r="AH391" t="s">
        <v>416</v>
      </c>
      <c r="AI391" t="s">
        <v>178</v>
      </c>
      <c r="AJ391" t="s">
        <v>179</v>
      </c>
      <c r="AK391" t="s">
        <v>664</v>
      </c>
      <c r="AL391" t="s">
        <v>665</v>
      </c>
      <c r="AO391">
        <v>104</v>
      </c>
      <c r="AP391">
        <v>30</v>
      </c>
      <c r="AS391">
        <v>1900</v>
      </c>
      <c r="AT391">
        <v>1900</v>
      </c>
      <c r="BN391" s="114" t="s">
        <v>198</v>
      </c>
      <c r="BO391">
        <v>2</v>
      </c>
      <c r="BP391">
        <v>2</v>
      </c>
      <c r="BQ391">
        <v>31</v>
      </c>
      <c r="BR391" t="s">
        <v>887</v>
      </c>
      <c r="BT391" t="s">
        <v>613</v>
      </c>
      <c r="BU391" s="115">
        <v>45762</v>
      </c>
      <c r="BV391">
        <v>36436</v>
      </c>
      <c r="BW391" s="116"/>
      <c r="BX391" t="s">
        <v>173</v>
      </c>
      <c r="BY391" t="s">
        <v>173</v>
      </c>
      <c r="CB391" t="s">
        <v>173</v>
      </c>
      <c r="CC391" t="s">
        <v>173</v>
      </c>
      <c r="CE391" t="s">
        <v>173</v>
      </c>
      <c r="CG391" t="s">
        <v>172</v>
      </c>
      <c r="CH391" t="s">
        <v>805</v>
      </c>
      <c r="CI391" t="s">
        <v>173</v>
      </c>
      <c r="DJ391" t="s">
        <v>201</v>
      </c>
      <c r="DK391" t="s">
        <v>202</v>
      </c>
      <c r="DN391" t="s">
        <v>173</v>
      </c>
      <c r="DO391" t="s">
        <v>203</v>
      </c>
      <c r="DP391" t="s">
        <v>172</v>
      </c>
      <c r="DQ391" t="s">
        <v>204</v>
      </c>
      <c r="EA391" s="117"/>
      <c r="EB391">
        <v>5</v>
      </c>
      <c r="EC391">
        <v>5</v>
      </c>
      <c r="EE391" t="s">
        <v>806</v>
      </c>
      <c r="EF391">
        <v>6</v>
      </c>
      <c r="EV391">
        <v>1000</v>
      </c>
      <c r="EW391">
        <v>358</v>
      </c>
      <c r="EX391">
        <v>305</v>
      </c>
      <c r="EY391">
        <v>342</v>
      </c>
    </row>
    <row r="392" spans="1:155" x14ac:dyDescent="0.35">
      <c r="A392">
        <v>2026</v>
      </c>
      <c r="B392" t="s">
        <v>211</v>
      </c>
      <c r="C392" s="112" t="s">
        <v>212</v>
      </c>
      <c r="D392" t="s">
        <v>899</v>
      </c>
      <c r="E392" t="s">
        <v>214</v>
      </c>
      <c r="F392">
        <v>915</v>
      </c>
      <c r="G392" s="113">
        <v>1.3</v>
      </c>
      <c r="H392">
        <v>3</v>
      </c>
      <c r="I392" t="s">
        <v>231</v>
      </c>
      <c r="J392">
        <v>26</v>
      </c>
      <c r="K392">
        <v>29</v>
      </c>
      <c r="L392">
        <v>27</v>
      </c>
      <c r="M392">
        <v>34.5</v>
      </c>
      <c r="N392">
        <v>45.8</v>
      </c>
      <c r="O392">
        <v>38.808799999999998</v>
      </c>
      <c r="P392">
        <v>26</v>
      </c>
      <c r="Q392">
        <v>29</v>
      </c>
      <c r="R392">
        <v>27</v>
      </c>
      <c r="T392" t="s">
        <v>168</v>
      </c>
      <c r="U392" t="s">
        <v>169</v>
      </c>
      <c r="V392" t="s">
        <v>170</v>
      </c>
      <c r="W392" t="s">
        <v>171</v>
      </c>
      <c r="Y392">
        <v>9</v>
      </c>
      <c r="Z392" t="s">
        <v>172</v>
      </c>
      <c r="AA392" t="s">
        <v>173</v>
      </c>
      <c r="AB392" t="s">
        <v>170</v>
      </c>
      <c r="AC392" t="s">
        <v>232</v>
      </c>
      <c r="AD392">
        <v>10</v>
      </c>
      <c r="AG392" t="s">
        <v>167</v>
      </c>
      <c r="AH392" t="s">
        <v>416</v>
      </c>
      <c r="AI392" t="s">
        <v>178</v>
      </c>
      <c r="AJ392" t="s">
        <v>179</v>
      </c>
      <c r="AK392" t="s">
        <v>664</v>
      </c>
      <c r="AL392" t="s">
        <v>665</v>
      </c>
      <c r="AS392">
        <v>1850</v>
      </c>
      <c r="AT392">
        <v>1850</v>
      </c>
      <c r="BN392" s="114" t="s">
        <v>198</v>
      </c>
      <c r="BO392">
        <v>2</v>
      </c>
      <c r="BP392">
        <v>2</v>
      </c>
      <c r="BQ392">
        <v>31</v>
      </c>
      <c r="BR392" t="s">
        <v>887</v>
      </c>
      <c r="BT392" t="s">
        <v>183</v>
      </c>
      <c r="BU392" s="115">
        <v>45762</v>
      </c>
      <c r="BV392">
        <v>36424</v>
      </c>
      <c r="BW392" s="116"/>
      <c r="BX392" t="s">
        <v>173</v>
      </c>
      <c r="BY392" t="s">
        <v>173</v>
      </c>
      <c r="CB392" t="s">
        <v>173</v>
      </c>
      <c r="CC392" t="s">
        <v>173</v>
      </c>
      <c r="CE392" t="s">
        <v>173</v>
      </c>
      <c r="CG392" t="s">
        <v>172</v>
      </c>
      <c r="CH392" t="s">
        <v>615</v>
      </c>
      <c r="CI392" t="s">
        <v>173</v>
      </c>
      <c r="DJ392" t="s">
        <v>201</v>
      </c>
      <c r="DK392" t="s">
        <v>202</v>
      </c>
      <c r="DN392" t="s">
        <v>173</v>
      </c>
      <c r="DO392" t="s">
        <v>347</v>
      </c>
      <c r="DP392" t="s">
        <v>172</v>
      </c>
      <c r="DQ392" t="s">
        <v>204</v>
      </c>
      <c r="EA392" s="117"/>
      <c r="EB392">
        <v>5</v>
      </c>
      <c r="EC392">
        <v>5</v>
      </c>
      <c r="EE392" t="s">
        <v>802</v>
      </c>
      <c r="EF392">
        <v>6</v>
      </c>
      <c r="EV392">
        <v>750</v>
      </c>
      <c r="EW392">
        <v>342</v>
      </c>
      <c r="EX392">
        <v>306</v>
      </c>
      <c r="EY392">
        <v>329</v>
      </c>
    </row>
    <row r="393" spans="1:155" x14ac:dyDescent="0.35">
      <c r="A393">
        <v>2026</v>
      </c>
      <c r="B393" t="s">
        <v>978</v>
      </c>
      <c r="C393" s="112" t="s">
        <v>1170</v>
      </c>
      <c r="D393" t="s">
        <v>1280</v>
      </c>
      <c r="E393" t="s">
        <v>981</v>
      </c>
      <c r="F393">
        <v>48</v>
      </c>
      <c r="G393" s="113">
        <v>2</v>
      </c>
      <c r="H393">
        <v>4</v>
      </c>
      <c r="I393" t="s">
        <v>166</v>
      </c>
      <c r="J393">
        <v>23</v>
      </c>
      <c r="K393">
        <v>31</v>
      </c>
      <c r="L393">
        <v>26</v>
      </c>
      <c r="M393">
        <v>29.5</v>
      </c>
      <c r="N393">
        <v>46.8</v>
      </c>
      <c r="O393">
        <v>35.386400000000002</v>
      </c>
      <c r="P393">
        <v>23.032800000000002</v>
      </c>
      <c r="Q393">
        <v>31</v>
      </c>
      <c r="R393">
        <v>26.4816</v>
      </c>
      <c r="T393" t="s">
        <v>168</v>
      </c>
      <c r="U393" t="s">
        <v>169</v>
      </c>
      <c r="V393" t="s">
        <v>170</v>
      </c>
      <c r="W393" t="s">
        <v>171</v>
      </c>
      <c r="Y393">
        <v>8</v>
      </c>
      <c r="Z393" t="s">
        <v>172</v>
      </c>
      <c r="AA393" t="s">
        <v>173</v>
      </c>
      <c r="AB393" t="s">
        <v>170</v>
      </c>
      <c r="AC393" t="s">
        <v>232</v>
      </c>
      <c r="AD393">
        <v>85</v>
      </c>
      <c r="AG393" t="s">
        <v>167</v>
      </c>
      <c r="AH393" t="s">
        <v>416</v>
      </c>
      <c r="AI393" t="s">
        <v>178</v>
      </c>
      <c r="AJ393" t="s">
        <v>179</v>
      </c>
      <c r="AK393" t="s">
        <v>664</v>
      </c>
      <c r="AL393" t="s">
        <v>665</v>
      </c>
      <c r="AS393">
        <v>1900</v>
      </c>
      <c r="AT393">
        <v>1900</v>
      </c>
      <c r="BN393" s="114" t="s">
        <v>247</v>
      </c>
      <c r="BO393">
        <v>2</v>
      </c>
      <c r="BP393">
        <v>2</v>
      </c>
      <c r="BQ393">
        <v>31</v>
      </c>
      <c r="BR393" t="s">
        <v>887</v>
      </c>
      <c r="BT393" t="s">
        <v>183</v>
      </c>
      <c r="BU393" s="115">
        <v>45908</v>
      </c>
      <c r="BV393">
        <v>37397</v>
      </c>
      <c r="BW393" s="116"/>
      <c r="BX393" t="s">
        <v>173</v>
      </c>
      <c r="BY393" t="s">
        <v>173</v>
      </c>
      <c r="CB393" t="s">
        <v>173</v>
      </c>
      <c r="CC393" t="s">
        <v>173</v>
      </c>
      <c r="CD393" t="s">
        <v>1265</v>
      </c>
      <c r="CE393" t="s">
        <v>173</v>
      </c>
      <c r="CG393" t="s">
        <v>172</v>
      </c>
      <c r="CH393" t="s">
        <v>1260</v>
      </c>
      <c r="CI393" t="s">
        <v>173</v>
      </c>
      <c r="DJ393" t="s">
        <v>250</v>
      </c>
      <c r="DK393" t="s">
        <v>251</v>
      </c>
      <c r="DN393" t="s">
        <v>173</v>
      </c>
      <c r="DO393" t="s">
        <v>983</v>
      </c>
      <c r="DP393" t="s">
        <v>172</v>
      </c>
      <c r="DQ393" t="s">
        <v>204</v>
      </c>
      <c r="EA393" s="117"/>
      <c r="EB393">
        <v>5</v>
      </c>
      <c r="EC393">
        <v>5</v>
      </c>
      <c r="EE393" t="s">
        <v>1266</v>
      </c>
      <c r="EF393">
        <v>5</v>
      </c>
      <c r="EV393">
        <v>1000</v>
      </c>
      <c r="EW393">
        <v>386</v>
      </c>
      <c r="EX393">
        <v>287</v>
      </c>
      <c r="EY393">
        <v>342</v>
      </c>
    </row>
    <row r="394" spans="1:155" x14ac:dyDescent="0.35">
      <c r="A394">
        <v>2026</v>
      </c>
      <c r="B394" t="s">
        <v>978</v>
      </c>
      <c r="C394" s="112" t="s">
        <v>1170</v>
      </c>
      <c r="D394" t="s">
        <v>1280</v>
      </c>
      <c r="E394" t="s">
        <v>981</v>
      </c>
      <c r="F394">
        <v>49</v>
      </c>
      <c r="G394" s="113">
        <v>1.5</v>
      </c>
      <c r="H394">
        <v>3</v>
      </c>
      <c r="I394" t="s">
        <v>166</v>
      </c>
      <c r="J394">
        <v>26</v>
      </c>
      <c r="K394">
        <v>32</v>
      </c>
      <c r="L394">
        <v>28</v>
      </c>
      <c r="M394">
        <v>33.1997</v>
      </c>
      <c r="N394">
        <v>48.699800000000003</v>
      </c>
      <c r="O394">
        <v>38.749600000000001</v>
      </c>
      <c r="P394">
        <v>25.618600000000001</v>
      </c>
      <c r="Q394">
        <v>32</v>
      </c>
      <c r="R394">
        <v>28</v>
      </c>
      <c r="T394" t="s">
        <v>168</v>
      </c>
      <c r="U394" t="s">
        <v>169</v>
      </c>
      <c r="V394" t="s">
        <v>170</v>
      </c>
      <c r="W394" t="s">
        <v>171</v>
      </c>
      <c r="Y394">
        <v>8</v>
      </c>
      <c r="Z394" t="s">
        <v>172</v>
      </c>
      <c r="AA394" t="s">
        <v>173</v>
      </c>
      <c r="AB394" t="s">
        <v>170</v>
      </c>
      <c r="AC394" t="s">
        <v>232</v>
      </c>
      <c r="AD394">
        <v>10</v>
      </c>
      <c r="AG394" t="s">
        <v>167</v>
      </c>
      <c r="AH394" t="s">
        <v>416</v>
      </c>
      <c r="AI394" t="s">
        <v>178</v>
      </c>
      <c r="AJ394" t="s">
        <v>179</v>
      </c>
      <c r="AK394" t="s">
        <v>664</v>
      </c>
      <c r="AL394" t="s">
        <v>665</v>
      </c>
      <c r="AS394">
        <v>1750</v>
      </c>
      <c r="AT394">
        <v>1750</v>
      </c>
      <c r="BN394" s="114" t="s">
        <v>247</v>
      </c>
      <c r="BO394">
        <v>2</v>
      </c>
      <c r="BP394">
        <v>2</v>
      </c>
      <c r="BQ394">
        <v>31</v>
      </c>
      <c r="BR394" t="s">
        <v>887</v>
      </c>
      <c r="BT394" t="s">
        <v>183</v>
      </c>
      <c r="BU394" s="115">
        <v>45908</v>
      </c>
      <c r="BV394">
        <v>37758</v>
      </c>
      <c r="BW394" s="116"/>
      <c r="BX394" t="s">
        <v>173</v>
      </c>
      <c r="BY394" t="s">
        <v>173</v>
      </c>
      <c r="CB394" t="s">
        <v>173</v>
      </c>
      <c r="CC394" t="s">
        <v>173</v>
      </c>
      <c r="CE394" t="s">
        <v>173</v>
      </c>
      <c r="CG394" t="s">
        <v>172</v>
      </c>
      <c r="CH394" t="s">
        <v>1260</v>
      </c>
      <c r="CI394" t="s">
        <v>173</v>
      </c>
      <c r="DJ394" t="s">
        <v>250</v>
      </c>
      <c r="DK394" t="s">
        <v>251</v>
      </c>
      <c r="DN394" t="s">
        <v>173</v>
      </c>
      <c r="DO394" t="s">
        <v>1261</v>
      </c>
      <c r="DP394" t="s">
        <v>172</v>
      </c>
      <c r="DQ394" t="s">
        <v>204</v>
      </c>
      <c r="EA394" s="117"/>
      <c r="EB394">
        <v>5</v>
      </c>
      <c r="EC394">
        <v>5</v>
      </c>
      <c r="EE394" t="s">
        <v>1262</v>
      </c>
      <c r="EF394">
        <v>6</v>
      </c>
      <c r="EV394">
        <v>250</v>
      </c>
      <c r="EW394">
        <v>347</v>
      </c>
      <c r="EX394">
        <v>278</v>
      </c>
      <c r="EY394">
        <v>317</v>
      </c>
    </row>
    <row r="395" spans="1:155" x14ac:dyDescent="0.35">
      <c r="A395">
        <v>2026</v>
      </c>
      <c r="B395" t="s">
        <v>978</v>
      </c>
      <c r="C395" s="112" t="s">
        <v>1170</v>
      </c>
      <c r="D395" t="s">
        <v>1281</v>
      </c>
      <c r="E395" t="s">
        <v>981</v>
      </c>
      <c r="F395">
        <v>52</v>
      </c>
      <c r="G395" s="113">
        <v>2.5</v>
      </c>
      <c r="H395">
        <v>4</v>
      </c>
      <c r="I395" t="s">
        <v>487</v>
      </c>
      <c r="J395">
        <v>42</v>
      </c>
      <c r="K395">
        <v>36</v>
      </c>
      <c r="L395">
        <v>39</v>
      </c>
      <c r="M395">
        <v>59.2</v>
      </c>
      <c r="N395">
        <v>52.6</v>
      </c>
      <c r="O395">
        <v>56.036000000000001</v>
      </c>
      <c r="P395">
        <v>42.216700000000003</v>
      </c>
      <c r="Q395">
        <v>35.9696</v>
      </c>
      <c r="R395">
        <v>39.156500000000001</v>
      </c>
      <c r="U395" t="s">
        <v>215</v>
      </c>
      <c r="V395" t="s">
        <v>488</v>
      </c>
      <c r="W395" t="s">
        <v>489</v>
      </c>
      <c r="Y395">
        <v>1</v>
      </c>
      <c r="Z395" t="s">
        <v>173</v>
      </c>
      <c r="AA395" t="s">
        <v>173</v>
      </c>
      <c r="AB395" t="s">
        <v>769</v>
      </c>
      <c r="AC395" t="s">
        <v>770</v>
      </c>
      <c r="AD395">
        <v>85</v>
      </c>
      <c r="AG395" t="s">
        <v>167</v>
      </c>
      <c r="AH395" t="s">
        <v>416</v>
      </c>
      <c r="AI395" t="s">
        <v>178</v>
      </c>
      <c r="AJ395" t="s">
        <v>179</v>
      </c>
      <c r="AK395" t="s">
        <v>664</v>
      </c>
      <c r="AL395" t="s">
        <v>665</v>
      </c>
      <c r="AS395">
        <v>1250</v>
      </c>
      <c r="AT395">
        <v>1250</v>
      </c>
      <c r="BN395" s="114" t="s">
        <v>558</v>
      </c>
      <c r="BO395">
        <v>2</v>
      </c>
      <c r="BP395">
        <v>2</v>
      </c>
      <c r="BQ395">
        <v>31</v>
      </c>
      <c r="BR395" t="s">
        <v>887</v>
      </c>
      <c r="BT395" t="s">
        <v>183</v>
      </c>
      <c r="BU395" s="115">
        <v>45908</v>
      </c>
      <c r="BV395">
        <v>37439</v>
      </c>
      <c r="BW395" s="116"/>
      <c r="BX395" t="s">
        <v>173</v>
      </c>
      <c r="BY395" t="s">
        <v>173</v>
      </c>
      <c r="CB395" t="s">
        <v>173</v>
      </c>
      <c r="CC395" t="s">
        <v>173</v>
      </c>
      <c r="CD395" t="s">
        <v>1282</v>
      </c>
      <c r="CE395" t="s">
        <v>173</v>
      </c>
      <c r="CG395" t="s">
        <v>172</v>
      </c>
      <c r="CH395" t="s">
        <v>987</v>
      </c>
      <c r="CI395" t="s">
        <v>173</v>
      </c>
      <c r="CK395" t="s">
        <v>259</v>
      </c>
      <c r="CM395">
        <v>1</v>
      </c>
      <c r="CN395" t="s">
        <v>260</v>
      </c>
      <c r="CP395">
        <v>216</v>
      </c>
      <c r="CQ395">
        <v>5</v>
      </c>
      <c r="CR395">
        <v>38.5</v>
      </c>
      <c r="CS395" t="s">
        <v>261</v>
      </c>
      <c r="CV395" t="s">
        <v>262</v>
      </c>
      <c r="CX395" t="s">
        <v>493</v>
      </c>
      <c r="CY395" t="s">
        <v>173</v>
      </c>
      <c r="DD395">
        <v>1</v>
      </c>
      <c r="DE395" t="s">
        <v>530</v>
      </c>
      <c r="DG395">
        <v>32</v>
      </c>
      <c r="DJ395" t="s">
        <v>186</v>
      </c>
      <c r="DK395" t="s">
        <v>187</v>
      </c>
      <c r="DL395" t="s">
        <v>173</v>
      </c>
      <c r="DM395" t="s">
        <v>173</v>
      </c>
      <c r="DN395" t="s">
        <v>173</v>
      </c>
      <c r="DO395" t="s">
        <v>1283</v>
      </c>
      <c r="DP395" t="s">
        <v>172</v>
      </c>
      <c r="DQ395" t="s">
        <v>204</v>
      </c>
      <c r="EA395" s="117"/>
      <c r="EB395">
        <v>7</v>
      </c>
      <c r="EC395">
        <v>7</v>
      </c>
      <c r="EE395" t="s">
        <v>1284</v>
      </c>
      <c r="EF395">
        <v>7</v>
      </c>
      <c r="EU395">
        <v>2250</v>
      </c>
      <c r="EW395">
        <v>208</v>
      </c>
      <c r="EX395">
        <v>246</v>
      </c>
      <c r="EY395">
        <v>225</v>
      </c>
    </row>
    <row r="396" spans="1:155" x14ac:dyDescent="0.35">
      <c r="A396">
        <v>2026</v>
      </c>
      <c r="B396" t="s">
        <v>400</v>
      </c>
      <c r="C396" s="112" t="s">
        <v>401</v>
      </c>
      <c r="D396" t="s">
        <v>900</v>
      </c>
      <c r="E396" t="s">
        <v>403</v>
      </c>
      <c r="F396">
        <v>17</v>
      </c>
      <c r="G396" s="113">
        <v>3.5</v>
      </c>
      <c r="H396">
        <v>6</v>
      </c>
      <c r="I396" t="s">
        <v>195</v>
      </c>
      <c r="J396">
        <v>18</v>
      </c>
      <c r="K396">
        <v>25</v>
      </c>
      <c r="L396">
        <v>21</v>
      </c>
      <c r="M396">
        <v>22.419899999999998</v>
      </c>
      <c r="N396">
        <v>35.239800000000002</v>
      </c>
      <c r="O396">
        <v>26.808599999999998</v>
      </c>
      <c r="P396">
        <v>17.909800000000001</v>
      </c>
      <c r="Q396">
        <v>25.046900000000001</v>
      </c>
      <c r="R396">
        <v>20.5442</v>
      </c>
      <c r="T396" t="s">
        <v>168</v>
      </c>
      <c r="U396" t="s">
        <v>169</v>
      </c>
      <c r="V396" t="s">
        <v>196</v>
      </c>
      <c r="W396" t="s">
        <v>197</v>
      </c>
      <c r="Y396">
        <v>8</v>
      </c>
      <c r="Z396" t="s">
        <v>172</v>
      </c>
      <c r="AA396" t="s">
        <v>173</v>
      </c>
      <c r="AB396" t="s">
        <v>170</v>
      </c>
      <c r="AC396" t="s">
        <v>232</v>
      </c>
      <c r="AD396">
        <v>15</v>
      </c>
      <c r="AG396" t="s">
        <v>176</v>
      </c>
      <c r="AH396" t="s">
        <v>177</v>
      </c>
      <c r="AI396" t="s">
        <v>178</v>
      </c>
      <c r="AJ396" t="s">
        <v>179</v>
      </c>
      <c r="AK396" t="s">
        <v>664</v>
      </c>
      <c r="AL396" t="s">
        <v>665</v>
      </c>
      <c r="AO396">
        <v>104</v>
      </c>
      <c r="AP396">
        <v>29</v>
      </c>
      <c r="AS396">
        <v>2950</v>
      </c>
      <c r="AT396">
        <v>2950</v>
      </c>
      <c r="BN396" s="114" t="s">
        <v>247</v>
      </c>
      <c r="BO396">
        <v>2</v>
      </c>
      <c r="BP396">
        <v>2</v>
      </c>
      <c r="BQ396">
        <v>31</v>
      </c>
      <c r="BR396" t="s">
        <v>887</v>
      </c>
      <c r="BT396" t="s">
        <v>183</v>
      </c>
      <c r="BU396" s="115">
        <v>45716</v>
      </c>
      <c r="BV396">
        <v>36318</v>
      </c>
      <c r="BW396" s="116"/>
      <c r="BX396" t="s">
        <v>173</v>
      </c>
      <c r="BY396" t="s">
        <v>173</v>
      </c>
      <c r="CB396" t="s">
        <v>173</v>
      </c>
      <c r="CC396" t="s">
        <v>173</v>
      </c>
      <c r="CE396" t="s">
        <v>173</v>
      </c>
      <c r="CG396" t="s">
        <v>172</v>
      </c>
      <c r="CH396" t="s">
        <v>551</v>
      </c>
      <c r="CI396" t="s">
        <v>173</v>
      </c>
      <c r="DJ396" t="s">
        <v>250</v>
      </c>
      <c r="DK396" t="s">
        <v>251</v>
      </c>
      <c r="DN396" t="s">
        <v>173</v>
      </c>
      <c r="DO396" t="s">
        <v>552</v>
      </c>
      <c r="DP396" t="s">
        <v>172</v>
      </c>
      <c r="DQ396" t="s">
        <v>204</v>
      </c>
      <c r="EA396" s="117"/>
      <c r="EB396">
        <v>4</v>
      </c>
      <c r="EC396">
        <v>4</v>
      </c>
      <c r="EE396" t="s">
        <v>901</v>
      </c>
      <c r="EF396">
        <v>5</v>
      </c>
      <c r="EV396">
        <v>6250</v>
      </c>
      <c r="EW396">
        <v>497</v>
      </c>
      <c r="EX396">
        <v>355</v>
      </c>
      <c r="EY396">
        <v>433</v>
      </c>
    </row>
    <row r="397" spans="1:155" x14ac:dyDescent="0.35">
      <c r="A397">
        <v>2026</v>
      </c>
      <c r="B397" t="s">
        <v>400</v>
      </c>
      <c r="C397" s="112" t="s">
        <v>401</v>
      </c>
      <c r="D397" t="s">
        <v>902</v>
      </c>
      <c r="E397" t="s">
        <v>403</v>
      </c>
      <c r="F397">
        <v>16</v>
      </c>
      <c r="G397" s="113">
        <v>2.5</v>
      </c>
      <c r="H397">
        <v>4</v>
      </c>
      <c r="I397" t="s">
        <v>195</v>
      </c>
      <c r="J397">
        <v>20</v>
      </c>
      <c r="K397">
        <v>28</v>
      </c>
      <c r="L397">
        <v>23</v>
      </c>
      <c r="M397">
        <v>24.9</v>
      </c>
      <c r="N397">
        <v>39.200000000000003</v>
      </c>
      <c r="O397">
        <v>29.790299999999998</v>
      </c>
      <c r="P397">
        <v>19.731100000000001</v>
      </c>
      <c r="Q397">
        <v>27.613700000000001</v>
      </c>
      <c r="R397">
        <v>22.639299999999999</v>
      </c>
      <c r="T397" t="s">
        <v>168</v>
      </c>
      <c r="U397" t="s">
        <v>169</v>
      </c>
      <c r="V397" t="s">
        <v>196</v>
      </c>
      <c r="W397" t="s">
        <v>197</v>
      </c>
      <c r="Y397">
        <v>8</v>
      </c>
      <c r="Z397" t="s">
        <v>172</v>
      </c>
      <c r="AA397" t="s">
        <v>173</v>
      </c>
      <c r="AB397" t="s">
        <v>170</v>
      </c>
      <c r="AC397" t="s">
        <v>232</v>
      </c>
      <c r="AD397">
        <v>15</v>
      </c>
      <c r="AG397" t="s">
        <v>176</v>
      </c>
      <c r="AH397" t="s">
        <v>177</v>
      </c>
      <c r="AI397" t="s">
        <v>178</v>
      </c>
      <c r="AJ397" t="s">
        <v>179</v>
      </c>
      <c r="AK397" t="s">
        <v>664</v>
      </c>
      <c r="AL397" t="s">
        <v>665</v>
      </c>
      <c r="AO397">
        <v>104</v>
      </c>
      <c r="AP397">
        <v>29</v>
      </c>
      <c r="AS397">
        <v>2700</v>
      </c>
      <c r="AT397">
        <v>2700</v>
      </c>
      <c r="BN397" s="114" t="s">
        <v>247</v>
      </c>
      <c r="BO397">
        <v>2</v>
      </c>
      <c r="BP397">
        <v>2</v>
      </c>
      <c r="BQ397">
        <v>31</v>
      </c>
      <c r="BR397" t="s">
        <v>887</v>
      </c>
      <c r="BT397" t="s">
        <v>183</v>
      </c>
      <c r="BU397" s="115">
        <v>45716</v>
      </c>
      <c r="BV397">
        <v>36317</v>
      </c>
      <c r="BW397" s="116"/>
      <c r="BX397" t="s">
        <v>173</v>
      </c>
      <c r="BY397" t="s">
        <v>173</v>
      </c>
      <c r="CB397" t="s">
        <v>173</v>
      </c>
      <c r="CC397" t="s">
        <v>173</v>
      </c>
      <c r="CE397" t="s">
        <v>173</v>
      </c>
      <c r="CG397" t="s">
        <v>172</v>
      </c>
      <c r="CH397" t="s">
        <v>551</v>
      </c>
      <c r="CI397" t="s">
        <v>173</v>
      </c>
      <c r="DJ397" t="s">
        <v>250</v>
      </c>
      <c r="DK397" t="s">
        <v>251</v>
      </c>
      <c r="DN397" t="s">
        <v>173</v>
      </c>
      <c r="DO397" t="s">
        <v>552</v>
      </c>
      <c r="DP397" t="s">
        <v>172</v>
      </c>
      <c r="DQ397" t="s">
        <v>204</v>
      </c>
      <c r="DR397" t="s">
        <v>903</v>
      </c>
      <c r="EA397" s="117"/>
      <c r="EB397">
        <v>5</v>
      </c>
      <c r="EC397">
        <v>5</v>
      </c>
      <c r="EE397" t="s">
        <v>904</v>
      </c>
      <c r="EF397">
        <v>6</v>
      </c>
      <c r="EV397">
        <v>5000</v>
      </c>
      <c r="EW397">
        <v>451</v>
      </c>
      <c r="EX397">
        <v>322</v>
      </c>
      <c r="EY397">
        <v>393</v>
      </c>
    </row>
    <row r="398" spans="1:155" x14ac:dyDescent="0.35">
      <c r="A398">
        <v>2026</v>
      </c>
      <c r="B398" t="s">
        <v>400</v>
      </c>
      <c r="C398" s="112" t="s">
        <v>401</v>
      </c>
      <c r="D398" t="s">
        <v>905</v>
      </c>
      <c r="E398" t="s">
        <v>403</v>
      </c>
      <c r="F398">
        <v>15</v>
      </c>
      <c r="G398" s="113">
        <v>2.5</v>
      </c>
      <c r="H398">
        <v>4</v>
      </c>
      <c r="I398" t="s">
        <v>195</v>
      </c>
      <c r="J398">
        <v>20</v>
      </c>
      <c r="K398">
        <v>26</v>
      </c>
      <c r="L398">
        <v>22</v>
      </c>
      <c r="M398">
        <v>24.8</v>
      </c>
      <c r="N398">
        <v>37.1</v>
      </c>
      <c r="O398">
        <v>29.148700000000002</v>
      </c>
      <c r="P398">
        <v>19.658300000000001</v>
      </c>
      <c r="Q398">
        <v>26.258299999999998</v>
      </c>
      <c r="R398">
        <v>22.165299999999998</v>
      </c>
      <c r="T398" t="s">
        <v>168</v>
      </c>
      <c r="U398" t="s">
        <v>169</v>
      </c>
      <c r="V398" t="s">
        <v>196</v>
      </c>
      <c r="W398" t="s">
        <v>197</v>
      </c>
      <c r="Y398">
        <v>8</v>
      </c>
      <c r="Z398" t="s">
        <v>172</v>
      </c>
      <c r="AA398" t="s">
        <v>173</v>
      </c>
      <c r="AB398" t="s">
        <v>170</v>
      </c>
      <c r="AC398" t="s">
        <v>232</v>
      </c>
      <c r="AD398">
        <v>15</v>
      </c>
      <c r="AG398" t="s">
        <v>176</v>
      </c>
      <c r="AH398" t="s">
        <v>177</v>
      </c>
      <c r="AI398" t="s">
        <v>178</v>
      </c>
      <c r="AJ398" t="s">
        <v>179</v>
      </c>
      <c r="AK398" t="s">
        <v>664</v>
      </c>
      <c r="AL398" t="s">
        <v>665</v>
      </c>
      <c r="AO398">
        <v>104</v>
      </c>
      <c r="AP398">
        <v>29</v>
      </c>
      <c r="AS398">
        <v>2850</v>
      </c>
      <c r="AT398">
        <v>2850</v>
      </c>
      <c r="BN398" s="114" t="s">
        <v>247</v>
      </c>
      <c r="BO398">
        <v>2</v>
      </c>
      <c r="BP398">
        <v>2</v>
      </c>
      <c r="BQ398">
        <v>31</v>
      </c>
      <c r="BR398" t="s">
        <v>887</v>
      </c>
      <c r="BT398" t="s">
        <v>183</v>
      </c>
      <c r="BU398" s="115">
        <v>45716</v>
      </c>
      <c r="BV398">
        <v>36316</v>
      </c>
      <c r="BW398" s="116"/>
      <c r="BX398" t="s">
        <v>173</v>
      </c>
      <c r="BY398" t="s">
        <v>173</v>
      </c>
      <c r="CB398" t="s">
        <v>173</v>
      </c>
      <c r="CC398" t="s">
        <v>173</v>
      </c>
      <c r="CE398" t="s">
        <v>173</v>
      </c>
      <c r="CG398" t="s">
        <v>172</v>
      </c>
      <c r="CH398" t="s">
        <v>551</v>
      </c>
      <c r="CI398" t="s">
        <v>173</v>
      </c>
      <c r="DJ398" t="s">
        <v>250</v>
      </c>
      <c r="DK398" t="s">
        <v>251</v>
      </c>
      <c r="DN398" t="s">
        <v>173</v>
      </c>
      <c r="DO398" t="s">
        <v>552</v>
      </c>
      <c r="DP398" t="s">
        <v>172</v>
      </c>
      <c r="DQ398" t="s">
        <v>204</v>
      </c>
      <c r="DR398" t="s">
        <v>906</v>
      </c>
      <c r="EA398" s="117"/>
      <c r="EB398">
        <v>4</v>
      </c>
      <c r="EC398">
        <v>4</v>
      </c>
      <c r="EE398" t="s">
        <v>904</v>
      </c>
      <c r="EF398">
        <v>6</v>
      </c>
      <c r="EV398">
        <v>5750</v>
      </c>
      <c r="EW398">
        <v>453</v>
      </c>
      <c r="EX398">
        <v>339</v>
      </c>
      <c r="EY398">
        <v>402</v>
      </c>
    </row>
    <row r="399" spans="1:155" x14ac:dyDescent="0.35">
      <c r="A399">
        <v>2026</v>
      </c>
      <c r="B399" t="s">
        <v>211</v>
      </c>
      <c r="C399" s="112" t="s">
        <v>683</v>
      </c>
      <c r="D399" t="s">
        <v>907</v>
      </c>
      <c r="E399" t="s">
        <v>214</v>
      </c>
      <c r="F399">
        <v>901</v>
      </c>
      <c r="G399" s="113">
        <v>1.5</v>
      </c>
      <c r="H399">
        <v>4</v>
      </c>
      <c r="I399" t="s">
        <v>166</v>
      </c>
      <c r="J399">
        <v>24</v>
      </c>
      <c r="K399">
        <v>28</v>
      </c>
      <c r="L399">
        <v>25</v>
      </c>
      <c r="M399">
        <v>32.1</v>
      </c>
      <c r="N399">
        <v>43.9</v>
      </c>
      <c r="O399">
        <v>36.517000000000003</v>
      </c>
      <c r="P399">
        <v>24</v>
      </c>
      <c r="Q399">
        <v>28</v>
      </c>
      <c r="R399">
        <v>25</v>
      </c>
      <c r="T399" t="s">
        <v>168</v>
      </c>
      <c r="U399" t="s">
        <v>169</v>
      </c>
      <c r="V399" t="s">
        <v>170</v>
      </c>
      <c r="W399" t="s">
        <v>171</v>
      </c>
      <c r="Y399">
        <v>8</v>
      </c>
      <c r="Z399" t="s">
        <v>172</v>
      </c>
      <c r="AA399" t="s">
        <v>173</v>
      </c>
      <c r="AB399" t="s">
        <v>170</v>
      </c>
      <c r="AC399" t="s">
        <v>232</v>
      </c>
      <c r="AD399">
        <v>10</v>
      </c>
      <c r="AG399" t="s">
        <v>167</v>
      </c>
      <c r="AH399" t="s">
        <v>416</v>
      </c>
      <c r="AI399" t="s">
        <v>178</v>
      </c>
      <c r="AJ399" t="s">
        <v>179</v>
      </c>
      <c r="AK399" t="s">
        <v>664</v>
      </c>
      <c r="AL399" t="s">
        <v>665</v>
      </c>
      <c r="AO399">
        <v>104</v>
      </c>
      <c r="AP399">
        <v>30</v>
      </c>
      <c r="AS399">
        <v>2000</v>
      </c>
      <c r="AT399">
        <v>2000</v>
      </c>
      <c r="BN399" s="114" t="s">
        <v>198</v>
      </c>
      <c r="BO399">
        <v>2</v>
      </c>
      <c r="BP399">
        <v>2</v>
      </c>
      <c r="BQ399">
        <v>31</v>
      </c>
      <c r="BR399" t="s">
        <v>887</v>
      </c>
      <c r="BT399" t="s">
        <v>613</v>
      </c>
      <c r="BU399" s="115">
        <v>45747</v>
      </c>
      <c r="BV399">
        <v>36207</v>
      </c>
      <c r="BW399" s="116"/>
      <c r="BX399" t="s">
        <v>173</v>
      </c>
      <c r="BY399" t="s">
        <v>173</v>
      </c>
      <c r="CB399" t="s">
        <v>173</v>
      </c>
      <c r="CC399" t="s">
        <v>173</v>
      </c>
      <c r="CE399" t="s">
        <v>173</v>
      </c>
      <c r="CG399" t="s">
        <v>172</v>
      </c>
      <c r="CH399" t="s">
        <v>805</v>
      </c>
      <c r="CI399" t="s">
        <v>173</v>
      </c>
      <c r="DJ399" t="s">
        <v>201</v>
      </c>
      <c r="DK399" t="s">
        <v>202</v>
      </c>
      <c r="DN399" t="s">
        <v>173</v>
      </c>
      <c r="DO399" t="s">
        <v>203</v>
      </c>
      <c r="DP399" t="s">
        <v>172</v>
      </c>
      <c r="DQ399" t="s">
        <v>204</v>
      </c>
      <c r="EA399" s="117"/>
      <c r="EB399">
        <v>5</v>
      </c>
      <c r="EC399">
        <v>5</v>
      </c>
      <c r="EE399" t="s">
        <v>806</v>
      </c>
      <c r="EF399">
        <v>6</v>
      </c>
      <c r="EV399">
        <v>1500</v>
      </c>
      <c r="EW399">
        <v>370</v>
      </c>
      <c r="EX399">
        <v>319</v>
      </c>
      <c r="EY399">
        <v>356</v>
      </c>
    </row>
    <row r="400" spans="1:155" x14ac:dyDescent="0.35">
      <c r="A400">
        <v>2026</v>
      </c>
      <c r="B400" t="s">
        <v>211</v>
      </c>
      <c r="C400" s="112" t="s">
        <v>683</v>
      </c>
      <c r="D400" t="s">
        <v>908</v>
      </c>
      <c r="E400" t="s">
        <v>214</v>
      </c>
      <c r="F400">
        <v>902</v>
      </c>
      <c r="G400" s="113">
        <v>1.5</v>
      </c>
      <c r="H400">
        <v>4</v>
      </c>
      <c r="I400" t="s">
        <v>166</v>
      </c>
      <c r="J400">
        <v>24</v>
      </c>
      <c r="K400">
        <v>26</v>
      </c>
      <c r="L400">
        <v>25</v>
      </c>
      <c r="M400">
        <v>30.4</v>
      </c>
      <c r="N400">
        <v>40.221800000000002</v>
      </c>
      <c r="O400">
        <v>34.152900000000002</v>
      </c>
      <c r="P400">
        <v>23.667400000000001</v>
      </c>
      <c r="Q400">
        <v>26.4696</v>
      </c>
      <c r="R400">
        <v>24.851299999999998</v>
      </c>
      <c r="T400" t="s">
        <v>168</v>
      </c>
      <c r="U400" t="s">
        <v>169</v>
      </c>
      <c r="V400" t="s">
        <v>170</v>
      </c>
      <c r="W400" t="s">
        <v>171</v>
      </c>
      <c r="Y400">
        <v>8</v>
      </c>
      <c r="Z400" t="s">
        <v>172</v>
      </c>
      <c r="AA400" t="s">
        <v>173</v>
      </c>
      <c r="AB400" t="s">
        <v>170</v>
      </c>
      <c r="AC400" t="s">
        <v>232</v>
      </c>
      <c r="AD400">
        <v>10</v>
      </c>
      <c r="AG400" t="s">
        <v>167</v>
      </c>
      <c r="AH400" t="s">
        <v>416</v>
      </c>
      <c r="AI400" t="s">
        <v>178</v>
      </c>
      <c r="AJ400" t="s">
        <v>179</v>
      </c>
      <c r="AK400" t="s">
        <v>664</v>
      </c>
      <c r="AL400" t="s">
        <v>665</v>
      </c>
      <c r="AO400">
        <v>104</v>
      </c>
      <c r="AP400">
        <v>30</v>
      </c>
      <c r="AS400">
        <v>2000</v>
      </c>
      <c r="AT400">
        <v>2000</v>
      </c>
      <c r="BN400" s="114" t="s">
        <v>198</v>
      </c>
      <c r="BO400">
        <v>2</v>
      </c>
      <c r="BP400">
        <v>2</v>
      </c>
      <c r="BQ400">
        <v>31</v>
      </c>
      <c r="BR400" t="s">
        <v>887</v>
      </c>
      <c r="BT400" t="s">
        <v>613</v>
      </c>
      <c r="BU400" s="115">
        <v>45747</v>
      </c>
      <c r="BV400">
        <v>36209</v>
      </c>
      <c r="BW400" s="116"/>
      <c r="BX400" t="s">
        <v>173</v>
      </c>
      <c r="BY400" t="s">
        <v>173</v>
      </c>
      <c r="CB400" t="s">
        <v>173</v>
      </c>
      <c r="CC400" t="s">
        <v>173</v>
      </c>
      <c r="CE400" t="s">
        <v>173</v>
      </c>
      <c r="CG400" t="s">
        <v>172</v>
      </c>
      <c r="CH400" t="s">
        <v>805</v>
      </c>
      <c r="CI400" t="s">
        <v>173</v>
      </c>
      <c r="DJ400" t="s">
        <v>201</v>
      </c>
      <c r="DK400" t="s">
        <v>202</v>
      </c>
      <c r="DN400" t="s">
        <v>173</v>
      </c>
      <c r="DO400" t="s">
        <v>203</v>
      </c>
      <c r="DP400" t="s">
        <v>172</v>
      </c>
      <c r="DQ400" t="s">
        <v>204</v>
      </c>
      <c r="DR400" t="s">
        <v>909</v>
      </c>
      <c r="EA400" s="117"/>
      <c r="EB400">
        <v>5</v>
      </c>
      <c r="EC400">
        <v>5</v>
      </c>
      <c r="EE400" t="s">
        <v>806</v>
      </c>
      <c r="EF400">
        <v>6</v>
      </c>
      <c r="EV400">
        <v>1500</v>
      </c>
      <c r="EW400">
        <v>376</v>
      </c>
      <c r="EX400">
        <v>335</v>
      </c>
      <c r="EY400">
        <v>358</v>
      </c>
    </row>
    <row r="401" spans="1:155" x14ac:dyDescent="0.35">
      <c r="A401">
        <v>2026</v>
      </c>
      <c r="B401" t="s">
        <v>481</v>
      </c>
      <c r="C401" s="112" t="s">
        <v>481</v>
      </c>
      <c r="D401" t="s">
        <v>910</v>
      </c>
      <c r="E401" t="s">
        <v>483</v>
      </c>
      <c r="F401">
        <v>201</v>
      </c>
      <c r="G401" s="113">
        <v>1.5</v>
      </c>
      <c r="H401">
        <v>4</v>
      </c>
      <c r="I401" t="s">
        <v>487</v>
      </c>
      <c r="J401">
        <v>27</v>
      </c>
      <c r="K401">
        <v>31</v>
      </c>
      <c r="L401">
        <v>29</v>
      </c>
      <c r="M401">
        <v>35.223300000000002</v>
      </c>
      <c r="N401">
        <v>45.875599999999999</v>
      </c>
      <c r="O401">
        <v>39.333199999999998</v>
      </c>
      <c r="P401">
        <v>27.0076</v>
      </c>
      <c r="Q401">
        <v>31</v>
      </c>
      <c r="R401">
        <v>28.986799999999999</v>
      </c>
      <c r="T401" t="s">
        <v>168</v>
      </c>
      <c r="U401" t="s">
        <v>169</v>
      </c>
      <c r="V401" t="s">
        <v>488</v>
      </c>
      <c r="W401" t="s">
        <v>489</v>
      </c>
      <c r="Y401">
        <v>1</v>
      </c>
      <c r="Z401" t="s">
        <v>172</v>
      </c>
      <c r="AA401" t="s">
        <v>173</v>
      </c>
      <c r="AB401" t="s">
        <v>170</v>
      </c>
      <c r="AC401" t="s">
        <v>232</v>
      </c>
      <c r="AD401">
        <v>10</v>
      </c>
      <c r="AG401" t="s">
        <v>167</v>
      </c>
      <c r="AH401" t="s">
        <v>416</v>
      </c>
      <c r="AI401" t="s">
        <v>178</v>
      </c>
      <c r="AJ401" t="s">
        <v>179</v>
      </c>
      <c r="AK401" t="s">
        <v>664</v>
      </c>
      <c r="AL401" t="s">
        <v>665</v>
      </c>
      <c r="AS401">
        <v>1700</v>
      </c>
      <c r="AT401">
        <v>1700</v>
      </c>
      <c r="BN401" s="114" t="s">
        <v>198</v>
      </c>
      <c r="BO401">
        <v>2</v>
      </c>
      <c r="BP401">
        <v>2</v>
      </c>
      <c r="BQ401">
        <v>31</v>
      </c>
      <c r="BR401" t="s">
        <v>887</v>
      </c>
      <c r="BT401" t="s">
        <v>183</v>
      </c>
      <c r="BU401" s="115">
        <v>45804</v>
      </c>
      <c r="BV401">
        <v>36450</v>
      </c>
      <c r="BW401" s="116"/>
      <c r="BX401" t="s">
        <v>173</v>
      </c>
      <c r="BY401" t="s">
        <v>173</v>
      </c>
      <c r="CB401" t="s">
        <v>173</v>
      </c>
      <c r="CC401" t="s">
        <v>173</v>
      </c>
      <c r="CE401" t="s">
        <v>173</v>
      </c>
      <c r="CG401" t="s">
        <v>172</v>
      </c>
      <c r="CH401" t="s">
        <v>653</v>
      </c>
      <c r="CI401" t="s">
        <v>172</v>
      </c>
      <c r="CJ401" t="s">
        <v>485</v>
      </c>
      <c r="DJ401" t="s">
        <v>201</v>
      </c>
      <c r="DK401" t="s">
        <v>202</v>
      </c>
      <c r="DL401" t="s">
        <v>173</v>
      </c>
      <c r="DM401" t="s">
        <v>173</v>
      </c>
      <c r="DN401" t="s">
        <v>173</v>
      </c>
      <c r="DO401" t="s">
        <v>284</v>
      </c>
      <c r="DP401" t="s">
        <v>172</v>
      </c>
      <c r="DQ401" t="s">
        <v>204</v>
      </c>
      <c r="EA401" s="117"/>
      <c r="EB401">
        <v>6</v>
      </c>
      <c r="EC401">
        <v>6</v>
      </c>
      <c r="EE401" t="s">
        <v>654</v>
      </c>
      <c r="EF401">
        <v>6</v>
      </c>
      <c r="EU401">
        <v>0</v>
      </c>
      <c r="EW401">
        <v>329</v>
      </c>
      <c r="EX401">
        <v>286</v>
      </c>
      <c r="EY401">
        <v>310</v>
      </c>
    </row>
    <row r="402" spans="1:155" x14ac:dyDescent="0.35">
      <c r="A402">
        <v>2026</v>
      </c>
      <c r="B402" t="s">
        <v>481</v>
      </c>
      <c r="C402" s="112" t="s">
        <v>481</v>
      </c>
      <c r="D402" t="s">
        <v>910</v>
      </c>
      <c r="E402" t="s">
        <v>483</v>
      </c>
      <c r="F402">
        <v>211</v>
      </c>
      <c r="G402" s="113">
        <v>2</v>
      </c>
      <c r="H402">
        <v>4</v>
      </c>
      <c r="I402" t="s">
        <v>487</v>
      </c>
      <c r="J402">
        <v>40</v>
      </c>
      <c r="K402">
        <v>34</v>
      </c>
      <c r="L402">
        <v>37</v>
      </c>
      <c r="M402">
        <v>56.1</v>
      </c>
      <c r="N402">
        <v>49.5</v>
      </c>
      <c r="O402">
        <v>52.924500000000002</v>
      </c>
      <c r="P402">
        <v>40.371200000000002</v>
      </c>
      <c r="Q402">
        <v>34.080199999999998</v>
      </c>
      <c r="R402">
        <v>37.274900000000002</v>
      </c>
      <c r="U402" t="s">
        <v>215</v>
      </c>
      <c r="V402" t="s">
        <v>488</v>
      </c>
      <c r="W402" t="s">
        <v>489</v>
      </c>
      <c r="Y402">
        <v>1</v>
      </c>
      <c r="Z402" t="s">
        <v>172</v>
      </c>
      <c r="AA402" t="s">
        <v>173</v>
      </c>
      <c r="AB402" t="s">
        <v>170</v>
      </c>
      <c r="AC402" t="s">
        <v>232</v>
      </c>
      <c r="AD402">
        <v>10</v>
      </c>
      <c r="AG402" t="s">
        <v>167</v>
      </c>
      <c r="AH402" t="s">
        <v>416</v>
      </c>
      <c r="AI402" t="s">
        <v>178</v>
      </c>
      <c r="AJ402" t="s">
        <v>179</v>
      </c>
      <c r="AK402" t="s">
        <v>664</v>
      </c>
      <c r="AL402" t="s">
        <v>665</v>
      </c>
      <c r="AS402">
        <v>1350</v>
      </c>
      <c r="AT402">
        <v>1350</v>
      </c>
      <c r="BN402" s="114" t="s">
        <v>492</v>
      </c>
      <c r="BO402">
        <v>2</v>
      </c>
      <c r="BP402">
        <v>2</v>
      </c>
      <c r="BQ402">
        <v>31</v>
      </c>
      <c r="BR402" t="s">
        <v>887</v>
      </c>
      <c r="BT402" t="s">
        <v>183</v>
      </c>
      <c r="BU402" s="115">
        <v>45804</v>
      </c>
      <c r="BV402">
        <v>36364</v>
      </c>
      <c r="BW402" s="116"/>
      <c r="BX402" t="s">
        <v>173</v>
      </c>
      <c r="BY402" t="s">
        <v>173</v>
      </c>
      <c r="CB402" t="s">
        <v>173</v>
      </c>
      <c r="CC402" t="s">
        <v>173</v>
      </c>
      <c r="CE402" t="s">
        <v>173</v>
      </c>
      <c r="CG402" t="s">
        <v>172</v>
      </c>
      <c r="CH402" t="s">
        <v>490</v>
      </c>
      <c r="CI402" t="s">
        <v>173</v>
      </c>
      <c r="CK402" t="s">
        <v>259</v>
      </c>
      <c r="CM402">
        <v>1</v>
      </c>
      <c r="CN402" t="s">
        <v>260</v>
      </c>
      <c r="CP402">
        <v>263</v>
      </c>
      <c r="CQ402">
        <v>4.0999999999999996</v>
      </c>
      <c r="CR402">
        <v>77.3</v>
      </c>
      <c r="CS402" t="s">
        <v>261</v>
      </c>
      <c r="CV402" t="s">
        <v>262</v>
      </c>
      <c r="CX402" t="s">
        <v>493</v>
      </c>
      <c r="CY402" t="s">
        <v>173</v>
      </c>
      <c r="DD402">
        <v>1</v>
      </c>
      <c r="DE402" t="s">
        <v>307</v>
      </c>
      <c r="DF402" t="s">
        <v>494</v>
      </c>
      <c r="DG402">
        <v>135</v>
      </c>
      <c r="DJ402" t="s">
        <v>201</v>
      </c>
      <c r="DK402" t="s">
        <v>202</v>
      </c>
      <c r="DL402" t="s">
        <v>173</v>
      </c>
      <c r="DM402" t="s">
        <v>173</v>
      </c>
      <c r="DN402" t="s">
        <v>173</v>
      </c>
      <c r="DO402" t="s">
        <v>284</v>
      </c>
      <c r="DP402" t="s">
        <v>172</v>
      </c>
      <c r="DQ402" t="s">
        <v>204</v>
      </c>
      <c r="EA402" s="117"/>
      <c r="EB402">
        <v>7</v>
      </c>
      <c r="EC402">
        <v>7</v>
      </c>
      <c r="EE402" t="s">
        <v>655</v>
      </c>
      <c r="EF402">
        <v>7</v>
      </c>
      <c r="EU402">
        <v>1750</v>
      </c>
      <c r="EW402">
        <v>218</v>
      </c>
      <c r="EX402">
        <v>259</v>
      </c>
      <c r="EY402">
        <v>237</v>
      </c>
    </row>
    <row r="403" spans="1:155" x14ac:dyDescent="0.35">
      <c r="A403">
        <v>2026</v>
      </c>
      <c r="B403" t="s">
        <v>481</v>
      </c>
      <c r="C403" s="112" t="s">
        <v>481</v>
      </c>
      <c r="D403" t="s">
        <v>911</v>
      </c>
      <c r="E403" t="s">
        <v>483</v>
      </c>
      <c r="F403">
        <v>213</v>
      </c>
      <c r="G403" s="113">
        <v>2</v>
      </c>
      <c r="H403">
        <v>4</v>
      </c>
      <c r="I403" t="s">
        <v>487</v>
      </c>
      <c r="J403">
        <v>38</v>
      </c>
      <c r="K403">
        <v>33</v>
      </c>
      <c r="L403">
        <v>35</v>
      </c>
      <c r="M403">
        <v>51.6</v>
      </c>
      <c r="N403">
        <v>47.2</v>
      </c>
      <c r="O403">
        <v>49.522599999999997</v>
      </c>
      <c r="P403">
        <v>37.631399999999999</v>
      </c>
      <c r="Q403">
        <v>32.661799999999999</v>
      </c>
      <c r="R403">
        <v>35.219900000000003</v>
      </c>
      <c r="U403" t="s">
        <v>215</v>
      </c>
      <c r="V403" t="s">
        <v>488</v>
      </c>
      <c r="W403" t="s">
        <v>489</v>
      </c>
      <c r="Y403">
        <v>1</v>
      </c>
      <c r="Z403" t="s">
        <v>172</v>
      </c>
      <c r="AA403" t="s">
        <v>173</v>
      </c>
      <c r="AB403" t="s">
        <v>170</v>
      </c>
      <c r="AC403" t="s">
        <v>232</v>
      </c>
      <c r="AD403">
        <v>10</v>
      </c>
      <c r="AG403" t="s">
        <v>167</v>
      </c>
      <c r="AH403" t="s">
        <v>416</v>
      </c>
      <c r="AI403" t="s">
        <v>178</v>
      </c>
      <c r="AJ403" t="s">
        <v>179</v>
      </c>
      <c r="AK403" t="s">
        <v>664</v>
      </c>
      <c r="AL403" t="s">
        <v>665</v>
      </c>
      <c r="AS403">
        <v>1400</v>
      </c>
      <c r="AT403">
        <v>1400</v>
      </c>
      <c r="BN403" s="114" t="s">
        <v>492</v>
      </c>
      <c r="BO403">
        <v>2</v>
      </c>
      <c r="BP403">
        <v>2</v>
      </c>
      <c r="BQ403">
        <v>31</v>
      </c>
      <c r="BR403" t="s">
        <v>887</v>
      </c>
      <c r="BT403" t="s">
        <v>183</v>
      </c>
      <c r="BU403" s="115">
        <v>45804</v>
      </c>
      <c r="BV403">
        <v>36366</v>
      </c>
      <c r="BW403" s="116"/>
      <c r="BX403" t="s">
        <v>172</v>
      </c>
      <c r="BY403" t="s">
        <v>173</v>
      </c>
      <c r="CB403" t="s">
        <v>173</v>
      </c>
      <c r="CC403" t="s">
        <v>173</v>
      </c>
      <c r="CE403" t="s">
        <v>173</v>
      </c>
      <c r="CG403" t="s">
        <v>172</v>
      </c>
      <c r="CH403" t="s">
        <v>490</v>
      </c>
      <c r="CI403" t="s">
        <v>173</v>
      </c>
      <c r="CK403" t="s">
        <v>259</v>
      </c>
      <c r="CM403">
        <v>1</v>
      </c>
      <c r="CN403" t="s">
        <v>260</v>
      </c>
      <c r="CP403">
        <v>263</v>
      </c>
      <c r="CQ403">
        <v>4.0999999999999996</v>
      </c>
      <c r="CR403">
        <v>77.3</v>
      </c>
      <c r="CS403" t="s">
        <v>261</v>
      </c>
      <c r="CV403" t="s">
        <v>262</v>
      </c>
      <c r="CX403" t="s">
        <v>493</v>
      </c>
      <c r="CY403" t="s">
        <v>173</v>
      </c>
      <c r="DD403">
        <v>1</v>
      </c>
      <c r="DE403" t="s">
        <v>307</v>
      </c>
      <c r="DF403" t="s">
        <v>494</v>
      </c>
      <c r="DG403">
        <v>135</v>
      </c>
      <c r="DJ403" t="s">
        <v>201</v>
      </c>
      <c r="DK403" t="s">
        <v>202</v>
      </c>
      <c r="DL403" t="s">
        <v>173</v>
      </c>
      <c r="DM403" t="s">
        <v>173</v>
      </c>
      <c r="DN403" t="s">
        <v>173</v>
      </c>
      <c r="DO403" t="s">
        <v>284</v>
      </c>
      <c r="DP403" t="s">
        <v>172</v>
      </c>
      <c r="DQ403" t="s">
        <v>204</v>
      </c>
      <c r="EA403" s="117"/>
      <c r="EB403">
        <v>6</v>
      </c>
      <c r="EC403">
        <v>6</v>
      </c>
      <c r="EE403" t="s">
        <v>655</v>
      </c>
      <c r="EF403">
        <v>7</v>
      </c>
      <c r="EU403">
        <v>1500</v>
      </c>
      <c r="EW403">
        <v>236</v>
      </c>
      <c r="EX403">
        <v>272</v>
      </c>
      <c r="EY403">
        <v>252</v>
      </c>
    </row>
    <row r="404" spans="1:155" x14ac:dyDescent="0.35">
      <c r="A404">
        <v>2026</v>
      </c>
      <c r="B404" t="s">
        <v>481</v>
      </c>
      <c r="C404" s="112" t="s">
        <v>481</v>
      </c>
      <c r="D404" t="s">
        <v>912</v>
      </c>
      <c r="E404" t="s">
        <v>483</v>
      </c>
      <c r="F404">
        <v>381</v>
      </c>
      <c r="G404" s="113">
        <v>3.5</v>
      </c>
      <c r="H404">
        <v>6</v>
      </c>
      <c r="I404" t="s">
        <v>246</v>
      </c>
      <c r="J404">
        <v>19</v>
      </c>
      <c r="K404">
        <v>25</v>
      </c>
      <c r="L404">
        <v>21</v>
      </c>
      <c r="M404">
        <v>25.4</v>
      </c>
      <c r="N404">
        <v>37.299999999999997</v>
      </c>
      <c r="O404">
        <v>29.657800000000002</v>
      </c>
      <c r="P404">
        <v>19</v>
      </c>
      <c r="Q404">
        <v>25</v>
      </c>
      <c r="R404">
        <v>21</v>
      </c>
      <c r="U404" t="s">
        <v>215</v>
      </c>
      <c r="V404" t="s">
        <v>196</v>
      </c>
      <c r="W404" t="s">
        <v>197</v>
      </c>
      <c r="Y404">
        <v>10</v>
      </c>
      <c r="Z404" t="s">
        <v>172</v>
      </c>
      <c r="AA404" t="s">
        <v>173</v>
      </c>
      <c r="AB404" t="s">
        <v>170</v>
      </c>
      <c r="AC404" t="s">
        <v>232</v>
      </c>
      <c r="AD404">
        <v>10</v>
      </c>
      <c r="AG404" t="s">
        <v>167</v>
      </c>
      <c r="AH404" t="s">
        <v>416</v>
      </c>
      <c r="AI404" t="s">
        <v>178</v>
      </c>
      <c r="AJ404" t="s">
        <v>179</v>
      </c>
      <c r="AK404" t="s">
        <v>664</v>
      </c>
      <c r="AL404" t="s">
        <v>665</v>
      </c>
      <c r="AS404">
        <v>2350</v>
      </c>
      <c r="AT404">
        <v>2350</v>
      </c>
      <c r="BN404" s="114" t="s">
        <v>198</v>
      </c>
      <c r="BO404">
        <v>2</v>
      </c>
      <c r="BP404">
        <v>2</v>
      </c>
      <c r="BQ404">
        <v>31</v>
      </c>
      <c r="BR404" t="s">
        <v>887</v>
      </c>
      <c r="BT404" t="s">
        <v>183</v>
      </c>
      <c r="BU404" s="115">
        <v>45699</v>
      </c>
      <c r="BV404">
        <v>36369</v>
      </c>
      <c r="BW404" s="116"/>
      <c r="BX404" t="s">
        <v>173</v>
      </c>
      <c r="BY404" t="s">
        <v>173</v>
      </c>
      <c r="CB404" t="s">
        <v>173</v>
      </c>
      <c r="CC404" t="s">
        <v>173</v>
      </c>
      <c r="CE404" t="s">
        <v>172</v>
      </c>
      <c r="CF404" t="s">
        <v>799</v>
      </c>
      <c r="CG404" t="s">
        <v>172</v>
      </c>
      <c r="CH404" t="s">
        <v>490</v>
      </c>
      <c r="CI404" t="s">
        <v>173</v>
      </c>
      <c r="DJ404" t="s">
        <v>201</v>
      </c>
      <c r="DK404" t="s">
        <v>202</v>
      </c>
      <c r="DL404" t="s">
        <v>173</v>
      </c>
      <c r="DM404" t="s">
        <v>173</v>
      </c>
      <c r="DN404" t="s">
        <v>173</v>
      </c>
      <c r="DO404" t="s">
        <v>284</v>
      </c>
      <c r="DP404" t="s">
        <v>172</v>
      </c>
      <c r="DQ404" t="s">
        <v>204</v>
      </c>
      <c r="EA404" s="117"/>
      <c r="EB404">
        <v>4</v>
      </c>
      <c r="EC404">
        <v>4</v>
      </c>
      <c r="EE404" t="s">
        <v>913</v>
      </c>
      <c r="EF404">
        <v>4</v>
      </c>
      <c r="EV404">
        <v>3250</v>
      </c>
      <c r="EW404">
        <v>469</v>
      </c>
      <c r="EX404">
        <v>356</v>
      </c>
      <c r="EY404">
        <v>424</v>
      </c>
    </row>
    <row r="405" spans="1:155" x14ac:dyDescent="0.35">
      <c r="A405">
        <v>2026</v>
      </c>
      <c r="B405" t="s">
        <v>481</v>
      </c>
      <c r="C405" s="112" t="s">
        <v>481</v>
      </c>
      <c r="D405" t="s">
        <v>914</v>
      </c>
      <c r="E405" t="s">
        <v>483</v>
      </c>
      <c r="F405">
        <v>383</v>
      </c>
      <c r="G405" s="113">
        <v>3.5</v>
      </c>
      <c r="H405">
        <v>6</v>
      </c>
      <c r="I405" t="s">
        <v>246</v>
      </c>
      <c r="J405">
        <v>18</v>
      </c>
      <c r="K405">
        <v>23</v>
      </c>
      <c r="L405">
        <v>20</v>
      </c>
      <c r="M405">
        <v>23.8</v>
      </c>
      <c r="N405">
        <v>33.5</v>
      </c>
      <c r="O405">
        <v>27.3657</v>
      </c>
      <c r="P405">
        <v>18</v>
      </c>
      <c r="Q405">
        <v>23</v>
      </c>
      <c r="R405">
        <v>20</v>
      </c>
      <c r="U405" t="s">
        <v>215</v>
      </c>
      <c r="V405" t="s">
        <v>196</v>
      </c>
      <c r="W405" t="s">
        <v>197</v>
      </c>
      <c r="Y405">
        <v>10</v>
      </c>
      <c r="Z405" t="s">
        <v>172</v>
      </c>
      <c r="AA405" t="s">
        <v>173</v>
      </c>
      <c r="AB405" t="s">
        <v>170</v>
      </c>
      <c r="AC405" t="s">
        <v>232</v>
      </c>
      <c r="AD405">
        <v>10</v>
      </c>
      <c r="AG405" t="s">
        <v>167</v>
      </c>
      <c r="AH405" t="s">
        <v>416</v>
      </c>
      <c r="AI405" t="s">
        <v>178</v>
      </c>
      <c r="AJ405" t="s">
        <v>179</v>
      </c>
      <c r="AK405" t="s">
        <v>664</v>
      </c>
      <c r="AL405" t="s">
        <v>665</v>
      </c>
      <c r="AS405">
        <v>2500</v>
      </c>
      <c r="AT405">
        <v>2500</v>
      </c>
      <c r="BN405" s="114" t="s">
        <v>198</v>
      </c>
      <c r="BO405">
        <v>2</v>
      </c>
      <c r="BP405">
        <v>2</v>
      </c>
      <c r="BQ405">
        <v>31</v>
      </c>
      <c r="BR405" t="s">
        <v>887</v>
      </c>
      <c r="BT405" t="s">
        <v>183</v>
      </c>
      <c r="BU405" s="115">
        <v>45699</v>
      </c>
      <c r="BV405">
        <v>36370</v>
      </c>
      <c r="BW405" s="116"/>
      <c r="BX405" t="s">
        <v>172</v>
      </c>
      <c r="BY405" t="s">
        <v>173</v>
      </c>
      <c r="CB405" t="s">
        <v>173</v>
      </c>
      <c r="CC405" t="s">
        <v>173</v>
      </c>
      <c r="CE405" t="s">
        <v>172</v>
      </c>
      <c r="CF405" t="s">
        <v>799</v>
      </c>
      <c r="CG405" t="s">
        <v>172</v>
      </c>
      <c r="CH405" t="s">
        <v>490</v>
      </c>
      <c r="CI405" t="s">
        <v>173</v>
      </c>
      <c r="DJ405" t="s">
        <v>201</v>
      </c>
      <c r="DK405" t="s">
        <v>202</v>
      </c>
      <c r="DL405" t="s">
        <v>173</v>
      </c>
      <c r="DM405" t="s">
        <v>173</v>
      </c>
      <c r="DN405" t="s">
        <v>173</v>
      </c>
      <c r="DO405" t="s">
        <v>284</v>
      </c>
      <c r="DP405" t="s">
        <v>172</v>
      </c>
      <c r="DQ405" t="s">
        <v>204</v>
      </c>
      <c r="EA405" s="117"/>
      <c r="EB405">
        <v>4</v>
      </c>
      <c r="EC405">
        <v>4</v>
      </c>
      <c r="EE405" t="s">
        <v>913</v>
      </c>
      <c r="EF405">
        <v>4</v>
      </c>
      <c r="EV405">
        <v>4000</v>
      </c>
      <c r="EW405">
        <v>496</v>
      </c>
      <c r="EX405">
        <v>387</v>
      </c>
      <c r="EY405">
        <v>446</v>
      </c>
    </row>
    <row r="406" spans="1:155" x14ac:dyDescent="0.35">
      <c r="A406">
        <v>2026</v>
      </c>
      <c r="B406" t="s">
        <v>400</v>
      </c>
      <c r="C406" s="112" t="s">
        <v>561</v>
      </c>
      <c r="D406" t="s">
        <v>915</v>
      </c>
      <c r="E406" t="s">
        <v>403</v>
      </c>
      <c r="F406">
        <v>31</v>
      </c>
      <c r="G406" s="113">
        <v>2</v>
      </c>
      <c r="H406">
        <v>4</v>
      </c>
      <c r="I406" t="s">
        <v>813</v>
      </c>
      <c r="J406">
        <v>26</v>
      </c>
      <c r="K406">
        <v>29</v>
      </c>
      <c r="L406">
        <v>27</v>
      </c>
      <c r="M406">
        <v>33.799999999999997</v>
      </c>
      <c r="N406">
        <v>48.649500000000003</v>
      </c>
      <c r="O406">
        <v>39.181800000000003</v>
      </c>
      <c r="P406">
        <v>26.032499999999999</v>
      </c>
      <c r="Q406">
        <v>29.067499999999999</v>
      </c>
      <c r="R406">
        <v>27.315999999999999</v>
      </c>
      <c r="U406" t="s">
        <v>215</v>
      </c>
      <c r="V406" t="s">
        <v>497</v>
      </c>
      <c r="W406" t="s">
        <v>498</v>
      </c>
      <c r="Y406">
        <v>1</v>
      </c>
      <c r="Z406" t="s">
        <v>172</v>
      </c>
      <c r="AA406" t="s">
        <v>173</v>
      </c>
      <c r="AB406" t="s">
        <v>170</v>
      </c>
      <c r="AC406" t="s">
        <v>232</v>
      </c>
      <c r="AD406">
        <v>15</v>
      </c>
      <c r="AG406" t="s">
        <v>167</v>
      </c>
      <c r="AH406" t="s">
        <v>416</v>
      </c>
      <c r="AI406" t="s">
        <v>178</v>
      </c>
      <c r="AJ406" t="s">
        <v>179</v>
      </c>
      <c r="AK406" t="s">
        <v>664</v>
      </c>
      <c r="AL406" t="s">
        <v>665</v>
      </c>
      <c r="AS406">
        <v>1850</v>
      </c>
      <c r="AT406">
        <v>1850</v>
      </c>
      <c r="BN406" s="114"/>
      <c r="BO406">
        <v>2</v>
      </c>
      <c r="BP406">
        <v>2</v>
      </c>
      <c r="BQ406">
        <v>31</v>
      </c>
      <c r="BR406" t="s">
        <v>887</v>
      </c>
      <c r="BT406" t="s">
        <v>613</v>
      </c>
      <c r="BU406" s="115">
        <v>45809</v>
      </c>
      <c r="BV406">
        <v>36616</v>
      </c>
      <c r="BW406" s="116"/>
      <c r="BX406" t="s">
        <v>173</v>
      </c>
      <c r="BY406" t="s">
        <v>173</v>
      </c>
      <c r="CB406" t="s">
        <v>173</v>
      </c>
      <c r="CC406" t="s">
        <v>173</v>
      </c>
      <c r="CE406" t="s">
        <v>173</v>
      </c>
      <c r="CG406" t="s">
        <v>172</v>
      </c>
      <c r="CH406" t="s">
        <v>563</v>
      </c>
      <c r="CI406" t="s">
        <v>173</v>
      </c>
      <c r="DJ406" t="s">
        <v>186</v>
      </c>
      <c r="DK406" t="s">
        <v>187</v>
      </c>
      <c r="DN406" t="s">
        <v>173</v>
      </c>
      <c r="DO406" t="s">
        <v>564</v>
      </c>
      <c r="DP406" t="s">
        <v>173</v>
      </c>
      <c r="DQ406" t="s">
        <v>189</v>
      </c>
      <c r="DR406" t="s">
        <v>814</v>
      </c>
      <c r="EA406" s="117"/>
      <c r="EB406">
        <v>5</v>
      </c>
      <c r="EC406">
        <v>5</v>
      </c>
      <c r="EE406" t="s">
        <v>815</v>
      </c>
      <c r="EF406">
        <v>6</v>
      </c>
      <c r="EV406">
        <v>750</v>
      </c>
      <c r="EW406">
        <v>341</v>
      </c>
      <c r="EX406">
        <v>300</v>
      </c>
      <c r="EY406">
        <v>323</v>
      </c>
    </row>
    <row r="407" spans="1:155" x14ac:dyDescent="0.35">
      <c r="A407">
        <v>2026</v>
      </c>
      <c r="B407" t="s">
        <v>400</v>
      </c>
      <c r="C407" s="112" t="s">
        <v>561</v>
      </c>
      <c r="D407" t="s">
        <v>916</v>
      </c>
      <c r="E407" t="s">
        <v>403</v>
      </c>
      <c r="F407">
        <v>29</v>
      </c>
      <c r="G407" s="113">
        <v>1.6</v>
      </c>
      <c r="H407">
        <v>4</v>
      </c>
      <c r="I407" t="s">
        <v>195</v>
      </c>
      <c r="J407">
        <v>25</v>
      </c>
      <c r="K407">
        <v>28</v>
      </c>
      <c r="L407">
        <v>26</v>
      </c>
      <c r="M407">
        <v>31.792100000000001</v>
      </c>
      <c r="N407">
        <v>45.03</v>
      </c>
      <c r="O407">
        <v>36.639099999999999</v>
      </c>
      <c r="P407">
        <v>24.641999999999999</v>
      </c>
      <c r="Q407">
        <v>28.430499999999999</v>
      </c>
      <c r="R407">
        <v>26.213899999999999</v>
      </c>
      <c r="T407" t="s">
        <v>168</v>
      </c>
      <c r="U407" t="s">
        <v>169</v>
      </c>
      <c r="V407" t="s">
        <v>196</v>
      </c>
      <c r="W407" t="s">
        <v>197</v>
      </c>
      <c r="Y407">
        <v>8</v>
      </c>
      <c r="Z407" t="s">
        <v>172</v>
      </c>
      <c r="AA407" t="s">
        <v>173</v>
      </c>
      <c r="AB407" t="s">
        <v>170</v>
      </c>
      <c r="AC407" t="s">
        <v>232</v>
      </c>
      <c r="AD407">
        <v>15</v>
      </c>
      <c r="AG407" t="s">
        <v>167</v>
      </c>
      <c r="AH407" t="s">
        <v>416</v>
      </c>
      <c r="AI407" t="s">
        <v>178</v>
      </c>
      <c r="AJ407" t="s">
        <v>179</v>
      </c>
      <c r="AK407" t="s">
        <v>664</v>
      </c>
      <c r="AL407" t="s">
        <v>665</v>
      </c>
      <c r="AS407">
        <v>1900</v>
      </c>
      <c r="AT407">
        <v>1900</v>
      </c>
      <c r="BN407" s="114" t="s">
        <v>198</v>
      </c>
      <c r="BO407">
        <v>2</v>
      </c>
      <c r="BP407">
        <v>2</v>
      </c>
      <c r="BQ407">
        <v>31</v>
      </c>
      <c r="BR407" t="s">
        <v>887</v>
      </c>
      <c r="BT407" t="s">
        <v>613</v>
      </c>
      <c r="BU407" s="115">
        <v>45809</v>
      </c>
      <c r="BV407">
        <v>36614</v>
      </c>
      <c r="BW407" s="116"/>
      <c r="BX407" t="s">
        <v>173</v>
      </c>
      <c r="BY407" t="s">
        <v>173</v>
      </c>
      <c r="CB407" t="s">
        <v>173</v>
      </c>
      <c r="CC407" t="s">
        <v>173</v>
      </c>
      <c r="CE407" t="s">
        <v>173</v>
      </c>
      <c r="CG407" t="s">
        <v>172</v>
      </c>
      <c r="CH407" t="s">
        <v>563</v>
      </c>
      <c r="CI407" t="s">
        <v>173</v>
      </c>
      <c r="DJ407" t="s">
        <v>201</v>
      </c>
      <c r="DK407" t="s">
        <v>202</v>
      </c>
      <c r="DN407" t="s">
        <v>173</v>
      </c>
      <c r="DO407" t="s">
        <v>564</v>
      </c>
      <c r="DP407" t="s">
        <v>173</v>
      </c>
      <c r="DQ407" t="s">
        <v>189</v>
      </c>
      <c r="DR407" t="s">
        <v>917</v>
      </c>
      <c r="EA407" s="117"/>
      <c r="EB407">
        <v>5</v>
      </c>
      <c r="EC407">
        <v>5</v>
      </c>
      <c r="EE407" t="s">
        <v>818</v>
      </c>
      <c r="EF407">
        <v>6</v>
      </c>
      <c r="EV407">
        <v>1000</v>
      </c>
      <c r="EW407">
        <v>362</v>
      </c>
      <c r="EX407">
        <v>313</v>
      </c>
      <c r="EY407">
        <v>340</v>
      </c>
    </row>
    <row r="408" spans="1:155" x14ac:dyDescent="0.35">
      <c r="A408">
        <v>2026</v>
      </c>
      <c r="B408" t="s">
        <v>400</v>
      </c>
      <c r="C408" s="112" t="s">
        <v>561</v>
      </c>
      <c r="D408" t="s">
        <v>918</v>
      </c>
      <c r="E408" t="s">
        <v>403</v>
      </c>
      <c r="F408">
        <v>69</v>
      </c>
      <c r="G408" s="113">
        <v>2</v>
      </c>
      <c r="H408">
        <v>4</v>
      </c>
      <c r="I408" t="s">
        <v>813</v>
      </c>
      <c r="J408">
        <v>27</v>
      </c>
      <c r="K408">
        <v>29</v>
      </c>
      <c r="L408">
        <v>28</v>
      </c>
      <c r="M408">
        <v>34.799999999999997</v>
      </c>
      <c r="N408">
        <v>48.649500000000003</v>
      </c>
      <c r="O408">
        <v>39.9131</v>
      </c>
      <c r="P408">
        <v>26.718499999999999</v>
      </c>
      <c r="Q408">
        <v>29.1325</v>
      </c>
      <c r="R408">
        <v>27.753399999999999</v>
      </c>
      <c r="U408" t="s">
        <v>215</v>
      </c>
      <c r="V408" t="s">
        <v>497</v>
      </c>
      <c r="W408" t="s">
        <v>498</v>
      </c>
      <c r="Y408">
        <v>1</v>
      </c>
      <c r="Z408" t="s">
        <v>172</v>
      </c>
      <c r="AA408" t="s">
        <v>173</v>
      </c>
      <c r="AB408" t="s">
        <v>170</v>
      </c>
      <c r="AC408" t="s">
        <v>232</v>
      </c>
      <c r="AD408">
        <v>15</v>
      </c>
      <c r="AG408" t="s">
        <v>167</v>
      </c>
      <c r="AH408" t="s">
        <v>416</v>
      </c>
      <c r="AI408" t="s">
        <v>178</v>
      </c>
      <c r="AJ408" t="s">
        <v>179</v>
      </c>
      <c r="AK408" t="s">
        <v>664</v>
      </c>
      <c r="AL408" t="s">
        <v>665</v>
      </c>
      <c r="AS408">
        <v>1750</v>
      </c>
      <c r="AT408">
        <v>1750</v>
      </c>
      <c r="BN408" s="114"/>
      <c r="BO408">
        <v>2</v>
      </c>
      <c r="BP408">
        <v>2</v>
      </c>
      <c r="BQ408">
        <v>31</v>
      </c>
      <c r="BR408" t="s">
        <v>887</v>
      </c>
      <c r="BT408" t="s">
        <v>613</v>
      </c>
      <c r="BU408" s="115">
        <v>45809</v>
      </c>
      <c r="BV408">
        <v>36617</v>
      </c>
      <c r="BW408" s="116"/>
      <c r="BX408" t="s">
        <v>173</v>
      </c>
      <c r="BY408" t="s">
        <v>173</v>
      </c>
      <c r="CB408" t="s">
        <v>173</v>
      </c>
      <c r="CC408" t="s">
        <v>173</v>
      </c>
      <c r="CE408" t="s">
        <v>173</v>
      </c>
      <c r="CG408" t="s">
        <v>172</v>
      </c>
      <c r="CH408" t="s">
        <v>563</v>
      </c>
      <c r="CI408" t="s">
        <v>173</v>
      </c>
      <c r="DJ408" t="s">
        <v>186</v>
      </c>
      <c r="DK408" t="s">
        <v>187</v>
      </c>
      <c r="DN408" t="s">
        <v>173</v>
      </c>
      <c r="DO408" t="s">
        <v>564</v>
      </c>
      <c r="DP408" t="s">
        <v>172</v>
      </c>
      <c r="DQ408" t="s">
        <v>204</v>
      </c>
      <c r="DR408" t="s">
        <v>571</v>
      </c>
      <c r="EA408" s="117"/>
      <c r="EB408">
        <v>5</v>
      </c>
      <c r="EC408">
        <v>5</v>
      </c>
      <c r="EE408" t="s">
        <v>815</v>
      </c>
      <c r="EF408">
        <v>6</v>
      </c>
      <c r="EV408">
        <v>250</v>
      </c>
      <c r="EW408">
        <v>332</v>
      </c>
      <c r="EX408">
        <v>302</v>
      </c>
      <c r="EY408">
        <v>319</v>
      </c>
    </row>
    <row r="409" spans="1:155" x14ac:dyDescent="0.35">
      <c r="A409">
        <v>2026</v>
      </c>
      <c r="B409" t="s">
        <v>400</v>
      </c>
      <c r="C409" s="112" t="s">
        <v>561</v>
      </c>
      <c r="D409" t="s">
        <v>919</v>
      </c>
      <c r="E409" t="s">
        <v>403</v>
      </c>
      <c r="F409">
        <v>44</v>
      </c>
      <c r="G409" s="113">
        <v>2.5</v>
      </c>
      <c r="H409">
        <v>4</v>
      </c>
      <c r="I409" t="s">
        <v>195</v>
      </c>
      <c r="J409">
        <v>21</v>
      </c>
      <c r="K409">
        <v>29</v>
      </c>
      <c r="L409">
        <v>24</v>
      </c>
      <c r="M409">
        <v>27.3</v>
      </c>
      <c r="N409">
        <v>41.1</v>
      </c>
      <c r="O409">
        <v>32.159100000000002</v>
      </c>
      <c r="P409">
        <v>21.465900000000001</v>
      </c>
      <c r="Q409">
        <v>28.829000000000001</v>
      </c>
      <c r="R409">
        <v>24.253399999999999</v>
      </c>
      <c r="U409" t="s">
        <v>215</v>
      </c>
      <c r="V409" t="s">
        <v>196</v>
      </c>
      <c r="W409" t="s">
        <v>197</v>
      </c>
      <c r="Y409">
        <v>8</v>
      </c>
      <c r="Z409" t="s">
        <v>172</v>
      </c>
      <c r="AA409" t="s">
        <v>173</v>
      </c>
      <c r="AB409" t="s">
        <v>170</v>
      </c>
      <c r="AC409" t="s">
        <v>232</v>
      </c>
      <c r="AD409">
        <v>15</v>
      </c>
      <c r="AG409" t="s">
        <v>167</v>
      </c>
      <c r="AH409" t="s">
        <v>416</v>
      </c>
      <c r="AI409" t="s">
        <v>178</v>
      </c>
      <c r="AJ409" t="s">
        <v>179</v>
      </c>
      <c r="AK409" t="s">
        <v>664</v>
      </c>
      <c r="AL409" t="s">
        <v>665</v>
      </c>
      <c r="AS409">
        <v>2050</v>
      </c>
      <c r="AT409">
        <v>2050</v>
      </c>
      <c r="BN409" s="114" t="s">
        <v>247</v>
      </c>
      <c r="BO409">
        <v>2</v>
      </c>
      <c r="BP409">
        <v>2</v>
      </c>
      <c r="BQ409">
        <v>31</v>
      </c>
      <c r="BR409" t="s">
        <v>887</v>
      </c>
      <c r="BT409" t="s">
        <v>183</v>
      </c>
      <c r="BU409" s="115">
        <v>45823</v>
      </c>
      <c r="BV409">
        <v>36702</v>
      </c>
      <c r="BW409" s="116"/>
      <c r="BX409" t="s">
        <v>173</v>
      </c>
      <c r="BY409" t="s">
        <v>173</v>
      </c>
      <c r="CB409" t="s">
        <v>173</v>
      </c>
      <c r="CC409" t="s">
        <v>173</v>
      </c>
      <c r="CE409" t="s">
        <v>173</v>
      </c>
      <c r="CG409" t="s">
        <v>172</v>
      </c>
      <c r="CH409" t="s">
        <v>567</v>
      </c>
      <c r="CI409" t="s">
        <v>173</v>
      </c>
      <c r="DJ409" t="s">
        <v>250</v>
      </c>
      <c r="DK409" t="s">
        <v>251</v>
      </c>
      <c r="DN409" t="s">
        <v>173</v>
      </c>
      <c r="DO409" t="s">
        <v>564</v>
      </c>
      <c r="DP409" t="s">
        <v>173</v>
      </c>
      <c r="DQ409" t="s">
        <v>189</v>
      </c>
      <c r="DR409" t="s">
        <v>920</v>
      </c>
      <c r="EA409" s="117"/>
      <c r="EB409">
        <v>5</v>
      </c>
      <c r="EC409">
        <v>5</v>
      </c>
      <c r="EE409" t="s">
        <v>822</v>
      </c>
      <c r="EF409">
        <v>6</v>
      </c>
      <c r="EV409">
        <v>1750</v>
      </c>
      <c r="EW409">
        <v>415</v>
      </c>
      <c r="EX409">
        <v>309</v>
      </c>
      <c r="EY409">
        <v>367</v>
      </c>
    </row>
    <row r="410" spans="1:155" x14ac:dyDescent="0.35">
      <c r="A410">
        <v>2026</v>
      </c>
      <c r="B410" t="s">
        <v>400</v>
      </c>
      <c r="C410" s="112" t="s">
        <v>561</v>
      </c>
      <c r="D410" t="s">
        <v>921</v>
      </c>
      <c r="E410" t="s">
        <v>403</v>
      </c>
      <c r="F410">
        <v>46</v>
      </c>
      <c r="G410" s="113">
        <v>2.5</v>
      </c>
      <c r="H410">
        <v>4</v>
      </c>
      <c r="I410" t="s">
        <v>195</v>
      </c>
      <c r="J410">
        <v>18</v>
      </c>
      <c r="K410">
        <v>25</v>
      </c>
      <c r="L410">
        <v>20</v>
      </c>
      <c r="M410">
        <v>22.3</v>
      </c>
      <c r="N410">
        <v>38.4</v>
      </c>
      <c r="O410">
        <v>27.485800000000001</v>
      </c>
      <c r="P410">
        <v>17.821000000000002</v>
      </c>
      <c r="Q410">
        <v>24.927499999999998</v>
      </c>
      <c r="R410">
        <v>20.4437</v>
      </c>
      <c r="T410" t="s">
        <v>168</v>
      </c>
      <c r="U410" t="s">
        <v>169</v>
      </c>
      <c r="V410" t="s">
        <v>196</v>
      </c>
      <c r="W410" t="s">
        <v>197</v>
      </c>
      <c r="Y410">
        <v>8</v>
      </c>
      <c r="Z410" t="s">
        <v>172</v>
      </c>
      <c r="AA410" t="s">
        <v>173</v>
      </c>
      <c r="AB410" t="s">
        <v>170</v>
      </c>
      <c r="AC410" t="s">
        <v>232</v>
      </c>
      <c r="AD410">
        <v>15</v>
      </c>
      <c r="AG410" t="s">
        <v>167</v>
      </c>
      <c r="AH410" t="s">
        <v>416</v>
      </c>
      <c r="AI410" t="s">
        <v>178</v>
      </c>
      <c r="AJ410" t="s">
        <v>179</v>
      </c>
      <c r="AK410" t="s">
        <v>664</v>
      </c>
      <c r="AL410" t="s">
        <v>665</v>
      </c>
      <c r="AS410">
        <v>2500</v>
      </c>
      <c r="AT410">
        <v>2500</v>
      </c>
      <c r="BN410" s="114" t="s">
        <v>247</v>
      </c>
      <c r="BO410">
        <v>2</v>
      </c>
      <c r="BP410">
        <v>2</v>
      </c>
      <c r="BQ410">
        <v>31</v>
      </c>
      <c r="BR410" t="s">
        <v>887</v>
      </c>
      <c r="BT410" t="s">
        <v>613</v>
      </c>
      <c r="BU410" s="115">
        <v>45823</v>
      </c>
      <c r="BV410">
        <v>36775</v>
      </c>
      <c r="BW410" s="116"/>
      <c r="BX410" t="s">
        <v>173</v>
      </c>
      <c r="BY410" t="s">
        <v>173</v>
      </c>
      <c r="CB410" t="s">
        <v>173</v>
      </c>
      <c r="CC410" t="s">
        <v>173</v>
      </c>
      <c r="CE410" t="s">
        <v>173</v>
      </c>
      <c r="CG410" t="s">
        <v>172</v>
      </c>
      <c r="CH410" t="s">
        <v>567</v>
      </c>
      <c r="CI410" t="s">
        <v>173</v>
      </c>
      <c r="DJ410" t="s">
        <v>250</v>
      </c>
      <c r="DK410" t="s">
        <v>251</v>
      </c>
      <c r="DN410" t="s">
        <v>173</v>
      </c>
      <c r="DO410" t="s">
        <v>564</v>
      </c>
      <c r="DP410" t="s">
        <v>173</v>
      </c>
      <c r="DQ410" t="s">
        <v>189</v>
      </c>
      <c r="DR410" t="s">
        <v>922</v>
      </c>
      <c r="EA410" s="117"/>
      <c r="EB410">
        <v>4</v>
      </c>
      <c r="EC410">
        <v>4</v>
      </c>
      <c r="EE410" t="s">
        <v>923</v>
      </c>
      <c r="EF410">
        <v>6</v>
      </c>
      <c r="EV410">
        <v>4000</v>
      </c>
      <c r="EW410">
        <v>497</v>
      </c>
      <c r="EX410">
        <v>356</v>
      </c>
      <c r="EY410">
        <v>433</v>
      </c>
    </row>
    <row r="411" spans="1:155" x14ac:dyDescent="0.35">
      <c r="A411">
        <v>2026</v>
      </c>
      <c r="B411" t="s">
        <v>400</v>
      </c>
      <c r="C411" s="112" t="s">
        <v>561</v>
      </c>
      <c r="D411" t="s">
        <v>924</v>
      </c>
      <c r="E411" t="s">
        <v>403</v>
      </c>
      <c r="F411">
        <v>50</v>
      </c>
      <c r="G411" s="113">
        <v>2.5</v>
      </c>
      <c r="H411">
        <v>4</v>
      </c>
      <c r="I411" t="s">
        <v>195</v>
      </c>
      <c r="J411">
        <v>18</v>
      </c>
      <c r="K411">
        <v>25</v>
      </c>
      <c r="L411">
        <v>20</v>
      </c>
      <c r="M411">
        <v>22.4</v>
      </c>
      <c r="N411">
        <v>37.4</v>
      </c>
      <c r="O411">
        <v>27.333100000000002</v>
      </c>
      <c r="P411">
        <v>17.895099999999999</v>
      </c>
      <c r="Q411">
        <v>24.7835</v>
      </c>
      <c r="R411">
        <v>20.453299999999999</v>
      </c>
      <c r="T411" t="s">
        <v>168</v>
      </c>
      <c r="U411" t="s">
        <v>169</v>
      </c>
      <c r="V411" t="s">
        <v>196</v>
      </c>
      <c r="W411" t="s">
        <v>197</v>
      </c>
      <c r="Y411">
        <v>8</v>
      </c>
      <c r="Z411" t="s">
        <v>172</v>
      </c>
      <c r="AA411" t="s">
        <v>173</v>
      </c>
      <c r="AB411" t="s">
        <v>170</v>
      </c>
      <c r="AC411" t="s">
        <v>232</v>
      </c>
      <c r="AD411">
        <v>15</v>
      </c>
      <c r="AG411" t="s">
        <v>167</v>
      </c>
      <c r="AH411" t="s">
        <v>416</v>
      </c>
      <c r="AI411" t="s">
        <v>178</v>
      </c>
      <c r="AJ411" t="s">
        <v>179</v>
      </c>
      <c r="AK411" t="s">
        <v>664</v>
      </c>
      <c r="AL411" t="s">
        <v>665</v>
      </c>
      <c r="AS411">
        <v>2500</v>
      </c>
      <c r="AT411">
        <v>2500</v>
      </c>
      <c r="BN411" s="114" t="s">
        <v>247</v>
      </c>
      <c r="BO411">
        <v>2</v>
      </c>
      <c r="BP411">
        <v>2</v>
      </c>
      <c r="BQ411">
        <v>31</v>
      </c>
      <c r="BR411" t="s">
        <v>887</v>
      </c>
      <c r="BT411" t="s">
        <v>613</v>
      </c>
      <c r="BU411" s="115">
        <v>45823</v>
      </c>
      <c r="BV411">
        <v>36776</v>
      </c>
      <c r="BW411" s="116"/>
      <c r="BX411" t="s">
        <v>172</v>
      </c>
      <c r="BY411" t="s">
        <v>173</v>
      </c>
      <c r="CB411" t="s">
        <v>173</v>
      </c>
      <c r="CC411" t="s">
        <v>173</v>
      </c>
      <c r="CE411" t="s">
        <v>173</v>
      </c>
      <c r="CG411" t="s">
        <v>172</v>
      </c>
      <c r="CH411" t="s">
        <v>567</v>
      </c>
      <c r="CI411" t="s">
        <v>173</v>
      </c>
      <c r="DJ411" t="s">
        <v>250</v>
      </c>
      <c r="DK411" t="s">
        <v>251</v>
      </c>
      <c r="DN411" t="s">
        <v>173</v>
      </c>
      <c r="DO411" t="s">
        <v>564</v>
      </c>
      <c r="DP411" t="s">
        <v>173</v>
      </c>
      <c r="DQ411" t="s">
        <v>189</v>
      </c>
      <c r="DR411" t="s">
        <v>925</v>
      </c>
      <c r="EA411" s="117"/>
      <c r="EB411">
        <v>4</v>
      </c>
      <c r="EC411">
        <v>4</v>
      </c>
      <c r="EE411" t="s">
        <v>923</v>
      </c>
      <c r="EF411">
        <v>6</v>
      </c>
      <c r="EV411">
        <v>4000</v>
      </c>
      <c r="EW411">
        <v>498</v>
      </c>
      <c r="EX411">
        <v>357</v>
      </c>
      <c r="EY411">
        <v>435</v>
      </c>
    </row>
    <row r="412" spans="1:155" x14ac:dyDescent="0.35">
      <c r="A412">
        <v>2026</v>
      </c>
      <c r="B412" t="s">
        <v>400</v>
      </c>
      <c r="C412" s="112" t="s">
        <v>561</v>
      </c>
      <c r="D412" t="s">
        <v>926</v>
      </c>
      <c r="E412" t="s">
        <v>403</v>
      </c>
      <c r="F412">
        <v>48</v>
      </c>
      <c r="G412" s="113">
        <v>2.5</v>
      </c>
      <c r="H412">
        <v>4</v>
      </c>
      <c r="I412" t="s">
        <v>195</v>
      </c>
      <c r="J412">
        <v>20</v>
      </c>
      <c r="K412">
        <v>28</v>
      </c>
      <c r="L412">
        <v>23</v>
      </c>
      <c r="M412">
        <v>24.7913</v>
      </c>
      <c r="N412">
        <v>40.059899999999999</v>
      </c>
      <c r="O412">
        <v>29.9237</v>
      </c>
      <c r="P412">
        <v>19.651900000000001</v>
      </c>
      <c r="Q412">
        <v>28.164999999999999</v>
      </c>
      <c r="R412">
        <v>22.745699999999999</v>
      </c>
      <c r="T412" t="s">
        <v>168</v>
      </c>
      <c r="U412" t="s">
        <v>169</v>
      </c>
      <c r="V412" t="s">
        <v>196</v>
      </c>
      <c r="W412" t="s">
        <v>197</v>
      </c>
      <c r="Y412">
        <v>8</v>
      </c>
      <c r="Z412" t="s">
        <v>172</v>
      </c>
      <c r="AA412" t="s">
        <v>173</v>
      </c>
      <c r="AB412" t="s">
        <v>170</v>
      </c>
      <c r="AC412" t="s">
        <v>232</v>
      </c>
      <c r="AD412">
        <v>15</v>
      </c>
      <c r="AG412" t="s">
        <v>167</v>
      </c>
      <c r="AH412" t="s">
        <v>416</v>
      </c>
      <c r="AI412" t="s">
        <v>178</v>
      </c>
      <c r="AJ412" t="s">
        <v>179</v>
      </c>
      <c r="AK412" t="s">
        <v>664</v>
      </c>
      <c r="AL412" t="s">
        <v>665</v>
      </c>
      <c r="AS412">
        <v>2150</v>
      </c>
      <c r="AT412">
        <v>2150</v>
      </c>
      <c r="BN412" s="114" t="s">
        <v>247</v>
      </c>
      <c r="BO412">
        <v>2</v>
      </c>
      <c r="BP412">
        <v>2</v>
      </c>
      <c r="BQ412">
        <v>31</v>
      </c>
      <c r="BR412" t="s">
        <v>887</v>
      </c>
      <c r="BT412" t="s">
        <v>183</v>
      </c>
      <c r="BU412" s="115">
        <v>45823</v>
      </c>
      <c r="BV412">
        <v>36786</v>
      </c>
      <c r="BW412" s="116"/>
      <c r="BX412" t="s">
        <v>173</v>
      </c>
      <c r="BY412" t="s">
        <v>173</v>
      </c>
      <c r="CB412" t="s">
        <v>173</v>
      </c>
      <c r="CC412" t="s">
        <v>173</v>
      </c>
      <c r="CE412" t="s">
        <v>173</v>
      </c>
      <c r="CG412" t="s">
        <v>172</v>
      </c>
      <c r="CH412" t="s">
        <v>551</v>
      </c>
      <c r="CI412" t="s">
        <v>173</v>
      </c>
      <c r="DJ412" t="s">
        <v>250</v>
      </c>
      <c r="DK412" t="s">
        <v>251</v>
      </c>
      <c r="DN412" t="s">
        <v>173</v>
      </c>
      <c r="DO412" t="s">
        <v>552</v>
      </c>
      <c r="DP412" t="s">
        <v>172</v>
      </c>
      <c r="DQ412" t="s">
        <v>204</v>
      </c>
      <c r="EA412" s="117"/>
      <c r="EB412">
        <v>5</v>
      </c>
      <c r="EC412">
        <v>5</v>
      </c>
      <c r="EE412" t="s">
        <v>824</v>
      </c>
      <c r="EF412">
        <v>6</v>
      </c>
      <c r="EV412">
        <v>2250</v>
      </c>
      <c r="EW412">
        <v>450</v>
      </c>
      <c r="EX412">
        <v>314</v>
      </c>
      <c r="EY412">
        <v>389</v>
      </c>
    </row>
    <row r="413" spans="1:155" x14ac:dyDescent="0.35">
      <c r="A413">
        <v>2026</v>
      </c>
      <c r="B413" t="s">
        <v>400</v>
      </c>
      <c r="C413" s="112" t="s">
        <v>561</v>
      </c>
      <c r="D413" t="s">
        <v>927</v>
      </c>
      <c r="E413" t="s">
        <v>403</v>
      </c>
      <c r="F413">
        <v>47</v>
      </c>
      <c r="G413" s="113">
        <v>2.5</v>
      </c>
      <c r="H413">
        <v>4</v>
      </c>
      <c r="I413" t="s">
        <v>195</v>
      </c>
      <c r="J413">
        <v>19</v>
      </c>
      <c r="K413">
        <v>25</v>
      </c>
      <c r="L413">
        <v>21</v>
      </c>
      <c r="M413">
        <v>23.3</v>
      </c>
      <c r="N413">
        <v>35.5</v>
      </c>
      <c r="O413">
        <v>27.5625</v>
      </c>
      <c r="P413">
        <v>18.5595</v>
      </c>
      <c r="Q413">
        <v>25.216999999999999</v>
      </c>
      <c r="R413">
        <v>21.061699999999998</v>
      </c>
      <c r="T413" t="s">
        <v>168</v>
      </c>
      <c r="U413" t="s">
        <v>169</v>
      </c>
      <c r="V413" t="s">
        <v>196</v>
      </c>
      <c r="W413" t="s">
        <v>197</v>
      </c>
      <c r="Y413">
        <v>8</v>
      </c>
      <c r="Z413" t="s">
        <v>172</v>
      </c>
      <c r="AA413" t="s">
        <v>173</v>
      </c>
      <c r="AB413" t="s">
        <v>170</v>
      </c>
      <c r="AC413" t="s">
        <v>232</v>
      </c>
      <c r="AD413">
        <v>15</v>
      </c>
      <c r="AG413" t="s">
        <v>167</v>
      </c>
      <c r="AH413" t="s">
        <v>416</v>
      </c>
      <c r="AI413" t="s">
        <v>178</v>
      </c>
      <c r="AJ413" t="s">
        <v>179</v>
      </c>
      <c r="AK413" t="s">
        <v>664</v>
      </c>
      <c r="AL413" t="s">
        <v>665</v>
      </c>
      <c r="AS413">
        <v>2350</v>
      </c>
      <c r="AT413">
        <v>2350</v>
      </c>
      <c r="BN413" s="114" t="s">
        <v>247</v>
      </c>
      <c r="BO413">
        <v>2</v>
      </c>
      <c r="BP413">
        <v>2</v>
      </c>
      <c r="BQ413">
        <v>31</v>
      </c>
      <c r="BR413" t="s">
        <v>887</v>
      </c>
      <c r="BT413" t="s">
        <v>183</v>
      </c>
      <c r="BU413" s="115">
        <v>45823</v>
      </c>
      <c r="BV413">
        <v>36785</v>
      </c>
      <c r="BW413" s="116"/>
      <c r="BX413" t="s">
        <v>172</v>
      </c>
      <c r="BY413" t="s">
        <v>173</v>
      </c>
      <c r="CB413" t="s">
        <v>173</v>
      </c>
      <c r="CC413" t="s">
        <v>173</v>
      </c>
      <c r="CE413" t="s">
        <v>173</v>
      </c>
      <c r="CG413" t="s">
        <v>172</v>
      </c>
      <c r="CH413" t="s">
        <v>551</v>
      </c>
      <c r="CI413" t="s">
        <v>173</v>
      </c>
      <c r="DJ413" t="s">
        <v>250</v>
      </c>
      <c r="DK413" t="s">
        <v>251</v>
      </c>
      <c r="DN413" t="s">
        <v>173</v>
      </c>
      <c r="DO413" t="s">
        <v>552</v>
      </c>
      <c r="DP413" t="s">
        <v>172</v>
      </c>
      <c r="DQ413" t="s">
        <v>204</v>
      </c>
      <c r="EA413" s="117"/>
      <c r="EB413">
        <v>4</v>
      </c>
      <c r="EC413">
        <v>4</v>
      </c>
      <c r="EE413" t="s">
        <v>824</v>
      </c>
      <c r="EF413">
        <v>6</v>
      </c>
      <c r="EV413">
        <v>3250</v>
      </c>
      <c r="EW413">
        <v>477</v>
      </c>
      <c r="EX413">
        <v>353</v>
      </c>
      <c r="EY413">
        <v>421</v>
      </c>
    </row>
    <row r="414" spans="1:155" x14ac:dyDescent="0.35">
      <c r="A414">
        <v>2026</v>
      </c>
      <c r="B414" t="s">
        <v>400</v>
      </c>
      <c r="C414" s="112" t="s">
        <v>561</v>
      </c>
      <c r="D414" t="s">
        <v>928</v>
      </c>
      <c r="E414" t="s">
        <v>403</v>
      </c>
      <c r="F414">
        <v>21</v>
      </c>
      <c r="G414" s="113">
        <v>1.6</v>
      </c>
      <c r="H414">
        <v>4</v>
      </c>
      <c r="I414" t="s">
        <v>573</v>
      </c>
      <c r="J414">
        <v>35</v>
      </c>
      <c r="K414">
        <v>34</v>
      </c>
      <c r="L414">
        <v>34</v>
      </c>
      <c r="M414">
        <v>46.707799999999999</v>
      </c>
      <c r="N414">
        <v>46.256900000000002</v>
      </c>
      <c r="O414">
        <v>46.503799999999998</v>
      </c>
      <c r="P414">
        <v>34.792200000000001</v>
      </c>
      <c r="Q414">
        <v>34.067799999999998</v>
      </c>
      <c r="R414">
        <v>34.462400000000002</v>
      </c>
      <c r="T414" t="s">
        <v>168</v>
      </c>
      <c r="U414" t="s">
        <v>169</v>
      </c>
      <c r="V414" t="s">
        <v>275</v>
      </c>
      <c r="W414" t="s">
        <v>276</v>
      </c>
      <c r="Y414">
        <v>6</v>
      </c>
      <c r="Z414" t="s">
        <v>173</v>
      </c>
      <c r="AA414" t="s">
        <v>173</v>
      </c>
      <c r="AB414" t="s">
        <v>170</v>
      </c>
      <c r="AC414" t="s">
        <v>232</v>
      </c>
      <c r="AD414">
        <v>15</v>
      </c>
      <c r="AG414" t="s">
        <v>167</v>
      </c>
      <c r="AH414" t="s">
        <v>416</v>
      </c>
      <c r="AI414" t="s">
        <v>178</v>
      </c>
      <c r="AJ414" t="s">
        <v>179</v>
      </c>
      <c r="AK414" t="s">
        <v>664</v>
      </c>
      <c r="AL414" t="s">
        <v>665</v>
      </c>
      <c r="AS414">
        <v>1450</v>
      </c>
      <c r="AT414">
        <v>1450</v>
      </c>
      <c r="BN414" s="114" t="s">
        <v>492</v>
      </c>
      <c r="BO414">
        <v>2</v>
      </c>
      <c r="BP414">
        <v>2</v>
      </c>
      <c r="BQ414">
        <v>31</v>
      </c>
      <c r="BR414" t="s">
        <v>887</v>
      </c>
      <c r="BT414" t="s">
        <v>218</v>
      </c>
      <c r="BU414" s="115">
        <v>45823</v>
      </c>
      <c r="BV414">
        <v>36652</v>
      </c>
      <c r="BW414" s="116"/>
      <c r="BX414" t="s">
        <v>173</v>
      </c>
      <c r="BY414" t="s">
        <v>173</v>
      </c>
      <c r="CB414" t="s">
        <v>173</v>
      </c>
      <c r="CC414" t="s">
        <v>173</v>
      </c>
      <c r="CE414" t="s">
        <v>173</v>
      </c>
      <c r="CG414" t="s">
        <v>172</v>
      </c>
      <c r="CH414" t="s">
        <v>826</v>
      </c>
      <c r="CI414" t="s">
        <v>173</v>
      </c>
      <c r="CK414" t="s">
        <v>259</v>
      </c>
      <c r="CM414">
        <v>1</v>
      </c>
      <c r="CN414" t="s">
        <v>260</v>
      </c>
      <c r="CP414">
        <v>270</v>
      </c>
      <c r="CQ414">
        <v>5.5</v>
      </c>
      <c r="CR414">
        <v>40.1</v>
      </c>
      <c r="CS414" t="s">
        <v>261</v>
      </c>
      <c r="CV414" t="s">
        <v>262</v>
      </c>
      <c r="CX414" t="s">
        <v>493</v>
      </c>
      <c r="CY414" t="s">
        <v>172</v>
      </c>
      <c r="DD414">
        <v>1</v>
      </c>
      <c r="DE414" t="s">
        <v>307</v>
      </c>
      <c r="DF414" t="s">
        <v>330</v>
      </c>
      <c r="DG414">
        <v>48</v>
      </c>
      <c r="DJ414" t="s">
        <v>201</v>
      </c>
      <c r="DK414" t="s">
        <v>202</v>
      </c>
      <c r="DL414" t="s">
        <v>173</v>
      </c>
      <c r="DM414" t="s">
        <v>173</v>
      </c>
      <c r="DN414" t="s">
        <v>173</v>
      </c>
      <c r="DO414" t="s">
        <v>827</v>
      </c>
      <c r="DP414" t="s">
        <v>172</v>
      </c>
      <c r="DQ414" t="s">
        <v>204</v>
      </c>
      <c r="EA414" s="117"/>
      <c r="EB414">
        <v>6</v>
      </c>
      <c r="EC414">
        <v>6</v>
      </c>
      <c r="EE414" t="s">
        <v>828</v>
      </c>
      <c r="EF414">
        <v>6</v>
      </c>
      <c r="EU414">
        <v>1250</v>
      </c>
      <c r="EW414">
        <v>255</v>
      </c>
      <c r="EX414">
        <v>262</v>
      </c>
      <c r="EY414">
        <v>258</v>
      </c>
    </row>
    <row r="415" spans="1:155" x14ac:dyDescent="0.35">
      <c r="A415">
        <v>2026</v>
      </c>
      <c r="B415" t="s">
        <v>400</v>
      </c>
      <c r="C415" s="112" t="s">
        <v>561</v>
      </c>
      <c r="D415" t="s">
        <v>929</v>
      </c>
      <c r="E415" t="s">
        <v>403</v>
      </c>
      <c r="F415">
        <v>57</v>
      </c>
      <c r="G415" s="113">
        <v>2.5</v>
      </c>
      <c r="H415">
        <v>4</v>
      </c>
      <c r="I415" t="s">
        <v>195</v>
      </c>
      <c r="J415">
        <v>24</v>
      </c>
      <c r="K415">
        <v>30</v>
      </c>
      <c r="L415">
        <v>26</v>
      </c>
      <c r="M415">
        <v>30.856300000000001</v>
      </c>
      <c r="N415">
        <v>43.117699999999999</v>
      </c>
      <c r="O415">
        <v>35.384300000000003</v>
      </c>
      <c r="P415">
        <v>23.9878</v>
      </c>
      <c r="Q415">
        <v>30.1083</v>
      </c>
      <c r="R415">
        <v>26.403099999999998</v>
      </c>
      <c r="U415" t="s">
        <v>215</v>
      </c>
      <c r="V415" t="s">
        <v>196</v>
      </c>
      <c r="W415" t="s">
        <v>197</v>
      </c>
      <c r="Y415">
        <v>8</v>
      </c>
      <c r="Z415" t="s">
        <v>172</v>
      </c>
      <c r="AA415" t="s">
        <v>173</v>
      </c>
      <c r="AB415" t="s">
        <v>170</v>
      </c>
      <c r="AC415" t="s">
        <v>232</v>
      </c>
      <c r="AD415">
        <v>15</v>
      </c>
      <c r="AG415" t="s">
        <v>167</v>
      </c>
      <c r="AH415" t="s">
        <v>416</v>
      </c>
      <c r="AI415" t="s">
        <v>178</v>
      </c>
      <c r="AJ415" t="s">
        <v>179</v>
      </c>
      <c r="AK415" t="s">
        <v>664</v>
      </c>
      <c r="AL415" t="s">
        <v>665</v>
      </c>
      <c r="AS415">
        <v>1900</v>
      </c>
      <c r="AT415">
        <v>1900</v>
      </c>
      <c r="BN415" s="114" t="s">
        <v>247</v>
      </c>
      <c r="BO415">
        <v>2</v>
      </c>
      <c r="BP415">
        <v>2</v>
      </c>
      <c r="BQ415">
        <v>31</v>
      </c>
      <c r="BR415" t="s">
        <v>887</v>
      </c>
      <c r="BT415" t="s">
        <v>183</v>
      </c>
      <c r="BU415" s="115">
        <v>45870</v>
      </c>
      <c r="BV415">
        <v>37251</v>
      </c>
      <c r="BW415" s="116"/>
      <c r="BX415" t="s">
        <v>173</v>
      </c>
      <c r="BY415" t="s">
        <v>173</v>
      </c>
      <c r="CB415" t="s">
        <v>173</v>
      </c>
      <c r="CC415" t="s">
        <v>173</v>
      </c>
      <c r="CE415" t="s">
        <v>173</v>
      </c>
      <c r="CG415" t="s">
        <v>172</v>
      </c>
      <c r="CH415" t="s">
        <v>567</v>
      </c>
      <c r="CI415" t="s">
        <v>173</v>
      </c>
      <c r="DJ415" t="s">
        <v>250</v>
      </c>
      <c r="DK415" t="s">
        <v>251</v>
      </c>
      <c r="DN415" t="s">
        <v>173</v>
      </c>
      <c r="DO415" t="s">
        <v>564</v>
      </c>
      <c r="DP415" t="s">
        <v>172</v>
      </c>
      <c r="DQ415" t="s">
        <v>204</v>
      </c>
      <c r="DR415" t="s">
        <v>930</v>
      </c>
      <c r="EA415" s="117"/>
      <c r="EB415">
        <v>5</v>
      </c>
      <c r="EC415">
        <v>5</v>
      </c>
      <c r="EE415" t="s">
        <v>831</v>
      </c>
      <c r="EF415">
        <v>6</v>
      </c>
      <c r="EV415">
        <v>1000</v>
      </c>
      <c r="EW415">
        <v>371</v>
      </c>
      <c r="EX415">
        <v>296</v>
      </c>
      <c r="EY415">
        <v>337</v>
      </c>
    </row>
    <row r="416" spans="1:155" x14ac:dyDescent="0.35">
      <c r="A416">
        <v>2026</v>
      </c>
      <c r="B416" t="s">
        <v>400</v>
      </c>
      <c r="C416" s="112" t="s">
        <v>561</v>
      </c>
      <c r="D416" t="s">
        <v>931</v>
      </c>
      <c r="E416" t="s">
        <v>403</v>
      </c>
      <c r="F416">
        <v>53</v>
      </c>
      <c r="G416" s="113">
        <v>1.6</v>
      </c>
      <c r="H416">
        <v>4</v>
      </c>
      <c r="I416" t="s">
        <v>573</v>
      </c>
      <c r="J416">
        <v>36</v>
      </c>
      <c r="K416">
        <v>37</v>
      </c>
      <c r="L416">
        <v>36</v>
      </c>
      <c r="M416">
        <v>47.839199999999998</v>
      </c>
      <c r="N416">
        <v>47.361899999999999</v>
      </c>
      <c r="O416">
        <v>47.623199999999997</v>
      </c>
      <c r="P416">
        <v>35.939900000000002</v>
      </c>
      <c r="Q416">
        <v>36.9955</v>
      </c>
      <c r="R416">
        <v>36.407400000000003</v>
      </c>
      <c r="T416" t="s">
        <v>168</v>
      </c>
      <c r="U416" t="s">
        <v>169</v>
      </c>
      <c r="V416" t="s">
        <v>275</v>
      </c>
      <c r="W416" t="s">
        <v>276</v>
      </c>
      <c r="Y416">
        <v>6</v>
      </c>
      <c r="Z416" t="s">
        <v>173</v>
      </c>
      <c r="AA416" t="s">
        <v>173</v>
      </c>
      <c r="AB416" t="s">
        <v>170</v>
      </c>
      <c r="AC416" t="s">
        <v>232</v>
      </c>
      <c r="AD416">
        <v>15</v>
      </c>
      <c r="AG416" t="s">
        <v>167</v>
      </c>
      <c r="AH416" t="s">
        <v>416</v>
      </c>
      <c r="AI416" t="s">
        <v>178</v>
      </c>
      <c r="AJ416" t="s">
        <v>179</v>
      </c>
      <c r="AK416" t="s">
        <v>664</v>
      </c>
      <c r="AL416" t="s">
        <v>665</v>
      </c>
      <c r="AS416">
        <v>1400</v>
      </c>
      <c r="AT416">
        <v>1400</v>
      </c>
      <c r="BN416" s="114" t="s">
        <v>492</v>
      </c>
      <c r="BO416">
        <v>2</v>
      </c>
      <c r="BP416">
        <v>2</v>
      </c>
      <c r="BQ416">
        <v>31</v>
      </c>
      <c r="BR416" t="s">
        <v>887</v>
      </c>
      <c r="BT416" t="s">
        <v>218</v>
      </c>
      <c r="BU416" s="115">
        <v>45884</v>
      </c>
      <c r="BV416">
        <v>37220</v>
      </c>
      <c r="BW416" s="116"/>
      <c r="BX416" t="s">
        <v>173</v>
      </c>
      <c r="BY416" t="s">
        <v>173</v>
      </c>
      <c r="CB416" t="s">
        <v>173</v>
      </c>
      <c r="CC416" t="s">
        <v>173</v>
      </c>
      <c r="CE416" t="s">
        <v>173</v>
      </c>
      <c r="CG416" t="s">
        <v>172</v>
      </c>
      <c r="CH416" t="s">
        <v>848</v>
      </c>
      <c r="CI416" t="s">
        <v>173</v>
      </c>
      <c r="CK416" t="s">
        <v>259</v>
      </c>
      <c r="CM416">
        <v>1</v>
      </c>
      <c r="CN416" t="s">
        <v>260</v>
      </c>
      <c r="CP416">
        <v>270</v>
      </c>
      <c r="CQ416">
        <v>5.5</v>
      </c>
      <c r="CR416">
        <v>39.6</v>
      </c>
      <c r="CS416" t="s">
        <v>261</v>
      </c>
      <c r="CV416" t="s">
        <v>262</v>
      </c>
      <c r="CX416" t="s">
        <v>493</v>
      </c>
      <c r="CY416" t="s">
        <v>172</v>
      </c>
      <c r="DD416">
        <v>1</v>
      </c>
      <c r="DE416" t="s">
        <v>307</v>
      </c>
      <c r="DF416" t="s">
        <v>330</v>
      </c>
      <c r="DG416">
        <v>48</v>
      </c>
      <c r="DJ416" t="s">
        <v>201</v>
      </c>
      <c r="DK416" t="s">
        <v>202</v>
      </c>
      <c r="DL416" t="s">
        <v>173</v>
      </c>
      <c r="DM416" t="s">
        <v>173</v>
      </c>
      <c r="DN416" t="s">
        <v>173</v>
      </c>
      <c r="DO416" t="s">
        <v>827</v>
      </c>
      <c r="DP416" t="s">
        <v>172</v>
      </c>
      <c r="DQ416" t="s">
        <v>204</v>
      </c>
      <c r="EA416" s="117"/>
      <c r="EB416">
        <v>7</v>
      </c>
      <c r="EC416">
        <v>7</v>
      </c>
      <c r="EE416" t="s">
        <v>932</v>
      </c>
      <c r="EF416">
        <v>6</v>
      </c>
      <c r="EU416">
        <v>1500</v>
      </c>
      <c r="EW416">
        <v>246</v>
      </c>
      <c r="EX416">
        <v>240</v>
      </c>
      <c r="EY416">
        <v>243</v>
      </c>
    </row>
    <row r="417" spans="1:155" x14ac:dyDescent="0.35">
      <c r="A417">
        <v>2026</v>
      </c>
      <c r="B417" t="s">
        <v>400</v>
      </c>
      <c r="C417" s="112" t="s">
        <v>561</v>
      </c>
      <c r="D417" t="s">
        <v>933</v>
      </c>
      <c r="E417" t="s">
        <v>403</v>
      </c>
      <c r="F417">
        <v>54</v>
      </c>
      <c r="G417" s="113">
        <v>1.6</v>
      </c>
      <c r="H417">
        <v>4</v>
      </c>
      <c r="I417" t="s">
        <v>573</v>
      </c>
      <c r="J417">
        <v>38</v>
      </c>
      <c r="K417">
        <v>38</v>
      </c>
      <c r="L417">
        <v>38</v>
      </c>
      <c r="M417">
        <v>50.1</v>
      </c>
      <c r="N417">
        <v>48.5</v>
      </c>
      <c r="O417">
        <v>49.367100000000001</v>
      </c>
      <c r="P417">
        <v>38.189100000000003</v>
      </c>
      <c r="Q417">
        <v>37.885599999999997</v>
      </c>
      <c r="R417">
        <v>38.051900000000003</v>
      </c>
      <c r="T417" t="s">
        <v>168</v>
      </c>
      <c r="U417" t="s">
        <v>169</v>
      </c>
      <c r="V417" t="s">
        <v>275</v>
      </c>
      <c r="W417" t="s">
        <v>276</v>
      </c>
      <c r="Y417">
        <v>6</v>
      </c>
      <c r="Z417" t="s">
        <v>173</v>
      </c>
      <c r="AA417" t="s">
        <v>173</v>
      </c>
      <c r="AB417" t="s">
        <v>170</v>
      </c>
      <c r="AC417" t="s">
        <v>232</v>
      </c>
      <c r="AD417">
        <v>15</v>
      </c>
      <c r="AG417" t="s">
        <v>167</v>
      </c>
      <c r="AH417" t="s">
        <v>416</v>
      </c>
      <c r="AI417" t="s">
        <v>178</v>
      </c>
      <c r="AJ417" t="s">
        <v>179</v>
      </c>
      <c r="AK417" t="s">
        <v>664</v>
      </c>
      <c r="AL417" t="s">
        <v>665</v>
      </c>
      <c r="AS417">
        <v>1300</v>
      </c>
      <c r="AT417">
        <v>1300</v>
      </c>
      <c r="BN417" s="114" t="s">
        <v>492</v>
      </c>
      <c r="BO417">
        <v>2</v>
      </c>
      <c r="BP417">
        <v>2</v>
      </c>
      <c r="BQ417">
        <v>31</v>
      </c>
      <c r="BR417" t="s">
        <v>887</v>
      </c>
      <c r="BT417" t="s">
        <v>218</v>
      </c>
      <c r="BU417" s="115">
        <v>45884</v>
      </c>
      <c r="BV417">
        <v>37219</v>
      </c>
      <c r="BW417" s="116"/>
      <c r="BX417" t="s">
        <v>172</v>
      </c>
      <c r="BY417" t="s">
        <v>173</v>
      </c>
      <c r="CB417" t="s">
        <v>173</v>
      </c>
      <c r="CC417" t="s">
        <v>173</v>
      </c>
      <c r="CE417" t="s">
        <v>173</v>
      </c>
      <c r="CG417" t="s">
        <v>172</v>
      </c>
      <c r="CH417" t="s">
        <v>848</v>
      </c>
      <c r="CI417" t="s">
        <v>173</v>
      </c>
      <c r="CK417" t="s">
        <v>259</v>
      </c>
      <c r="CM417">
        <v>1</v>
      </c>
      <c r="CN417" t="s">
        <v>260</v>
      </c>
      <c r="CP417">
        <v>270</v>
      </c>
      <c r="CQ417">
        <v>5.5</v>
      </c>
      <c r="CR417">
        <v>39.6</v>
      </c>
      <c r="CS417" t="s">
        <v>261</v>
      </c>
      <c r="CV417" t="s">
        <v>262</v>
      </c>
      <c r="CX417" t="s">
        <v>493</v>
      </c>
      <c r="CY417" t="s">
        <v>172</v>
      </c>
      <c r="DD417">
        <v>1</v>
      </c>
      <c r="DE417" t="s">
        <v>307</v>
      </c>
      <c r="DF417" t="s">
        <v>330</v>
      </c>
      <c r="DG417">
        <v>48</v>
      </c>
      <c r="DJ417" t="s">
        <v>201</v>
      </c>
      <c r="DK417" t="s">
        <v>202</v>
      </c>
      <c r="DL417" t="s">
        <v>173</v>
      </c>
      <c r="DM417" t="s">
        <v>173</v>
      </c>
      <c r="DN417" t="s">
        <v>173</v>
      </c>
      <c r="DO417" t="s">
        <v>827</v>
      </c>
      <c r="DP417" t="s">
        <v>172</v>
      </c>
      <c r="DQ417" t="s">
        <v>204</v>
      </c>
      <c r="EA417" s="117"/>
      <c r="EB417">
        <v>7</v>
      </c>
      <c r="EC417">
        <v>7</v>
      </c>
      <c r="EE417" t="s">
        <v>932</v>
      </c>
      <c r="EF417">
        <v>6</v>
      </c>
      <c r="EU417">
        <v>2000</v>
      </c>
      <c r="EW417">
        <v>232</v>
      </c>
      <c r="EX417">
        <v>235</v>
      </c>
      <c r="EY417">
        <v>234</v>
      </c>
    </row>
    <row r="418" spans="1:155" x14ac:dyDescent="0.35">
      <c r="A418">
        <v>2026</v>
      </c>
      <c r="B418" t="s">
        <v>934</v>
      </c>
      <c r="C418" s="112" t="s">
        <v>935</v>
      </c>
      <c r="D418" t="s">
        <v>936</v>
      </c>
      <c r="E418" t="s">
        <v>937</v>
      </c>
      <c r="F418">
        <v>768</v>
      </c>
      <c r="G418" s="113">
        <v>2</v>
      </c>
      <c r="H418">
        <v>4</v>
      </c>
      <c r="I418" t="s">
        <v>195</v>
      </c>
      <c r="J418">
        <v>22</v>
      </c>
      <c r="K418">
        <v>27</v>
      </c>
      <c r="L418">
        <v>24</v>
      </c>
      <c r="M418">
        <v>27.807200000000002</v>
      </c>
      <c r="N418">
        <v>37.646999999999998</v>
      </c>
      <c r="O418">
        <v>31.5137</v>
      </c>
      <c r="P418">
        <v>21.824000000000002</v>
      </c>
      <c r="Q418">
        <v>26.5822</v>
      </c>
      <c r="R418">
        <v>23.735900000000001</v>
      </c>
      <c r="T418" t="s">
        <v>168</v>
      </c>
      <c r="U418" t="s">
        <v>169</v>
      </c>
      <c r="V418" t="s">
        <v>196</v>
      </c>
      <c r="W418" t="s">
        <v>197</v>
      </c>
      <c r="Y418">
        <v>8</v>
      </c>
      <c r="Z418" t="s">
        <v>172</v>
      </c>
      <c r="AA418" t="s">
        <v>173</v>
      </c>
      <c r="AB418" t="s">
        <v>170</v>
      </c>
      <c r="AC418" t="s">
        <v>232</v>
      </c>
      <c r="AD418">
        <v>10</v>
      </c>
      <c r="AG418" t="s">
        <v>176</v>
      </c>
      <c r="AH418" t="s">
        <v>177</v>
      </c>
      <c r="AI418" t="s">
        <v>178</v>
      </c>
      <c r="AJ418" t="s">
        <v>179</v>
      </c>
      <c r="AK418" t="s">
        <v>664</v>
      </c>
      <c r="AL418" t="s">
        <v>665</v>
      </c>
      <c r="AS418">
        <v>2600</v>
      </c>
      <c r="AT418">
        <v>2600</v>
      </c>
      <c r="BN418" s="114" t="s">
        <v>198</v>
      </c>
      <c r="BO418">
        <v>2</v>
      </c>
      <c r="BP418">
        <v>2</v>
      </c>
      <c r="BQ418">
        <v>31</v>
      </c>
      <c r="BR418" t="s">
        <v>887</v>
      </c>
      <c r="BT418" t="s">
        <v>183</v>
      </c>
      <c r="BU418" s="115">
        <v>45695</v>
      </c>
      <c r="BV418">
        <v>36082</v>
      </c>
      <c r="BW418" s="116"/>
      <c r="BX418" t="s">
        <v>172</v>
      </c>
      <c r="BY418" t="s">
        <v>173</v>
      </c>
      <c r="CB418" t="s">
        <v>173</v>
      </c>
      <c r="CC418" t="s">
        <v>173</v>
      </c>
      <c r="CE418" t="s">
        <v>173</v>
      </c>
      <c r="CG418" t="s">
        <v>172</v>
      </c>
      <c r="CH418" t="s">
        <v>938</v>
      </c>
      <c r="CI418" t="s">
        <v>172</v>
      </c>
      <c r="CJ418" t="s">
        <v>939</v>
      </c>
      <c r="DJ418" t="s">
        <v>201</v>
      </c>
      <c r="DK418" t="s">
        <v>202</v>
      </c>
      <c r="DL418" t="s">
        <v>173</v>
      </c>
      <c r="DM418" t="s">
        <v>173</v>
      </c>
      <c r="DN418" t="s">
        <v>173</v>
      </c>
      <c r="DO418" t="s">
        <v>203</v>
      </c>
      <c r="DP418" t="s">
        <v>172</v>
      </c>
      <c r="DQ418" t="s">
        <v>204</v>
      </c>
      <c r="DR418" t="s">
        <v>936</v>
      </c>
      <c r="DY418">
        <v>31.7</v>
      </c>
      <c r="EA418" s="117"/>
      <c r="EB418">
        <v>5</v>
      </c>
      <c r="EC418">
        <v>5</v>
      </c>
      <c r="EE418" t="s">
        <v>940</v>
      </c>
      <c r="EF418">
        <v>6</v>
      </c>
      <c r="EV418">
        <v>4500</v>
      </c>
      <c r="EW418">
        <v>409</v>
      </c>
      <c r="EX418">
        <v>335</v>
      </c>
      <c r="EY418">
        <v>376</v>
      </c>
    </row>
    <row r="419" spans="1:155" x14ac:dyDescent="0.35">
      <c r="A419">
        <v>2026</v>
      </c>
      <c r="B419" t="s">
        <v>934</v>
      </c>
      <c r="C419" s="112" t="s">
        <v>935</v>
      </c>
      <c r="D419" t="s">
        <v>941</v>
      </c>
      <c r="E419" t="s">
        <v>937</v>
      </c>
      <c r="F419">
        <v>774</v>
      </c>
      <c r="G419" s="113">
        <v>3</v>
      </c>
      <c r="H419">
        <v>6</v>
      </c>
      <c r="I419" t="s">
        <v>195</v>
      </c>
      <c r="J419">
        <v>19</v>
      </c>
      <c r="K419">
        <v>25</v>
      </c>
      <c r="L419">
        <v>21</v>
      </c>
      <c r="M419">
        <v>23.645299999999999</v>
      </c>
      <c r="N419">
        <v>35.342599999999997</v>
      </c>
      <c r="O419">
        <v>27.783200000000001</v>
      </c>
      <c r="P419">
        <v>18.780100000000001</v>
      </c>
      <c r="Q419">
        <v>25.086300000000001</v>
      </c>
      <c r="R419">
        <v>21.1755</v>
      </c>
      <c r="T419" t="s">
        <v>341</v>
      </c>
      <c r="U419" t="s">
        <v>342</v>
      </c>
      <c r="V419" t="s">
        <v>196</v>
      </c>
      <c r="W419" t="s">
        <v>197</v>
      </c>
      <c r="Y419">
        <v>8</v>
      </c>
      <c r="Z419" t="s">
        <v>172</v>
      </c>
      <c r="AA419" t="s">
        <v>173</v>
      </c>
      <c r="AB419">
        <v>4</v>
      </c>
      <c r="AC419" t="s">
        <v>423</v>
      </c>
      <c r="AD419">
        <v>10</v>
      </c>
      <c r="AG419" t="s">
        <v>176</v>
      </c>
      <c r="AH419" t="s">
        <v>177</v>
      </c>
      <c r="AI419" t="s">
        <v>178</v>
      </c>
      <c r="AJ419" t="s">
        <v>179</v>
      </c>
      <c r="AK419" t="s">
        <v>664</v>
      </c>
      <c r="AL419" t="s">
        <v>665</v>
      </c>
      <c r="AS419">
        <v>2950</v>
      </c>
      <c r="AT419">
        <v>2950</v>
      </c>
      <c r="BN419" s="114" t="s">
        <v>256</v>
      </c>
      <c r="BO419">
        <v>2</v>
      </c>
      <c r="BP419">
        <v>2</v>
      </c>
      <c r="BQ419">
        <v>31</v>
      </c>
      <c r="BR419" t="s">
        <v>887</v>
      </c>
      <c r="BT419" t="s">
        <v>183</v>
      </c>
      <c r="BU419" s="115">
        <v>45695</v>
      </c>
      <c r="BV419">
        <v>36084</v>
      </c>
      <c r="BW419" s="116"/>
      <c r="BX419" t="s">
        <v>172</v>
      </c>
      <c r="BY419" t="s">
        <v>173</v>
      </c>
      <c r="CB419" t="s">
        <v>173</v>
      </c>
      <c r="CC419" t="s">
        <v>173</v>
      </c>
      <c r="CE419" t="s">
        <v>173</v>
      </c>
      <c r="CG419" t="s">
        <v>172</v>
      </c>
      <c r="CH419" t="s">
        <v>942</v>
      </c>
      <c r="CI419" t="s">
        <v>173</v>
      </c>
      <c r="CK419" t="s">
        <v>259</v>
      </c>
      <c r="CM419">
        <v>1</v>
      </c>
      <c r="CN419" t="s">
        <v>260</v>
      </c>
      <c r="CP419">
        <v>48</v>
      </c>
      <c r="CQ419">
        <v>8</v>
      </c>
      <c r="CR419">
        <v>370</v>
      </c>
      <c r="CS419" t="s">
        <v>261</v>
      </c>
      <c r="CV419" t="s">
        <v>943</v>
      </c>
      <c r="DD419">
        <v>1</v>
      </c>
      <c r="DE419" t="s">
        <v>760</v>
      </c>
      <c r="DG419">
        <v>15</v>
      </c>
      <c r="DJ419" t="s">
        <v>201</v>
      </c>
      <c r="DK419" t="s">
        <v>202</v>
      </c>
      <c r="DL419" t="s">
        <v>173</v>
      </c>
      <c r="DM419" t="s">
        <v>173</v>
      </c>
      <c r="DN419" t="s">
        <v>173</v>
      </c>
      <c r="DO419" t="s">
        <v>203</v>
      </c>
      <c r="DP419" t="s">
        <v>172</v>
      </c>
      <c r="DQ419" t="s">
        <v>204</v>
      </c>
      <c r="DR419" t="s">
        <v>944</v>
      </c>
      <c r="DY419">
        <v>27.9</v>
      </c>
      <c r="EA419" s="117"/>
      <c r="EB419">
        <v>4</v>
      </c>
      <c r="EC419">
        <v>4</v>
      </c>
      <c r="EE419" t="s">
        <v>945</v>
      </c>
      <c r="EF419">
        <v>6</v>
      </c>
      <c r="EV419">
        <v>6250</v>
      </c>
      <c r="EW419">
        <v>471</v>
      </c>
      <c r="EX419">
        <v>354</v>
      </c>
      <c r="EY419">
        <v>418</v>
      </c>
    </row>
    <row r="420" spans="1:155" x14ac:dyDescent="0.35">
      <c r="A420">
        <v>2026</v>
      </c>
      <c r="B420" t="s">
        <v>934</v>
      </c>
      <c r="C420" s="112" t="s">
        <v>935</v>
      </c>
      <c r="D420" t="s">
        <v>946</v>
      </c>
      <c r="E420" t="s">
        <v>937</v>
      </c>
      <c r="F420">
        <v>770</v>
      </c>
      <c r="G420" s="113">
        <v>5</v>
      </c>
      <c r="H420">
        <v>8</v>
      </c>
      <c r="I420" t="s">
        <v>195</v>
      </c>
      <c r="J420">
        <v>15</v>
      </c>
      <c r="K420">
        <v>21</v>
      </c>
      <c r="L420">
        <v>17</v>
      </c>
      <c r="M420">
        <v>18.503699999999998</v>
      </c>
      <c r="N420">
        <v>28.562899999999999</v>
      </c>
      <c r="O420">
        <v>21.988499999999998</v>
      </c>
      <c r="P420">
        <v>14.9703</v>
      </c>
      <c r="Q420">
        <v>20.638500000000001</v>
      </c>
      <c r="R420">
        <v>17.081299999999999</v>
      </c>
      <c r="T420" t="s">
        <v>478</v>
      </c>
      <c r="U420" t="s">
        <v>479</v>
      </c>
      <c r="V420" t="s">
        <v>196</v>
      </c>
      <c r="W420" t="s">
        <v>197</v>
      </c>
      <c r="Y420">
        <v>8</v>
      </c>
      <c r="Z420" t="s">
        <v>172</v>
      </c>
      <c r="AA420" t="s">
        <v>173</v>
      </c>
      <c r="AB420" t="s">
        <v>170</v>
      </c>
      <c r="AC420" t="s">
        <v>232</v>
      </c>
      <c r="AD420">
        <v>10</v>
      </c>
      <c r="AG420" t="s">
        <v>176</v>
      </c>
      <c r="AH420" t="s">
        <v>177</v>
      </c>
      <c r="AI420" t="s">
        <v>178</v>
      </c>
      <c r="AJ420" t="s">
        <v>179</v>
      </c>
      <c r="AK420" t="s">
        <v>664</v>
      </c>
      <c r="AL420" t="s">
        <v>665</v>
      </c>
      <c r="AS420">
        <v>3650</v>
      </c>
      <c r="AT420">
        <v>3650</v>
      </c>
      <c r="BN420" s="114" t="s">
        <v>198</v>
      </c>
      <c r="BO420">
        <v>2</v>
      </c>
      <c r="BP420">
        <v>2</v>
      </c>
      <c r="BQ420">
        <v>31</v>
      </c>
      <c r="BR420" t="s">
        <v>887</v>
      </c>
      <c r="BT420" t="s">
        <v>183</v>
      </c>
      <c r="BU420" s="115">
        <v>45695</v>
      </c>
      <c r="BV420">
        <v>36087</v>
      </c>
      <c r="BW420" s="116"/>
      <c r="BX420" t="s">
        <v>172</v>
      </c>
      <c r="BY420" t="s">
        <v>173</v>
      </c>
      <c r="CB420" t="s">
        <v>173</v>
      </c>
      <c r="CC420" t="s">
        <v>173</v>
      </c>
      <c r="CE420" t="s">
        <v>173</v>
      </c>
      <c r="CG420" t="s">
        <v>172</v>
      </c>
      <c r="CH420" t="s">
        <v>942</v>
      </c>
      <c r="CI420" t="s">
        <v>173</v>
      </c>
      <c r="DJ420" t="s">
        <v>201</v>
      </c>
      <c r="DK420" t="s">
        <v>202</v>
      </c>
      <c r="DL420" t="s">
        <v>173</v>
      </c>
      <c r="DM420" t="s">
        <v>173</v>
      </c>
      <c r="DN420" t="s">
        <v>173</v>
      </c>
      <c r="DO420" t="s">
        <v>203</v>
      </c>
      <c r="DP420" t="s">
        <v>172</v>
      </c>
      <c r="DQ420" t="s">
        <v>204</v>
      </c>
      <c r="DR420" t="s">
        <v>947</v>
      </c>
      <c r="DY420">
        <v>22.1</v>
      </c>
      <c r="EA420" s="117"/>
      <c r="EB420">
        <v>3</v>
      </c>
      <c r="EC420">
        <v>3</v>
      </c>
      <c r="EE420" t="s">
        <v>948</v>
      </c>
      <c r="EF420">
        <v>2</v>
      </c>
      <c r="EV420">
        <v>9750</v>
      </c>
      <c r="EW420">
        <v>592</v>
      </c>
      <c r="EX420">
        <v>430</v>
      </c>
      <c r="EY420">
        <v>519</v>
      </c>
    </row>
    <row r="421" spans="1:155" x14ac:dyDescent="0.35">
      <c r="A421">
        <v>2026</v>
      </c>
      <c r="B421" t="s">
        <v>688</v>
      </c>
      <c r="C421" s="112" t="s">
        <v>949</v>
      </c>
      <c r="D421" t="s">
        <v>950</v>
      </c>
      <c r="E421" t="s">
        <v>691</v>
      </c>
      <c r="F421">
        <v>536</v>
      </c>
      <c r="G421" s="113">
        <v>2</v>
      </c>
      <c r="H421">
        <v>4</v>
      </c>
      <c r="I421" t="s">
        <v>166</v>
      </c>
      <c r="J421">
        <v>23</v>
      </c>
      <c r="K421">
        <v>31</v>
      </c>
      <c r="L421">
        <v>26</v>
      </c>
      <c r="M421">
        <v>30.1</v>
      </c>
      <c r="N421">
        <v>45.3</v>
      </c>
      <c r="O421">
        <v>35.453200000000002</v>
      </c>
      <c r="P421">
        <v>23.456299999999999</v>
      </c>
      <c r="Q421">
        <v>31.479099999999999</v>
      </c>
      <c r="R421">
        <v>26.494900000000001</v>
      </c>
      <c r="T421" t="s">
        <v>168</v>
      </c>
      <c r="U421" t="s">
        <v>169</v>
      </c>
      <c r="V421" t="s">
        <v>170</v>
      </c>
      <c r="W421" t="s">
        <v>171</v>
      </c>
      <c r="Y421">
        <v>8</v>
      </c>
      <c r="Z421" t="s">
        <v>172</v>
      </c>
      <c r="AA421" t="s">
        <v>173</v>
      </c>
      <c r="AB421" t="s">
        <v>170</v>
      </c>
      <c r="AC421" t="s">
        <v>232</v>
      </c>
      <c r="AD421">
        <v>10</v>
      </c>
      <c r="AG421" t="s">
        <v>167</v>
      </c>
      <c r="AH421" t="s">
        <v>416</v>
      </c>
      <c r="AI421" t="s">
        <v>178</v>
      </c>
      <c r="AJ421" t="s">
        <v>179</v>
      </c>
      <c r="AK421" t="s">
        <v>664</v>
      </c>
      <c r="AL421" t="s">
        <v>665</v>
      </c>
      <c r="AS421">
        <v>1900</v>
      </c>
      <c r="AT421">
        <v>1900</v>
      </c>
      <c r="BN421" s="114" t="s">
        <v>198</v>
      </c>
      <c r="BO421">
        <v>2</v>
      </c>
      <c r="BP421">
        <v>2</v>
      </c>
      <c r="BQ421">
        <v>31</v>
      </c>
      <c r="BR421" t="s">
        <v>887</v>
      </c>
      <c r="BT421" t="s">
        <v>183</v>
      </c>
      <c r="BU421" s="115">
        <v>45880</v>
      </c>
      <c r="BV421">
        <v>37339</v>
      </c>
      <c r="BW421" s="116"/>
      <c r="BX421" t="s">
        <v>173</v>
      </c>
      <c r="BY421" t="s">
        <v>173</v>
      </c>
      <c r="CB421" t="s">
        <v>173</v>
      </c>
      <c r="CC421" t="s">
        <v>173</v>
      </c>
      <c r="CE421" t="s">
        <v>173</v>
      </c>
      <c r="CG421" t="s">
        <v>172</v>
      </c>
      <c r="CH421" t="s">
        <v>951</v>
      </c>
      <c r="CI421" t="s">
        <v>173</v>
      </c>
      <c r="DJ421" t="s">
        <v>201</v>
      </c>
      <c r="DK421" t="s">
        <v>202</v>
      </c>
      <c r="DN421" t="s">
        <v>173</v>
      </c>
      <c r="DO421" t="s">
        <v>405</v>
      </c>
      <c r="DP421" t="s">
        <v>172</v>
      </c>
      <c r="DQ421" t="s">
        <v>204</v>
      </c>
      <c r="EA421" s="117"/>
      <c r="EB421">
        <v>5</v>
      </c>
      <c r="EC421">
        <v>5</v>
      </c>
      <c r="EE421" t="s">
        <v>952</v>
      </c>
      <c r="EF421">
        <v>6</v>
      </c>
      <c r="EV421">
        <v>1000</v>
      </c>
      <c r="EW421">
        <v>379</v>
      </c>
      <c r="EX421">
        <v>282</v>
      </c>
      <c r="EY421">
        <v>335</v>
      </c>
    </row>
    <row r="422" spans="1:155" x14ac:dyDescent="0.35">
      <c r="A422">
        <v>2026</v>
      </c>
      <c r="B422" t="s">
        <v>688</v>
      </c>
      <c r="C422" s="112" t="s">
        <v>949</v>
      </c>
      <c r="D422" t="s">
        <v>1285</v>
      </c>
      <c r="E422" t="s">
        <v>691</v>
      </c>
      <c r="F422">
        <v>518</v>
      </c>
      <c r="G422" s="113">
        <v>2</v>
      </c>
      <c r="H422">
        <v>4</v>
      </c>
      <c r="I422" t="s">
        <v>166</v>
      </c>
      <c r="J422">
        <v>20</v>
      </c>
      <c r="K422">
        <v>23</v>
      </c>
      <c r="L422">
        <v>21</v>
      </c>
      <c r="M422">
        <v>25.6</v>
      </c>
      <c r="N422">
        <v>35.9</v>
      </c>
      <c r="O422">
        <v>29.395199999999999</v>
      </c>
      <c r="P422">
        <v>20.239899999999999</v>
      </c>
      <c r="Q422">
        <v>22.961600000000001</v>
      </c>
      <c r="R422">
        <v>21.380299999999998</v>
      </c>
      <c r="T422" t="s">
        <v>168</v>
      </c>
      <c r="U422" t="s">
        <v>169</v>
      </c>
      <c r="V422" t="s">
        <v>170</v>
      </c>
      <c r="W422" t="s">
        <v>171</v>
      </c>
      <c r="Y422">
        <v>8</v>
      </c>
      <c r="Z422" t="s">
        <v>172</v>
      </c>
      <c r="AA422" t="s">
        <v>173</v>
      </c>
      <c r="AB422">
        <v>4</v>
      </c>
      <c r="AC422" t="s">
        <v>423</v>
      </c>
      <c r="AD422">
        <v>10</v>
      </c>
      <c r="AG422" t="s">
        <v>167</v>
      </c>
      <c r="AH422" t="s">
        <v>416</v>
      </c>
      <c r="AI422" t="s">
        <v>178</v>
      </c>
      <c r="AJ422" t="s">
        <v>179</v>
      </c>
      <c r="AK422" t="s">
        <v>664</v>
      </c>
      <c r="AL422" t="s">
        <v>665</v>
      </c>
      <c r="AS422">
        <v>2350</v>
      </c>
      <c r="AT422">
        <v>2350</v>
      </c>
      <c r="BN422" s="114" t="s">
        <v>198</v>
      </c>
      <c r="BO422">
        <v>2</v>
      </c>
      <c r="BP422">
        <v>2</v>
      </c>
      <c r="BQ422">
        <v>31</v>
      </c>
      <c r="BR422" t="s">
        <v>887</v>
      </c>
      <c r="BT422" t="s">
        <v>613</v>
      </c>
      <c r="BU422" s="115">
        <v>45894</v>
      </c>
      <c r="BV422">
        <v>37310</v>
      </c>
      <c r="BW422" s="116"/>
      <c r="BX422" t="s">
        <v>173</v>
      </c>
      <c r="BY422" t="s">
        <v>173</v>
      </c>
      <c r="CB422" t="s">
        <v>173</v>
      </c>
      <c r="CC422" t="s">
        <v>173</v>
      </c>
      <c r="CE422" t="s">
        <v>173</v>
      </c>
      <c r="CG422" t="s">
        <v>172</v>
      </c>
      <c r="CH422" t="s">
        <v>951</v>
      </c>
      <c r="CI422" t="s">
        <v>173</v>
      </c>
      <c r="DJ422" t="s">
        <v>201</v>
      </c>
      <c r="DK422" t="s">
        <v>202</v>
      </c>
      <c r="DM422" t="s">
        <v>173</v>
      </c>
      <c r="DN422" t="s">
        <v>173</v>
      </c>
      <c r="DO422" t="s">
        <v>405</v>
      </c>
      <c r="DP422" t="s">
        <v>172</v>
      </c>
      <c r="DQ422" t="s">
        <v>204</v>
      </c>
      <c r="EA422" s="117"/>
      <c r="EB422">
        <v>4</v>
      </c>
      <c r="EC422">
        <v>4</v>
      </c>
      <c r="EE422" t="s">
        <v>1286</v>
      </c>
      <c r="EF422">
        <v>6</v>
      </c>
      <c r="EV422">
        <v>3250</v>
      </c>
      <c r="EW422">
        <v>439</v>
      </c>
      <c r="EX422">
        <v>387</v>
      </c>
      <c r="EY422">
        <v>416</v>
      </c>
    </row>
    <row r="423" spans="1:155" x14ac:dyDescent="0.35">
      <c r="A423">
        <v>2026</v>
      </c>
      <c r="B423" t="s">
        <v>688</v>
      </c>
      <c r="C423" s="112" t="s">
        <v>949</v>
      </c>
      <c r="D423" t="s">
        <v>1285</v>
      </c>
      <c r="E423" t="s">
        <v>691</v>
      </c>
      <c r="F423">
        <v>519</v>
      </c>
      <c r="G423" s="113">
        <v>3.6</v>
      </c>
      <c r="H423">
        <v>6</v>
      </c>
      <c r="I423" t="s">
        <v>206</v>
      </c>
      <c r="J423">
        <v>17</v>
      </c>
      <c r="K423">
        <v>23</v>
      </c>
      <c r="L423">
        <v>19</v>
      </c>
      <c r="M423">
        <v>21.1</v>
      </c>
      <c r="N423">
        <v>32.200000000000003</v>
      </c>
      <c r="O423">
        <v>24.9741</v>
      </c>
      <c r="P423">
        <v>16.9285</v>
      </c>
      <c r="Q423">
        <v>23.045300000000001</v>
      </c>
      <c r="R423">
        <v>19.224699999999999</v>
      </c>
      <c r="U423" t="s">
        <v>215</v>
      </c>
      <c r="V423" t="s">
        <v>207</v>
      </c>
      <c r="W423" t="s">
        <v>208</v>
      </c>
      <c r="Y423">
        <v>6</v>
      </c>
      <c r="Z423" t="s">
        <v>173</v>
      </c>
      <c r="AA423" t="s">
        <v>173</v>
      </c>
      <c r="AB423">
        <v>4</v>
      </c>
      <c r="AC423" t="s">
        <v>423</v>
      </c>
      <c r="AD423">
        <v>10</v>
      </c>
      <c r="AG423" t="s">
        <v>167</v>
      </c>
      <c r="AH423" t="s">
        <v>416</v>
      </c>
      <c r="AI423" t="s">
        <v>178</v>
      </c>
      <c r="AJ423" t="s">
        <v>179</v>
      </c>
      <c r="AK423" t="s">
        <v>664</v>
      </c>
      <c r="AL423" t="s">
        <v>665</v>
      </c>
      <c r="AS423">
        <v>2600</v>
      </c>
      <c r="AT423">
        <v>2600</v>
      </c>
      <c r="BN423" s="114"/>
      <c r="BO423">
        <v>2</v>
      </c>
      <c r="BP423">
        <v>2</v>
      </c>
      <c r="BQ423">
        <v>31</v>
      </c>
      <c r="BR423" t="s">
        <v>887</v>
      </c>
      <c r="BT423" t="s">
        <v>183</v>
      </c>
      <c r="BU423" s="115">
        <v>45894</v>
      </c>
      <c r="BV423">
        <v>37111</v>
      </c>
      <c r="BW423" s="116"/>
      <c r="BX423" t="s">
        <v>173</v>
      </c>
      <c r="BY423" t="s">
        <v>173</v>
      </c>
      <c r="CB423" t="s">
        <v>173</v>
      </c>
      <c r="CC423" t="s">
        <v>173</v>
      </c>
      <c r="CE423" t="s">
        <v>173</v>
      </c>
      <c r="CG423" t="s">
        <v>172</v>
      </c>
      <c r="CH423" t="s">
        <v>224</v>
      </c>
      <c r="CI423" t="s">
        <v>173</v>
      </c>
      <c r="DJ423" t="s">
        <v>186</v>
      </c>
      <c r="DK423" t="s">
        <v>187</v>
      </c>
      <c r="DN423" t="s">
        <v>173</v>
      </c>
      <c r="DO423" t="s">
        <v>284</v>
      </c>
      <c r="DP423" t="s">
        <v>172</v>
      </c>
      <c r="DQ423" t="s">
        <v>204</v>
      </c>
      <c r="EA423" s="117"/>
      <c r="EB423">
        <v>4</v>
      </c>
      <c r="EC423">
        <v>4</v>
      </c>
      <c r="EE423" t="s">
        <v>1041</v>
      </c>
      <c r="EF423">
        <v>6</v>
      </c>
      <c r="EV423">
        <v>4500</v>
      </c>
      <c r="EW423">
        <v>525</v>
      </c>
      <c r="EX423">
        <v>386</v>
      </c>
      <c r="EY423">
        <v>462</v>
      </c>
    </row>
    <row r="424" spans="1:155" x14ac:dyDescent="0.35">
      <c r="A424">
        <v>2026</v>
      </c>
      <c r="B424" t="s">
        <v>688</v>
      </c>
      <c r="C424" s="112" t="s">
        <v>949</v>
      </c>
      <c r="D424" t="s">
        <v>1287</v>
      </c>
      <c r="E424" t="s">
        <v>691</v>
      </c>
      <c r="F424">
        <v>520</v>
      </c>
      <c r="G424" s="113">
        <v>2</v>
      </c>
      <c r="H424">
        <v>4</v>
      </c>
      <c r="I424" t="s">
        <v>166</v>
      </c>
      <c r="J424">
        <v>20</v>
      </c>
      <c r="K424">
        <v>22</v>
      </c>
      <c r="L424">
        <v>21</v>
      </c>
      <c r="M424">
        <v>24.9</v>
      </c>
      <c r="N424">
        <v>35.1</v>
      </c>
      <c r="O424">
        <v>28.646000000000001</v>
      </c>
      <c r="P424">
        <v>19.731100000000001</v>
      </c>
      <c r="Q424">
        <v>22.485399999999998</v>
      </c>
      <c r="R424">
        <v>20.882200000000001</v>
      </c>
      <c r="T424" t="s">
        <v>168</v>
      </c>
      <c r="U424" t="s">
        <v>169</v>
      </c>
      <c r="V424" t="s">
        <v>170</v>
      </c>
      <c r="W424" t="s">
        <v>171</v>
      </c>
      <c r="Y424">
        <v>8</v>
      </c>
      <c r="Z424" t="s">
        <v>172</v>
      </c>
      <c r="AA424" t="s">
        <v>173</v>
      </c>
      <c r="AB424">
        <v>4</v>
      </c>
      <c r="AC424" t="s">
        <v>423</v>
      </c>
      <c r="AD424">
        <v>10</v>
      </c>
      <c r="AG424" t="s">
        <v>167</v>
      </c>
      <c r="AH424" t="s">
        <v>416</v>
      </c>
      <c r="AI424" t="s">
        <v>178</v>
      </c>
      <c r="AJ424" t="s">
        <v>179</v>
      </c>
      <c r="AK424" t="s">
        <v>664</v>
      </c>
      <c r="AL424" t="s">
        <v>665</v>
      </c>
      <c r="AS424">
        <v>2350</v>
      </c>
      <c r="AT424">
        <v>2350</v>
      </c>
      <c r="BN424" s="114" t="s">
        <v>198</v>
      </c>
      <c r="BO424">
        <v>2</v>
      </c>
      <c r="BP424">
        <v>2</v>
      </c>
      <c r="BQ424">
        <v>31</v>
      </c>
      <c r="BR424" t="s">
        <v>887</v>
      </c>
      <c r="BT424" t="s">
        <v>613</v>
      </c>
      <c r="BU424" s="115">
        <v>45894</v>
      </c>
      <c r="BV424">
        <v>37311</v>
      </c>
      <c r="BW424" s="116"/>
      <c r="BX424" t="s">
        <v>173</v>
      </c>
      <c r="BY424" t="s">
        <v>173</v>
      </c>
      <c r="CB424" t="s">
        <v>173</v>
      </c>
      <c r="CC424" t="s">
        <v>173</v>
      </c>
      <c r="CE424" t="s">
        <v>173</v>
      </c>
      <c r="CG424" t="s">
        <v>172</v>
      </c>
      <c r="CH424" t="s">
        <v>951</v>
      </c>
      <c r="CI424" t="s">
        <v>173</v>
      </c>
      <c r="DJ424" t="s">
        <v>201</v>
      </c>
      <c r="DK424" t="s">
        <v>202</v>
      </c>
      <c r="DM424" t="s">
        <v>173</v>
      </c>
      <c r="DN424" t="s">
        <v>173</v>
      </c>
      <c r="DO424" t="s">
        <v>405</v>
      </c>
      <c r="DP424" t="s">
        <v>172</v>
      </c>
      <c r="DQ424" t="s">
        <v>204</v>
      </c>
      <c r="EA424" s="117"/>
      <c r="EB424">
        <v>4</v>
      </c>
      <c r="EC424">
        <v>4</v>
      </c>
      <c r="EE424" t="s">
        <v>1286</v>
      </c>
      <c r="EF424">
        <v>6</v>
      </c>
      <c r="EV424">
        <v>3250</v>
      </c>
      <c r="EW424">
        <v>452</v>
      </c>
      <c r="EX424">
        <v>394</v>
      </c>
      <c r="EY424">
        <v>426</v>
      </c>
    </row>
    <row r="425" spans="1:155" x14ac:dyDescent="0.35">
      <c r="A425">
        <v>2026</v>
      </c>
      <c r="B425" t="s">
        <v>688</v>
      </c>
      <c r="C425" s="112" t="s">
        <v>949</v>
      </c>
      <c r="D425" t="s">
        <v>1287</v>
      </c>
      <c r="E425" t="s">
        <v>691</v>
      </c>
      <c r="F425">
        <v>521</v>
      </c>
      <c r="G425" s="113">
        <v>3.6</v>
      </c>
      <c r="H425">
        <v>6</v>
      </c>
      <c r="I425" t="s">
        <v>166</v>
      </c>
      <c r="J425">
        <v>18</v>
      </c>
      <c r="K425">
        <v>23</v>
      </c>
      <c r="L425">
        <v>20</v>
      </c>
      <c r="M425">
        <v>21.9</v>
      </c>
      <c r="N425">
        <v>32.5</v>
      </c>
      <c r="O425">
        <v>25.667100000000001</v>
      </c>
      <c r="P425">
        <v>17.5243</v>
      </c>
      <c r="Q425">
        <v>23.244</v>
      </c>
      <c r="R425">
        <v>19.706399999999999</v>
      </c>
      <c r="U425" t="s">
        <v>215</v>
      </c>
      <c r="V425" t="s">
        <v>170</v>
      </c>
      <c r="W425" t="s">
        <v>171</v>
      </c>
      <c r="Y425">
        <v>8</v>
      </c>
      <c r="Z425" t="s">
        <v>172</v>
      </c>
      <c r="AA425" t="s">
        <v>173</v>
      </c>
      <c r="AB425">
        <v>4</v>
      </c>
      <c r="AC425" t="s">
        <v>423</v>
      </c>
      <c r="AD425">
        <v>10</v>
      </c>
      <c r="AG425" t="s">
        <v>167</v>
      </c>
      <c r="AH425" t="s">
        <v>416</v>
      </c>
      <c r="AI425" t="s">
        <v>178</v>
      </c>
      <c r="AJ425" t="s">
        <v>179</v>
      </c>
      <c r="AK425" t="s">
        <v>664</v>
      </c>
      <c r="AL425" t="s">
        <v>665</v>
      </c>
      <c r="AS425">
        <v>2500</v>
      </c>
      <c r="AT425">
        <v>2500</v>
      </c>
      <c r="BN425" s="114"/>
      <c r="BO425">
        <v>2</v>
      </c>
      <c r="BP425">
        <v>2</v>
      </c>
      <c r="BQ425">
        <v>31</v>
      </c>
      <c r="BR425" t="s">
        <v>887</v>
      </c>
      <c r="BT425" t="s">
        <v>183</v>
      </c>
      <c r="BU425" s="115">
        <v>45894</v>
      </c>
      <c r="BV425">
        <v>37113</v>
      </c>
      <c r="BW425" s="116"/>
      <c r="BX425" t="s">
        <v>173</v>
      </c>
      <c r="BY425" t="s">
        <v>173</v>
      </c>
      <c r="CB425" t="s">
        <v>173</v>
      </c>
      <c r="CC425" t="s">
        <v>173</v>
      </c>
      <c r="CE425" t="s">
        <v>173</v>
      </c>
      <c r="CG425" t="s">
        <v>172</v>
      </c>
      <c r="CH425" t="s">
        <v>224</v>
      </c>
      <c r="CI425" t="s">
        <v>173</v>
      </c>
      <c r="DJ425" t="s">
        <v>186</v>
      </c>
      <c r="DK425" t="s">
        <v>187</v>
      </c>
      <c r="DN425" t="s">
        <v>173</v>
      </c>
      <c r="DO425" t="s">
        <v>284</v>
      </c>
      <c r="DP425" t="s">
        <v>172</v>
      </c>
      <c r="DQ425" t="s">
        <v>204</v>
      </c>
      <c r="EA425" s="117"/>
      <c r="EB425">
        <v>4</v>
      </c>
      <c r="EC425">
        <v>4</v>
      </c>
      <c r="EE425" t="s">
        <v>1041</v>
      </c>
      <c r="EF425">
        <v>6</v>
      </c>
      <c r="EV425">
        <v>4000</v>
      </c>
      <c r="EW425">
        <v>507</v>
      </c>
      <c r="EX425">
        <v>382</v>
      </c>
      <c r="EY425">
        <v>451</v>
      </c>
    </row>
    <row r="426" spans="1:155" x14ac:dyDescent="0.35">
      <c r="A426">
        <v>2026</v>
      </c>
      <c r="B426" t="s">
        <v>688</v>
      </c>
      <c r="C426" s="112" t="s">
        <v>949</v>
      </c>
      <c r="D426" t="s">
        <v>1287</v>
      </c>
      <c r="E426" t="s">
        <v>691</v>
      </c>
      <c r="F426">
        <v>523</v>
      </c>
      <c r="G426" s="113">
        <v>3.6</v>
      </c>
      <c r="H426">
        <v>6</v>
      </c>
      <c r="I426" t="s">
        <v>206</v>
      </c>
      <c r="J426">
        <v>16</v>
      </c>
      <c r="K426">
        <v>22</v>
      </c>
      <c r="L426">
        <v>19</v>
      </c>
      <c r="M426">
        <v>20.399999999999999</v>
      </c>
      <c r="N426">
        <v>31.3</v>
      </c>
      <c r="O426">
        <v>24.190899999999999</v>
      </c>
      <c r="P426">
        <v>16.404599999999999</v>
      </c>
      <c r="Q426">
        <v>22.447299999999998</v>
      </c>
      <c r="R426">
        <v>18.665700000000001</v>
      </c>
      <c r="U426" t="s">
        <v>215</v>
      </c>
      <c r="V426" t="s">
        <v>207</v>
      </c>
      <c r="W426" t="s">
        <v>208</v>
      </c>
      <c r="Y426">
        <v>6</v>
      </c>
      <c r="Z426" t="s">
        <v>173</v>
      </c>
      <c r="AA426" t="s">
        <v>173</v>
      </c>
      <c r="AB426">
        <v>4</v>
      </c>
      <c r="AC426" t="s">
        <v>423</v>
      </c>
      <c r="AD426">
        <v>10</v>
      </c>
      <c r="AG426" t="s">
        <v>167</v>
      </c>
      <c r="AH426" t="s">
        <v>416</v>
      </c>
      <c r="AI426" t="s">
        <v>178</v>
      </c>
      <c r="AJ426" t="s">
        <v>179</v>
      </c>
      <c r="AK426" t="s">
        <v>664</v>
      </c>
      <c r="AL426" t="s">
        <v>665</v>
      </c>
      <c r="AS426">
        <v>2600</v>
      </c>
      <c r="AT426">
        <v>2600</v>
      </c>
      <c r="BN426" s="114"/>
      <c r="BO426">
        <v>2</v>
      </c>
      <c r="BP426">
        <v>2</v>
      </c>
      <c r="BQ426">
        <v>31</v>
      </c>
      <c r="BR426" t="s">
        <v>887</v>
      </c>
      <c r="BT426" t="s">
        <v>183</v>
      </c>
      <c r="BU426" s="115">
        <v>45894</v>
      </c>
      <c r="BV426">
        <v>37112</v>
      </c>
      <c r="BW426" s="116"/>
      <c r="BX426" t="s">
        <v>173</v>
      </c>
      <c r="BY426" t="s">
        <v>173</v>
      </c>
      <c r="CB426" t="s">
        <v>173</v>
      </c>
      <c r="CC426" t="s">
        <v>173</v>
      </c>
      <c r="CE426" t="s">
        <v>173</v>
      </c>
      <c r="CG426" t="s">
        <v>172</v>
      </c>
      <c r="CH426" t="s">
        <v>224</v>
      </c>
      <c r="CI426" t="s">
        <v>173</v>
      </c>
      <c r="DJ426" t="s">
        <v>186</v>
      </c>
      <c r="DK426" t="s">
        <v>187</v>
      </c>
      <c r="DN426" t="s">
        <v>173</v>
      </c>
      <c r="DO426" t="s">
        <v>284</v>
      </c>
      <c r="DP426" t="s">
        <v>172</v>
      </c>
      <c r="DQ426" t="s">
        <v>204</v>
      </c>
      <c r="EA426" s="117"/>
      <c r="EB426">
        <v>4</v>
      </c>
      <c r="EC426">
        <v>4</v>
      </c>
      <c r="EE426" t="s">
        <v>1041</v>
      </c>
      <c r="EF426">
        <v>6</v>
      </c>
      <c r="EV426">
        <v>4500</v>
      </c>
      <c r="EW426">
        <v>542</v>
      </c>
      <c r="EX426">
        <v>396</v>
      </c>
      <c r="EY426">
        <v>476</v>
      </c>
    </row>
    <row r="427" spans="1:155" x14ac:dyDescent="0.35">
      <c r="A427">
        <v>2026</v>
      </c>
      <c r="B427" t="s">
        <v>578</v>
      </c>
      <c r="C427" s="112" t="s">
        <v>579</v>
      </c>
      <c r="D427" t="s">
        <v>953</v>
      </c>
      <c r="E427" t="s">
        <v>581</v>
      </c>
      <c r="F427">
        <v>9</v>
      </c>
      <c r="G427" s="113">
        <v>1.6</v>
      </c>
      <c r="H427">
        <v>4</v>
      </c>
      <c r="I427" t="s">
        <v>195</v>
      </c>
      <c r="J427">
        <v>24</v>
      </c>
      <c r="K427">
        <v>27</v>
      </c>
      <c r="L427">
        <v>25</v>
      </c>
      <c r="M427">
        <v>31.1</v>
      </c>
      <c r="N427">
        <v>42.6</v>
      </c>
      <c r="O427">
        <v>35.400399999999998</v>
      </c>
      <c r="P427">
        <v>24.1585</v>
      </c>
      <c r="Q427">
        <v>27.2165</v>
      </c>
      <c r="R427">
        <v>25.445</v>
      </c>
      <c r="T427" t="s">
        <v>168</v>
      </c>
      <c r="U427" t="s">
        <v>169</v>
      </c>
      <c r="V427" t="s">
        <v>196</v>
      </c>
      <c r="W427" t="s">
        <v>197</v>
      </c>
      <c r="Y427">
        <v>8</v>
      </c>
      <c r="Z427" t="s">
        <v>172</v>
      </c>
      <c r="AA427" t="s">
        <v>173</v>
      </c>
      <c r="AB427" t="s">
        <v>170</v>
      </c>
      <c r="AC427" t="s">
        <v>232</v>
      </c>
      <c r="AD427">
        <v>15</v>
      </c>
      <c r="AG427" t="s">
        <v>167</v>
      </c>
      <c r="AH427" t="s">
        <v>416</v>
      </c>
      <c r="AI427" t="s">
        <v>178</v>
      </c>
      <c r="AJ427" t="s">
        <v>179</v>
      </c>
      <c r="AK427" t="s">
        <v>664</v>
      </c>
      <c r="AL427" t="s">
        <v>665</v>
      </c>
      <c r="AS427">
        <v>2000</v>
      </c>
      <c r="AT427">
        <v>2000</v>
      </c>
      <c r="BN427" s="114" t="s">
        <v>198</v>
      </c>
      <c r="BO427">
        <v>2</v>
      </c>
      <c r="BP427">
        <v>2</v>
      </c>
      <c r="BQ427">
        <v>31</v>
      </c>
      <c r="BR427" t="s">
        <v>887</v>
      </c>
      <c r="BT427" t="s">
        <v>613</v>
      </c>
      <c r="BU427" s="115">
        <v>45764</v>
      </c>
      <c r="BV427">
        <v>36375</v>
      </c>
      <c r="BW427" s="116"/>
      <c r="BX427" t="s">
        <v>173</v>
      </c>
      <c r="BY427" t="s">
        <v>173</v>
      </c>
      <c r="CB427" t="s">
        <v>173</v>
      </c>
      <c r="CC427" t="s">
        <v>173</v>
      </c>
      <c r="CE427" t="s">
        <v>173</v>
      </c>
      <c r="CG427" t="s">
        <v>172</v>
      </c>
      <c r="CH427" t="s">
        <v>563</v>
      </c>
      <c r="CI427" t="s">
        <v>173</v>
      </c>
      <c r="DJ427" t="s">
        <v>201</v>
      </c>
      <c r="DK427" t="s">
        <v>202</v>
      </c>
      <c r="DN427" t="s">
        <v>173</v>
      </c>
      <c r="DO427" t="s">
        <v>564</v>
      </c>
      <c r="DP427" t="s">
        <v>173</v>
      </c>
      <c r="DQ427" t="s">
        <v>189</v>
      </c>
      <c r="EA427" s="117"/>
      <c r="EB427">
        <v>5</v>
      </c>
      <c r="EC427">
        <v>5</v>
      </c>
      <c r="EE427" t="s">
        <v>954</v>
      </c>
      <c r="EF427">
        <v>6</v>
      </c>
      <c r="EV427">
        <v>1500</v>
      </c>
      <c r="EW427">
        <v>368</v>
      </c>
      <c r="EX427">
        <v>327</v>
      </c>
      <c r="EY427">
        <v>350</v>
      </c>
    </row>
    <row r="428" spans="1:155" x14ac:dyDescent="0.35">
      <c r="A428">
        <v>2026</v>
      </c>
      <c r="B428" t="s">
        <v>578</v>
      </c>
      <c r="C428" s="112" t="s">
        <v>579</v>
      </c>
      <c r="D428" t="s">
        <v>955</v>
      </c>
      <c r="E428" t="s">
        <v>581</v>
      </c>
      <c r="F428">
        <v>10</v>
      </c>
      <c r="G428" s="113">
        <v>2</v>
      </c>
      <c r="H428">
        <v>4</v>
      </c>
      <c r="I428" t="s">
        <v>644</v>
      </c>
      <c r="J428">
        <v>27</v>
      </c>
      <c r="K428">
        <v>31</v>
      </c>
      <c r="L428">
        <v>29</v>
      </c>
      <c r="M428">
        <v>34.9</v>
      </c>
      <c r="N428">
        <v>45.3</v>
      </c>
      <c r="O428">
        <v>38.920999999999999</v>
      </c>
      <c r="P428">
        <v>26.786899999999999</v>
      </c>
      <c r="Q428">
        <v>31.479099999999999</v>
      </c>
      <c r="R428">
        <v>28.712800000000001</v>
      </c>
      <c r="U428" t="s">
        <v>215</v>
      </c>
      <c r="V428" t="s">
        <v>497</v>
      </c>
      <c r="W428" t="s">
        <v>498</v>
      </c>
      <c r="Y428">
        <v>8</v>
      </c>
      <c r="Z428" t="s">
        <v>172</v>
      </c>
      <c r="AA428" t="s">
        <v>173</v>
      </c>
      <c r="AB428" t="s">
        <v>170</v>
      </c>
      <c r="AC428" t="s">
        <v>232</v>
      </c>
      <c r="AD428">
        <v>15</v>
      </c>
      <c r="AG428" t="s">
        <v>167</v>
      </c>
      <c r="AH428" t="s">
        <v>416</v>
      </c>
      <c r="AI428" t="s">
        <v>178</v>
      </c>
      <c r="AJ428" t="s">
        <v>179</v>
      </c>
      <c r="AK428" t="s">
        <v>664</v>
      </c>
      <c r="AL428" t="s">
        <v>665</v>
      </c>
      <c r="AS428">
        <v>1700</v>
      </c>
      <c r="AT428">
        <v>1700</v>
      </c>
      <c r="BN428" s="114"/>
      <c r="BO428">
        <v>2</v>
      </c>
      <c r="BP428">
        <v>2</v>
      </c>
      <c r="BQ428">
        <v>31</v>
      </c>
      <c r="BR428" t="s">
        <v>887</v>
      </c>
      <c r="BT428" t="s">
        <v>183</v>
      </c>
      <c r="BU428" s="115">
        <v>45764</v>
      </c>
      <c r="BV428">
        <v>36376</v>
      </c>
      <c r="BW428" s="116"/>
      <c r="BX428" t="s">
        <v>173</v>
      </c>
      <c r="BY428" t="s">
        <v>173</v>
      </c>
      <c r="CB428" t="s">
        <v>173</v>
      </c>
      <c r="CC428" t="s">
        <v>173</v>
      </c>
      <c r="CE428" t="s">
        <v>173</v>
      </c>
      <c r="CG428" t="s">
        <v>172</v>
      </c>
      <c r="CH428" t="s">
        <v>582</v>
      </c>
      <c r="CI428" t="s">
        <v>173</v>
      </c>
      <c r="DJ428" t="s">
        <v>186</v>
      </c>
      <c r="DK428" t="s">
        <v>187</v>
      </c>
      <c r="DN428" t="s">
        <v>173</v>
      </c>
      <c r="DO428" t="s">
        <v>956</v>
      </c>
      <c r="DP428" t="s">
        <v>172</v>
      </c>
      <c r="DQ428" t="s">
        <v>204</v>
      </c>
      <c r="EA428" s="117"/>
      <c r="EB428">
        <v>6</v>
      </c>
      <c r="EC428">
        <v>6</v>
      </c>
      <c r="EE428" t="s">
        <v>957</v>
      </c>
      <c r="EF428">
        <v>6</v>
      </c>
      <c r="EU428">
        <v>0</v>
      </c>
      <c r="EW428">
        <v>331</v>
      </c>
      <c r="EX428">
        <v>282</v>
      </c>
      <c r="EY428">
        <v>309</v>
      </c>
    </row>
    <row r="429" spans="1:155" x14ac:dyDescent="0.35">
      <c r="A429">
        <v>2026</v>
      </c>
      <c r="B429" t="s">
        <v>578</v>
      </c>
      <c r="C429" s="112" t="s">
        <v>579</v>
      </c>
      <c r="D429" t="s">
        <v>958</v>
      </c>
      <c r="E429" t="s">
        <v>581</v>
      </c>
      <c r="F429">
        <v>38</v>
      </c>
      <c r="G429" s="113">
        <v>2.5</v>
      </c>
      <c r="H429">
        <v>4</v>
      </c>
      <c r="I429" t="s">
        <v>195</v>
      </c>
      <c r="J429">
        <v>23</v>
      </c>
      <c r="K429">
        <v>28</v>
      </c>
      <c r="L429">
        <v>25</v>
      </c>
      <c r="M429">
        <v>29.5</v>
      </c>
      <c r="N429">
        <v>39.4</v>
      </c>
      <c r="O429">
        <v>33.260800000000003</v>
      </c>
      <c r="P429">
        <v>23.032800000000002</v>
      </c>
      <c r="Q429">
        <v>27.742100000000001</v>
      </c>
      <c r="R429">
        <v>24.9377</v>
      </c>
      <c r="U429" t="s">
        <v>215</v>
      </c>
      <c r="V429" t="s">
        <v>196</v>
      </c>
      <c r="W429" t="s">
        <v>197</v>
      </c>
      <c r="Y429">
        <v>8</v>
      </c>
      <c r="Z429" t="s">
        <v>172</v>
      </c>
      <c r="AA429" t="s">
        <v>173</v>
      </c>
      <c r="AB429" t="s">
        <v>170</v>
      </c>
      <c r="AC429" t="s">
        <v>232</v>
      </c>
      <c r="AD429">
        <v>15</v>
      </c>
      <c r="AG429" t="s">
        <v>167</v>
      </c>
      <c r="AH429" t="s">
        <v>416</v>
      </c>
      <c r="AI429" t="s">
        <v>178</v>
      </c>
      <c r="AJ429" t="s">
        <v>179</v>
      </c>
      <c r="AK429" t="s">
        <v>664</v>
      </c>
      <c r="AL429" t="s">
        <v>665</v>
      </c>
      <c r="AS429">
        <v>2000</v>
      </c>
      <c r="AT429">
        <v>2000</v>
      </c>
      <c r="BN429" s="114" t="s">
        <v>247</v>
      </c>
      <c r="BO429">
        <v>2</v>
      </c>
      <c r="BP429">
        <v>2</v>
      </c>
      <c r="BQ429">
        <v>31</v>
      </c>
      <c r="BR429" t="s">
        <v>887</v>
      </c>
      <c r="BT429" t="s">
        <v>183</v>
      </c>
      <c r="BU429" s="115">
        <v>45856</v>
      </c>
      <c r="BV429">
        <v>37010</v>
      </c>
      <c r="BW429" s="116"/>
      <c r="BX429" t="s">
        <v>173</v>
      </c>
      <c r="BY429" t="s">
        <v>173</v>
      </c>
      <c r="CB429" t="s">
        <v>173</v>
      </c>
      <c r="CC429" t="s">
        <v>173</v>
      </c>
      <c r="CE429" t="s">
        <v>173</v>
      </c>
      <c r="CG429" t="s">
        <v>172</v>
      </c>
      <c r="CH429" t="s">
        <v>551</v>
      </c>
      <c r="CI429" t="s">
        <v>173</v>
      </c>
      <c r="DJ429" t="s">
        <v>250</v>
      </c>
      <c r="DK429" t="s">
        <v>251</v>
      </c>
      <c r="DN429" t="s">
        <v>173</v>
      </c>
      <c r="DO429" t="s">
        <v>564</v>
      </c>
      <c r="DP429" t="s">
        <v>172</v>
      </c>
      <c r="DQ429" t="s">
        <v>204</v>
      </c>
      <c r="EA429" s="117"/>
      <c r="EB429">
        <v>5</v>
      </c>
      <c r="EC429">
        <v>5</v>
      </c>
      <c r="EE429" t="s">
        <v>841</v>
      </c>
      <c r="EF429">
        <v>6</v>
      </c>
      <c r="EV429">
        <v>1500</v>
      </c>
      <c r="EW429">
        <v>387</v>
      </c>
      <c r="EX429">
        <v>321</v>
      </c>
      <c r="EY429">
        <v>357</v>
      </c>
    </row>
    <row r="430" spans="1:155" x14ac:dyDescent="0.35">
      <c r="A430">
        <v>2026</v>
      </c>
      <c r="B430" t="s">
        <v>578</v>
      </c>
      <c r="C430" s="112" t="s">
        <v>579</v>
      </c>
      <c r="D430" t="s">
        <v>958</v>
      </c>
      <c r="E430" t="s">
        <v>581</v>
      </c>
      <c r="F430">
        <v>40</v>
      </c>
      <c r="G430" s="113">
        <v>2.5</v>
      </c>
      <c r="H430">
        <v>4</v>
      </c>
      <c r="I430" t="s">
        <v>289</v>
      </c>
      <c r="J430">
        <v>20</v>
      </c>
      <c r="K430">
        <v>27</v>
      </c>
      <c r="L430">
        <v>23</v>
      </c>
      <c r="M430">
        <v>25.831399999999999</v>
      </c>
      <c r="N430">
        <v>38.383299999999998</v>
      </c>
      <c r="O430">
        <v>30.288599999999999</v>
      </c>
      <c r="P430">
        <v>20.407599999999999</v>
      </c>
      <c r="Q430">
        <v>27.088100000000001</v>
      </c>
      <c r="R430">
        <v>22.955100000000002</v>
      </c>
      <c r="T430" t="s">
        <v>168</v>
      </c>
      <c r="U430" t="s">
        <v>169</v>
      </c>
      <c r="V430" t="s">
        <v>275</v>
      </c>
      <c r="W430" t="s">
        <v>276</v>
      </c>
      <c r="Y430">
        <v>8</v>
      </c>
      <c r="Z430" t="s">
        <v>173</v>
      </c>
      <c r="AA430" t="s">
        <v>173</v>
      </c>
      <c r="AB430" t="s">
        <v>170</v>
      </c>
      <c r="AC430" t="s">
        <v>232</v>
      </c>
      <c r="AD430">
        <v>15</v>
      </c>
      <c r="AG430" t="s">
        <v>167</v>
      </c>
      <c r="AH430" t="s">
        <v>416</v>
      </c>
      <c r="AI430" t="s">
        <v>178</v>
      </c>
      <c r="AJ430" t="s">
        <v>179</v>
      </c>
      <c r="AK430" t="s">
        <v>664</v>
      </c>
      <c r="AL430" t="s">
        <v>665</v>
      </c>
      <c r="AS430">
        <v>2150</v>
      </c>
      <c r="AT430">
        <v>2150</v>
      </c>
      <c r="BN430" s="114" t="s">
        <v>247</v>
      </c>
      <c r="BO430">
        <v>2</v>
      </c>
      <c r="BP430">
        <v>2</v>
      </c>
      <c r="BQ430">
        <v>31</v>
      </c>
      <c r="BR430" t="s">
        <v>887</v>
      </c>
      <c r="BT430" t="s">
        <v>183</v>
      </c>
      <c r="BU430" s="115">
        <v>45856</v>
      </c>
      <c r="BV430">
        <v>37012</v>
      </c>
      <c r="BW430" s="116"/>
      <c r="BX430" t="s">
        <v>173</v>
      </c>
      <c r="BY430" t="s">
        <v>173</v>
      </c>
      <c r="CB430" t="s">
        <v>173</v>
      </c>
      <c r="CC430" t="s">
        <v>173</v>
      </c>
      <c r="CE430" t="s">
        <v>173</v>
      </c>
      <c r="CG430" t="s">
        <v>172</v>
      </c>
      <c r="CH430" t="s">
        <v>551</v>
      </c>
      <c r="CI430" t="s">
        <v>173</v>
      </c>
      <c r="DJ430" t="s">
        <v>250</v>
      </c>
      <c r="DK430" t="s">
        <v>251</v>
      </c>
      <c r="DN430" t="s">
        <v>173</v>
      </c>
      <c r="DO430" t="s">
        <v>552</v>
      </c>
      <c r="DP430" t="s">
        <v>172</v>
      </c>
      <c r="DQ430" t="s">
        <v>204</v>
      </c>
      <c r="EA430" s="117"/>
      <c r="EB430">
        <v>5</v>
      </c>
      <c r="EC430">
        <v>5</v>
      </c>
      <c r="EE430" t="s">
        <v>840</v>
      </c>
      <c r="EF430">
        <v>6</v>
      </c>
      <c r="EV430">
        <v>2250</v>
      </c>
      <c r="EW430">
        <v>436</v>
      </c>
      <c r="EX430">
        <v>329</v>
      </c>
      <c r="EY430">
        <v>388</v>
      </c>
    </row>
    <row r="431" spans="1:155" x14ac:dyDescent="0.35">
      <c r="A431">
        <v>2026</v>
      </c>
      <c r="B431" t="s">
        <v>578</v>
      </c>
      <c r="C431" s="112" t="s">
        <v>579</v>
      </c>
      <c r="D431" t="s">
        <v>959</v>
      </c>
      <c r="E431" t="s">
        <v>581</v>
      </c>
      <c r="F431">
        <v>23</v>
      </c>
      <c r="G431" s="113">
        <v>1.6</v>
      </c>
      <c r="H431">
        <v>4</v>
      </c>
      <c r="I431" t="s">
        <v>573</v>
      </c>
      <c r="J431">
        <v>32</v>
      </c>
      <c r="K431">
        <v>35</v>
      </c>
      <c r="L431">
        <v>34</v>
      </c>
      <c r="M431">
        <v>44.1</v>
      </c>
      <c r="N431">
        <v>44.8</v>
      </c>
      <c r="O431">
        <v>44.412300000000002</v>
      </c>
      <c r="P431">
        <v>32.479700000000001</v>
      </c>
      <c r="Q431">
        <v>35.062199999999997</v>
      </c>
      <c r="R431">
        <v>33.5931</v>
      </c>
      <c r="T431" t="s">
        <v>168</v>
      </c>
      <c r="U431" t="s">
        <v>169</v>
      </c>
      <c r="V431" t="s">
        <v>275</v>
      </c>
      <c r="W431" t="s">
        <v>276</v>
      </c>
      <c r="Y431">
        <v>6</v>
      </c>
      <c r="Z431" t="s">
        <v>173</v>
      </c>
      <c r="AA431" t="s">
        <v>173</v>
      </c>
      <c r="AB431" t="s">
        <v>170</v>
      </c>
      <c r="AC431" t="s">
        <v>232</v>
      </c>
      <c r="AD431">
        <v>15</v>
      </c>
      <c r="AG431" t="s">
        <v>167</v>
      </c>
      <c r="AH431" t="s">
        <v>416</v>
      </c>
      <c r="AI431" t="s">
        <v>178</v>
      </c>
      <c r="AJ431" t="s">
        <v>179</v>
      </c>
      <c r="AK431" t="s">
        <v>664</v>
      </c>
      <c r="AL431" t="s">
        <v>665</v>
      </c>
      <c r="AS431">
        <v>1450</v>
      </c>
      <c r="AT431">
        <v>1450</v>
      </c>
      <c r="BN431" s="114" t="s">
        <v>492</v>
      </c>
      <c r="BO431">
        <v>2</v>
      </c>
      <c r="BP431">
        <v>2</v>
      </c>
      <c r="BQ431">
        <v>31</v>
      </c>
      <c r="BR431" t="s">
        <v>887</v>
      </c>
      <c r="BT431" t="s">
        <v>218</v>
      </c>
      <c r="BU431" s="115">
        <v>45845</v>
      </c>
      <c r="BV431">
        <v>37255</v>
      </c>
      <c r="BW431" s="116"/>
      <c r="BX431" t="s">
        <v>173</v>
      </c>
      <c r="BY431" t="s">
        <v>173</v>
      </c>
      <c r="CB431" t="s">
        <v>173</v>
      </c>
      <c r="CC431" t="s">
        <v>173</v>
      </c>
      <c r="CE431" t="s">
        <v>173</v>
      </c>
      <c r="CG431" t="s">
        <v>172</v>
      </c>
      <c r="CH431" t="s">
        <v>843</v>
      </c>
      <c r="CI431" t="s">
        <v>173</v>
      </c>
      <c r="CK431" t="s">
        <v>259</v>
      </c>
      <c r="CM431">
        <v>1</v>
      </c>
      <c r="CN431" t="s">
        <v>260</v>
      </c>
      <c r="CP431">
        <v>270</v>
      </c>
      <c r="CQ431">
        <v>5.5</v>
      </c>
      <c r="CR431">
        <v>37.1</v>
      </c>
      <c r="CS431" t="s">
        <v>261</v>
      </c>
      <c r="CV431" t="s">
        <v>262</v>
      </c>
      <c r="CX431" t="s">
        <v>493</v>
      </c>
      <c r="CY431" t="s">
        <v>172</v>
      </c>
      <c r="DD431">
        <v>1</v>
      </c>
      <c r="DE431" t="s">
        <v>307</v>
      </c>
      <c r="DF431" t="s">
        <v>330</v>
      </c>
      <c r="DG431">
        <v>48</v>
      </c>
      <c r="DJ431" t="s">
        <v>201</v>
      </c>
      <c r="DK431" t="s">
        <v>202</v>
      </c>
      <c r="DL431" t="s">
        <v>173</v>
      </c>
      <c r="DM431" t="s">
        <v>173</v>
      </c>
      <c r="DN431" t="s">
        <v>173</v>
      </c>
      <c r="DO431" t="s">
        <v>284</v>
      </c>
      <c r="DP431" t="s">
        <v>172</v>
      </c>
      <c r="DQ431" t="s">
        <v>204</v>
      </c>
      <c r="EA431" s="117"/>
      <c r="EB431">
        <v>6</v>
      </c>
      <c r="EC431">
        <v>6</v>
      </c>
      <c r="EE431" t="s">
        <v>844</v>
      </c>
      <c r="EF431">
        <v>6</v>
      </c>
      <c r="EU431">
        <v>1250</v>
      </c>
      <c r="EW431">
        <v>272</v>
      </c>
      <c r="EX431">
        <v>254</v>
      </c>
      <c r="EY431">
        <v>264</v>
      </c>
    </row>
    <row r="432" spans="1:155" x14ac:dyDescent="0.35">
      <c r="A432">
        <v>2026</v>
      </c>
      <c r="B432" t="s">
        <v>578</v>
      </c>
      <c r="C432" s="112" t="s">
        <v>579</v>
      </c>
      <c r="D432" t="s">
        <v>960</v>
      </c>
      <c r="E432" t="s">
        <v>581</v>
      </c>
      <c r="F432">
        <v>1</v>
      </c>
      <c r="G432" s="113">
        <v>2.5</v>
      </c>
      <c r="H432">
        <v>4</v>
      </c>
      <c r="I432" t="s">
        <v>195</v>
      </c>
      <c r="J432">
        <v>24</v>
      </c>
      <c r="K432">
        <v>30</v>
      </c>
      <c r="L432">
        <v>26</v>
      </c>
      <c r="M432">
        <v>30.5181</v>
      </c>
      <c r="N432">
        <v>43.060099999999998</v>
      </c>
      <c r="O432">
        <v>35.121499999999997</v>
      </c>
      <c r="P432">
        <v>23.750399999999999</v>
      </c>
      <c r="Q432">
        <v>30.071899999999999</v>
      </c>
      <c r="R432">
        <v>26.2318</v>
      </c>
      <c r="U432" t="s">
        <v>215</v>
      </c>
      <c r="V432" t="s">
        <v>196</v>
      </c>
      <c r="W432" t="s">
        <v>197</v>
      </c>
      <c r="Y432">
        <v>8</v>
      </c>
      <c r="Z432" t="s">
        <v>172</v>
      </c>
      <c r="AA432" t="s">
        <v>173</v>
      </c>
      <c r="AB432" t="s">
        <v>170</v>
      </c>
      <c r="AC432" t="s">
        <v>232</v>
      </c>
      <c r="AD432">
        <v>15</v>
      </c>
      <c r="AG432" t="s">
        <v>167</v>
      </c>
      <c r="AH432" t="s">
        <v>416</v>
      </c>
      <c r="AI432" t="s">
        <v>178</v>
      </c>
      <c r="AJ432" t="s">
        <v>179</v>
      </c>
      <c r="AK432" t="s">
        <v>664</v>
      </c>
      <c r="AL432" t="s">
        <v>665</v>
      </c>
      <c r="AS432">
        <v>1900</v>
      </c>
      <c r="AT432">
        <v>1900</v>
      </c>
      <c r="BN432" s="114" t="s">
        <v>247</v>
      </c>
      <c r="BO432">
        <v>2</v>
      </c>
      <c r="BP432">
        <v>2</v>
      </c>
      <c r="BQ432">
        <v>31</v>
      </c>
      <c r="BR432" t="s">
        <v>887</v>
      </c>
      <c r="BT432" t="s">
        <v>183</v>
      </c>
      <c r="BU432" s="115">
        <v>45731</v>
      </c>
      <c r="BV432">
        <v>36326</v>
      </c>
      <c r="BW432" s="116"/>
      <c r="BX432" t="s">
        <v>173</v>
      </c>
      <c r="BY432" t="s">
        <v>173</v>
      </c>
      <c r="CB432" t="s">
        <v>173</v>
      </c>
      <c r="CC432" t="s">
        <v>173</v>
      </c>
      <c r="CE432" t="s">
        <v>173</v>
      </c>
      <c r="CG432" t="s">
        <v>172</v>
      </c>
      <c r="CH432" t="s">
        <v>567</v>
      </c>
      <c r="CI432" t="s">
        <v>173</v>
      </c>
      <c r="DJ432" t="s">
        <v>250</v>
      </c>
      <c r="DK432" t="s">
        <v>251</v>
      </c>
      <c r="DN432" t="s">
        <v>173</v>
      </c>
      <c r="DO432" t="s">
        <v>585</v>
      </c>
      <c r="DP432" t="s">
        <v>172</v>
      </c>
      <c r="DQ432" t="s">
        <v>204</v>
      </c>
      <c r="EA432" s="117"/>
      <c r="EB432">
        <v>5</v>
      </c>
      <c r="EC432">
        <v>5</v>
      </c>
      <c r="EE432" t="s">
        <v>846</v>
      </c>
      <c r="EF432">
        <v>6</v>
      </c>
      <c r="EV432">
        <v>1000</v>
      </c>
      <c r="EW432">
        <v>374</v>
      </c>
      <c r="EX432">
        <v>296</v>
      </c>
      <c r="EY432">
        <v>339</v>
      </c>
    </row>
    <row r="433" spans="1:155" x14ac:dyDescent="0.35">
      <c r="A433">
        <v>2026</v>
      </c>
      <c r="B433" t="s">
        <v>578</v>
      </c>
      <c r="C433" s="112" t="s">
        <v>579</v>
      </c>
      <c r="D433" t="s">
        <v>961</v>
      </c>
      <c r="E433" t="s">
        <v>581</v>
      </c>
      <c r="F433">
        <v>3</v>
      </c>
      <c r="G433" s="113">
        <v>1.6</v>
      </c>
      <c r="H433">
        <v>4</v>
      </c>
      <c r="I433" t="s">
        <v>573</v>
      </c>
      <c r="J433">
        <v>35</v>
      </c>
      <c r="K433">
        <v>36</v>
      </c>
      <c r="L433">
        <v>35</v>
      </c>
      <c r="M433">
        <v>45.299799999999998</v>
      </c>
      <c r="N433">
        <v>46.194600000000001</v>
      </c>
      <c r="O433">
        <v>45.698099999999997</v>
      </c>
      <c r="P433">
        <v>35.123199999999997</v>
      </c>
      <c r="Q433">
        <v>35.628300000000003</v>
      </c>
      <c r="R433">
        <v>35.348700000000001</v>
      </c>
      <c r="T433" t="s">
        <v>168</v>
      </c>
      <c r="U433" t="s">
        <v>169</v>
      </c>
      <c r="V433" t="s">
        <v>275</v>
      </c>
      <c r="W433" t="s">
        <v>276</v>
      </c>
      <c r="Y433">
        <v>6</v>
      </c>
      <c r="Z433" t="s">
        <v>173</v>
      </c>
      <c r="AA433" t="s">
        <v>173</v>
      </c>
      <c r="AB433" t="s">
        <v>170</v>
      </c>
      <c r="AC433" t="s">
        <v>232</v>
      </c>
      <c r="AD433">
        <v>15</v>
      </c>
      <c r="AG433" t="s">
        <v>167</v>
      </c>
      <c r="AH433" t="s">
        <v>416</v>
      </c>
      <c r="AI433" t="s">
        <v>178</v>
      </c>
      <c r="AJ433" t="s">
        <v>179</v>
      </c>
      <c r="AK433" t="s">
        <v>664</v>
      </c>
      <c r="AL433" t="s">
        <v>665</v>
      </c>
      <c r="AS433">
        <v>1400</v>
      </c>
      <c r="AT433">
        <v>1400</v>
      </c>
      <c r="BN433" s="114" t="s">
        <v>492</v>
      </c>
      <c r="BO433">
        <v>2</v>
      </c>
      <c r="BP433">
        <v>2</v>
      </c>
      <c r="BQ433">
        <v>31</v>
      </c>
      <c r="BR433" t="s">
        <v>887</v>
      </c>
      <c r="BT433" t="s">
        <v>218</v>
      </c>
      <c r="BU433" s="115">
        <v>45792</v>
      </c>
      <c r="BV433">
        <v>36682</v>
      </c>
      <c r="BW433" s="116"/>
      <c r="BX433" t="s">
        <v>173</v>
      </c>
      <c r="BY433" t="s">
        <v>173</v>
      </c>
      <c r="CB433" t="s">
        <v>173</v>
      </c>
      <c r="CC433" t="s">
        <v>173</v>
      </c>
      <c r="CE433" t="s">
        <v>173</v>
      </c>
      <c r="CG433" t="s">
        <v>172</v>
      </c>
      <c r="CH433" t="s">
        <v>848</v>
      </c>
      <c r="CI433" t="s">
        <v>173</v>
      </c>
      <c r="CK433" t="s">
        <v>259</v>
      </c>
      <c r="CM433">
        <v>1</v>
      </c>
      <c r="CN433" t="s">
        <v>260</v>
      </c>
      <c r="CP433">
        <v>270</v>
      </c>
      <c r="CQ433">
        <v>5.5</v>
      </c>
      <c r="CR433">
        <v>37.5</v>
      </c>
      <c r="CS433" t="s">
        <v>261</v>
      </c>
      <c r="CV433" t="s">
        <v>262</v>
      </c>
      <c r="CX433" t="s">
        <v>493</v>
      </c>
      <c r="CY433" t="s">
        <v>172</v>
      </c>
      <c r="DD433">
        <v>1</v>
      </c>
      <c r="DE433" t="s">
        <v>307</v>
      </c>
      <c r="DF433" t="s">
        <v>330</v>
      </c>
      <c r="DG433">
        <v>48</v>
      </c>
      <c r="DJ433" t="s">
        <v>201</v>
      </c>
      <c r="DK433" t="s">
        <v>202</v>
      </c>
      <c r="DL433" t="s">
        <v>173</v>
      </c>
      <c r="DM433" t="s">
        <v>173</v>
      </c>
      <c r="DN433" t="s">
        <v>173</v>
      </c>
      <c r="DO433" t="s">
        <v>849</v>
      </c>
      <c r="DP433" t="s">
        <v>172</v>
      </c>
      <c r="DQ433" t="s">
        <v>204</v>
      </c>
      <c r="EA433" s="117"/>
      <c r="EB433">
        <v>6</v>
      </c>
      <c r="EC433">
        <v>6</v>
      </c>
      <c r="EE433" t="s">
        <v>850</v>
      </c>
      <c r="EF433">
        <v>6</v>
      </c>
      <c r="EU433">
        <v>1500</v>
      </c>
      <c r="EW433">
        <v>252</v>
      </c>
      <c r="EX433">
        <v>250</v>
      </c>
      <c r="EY433">
        <v>251</v>
      </c>
    </row>
    <row r="434" spans="1:155" x14ac:dyDescent="0.35">
      <c r="A434">
        <v>2026</v>
      </c>
      <c r="B434" t="s">
        <v>578</v>
      </c>
      <c r="C434" s="112" t="s">
        <v>579</v>
      </c>
      <c r="D434" t="s">
        <v>962</v>
      </c>
      <c r="E434" t="s">
        <v>581</v>
      </c>
      <c r="F434">
        <v>42</v>
      </c>
      <c r="G434" s="113">
        <v>2.5</v>
      </c>
      <c r="H434">
        <v>4</v>
      </c>
      <c r="I434" t="s">
        <v>195</v>
      </c>
      <c r="J434">
        <v>23</v>
      </c>
      <c r="K434">
        <v>26</v>
      </c>
      <c r="L434">
        <v>24</v>
      </c>
      <c r="M434">
        <v>28.9</v>
      </c>
      <c r="N434">
        <v>36</v>
      </c>
      <c r="O434">
        <v>31.714700000000001</v>
      </c>
      <c r="P434">
        <v>22.607600000000001</v>
      </c>
      <c r="Q434">
        <v>25.543199999999999</v>
      </c>
      <c r="R434">
        <v>23.840599999999998</v>
      </c>
      <c r="U434" t="s">
        <v>215</v>
      </c>
      <c r="V434" t="s">
        <v>196</v>
      </c>
      <c r="W434" t="s">
        <v>197</v>
      </c>
      <c r="Y434">
        <v>8</v>
      </c>
      <c r="Z434" t="s">
        <v>172</v>
      </c>
      <c r="AA434" t="s">
        <v>173</v>
      </c>
      <c r="AB434" t="s">
        <v>170</v>
      </c>
      <c r="AC434" t="s">
        <v>232</v>
      </c>
      <c r="AD434">
        <v>15</v>
      </c>
      <c r="AG434" t="s">
        <v>167</v>
      </c>
      <c r="AH434" t="s">
        <v>416</v>
      </c>
      <c r="AI434" t="s">
        <v>178</v>
      </c>
      <c r="AJ434" t="s">
        <v>179</v>
      </c>
      <c r="AK434" t="s">
        <v>664</v>
      </c>
      <c r="AL434" t="s">
        <v>665</v>
      </c>
      <c r="AS434">
        <v>2050</v>
      </c>
      <c r="AT434">
        <v>2050</v>
      </c>
      <c r="BN434" s="114" t="s">
        <v>247</v>
      </c>
      <c r="BO434">
        <v>2</v>
      </c>
      <c r="BP434">
        <v>2</v>
      </c>
      <c r="BQ434">
        <v>31</v>
      </c>
      <c r="BR434" t="s">
        <v>887</v>
      </c>
      <c r="BT434" t="s">
        <v>183</v>
      </c>
      <c r="BU434" s="115">
        <v>45731</v>
      </c>
      <c r="BV434">
        <v>36328</v>
      </c>
      <c r="BW434" s="116"/>
      <c r="BX434" t="s">
        <v>172</v>
      </c>
      <c r="BY434" t="s">
        <v>173</v>
      </c>
      <c r="CB434" t="s">
        <v>173</v>
      </c>
      <c r="CC434" t="s">
        <v>173</v>
      </c>
      <c r="CE434" t="s">
        <v>173</v>
      </c>
      <c r="CG434" t="s">
        <v>172</v>
      </c>
      <c r="CH434" t="s">
        <v>567</v>
      </c>
      <c r="CI434" t="s">
        <v>173</v>
      </c>
      <c r="DJ434" t="s">
        <v>250</v>
      </c>
      <c r="DK434" t="s">
        <v>251</v>
      </c>
      <c r="DN434" t="s">
        <v>173</v>
      </c>
      <c r="DO434" t="s">
        <v>585</v>
      </c>
      <c r="DP434" t="s">
        <v>172</v>
      </c>
      <c r="DQ434" t="s">
        <v>204</v>
      </c>
      <c r="EA434" s="117"/>
      <c r="EB434">
        <v>5</v>
      </c>
      <c r="EC434">
        <v>5</v>
      </c>
      <c r="EE434" t="s">
        <v>846</v>
      </c>
      <c r="EF434">
        <v>6</v>
      </c>
      <c r="EV434">
        <v>1750</v>
      </c>
      <c r="EW434">
        <v>394</v>
      </c>
      <c r="EX434">
        <v>349</v>
      </c>
      <c r="EY434">
        <v>374</v>
      </c>
    </row>
    <row r="435" spans="1:155" x14ac:dyDescent="0.35">
      <c r="A435">
        <v>2026</v>
      </c>
      <c r="B435" t="s">
        <v>934</v>
      </c>
      <c r="C435" s="112" t="s">
        <v>963</v>
      </c>
      <c r="D435" t="s">
        <v>964</v>
      </c>
      <c r="E435" t="s">
        <v>937</v>
      </c>
      <c r="F435">
        <v>550</v>
      </c>
      <c r="G435" s="113">
        <v>2</v>
      </c>
      <c r="H435">
        <v>4</v>
      </c>
      <c r="I435" t="s">
        <v>896</v>
      </c>
      <c r="J435">
        <v>19</v>
      </c>
      <c r="K435">
        <v>23</v>
      </c>
      <c r="L435">
        <v>20</v>
      </c>
      <c r="M435">
        <v>23.253799999999998</v>
      </c>
      <c r="N435">
        <v>34.214599999999997</v>
      </c>
      <c r="O435">
        <v>27.1707</v>
      </c>
      <c r="P435">
        <v>18.525500000000001</v>
      </c>
      <c r="Q435">
        <v>23.408999999999999</v>
      </c>
      <c r="R435">
        <v>20.444800000000001</v>
      </c>
      <c r="T435" t="s">
        <v>168</v>
      </c>
      <c r="U435" t="s">
        <v>169</v>
      </c>
      <c r="V435" t="s">
        <v>196</v>
      </c>
      <c r="W435" t="s">
        <v>197</v>
      </c>
      <c r="Y435">
        <v>9</v>
      </c>
      <c r="Z435" t="s">
        <v>172</v>
      </c>
      <c r="AA435" t="s">
        <v>173</v>
      </c>
      <c r="AB435" t="s">
        <v>170</v>
      </c>
      <c r="AC435" t="s">
        <v>232</v>
      </c>
      <c r="AD435">
        <v>10</v>
      </c>
      <c r="AG435" t="s">
        <v>176</v>
      </c>
      <c r="AH435" t="s">
        <v>177</v>
      </c>
      <c r="AI435" t="s">
        <v>178</v>
      </c>
      <c r="AJ435" t="s">
        <v>179</v>
      </c>
      <c r="AK435" t="s">
        <v>664</v>
      </c>
      <c r="AL435" t="s">
        <v>665</v>
      </c>
      <c r="AS435">
        <v>3100</v>
      </c>
      <c r="AT435">
        <v>3100</v>
      </c>
      <c r="BN435" s="114" t="s">
        <v>198</v>
      </c>
      <c r="BO435">
        <v>2</v>
      </c>
      <c r="BP435">
        <v>2</v>
      </c>
      <c r="BQ435">
        <v>31</v>
      </c>
      <c r="BR435" t="s">
        <v>887</v>
      </c>
      <c r="BT435" t="s">
        <v>613</v>
      </c>
      <c r="BU435" s="115">
        <v>45695</v>
      </c>
      <c r="BV435">
        <v>36081</v>
      </c>
      <c r="BW435" s="116"/>
      <c r="BX435" t="s">
        <v>172</v>
      </c>
      <c r="BY435" t="s">
        <v>173</v>
      </c>
      <c r="CB435" t="s">
        <v>173</v>
      </c>
      <c r="CC435" t="s">
        <v>173</v>
      </c>
      <c r="CE435" t="s">
        <v>173</v>
      </c>
      <c r="CG435" t="s">
        <v>172</v>
      </c>
      <c r="CH435" t="s">
        <v>942</v>
      </c>
      <c r="CI435" t="s">
        <v>173</v>
      </c>
      <c r="DJ435" t="s">
        <v>201</v>
      </c>
      <c r="DK435" t="s">
        <v>202</v>
      </c>
      <c r="DL435" t="s">
        <v>173</v>
      </c>
      <c r="DM435" t="s">
        <v>173</v>
      </c>
      <c r="DN435" t="s">
        <v>173</v>
      </c>
      <c r="DO435" t="s">
        <v>203</v>
      </c>
      <c r="DP435" t="s">
        <v>172</v>
      </c>
      <c r="DQ435" t="s">
        <v>204</v>
      </c>
      <c r="DR435" t="s">
        <v>965</v>
      </c>
      <c r="DY435">
        <v>27.4</v>
      </c>
      <c r="EA435" s="117"/>
      <c r="EB435">
        <v>4</v>
      </c>
      <c r="EC435">
        <v>4</v>
      </c>
      <c r="EE435" t="s">
        <v>966</v>
      </c>
      <c r="EF435">
        <v>6</v>
      </c>
      <c r="EV435">
        <v>7000</v>
      </c>
      <c r="EW435">
        <v>482</v>
      </c>
      <c r="EX435">
        <v>381</v>
      </c>
      <c r="EY435">
        <v>437</v>
      </c>
    </row>
    <row r="436" spans="1:155" x14ac:dyDescent="0.35">
      <c r="A436">
        <v>2026</v>
      </c>
      <c r="B436" t="s">
        <v>934</v>
      </c>
      <c r="C436" s="112" t="s">
        <v>963</v>
      </c>
      <c r="D436" t="s">
        <v>967</v>
      </c>
      <c r="E436" t="s">
        <v>937</v>
      </c>
      <c r="F436">
        <v>74</v>
      </c>
      <c r="G436" s="113">
        <v>2</v>
      </c>
      <c r="H436">
        <v>4</v>
      </c>
      <c r="I436" t="s">
        <v>896</v>
      </c>
      <c r="J436">
        <v>20</v>
      </c>
      <c r="K436">
        <v>27</v>
      </c>
      <c r="L436">
        <v>22</v>
      </c>
      <c r="M436">
        <v>25.007000000000001</v>
      </c>
      <c r="N436">
        <v>38.557200000000002</v>
      </c>
      <c r="O436">
        <v>29.704599999999999</v>
      </c>
      <c r="P436">
        <v>19.809000000000001</v>
      </c>
      <c r="Q436">
        <v>26.6798</v>
      </c>
      <c r="R436">
        <v>22.4055</v>
      </c>
      <c r="T436" t="s">
        <v>168</v>
      </c>
      <c r="U436" t="s">
        <v>169</v>
      </c>
      <c r="V436" t="s">
        <v>196</v>
      </c>
      <c r="W436" t="s">
        <v>197</v>
      </c>
      <c r="Y436">
        <v>9</v>
      </c>
      <c r="Z436" t="s">
        <v>172</v>
      </c>
      <c r="AA436" t="s">
        <v>173</v>
      </c>
      <c r="AB436" t="s">
        <v>170</v>
      </c>
      <c r="AC436" t="s">
        <v>232</v>
      </c>
      <c r="AD436">
        <v>10</v>
      </c>
      <c r="AG436" t="s">
        <v>176</v>
      </c>
      <c r="AH436" t="s">
        <v>177</v>
      </c>
      <c r="AI436" t="s">
        <v>178</v>
      </c>
      <c r="AJ436" t="s">
        <v>179</v>
      </c>
      <c r="AK436" t="s">
        <v>664</v>
      </c>
      <c r="AL436" t="s">
        <v>665</v>
      </c>
      <c r="AS436">
        <v>2850</v>
      </c>
      <c r="AT436">
        <v>2850</v>
      </c>
      <c r="BN436" s="114" t="s">
        <v>198</v>
      </c>
      <c r="BO436">
        <v>2</v>
      </c>
      <c r="BP436">
        <v>2</v>
      </c>
      <c r="BQ436">
        <v>31</v>
      </c>
      <c r="BR436" t="s">
        <v>887</v>
      </c>
      <c r="BT436" t="s">
        <v>613</v>
      </c>
      <c r="BU436" s="115">
        <v>45695</v>
      </c>
      <c r="BV436">
        <v>36080</v>
      </c>
      <c r="BW436" s="116"/>
      <c r="BX436" t="s">
        <v>172</v>
      </c>
      <c r="BY436" t="s">
        <v>173</v>
      </c>
      <c r="CB436" t="s">
        <v>173</v>
      </c>
      <c r="CC436" t="s">
        <v>173</v>
      </c>
      <c r="CE436" t="s">
        <v>173</v>
      </c>
      <c r="CG436" t="s">
        <v>172</v>
      </c>
      <c r="CH436" t="s">
        <v>942</v>
      </c>
      <c r="CI436" t="s">
        <v>173</v>
      </c>
      <c r="DJ436" t="s">
        <v>201</v>
      </c>
      <c r="DK436" t="s">
        <v>202</v>
      </c>
      <c r="DL436" t="s">
        <v>173</v>
      </c>
      <c r="DM436" t="s">
        <v>173</v>
      </c>
      <c r="DN436" t="s">
        <v>173</v>
      </c>
      <c r="DO436" t="s">
        <v>203</v>
      </c>
      <c r="DP436" t="s">
        <v>172</v>
      </c>
      <c r="DQ436" t="s">
        <v>204</v>
      </c>
      <c r="DR436" t="s">
        <v>967</v>
      </c>
      <c r="DY436">
        <v>29.9</v>
      </c>
      <c r="EA436" s="117"/>
      <c r="EB436">
        <v>4</v>
      </c>
      <c r="EC436">
        <v>4</v>
      </c>
      <c r="EE436" t="s">
        <v>966</v>
      </c>
      <c r="EF436">
        <v>6</v>
      </c>
      <c r="EV436">
        <v>5750</v>
      </c>
      <c r="EW436">
        <v>451</v>
      </c>
      <c r="EX436">
        <v>334</v>
      </c>
      <c r="EY436">
        <v>398</v>
      </c>
    </row>
    <row r="437" spans="1:155" x14ac:dyDescent="0.35">
      <c r="A437">
        <v>2026</v>
      </c>
      <c r="B437" t="s">
        <v>934</v>
      </c>
      <c r="C437" s="112" t="s">
        <v>963</v>
      </c>
      <c r="D437" t="s">
        <v>968</v>
      </c>
      <c r="E437" t="s">
        <v>937</v>
      </c>
      <c r="F437">
        <v>562</v>
      </c>
      <c r="G437" s="113">
        <v>2</v>
      </c>
      <c r="H437">
        <v>4</v>
      </c>
      <c r="I437" t="s">
        <v>195</v>
      </c>
      <c r="J437">
        <v>22</v>
      </c>
      <c r="K437">
        <v>26</v>
      </c>
      <c r="L437">
        <v>23</v>
      </c>
      <c r="M437">
        <v>27.379300000000001</v>
      </c>
      <c r="N437">
        <v>37.201999999999998</v>
      </c>
      <c r="O437">
        <v>31.071100000000001</v>
      </c>
      <c r="P437">
        <v>21.537600000000001</v>
      </c>
      <c r="Q437">
        <v>26.3231</v>
      </c>
      <c r="R437">
        <v>23.456600000000002</v>
      </c>
      <c r="T437" t="s">
        <v>168</v>
      </c>
      <c r="U437" t="s">
        <v>169</v>
      </c>
      <c r="V437" t="s">
        <v>196</v>
      </c>
      <c r="W437" t="s">
        <v>197</v>
      </c>
      <c r="Y437">
        <v>8</v>
      </c>
      <c r="Z437" t="s">
        <v>172</v>
      </c>
      <c r="AA437" t="s">
        <v>173</v>
      </c>
      <c r="AB437" t="s">
        <v>170</v>
      </c>
      <c r="AC437" t="s">
        <v>232</v>
      </c>
      <c r="AD437">
        <v>10</v>
      </c>
      <c r="AG437" t="s">
        <v>176</v>
      </c>
      <c r="AH437" t="s">
        <v>177</v>
      </c>
      <c r="AI437" t="s">
        <v>178</v>
      </c>
      <c r="AJ437" t="s">
        <v>179</v>
      </c>
      <c r="AK437" t="s">
        <v>664</v>
      </c>
      <c r="AL437" t="s">
        <v>665</v>
      </c>
      <c r="AS437">
        <v>2700</v>
      </c>
      <c r="AT437">
        <v>2700</v>
      </c>
      <c r="BN437" s="114" t="s">
        <v>198</v>
      </c>
      <c r="BO437">
        <v>2</v>
      </c>
      <c r="BP437">
        <v>2</v>
      </c>
      <c r="BQ437">
        <v>31</v>
      </c>
      <c r="BR437" t="s">
        <v>887</v>
      </c>
      <c r="BT437" t="s">
        <v>183</v>
      </c>
      <c r="BU437" s="115">
        <v>45695</v>
      </c>
      <c r="BV437">
        <v>36083</v>
      </c>
      <c r="BW437" s="116"/>
      <c r="BX437" t="s">
        <v>172</v>
      </c>
      <c r="BY437" t="s">
        <v>173</v>
      </c>
      <c r="CB437" t="s">
        <v>173</v>
      </c>
      <c r="CC437" t="s">
        <v>173</v>
      </c>
      <c r="CE437" t="s">
        <v>173</v>
      </c>
      <c r="CG437" t="s">
        <v>172</v>
      </c>
      <c r="CH437" t="s">
        <v>938</v>
      </c>
      <c r="CI437" t="s">
        <v>172</v>
      </c>
      <c r="CJ437" t="s">
        <v>939</v>
      </c>
      <c r="DJ437" t="s">
        <v>201</v>
      </c>
      <c r="DK437" t="s">
        <v>202</v>
      </c>
      <c r="DL437" t="s">
        <v>173</v>
      </c>
      <c r="DM437" t="s">
        <v>173</v>
      </c>
      <c r="DN437" t="s">
        <v>173</v>
      </c>
      <c r="DO437" t="s">
        <v>203</v>
      </c>
      <c r="DP437" t="s">
        <v>172</v>
      </c>
      <c r="DQ437" t="s">
        <v>204</v>
      </c>
      <c r="DR437" t="s">
        <v>969</v>
      </c>
      <c r="DY437">
        <v>31.3</v>
      </c>
      <c r="EA437" s="117"/>
      <c r="EB437">
        <v>5</v>
      </c>
      <c r="EC437">
        <v>5</v>
      </c>
      <c r="EE437" t="s">
        <v>940</v>
      </c>
      <c r="EF437">
        <v>6</v>
      </c>
      <c r="EV437">
        <v>5000</v>
      </c>
      <c r="EW437">
        <v>415</v>
      </c>
      <c r="EX437">
        <v>339</v>
      </c>
      <c r="EY437">
        <v>381</v>
      </c>
    </row>
    <row r="438" spans="1:155" x14ac:dyDescent="0.35">
      <c r="A438">
        <v>2026</v>
      </c>
      <c r="B438" t="s">
        <v>934</v>
      </c>
      <c r="C438" s="112" t="s">
        <v>963</v>
      </c>
      <c r="D438" t="s">
        <v>970</v>
      </c>
      <c r="E438" t="s">
        <v>937</v>
      </c>
      <c r="F438">
        <v>566</v>
      </c>
      <c r="G438" s="113">
        <v>3</v>
      </c>
      <c r="H438">
        <v>6</v>
      </c>
      <c r="I438" t="s">
        <v>195</v>
      </c>
      <c r="J438">
        <v>19</v>
      </c>
      <c r="K438">
        <v>26</v>
      </c>
      <c r="L438">
        <v>22</v>
      </c>
      <c r="M438">
        <v>24.439699999999998</v>
      </c>
      <c r="N438">
        <v>36.727899999999998</v>
      </c>
      <c r="O438">
        <v>28.7715</v>
      </c>
      <c r="P438">
        <v>19.366299999999999</v>
      </c>
      <c r="Q438">
        <v>25.998699999999999</v>
      </c>
      <c r="R438">
        <v>21.877800000000001</v>
      </c>
      <c r="T438" t="s">
        <v>341</v>
      </c>
      <c r="U438" t="s">
        <v>342</v>
      </c>
      <c r="V438" t="s">
        <v>196</v>
      </c>
      <c r="W438" t="s">
        <v>197</v>
      </c>
      <c r="Y438">
        <v>8</v>
      </c>
      <c r="Z438" t="s">
        <v>172</v>
      </c>
      <c r="AA438" t="s">
        <v>173</v>
      </c>
      <c r="AB438">
        <v>4</v>
      </c>
      <c r="AC438" t="s">
        <v>423</v>
      </c>
      <c r="AD438">
        <v>10</v>
      </c>
      <c r="AG438" t="s">
        <v>176</v>
      </c>
      <c r="AH438" t="s">
        <v>177</v>
      </c>
      <c r="AI438" t="s">
        <v>178</v>
      </c>
      <c r="AJ438" t="s">
        <v>179</v>
      </c>
      <c r="AK438" t="s">
        <v>664</v>
      </c>
      <c r="AL438" t="s">
        <v>665</v>
      </c>
      <c r="AS438">
        <v>2850</v>
      </c>
      <c r="AT438">
        <v>2850</v>
      </c>
      <c r="BN438" s="114" t="s">
        <v>256</v>
      </c>
      <c r="BO438">
        <v>2</v>
      </c>
      <c r="BP438">
        <v>2</v>
      </c>
      <c r="BQ438">
        <v>31</v>
      </c>
      <c r="BR438" t="s">
        <v>887</v>
      </c>
      <c r="BT438" t="s">
        <v>183</v>
      </c>
      <c r="BU438" s="115">
        <v>45695</v>
      </c>
      <c r="BV438">
        <v>36085</v>
      </c>
      <c r="BW438" s="116"/>
      <c r="BX438" t="s">
        <v>172</v>
      </c>
      <c r="BY438" t="s">
        <v>173</v>
      </c>
      <c r="CB438" t="s">
        <v>173</v>
      </c>
      <c r="CC438" t="s">
        <v>173</v>
      </c>
      <c r="CE438" t="s">
        <v>173</v>
      </c>
      <c r="CG438" t="s">
        <v>172</v>
      </c>
      <c r="CH438" t="s">
        <v>942</v>
      </c>
      <c r="CI438" t="s">
        <v>173</v>
      </c>
      <c r="CK438" t="s">
        <v>259</v>
      </c>
      <c r="CM438">
        <v>1</v>
      </c>
      <c r="CN438" t="s">
        <v>260</v>
      </c>
      <c r="CP438">
        <v>48</v>
      </c>
      <c r="CQ438">
        <v>8</v>
      </c>
      <c r="CR438">
        <v>370</v>
      </c>
      <c r="CS438" t="s">
        <v>261</v>
      </c>
      <c r="CV438" t="s">
        <v>943</v>
      </c>
      <c r="DD438">
        <v>1</v>
      </c>
      <c r="DE438" t="s">
        <v>760</v>
      </c>
      <c r="DG438">
        <v>15</v>
      </c>
      <c r="DJ438" t="s">
        <v>201</v>
      </c>
      <c r="DK438" t="s">
        <v>202</v>
      </c>
      <c r="DL438" t="s">
        <v>173</v>
      </c>
      <c r="DM438" t="s">
        <v>173</v>
      </c>
      <c r="DN438" t="s">
        <v>173</v>
      </c>
      <c r="DO438" t="s">
        <v>203</v>
      </c>
      <c r="DP438" t="s">
        <v>172</v>
      </c>
      <c r="DQ438" t="s">
        <v>204</v>
      </c>
      <c r="DR438" t="s">
        <v>970</v>
      </c>
      <c r="DY438">
        <v>28.9</v>
      </c>
      <c r="EA438" s="117"/>
      <c r="EB438">
        <v>4</v>
      </c>
      <c r="EC438">
        <v>4</v>
      </c>
      <c r="EE438" t="s">
        <v>945</v>
      </c>
      <c r="EF438">
        <v>6</v>
      </c>
      <c r="EV438">
        <v>5750</v>
      </c>
      <c r="EW438">
        <v>460</v>
      </c>
      <c r="EX438">
        <v>343</v>
      </c>
      <c r="EY438">
        <v>407</v>
      </c>
    </row>
    <row r="439" spans="1:155" x14ac:dyDescent="0.35">
      <c r="A439">
        <v>2026</v>
      </c>
      <c r="B439" t="s">
        <v>934</v>
      </c>
      <c r="C439" s="112" t="s">
        <v>963</v>
      </c>
      <c r="D439" t="s">
        <v>971</v>
      </c>
      <c r="E439" t="s">
        <v>937</v>
      </c>
      <c r="F439">
        <v>567</v>
      </c>
      <c r="G439" s="113">
        <v>3</v>
      </c>
      <c r="H439">
        <v>6</v>
      </c>
      <c r="I439" t="s">
        <v>195</v>
      </c>
      <c r="J439">
        <v>19</v>
      </c>
      <c r="K439">
        <v>25</v>
      </c>
      <c r="L439">
        <v>21</v>
      </c>
      <c r="M439">
        <v>23.479800000000001</v>
      </c>
      <c r="N439">
        <v>35.277999999999999</v>
      </c>
      <c r="O439">
        <v>27.639399999999998</v>
      </c>
      <c r="P439">
        <v>18.706600000000002</v>
      </c>
      <c r="Q439">
        <v>25.086300000000001</v>
      </c>
      <c r="R439">
        <v>21.124099999999999</v>
      </c>
      <c r="T439" t="s">
        <v>341</v>
      </c>
      <c r="U439" t="s">
        <v>342</v>
      </c>
      <c r="V439" t="s">
        <v>196</v>
      </c>
      <c r="W439" t="s">
        <v>197</v>
      </c>
      <c r="Y439">
        <v>8</v>
      </c>
      <c r="Z439" t="s">
        <v>172</v>
      </c>
      <c r="AA439" t="s">
        <v>173</v>
      </c>
      <c r="AB439">
        <v>4</v>
      </c>
      <c r="AC439" t="s">
        <v>423</v>
      </c>
      <c r="AD439">
        <v>10</v>
      </c>
      <c r="AG439" t="s">
        <v>176</v>
      </c>
      <c r="AH439" t="s">
        <v>177</v>
      </c>
      <c r="AI439" t="s">
        <v>178</v>
      </c>
      <c r="AJ439" t="s">
        <v>179</v>
      </c>
      <c r="AK439" t="s">
        <v>664</v>
      </c>
      <c r="AL439" t="s">
        <v>665</v>
      </c>
      <c r="AS439">
        <v>2950</v>
      </c>
      <c r="AT439">
        <v>2950</v>
      </c>
      <c r="BN439" s="114" t="s">
        <v>256</v>
      </c>
      <c r="BO439">
        <v>2</v>
      </c>
      <c r="BP439">
        <v>2</v>
      </c>
      <c r="BQ439">
        <v>31</v>
      </c>
      <c r="BR439" t="s">
        <v>887</v>
      </c>
      <c r="BT439" t="s">
        <v>183</v>
      </c>
      <c r="BU439" s="115">
        <v>45695</v>
      </c>
      <c r="BV439">
        <v>36086</v>
      </c>
      <c r="BW439" s="116"/>
      <c r="BX439" t="s">
        <v>172</v>
      </c>
      <c r="BY439" t="s">
        <v>173</v>
      </c>
      <c r="CB439" t="s">
        <v>173</v>
      </c>
      <c r="CC439" t="s">
        <v>173</v>
      </c>
      <c r="CE439" t="s">
        <v>173</v>
      </c>
      <c r="CG439" t="s">
        <v>172</v>
      </c>
      <c r="CH439" t="s">
        <v>942</v>
      </c>
      <c r="CI439" t="s">
        <v>173</v>
      </c>
      <c r="CK439" t="s">
        <v>259</v>
      </c>
      <c r="CM439">
        <v>1</v>
      </c>
      <c r="CN439" t="s">
        <v>260</v>
      </c>
      <c r="CP439">
        <v>48</v>
      </c>
      <c r="CQ439">
        <v>8</v>
      </c>
      <c r="CR439">
        <v>370</v>
      </c>
      <c r="CS439" t="s">
        <v>261</v>
      </c>
      <c r="CV439" t="s">
        <v>943</v>
      </c>
      <c r="DD439">
        <v>1</v>
      </c>
      <c r="DE439" t="s">
        <v>760</v>
      </c>
      <c r="DG439">
        <v>15</v>
      </c>
      <c r="DJ439" t="s">
        <v>201</v>
      </c>
      <c r="DK439" t="s">
        <v>202</v>
      </c>
      <c r="DL439" t="s">
        <v>173</v>
      </c>
      <c r="DM439" t="s">
        <v>173</v>
      </c>
      <c r="DN439" t="s">
        <v>173</v>
      </c>
      <c r="DO439" t="s">
        <v>203</v>
      </c>
      <c r="DP439" t="s">
        <v>172</v>
      </c>
      <c r="DQ439" t="s">
        <v>204</v>
      </c>
      <c r="DR439" t="s">
        <v>972</v>
      </c>
      <c r="DY439">
        <v>27.9</v>
      </c>
      <c r="EA439" s="117"/>
      <c r="EB439">
        <v>4</v>
      </c>
      <c r="EC439">
        <v>4</v>
      </c>
      <c r="EE439" t="s">
        <v>945</v>
      </c>
      <c r="EF439">
        <v>6</v>
      </c>
      <c r="EV439">
        <v>6250</v>
      </c>
      <c r="EW439">
        <v>473</v>
      </c>
      <c r="EX439">
        <v>354</v>
      </c>
      <c r="EY439">
        <v>420</v>
      </c>
    </row>
    <row r="440" spans="1:155" x14ac:dyDescent="0.35">
      <c r="A440">
        <v>2026</v>
      </c>
      <c r="B440" t="s">
        <v>242</v>
      </c>
      <c r="C440" s="112" t="s">
        <v>243</v>
      </c>
      <c r="D440" t="s">
        <v>973</v>
      </c>
      <c r="E440" t="s">
        <v>245</v>
      </c>
      <c r="F440">
        <v>12</v>
      </c>
      <c r="G440" s="113">
        <v>2.4</v>
      </c>
      <c r="H440">
        <v>4</v>
      </c>
      <c r="I440" t="s">
        <v>195</v>
      </c>
      <c r="J440">
        <v>21</v>
      </c>
      <c r="K440">
        <v>28</v>
      </c>
      <c r="L440">
        <v>24</v>
      </c>
      <c r="M440">
        <v>27.2471</v>
      </c>
      <c r="N440">
        <v>39.679900000000004</v>
      </c>
      <c r="O440">
        <v>31.7195</v>
      </c>
      <c r="P440">
        <v>21.428000000000001</v>
      </c>
      <c r="Q440">
        <v>27.921600000000002</v>
      </c>
      <c r="R440">
        <v>23.932700000000001</v>
      </c>
      <c r="T440" t="s">
        <v>168</v>
      </c>
      <c r="U440" t="s">
        <v>169</v>
      </c>
      <c r="V440" t="s">
        <v>196</v>
      </c>
      <c r="W440" t="s">
        <v>197</v>
      </c>
      <c r="Y440">
        <v>8</v>
      </c>
      <c r="Z440" t="s">
        <v>172</v>
      </c>
      <c r="AA440" t="s">
        <v>173</v>
      </c>
      <c r="AB440" t="s">
        <v>170</v>
      </c>
      <c r="AC440" t="s">
        <v>232</v>
      </c>
      <c r="AD440">
        <v>15</v>
      </c>
      <c r="AG440" t="s">
        <v>216</v>
      </c>
      <c r="AH440" t="s">
        <v>217</v>
      </c>
      <c r="AI440" t="s">
        <v>178</v>
      </c>
      <c r="AJ440" t="s">
        <v>179</v>
      </c>
      <c r="AK440" t="s">
        <v>664</v>
      </c>
      <c r="AL440" t="s">
        <v>665</v>
      </c>
      <c r="AS440">
        <v>2600</v>
      </c>
      <c r="AT440">
        <v>2600</v>
      </c>
      <c r="BN440" s="114" t="s">
        <v>247</v>
      </c>
      <c r="BO440">
        <v>2</v>
      </c>
      <c r="BP440">
        <v>2</v>
      </c>
      <c r="BQ440">
        <v>31</v>
      </c>
      <c r="BR440" t="s">
        <v>887</v>
      </c>
      <c r="BT440" t="s">
        <v>183</v>
      </c>
      <c r="BU440" s="115">
        <v>45875</v>
      </c>
      <c r="BV440">
        <v>36962</v>
      </c>
      <c r="BW440" s="116"/>
      <c r="BX440" t="s">
        <v>173</v>
      </c>
      <c r="BY440" t="s">
        <v>173</v>
      </c>
      <c r="CB440" t="s">
        <v>173</v>
      </c>
      <c r="CC440" t="s">
        <v>173</v>
      </c>
      <c r="CD440" t="s">
        <v>974</v>
      </c>
      <c r="CE440" t="s">
        <v>173</v>
      </c>
      <c r="CG440" t="s">
        <v>172</v>
      </c>
      <c r="CH440" t="s">
        <v>249</v>
      </c>
      <c r="CI440" t="s">
        <v>173</v>
      </c>
      <c r="DJ440" t="s">
        <v>250</v>
      </c>
      <c r="DK440" t="s">
        <v>251</v>
      </c>
      <c r="DN440" t="s">
        <v>173</v>
      </c>
      <c r="DO440" t="s">
        <v>284</v>
      </c>
      <c r="DP440" t="s">
        <v>172</v>
      </c>
      <c r="DQ440" t="s">
        <v>204</v>
      </c>
      <c r="EA440" s="117"/>
      <c r="EB440">
        <v>5</v>
      </c>
      <c r="EC440">
        <v>5</v>
      </c>
      <c r="EE440" t="s">
        <v>975</v>
      </c>
      <c r="EF440">
        <v>6</v>
      </c>
      <c r="EV440">
        <v>4500</v>
      </c>
      <c r="EW440">
        <v>413</v>
      </c>
      <c r="EX440">
        <v>317</v>
      </c>
      <c r="EY440">
        <v>370</v>
      </c>
    </row>
    <row r="441" spans="1:155" x14ac:dyDescent="0.35">
      <c r="A441">
        <v>2026</v>
      </c>
      <c r="B441" t="s">
        <v>242</v>
      </c>
      <c r="C441" s="112" t="s">
        <v>243</v>
      </c>
      <c r="D441" t="s">
        <v>976</v>
      </c>
      <c r="E441" t="s">
        <v>245</v>
      </c>
      <c r="F441">
        <v>16</v>
      </c>
      <c r="G441" s="113">
        <v>2.4</v>
      </c>
      <c r="H441">
        <v>4</v>
      </c>
      <c r="I441" t="s">
        <v>195</v>
      </c>
      <c r="J441">
        <v>21</v>
      </c>
      <c r="K441">
        <v>28</v>
      </c>
      <c r="L441">
        <v>24</v>
      </c>
      <c r="M441">
        <v>27.6</v>
      </c>
      <c r="N441">
        <v>40.5</v>
      </c>
      <c r="O441">
        <v>32.2179</v>
      </c>
      <c r="P441">
        <v>21</v>
      </c>
      <c r="Q441">
        <v>28.446300000000001</v>
      </c>
      <c r="R441">
        <v>24.279399999999999</v>
      </c>
      <c r="T441" t="s">
        <v>168</v>
      </c>
      <c r="U441" t="s">
        <v>169</v>
      </c>
      <c r="V441" t="s">
        <v>196</v>
      </c>
      <c r="W441" t="s">
        <v>197</v>
      </c>
      <c r="Y441">
        <v>8</v>
      </c>
      <c r="Z441" t="s">
        <v>172</v>
      </c>
      <c r="AA441" t="s">
        <v>173</v>
      </c>
      <c r="AB441" t="s">
        <v>170</v>
      </c>
      <c r="AC441" t="s">
        <v>232</v>
      </c>
      <c r="AD441">
        <v>15</v>
      </c>
      <c r="AG441" t="s">
        <v>216</v>
      </c>
      <c r="AH441" t="s">
        <v>217</v>
      </c>
      <c r="AI441" t="s">
        <v>178</v>
      </c>
      <c r="AJ441" t="s">
        <v>179</v>
      </c>
      <c r="AK441" t="s">
        <v>664</v>
      </c>
      <c r="AL441" t="s">
        <v>665</v>
      </c>
      <c r="AS441">
        <v>2600</v>
      </c>
      <c r="AT441">
        <v>2600</v>
      </c>
      <c r="BN441" s="114" t="s">
        <v>247</v>
      </c>
      <c r="BO441">
        <v>2</v>
      </c>
      <c r="BP441">
        <v>2</v>
      </c>
      <c r="BQ441">
        <v>31</v>
      </c>
      <c r="BR441" t="s">
        <v>887</v>
      </c>
      <c r="BT441" t="s">
        <v>183</v>
      </c>
      <c r="BU441" s="115">
        <v>45875</v>
      </c>
      <c r="BV441">
        <v>36964</v>
      </c>
      <c r="BW441" s="116"/>
      <c r="BX441" t="s">
        <v>172</v>
      </c>
      <c r="BY441" t="s">
        <v>173</v>
      </c>
      <c r="CB441" t="s">
        <v>173</v>
      </c>
      <c r="CC441" t="s">
        <v>173</v>
      </c>
      <c r="CD441" t="s">
        <v>974</v>
      </c>
      <c r="CE441" t="s">
        <v>173</v>
      </c>
      <c r="CG441" t="s">
        <v>172</v>
      </c>
      <c r="CH441" t="s">
        <v>249</v>
      </c>
      <c r="CI441" t="s">
        <v>173</v>
      </c>
      <c r="DJ441" t="s">
        <v>250</v>
      </c>
      <c r="DK441" t="s">
        <v>251</v>
      </c>
      <c r="DN441" t="s">
        <v>173</v>
      </c>
      <c r="DO441" t="s">
        <v>284</v>
      </c>
      <c r="DP441" t="s">
        <v>172</v>
      </c>
      <c r="DQ441" t="s">
        <v>204</v>
      </c>
      <c r="DY441">
        <v>32.6</v>
      </c>
      <c r="EA441" s="117"/>
      <c r="EB441">
        <v>5</v>
      </c>
      <c r="EC441">
        <v>5</v>
      </c>
      <c r="EE441" t="s">
        <v>975</v>
      </c>
      <c r="EF441">
        <v>6</v>
      </c>
      <c r="EV441">
        <v>4500</v>
      </c>
      <c r="EW441">
        <v>420</v>
      </c>
      <c r="EX441">
        <v>309</v>
      </c>
      <c r="EY441">
        <v>370</v>
      </c>
    </row>
    <row r="442" spans="1:155" x14ac:dyDescent="0.35">
      <c r="A442">
        <v>2026</v>
      </c>
      <c r="B442" t="s">
        <v>242</v>
      </c>
      <c r="C442" s="112" t="s">
        <v>243</v>
      </c>
      <c r="D442" t="s">
        <v>977</v>
      </c>
      <c r="E442" t="s">
        <v>245</v>
      </c>
      <c r="F442">
        <v>5</v>
      </c>
      <c r="G442" s="113">
        <v>2.5</v>
      </c>
      <c r="H442">
        <v>4</v>
      </c>
      <c r="I442" t="s">
        <v>852</v>
      </c>
      <c r="J442">
        <v>41</v>
      </c>
      <c r="K442">
        <v>37</v>
      </c>
      <c r="L442">
        <v>39</v>
      </c>
      <c r="M442">
        <v>56.244599999999998</v>
      </c>
      <c r="N442">
        <v>51.696899999999999</v>
      </c>
      <c r="O442">
        <v>54.102899999999998</v>
      </c>
      <c r="P442">
        <v>41.398400000000002</v>
      </c>
      <c r="Q442">
        <v>37.419199999999996</v>
      </c>
      <c r="R442">
        <v>39</v>
      </c>
      <c r="U442" t="s">
        <v>215</v>
      </c>
      <c r="V442" t="s">
        <v>497</v>
      </c>
      <c r="W442" t="s">
        <v>498</v>
      </c>
      <c r="Y442">
        <v>6</v>
      </c>
      <c r="Z442" t="s">
        <v>173</v>
      </c>
      <c r="AA442" t="s">
        <v>173</v>
      </c>
      <c r="AB442" t="s">
        <v>170</v>
      </c>
      <c r="AC442" t="s">
        <v>232</v>
      </c>
      <c r="AD442">
        <v>15</v>
      </c>
      <c r="AG442" t="s">
        <v>176</v>
      </c>
      <c r="AH442" t="s">
        <v>177</v>
      </c>
      <c r="AI442" t="s">
        <v>178</v>
      </c>
      <c r="AJ442" t="s">
        <v>179</v>
      </c>
      <c r="AK442" t="s">
        <v>664</v>
      </c>
      <c r="AL442" t="s">
        <v>665</v>
      </c>
      <c r="AS442">
        <v>1600</v>
      </c>
      <c r="AT442">
        <v>1600</v>
      </c>
      <c r="BN442" s="114" t="s">
        <v>505</v>
      </c>
      <c r="BO442">
        <v>2</v>
      </c>
      <c r="BP442">
        <v>2</v>
      </c>
      <c r="BQ442">
        <v>31</v>
      </c>
      <c r="BR442" t="s">
        <v>887</v>
      </c>
      <c r="BT442" t="s">
        <v>218</v>
      </c>
      <c r="BU442" s="115">
        <v>45875</v>
      </c>
      <c r="BV442">
        <v>36960</v>
      </c>
      <c r="BW442" s="116"/>
      <c r="BX442" t="s">
        <v>173</v>
      </c>
      <c r="BY442" t="s">
        <v>173</v>
      </c>
      <c r="CB442" t="s">
        <v>173</v>
      </c>
      <c r="CC442" t="s">
        <v>173</v>
      </c>
      <c r="CD442" t="s">
        <v>853</v>
      </c>
      <c r="CE442" t="s">
        <v>173</v>
      </c>
      <c r="CG442" t="s">
        <v>172</v>
      </c>
      <c r="CH442" t="s">
        <v>249</v>
      </c>
      <c r="CI442" t="s">
        <v>173</v>
      </c>
      <c r="CK442" t="s">
        <v>259</v>
      </c>
      <c r="CM442">
        <v>1</v>
      </c>
      <c r="CN442" t="s">
        <v>260</v>
      </c>
      <c r="CP442">
        <v>259</v>
      </c>
      <c r="CQ442">
        <v>4.3</v>
      </c>
      <c r="CR442">
        <v>35</v>
      </c>
      <c r="CS442" t="s">
        <v>261</v>
      </c>
      <c r="CV442" t="s">
        <v>262</v>
      </c>
      <c r="CX442" t="s">
        <v>263</v>
      </c>
      <c r="CY442" t="s">
        <v>173</v>
      </c>
      <c r="DC442" t="s">
        <v>854</v>
      </c>
      <c r="DD442">
        <v>2</v>
      </c>
      <c r="DE442" t="s">
        <v>307</v>
      </c>
      <c r="DF442" t="s">
        <v>855</v>
      </c>
      <c r="DG442">
        <v>134</v>
      </c>
      <c r="DJ442" t="s">
        <v>250</v>
      </c>
      <c r="DK442" t="s">
        <v>251</v>
      </c>
      <c r="DL442" t="s">
        <v>173</v>
      </c>
      <c r="DM442" t="s">
        <v>173</v>
      </c>
      <c r="DN442" t="s">
        <v>173</v>
      </c>
      <c r="DO442" t="s">
        <v>856</v>
      </c>
      <c r="DP442" t="s">
        <v>172</v>
      </c>
      <c r="DQ442" t="s">
        <v>204</v>
      </c>
      <c r="DR442" t="s">
        <v>509</v>
      </c>
      <c r="EA442" s="117"/>
      <c r="EB442">
        <v>7</v>
      </c>
      <c r="EC442">
        <v>7</v>
      </c>
      <c r="EE442" t="s">
        <v>857</v>
      </c>
      <c r="EF442">
        <v>6</v>
      </c>
      <c r="EU442">
        <v>500</v>
      </c>
      <c r="EW442">
        <v>212</v>
      </c>
      <c r="EX442">
        <v>235</v>
      </c>
      <c r="EY442">
        <v>225</v>
      </c>
    </row>
    <row r="443" spans="1:155" x14ac:dyDescent="0.35">
      <c r="A443">
        <v>2026</v>
      </c>
      <c r="B443" t="s">
        <v>242</v>
      </c>
      <c r="C443" s="112" t="s">
        <v>243</v>
      </c>
      <c r="D443" t="s">
        <v>1288</v>
      </c>
      <c r="E443" t="s">
        <v>245</v>
      </c>
      <c r="F443">
        <v>80</v>
      </c>
      <c r="G443" s="113">
        <v>2.4</v>
      </c>
      <c r="H443">
        <v>4</v>
      </c>
      <c r="I443" t="s">
        <v>195</v>
      </c>
      <c r="J443">
        <v>21</v>
      </c>
      <c r="K443">
        <v>28</v>
      </c>
      <c r="L443">
        <v>24</v>
      </c>
      <c r="M443">
        <v>26.749199999999998</v>
      </c>
      <c r="N443">
        <v>40.146900000000002</v>
      </c>
      <c r="O443">
        <v>31.475999999999999</v>
      </c>
      <c r="P443">
        <v>21.0701</v>
      </c>
      <c r="Q443">
        <v>28.220600000000001</v>
      </c>
      <c r="R443">
        <v>23.781700000000001</v>
      </c>
      <c r="T443" t="s">
        <v>168</v>
      </c>
      <c r="U443" t="s">
        <v>169</v>
      </c>
      <c r="V443" t="s">
        <v>196</v>
      </c>
      <c r="W443" t="s">
        <v>197</v>
      </c>
      <c r="Y443">
        <v>8</v>
      </c>
      <c r="Z443" t="s">
        <v>172</v>
      </c>
      <c r="AA443" t="s">
        <v>173</v>
      </c>
      <c r="AB443" t="s">
        <v>170</v>
      </c>
      <c r="AC443" t="s">
        <v>232</v>
      </c>
      <c r="AD443">
        <v>15</v>
      </c>
      <c r="AG443" t="s">
        <v>216</v>
      </c>
      <c r="AH443" t="s">
        <v>217</v>
      </c>
      <c r="AI443" t="s">
        <v>178</v>
      </c>
      <c r="AJ443" t="s">
        <v>179</v>
      </c>
      <c r="AK443" t="s">
        <v>664</v>
      </c>
      <c r="AL443" t="s">
        <v>665</v>
      </c>
      <c r="AS443">
        <v>2600</v>
      </c>
      <c r="AT443">
        <v>2600</v>
      </c>
      <c r="BN443" s="114" t="s">
        <v>247</v>
      </c>
      <c r="BO443">
        <v>2</v>
      </c>
      <c r="BP443">
        <v>2</v>
      </c>
      <c r="BQ443">
        <v>31</v>
      </c>
      <c r="BR443" t="s">
        <v>887</v>
      </c>
      <c r="BT443" t="s">
        <v>183</v>
      </c>
      <c r="BU443" s="115">
        <v>45917</v>
      </c>
      <c r="BV443">
        <v>37027</v>
      </c>
      <c r="BW443" s="116"/>
      <c r="BX443" t="s">
        <v>172</v>
      </c>
      <c r="BY443" t="s">
        <v>173</v>
      </c>
      <c r="CB443" t="s">
        <v>173</v>
      </c>
      <c r="CC443" t="s">
        <v>173</v>
      </c>
      <c r="CD443" t="s">
        <v>974</v>
      </c>
      <c r="CE443" t="s">
        <v>173</v>
      </c>
      <c r="CG443" t="s">
        <v>172</v>
      </c>
      <c r="CH443" t="s">
        <v>249</v>
      </c>
      <c r="CI443" t="s">
        <v>173</v>
      </c>
      <c r="DJ443" t="s">
        <v>250</v>
      </c>
      <c r="DK443" t="s">
        <v>251</v>
      </c>
      <c r="DN443" t="s">
        <v>173</v>
      </c>
      <c r="DO443" t="s">
        <v>284</v>
      </c>
      <c r="DP443" t="s">
        <v>172</v>
      </c>
      <c r="DQ443" t="s">
        <v>204</v>
      </c>
      <c r="EA443" s="117"/>
      <c r="EB443">
        <v>5</v>
      </c>
      <c r="EC443">
        <v>5</v>
      </c>
      <c r="EE443" t="s">
        <v>975</v>
      </c>
      <c r="EF443">
        <v>6</v>
      </c>
      <c r="EV443">
        <v>4500</v>
      </c>
      <c r="EW443">
        <v>417</v>
      </c>
      <c r="EX443">
        <v>312</v>
      </c>
      <c r="EY443">
        <v>370</v>
      </c>
    </row>
    <row r="444" spans="1:155" x14ac:dyDescent="0.35">
      <c r="A444">
        <v>2026</v>
      </c>
      <c r="B444" t="s">
        <v>242</v>
      </c>
      <c r="C444" s="112" t="s">
        <v>243</v>
      </c>
      <c r="D444" t="s">
        <v>1289</v>
      </c>
      <c r="E444" t="s">
        <v>245</v>
      </c>
      <c r="F444">
        <v>33</v>
      </c>
      <c r="G444" s="113">
        <v>2.5</v>
      </c>
      <c r="H444">
        <v>4</v>
      </c>
      <c r="I444" t="s">
        <v>852</v>
      </c>
      <c r="J444">
        <v>37</v>
      </c>
      <c r="K444">
        <v>34</v>
      </c>
      <c r="L444">
        <v>36</v>
      </c>
      <c r="M444">
        <v>50.196399999999997</v>
      </c>
      <c r="N444">
        <v>48.074599999999997</v>
      </c>
      <c r="O444">
        <v>49.218899999999998</v>
      </c>
      <c r="P444">
        <v>37.436300000000003</v>
      </c>
      <c r="Q444">
        <v>34.331200000000003</v>
      </c>
      <c r="R444">
        <v>35.972200000000001</v>
      </c>
      <c r="U444" t="s">
        <v>215</v>
      </c>
      <c r="V444" t="s">
        <v>497</v>
      </c>
      <c r="W444" t="s">
        <v>498</v>
      </c>
      <c r="Y444">
        <v>6</v>
      </c>
      <c r="Z444" t="s">
        <v>173</v>
      </c>
      <c r="AA444" t="s">
        <v>173</v>
      </c>
      <c r="AB444" t="s">
        <v>170</v>
      </c>
      <c r="AC444" t="s">
        <v>232</v>
      </c>
      <c r="AD444">
        <v>15</v>
      </c>
      <c r="AG444" t="s">
        <v>176</v>
      </c>
      <c r="AH444" t="s">
        <v>177</v>
      </c>
      <c r="AI444" t="s">
        <v>178</v>
      </c>
      <c r="AJ444" t="s">
        <v>179</v>
      </c>
      <c r="AK444" t="s">
        <v>664</v>
      </c>
      <c r="AL444" t="s">
        <v>665</v>
      </c>
      <c r="AS444">
        <v>1750</v>
      </c>
      <c r="AT444">
        <v>1750</v>
      </c>
      <c r="BN444" s="114" t="s">
        <v>505</v>
      </c>
      <c r="BO444">
        <v>2</v>
      </c>
      <c r="BP444">
        <v>2</v>
      </c>
      <c r="BQ444">
        <v>31</v>
      </c>
      <c r="BR444" t="s">
        <v>887</v>
      </c>
      <c r="BT444" t="s">
        <v>218</v>
      </c>
      <c r="BU444" s="115">
        <v>45917</v>
      </c>
      <c r="BV444">
        <v>37026</v>
      </c>
      <c r="BW444" s="116"/>
      <c r="BX444" t="s">
        <v>172</v>
      </c>
      <c r="BY444" t="s">
        <v>173</v>
      </c>
      <c r="CB444" t="s">
        <v>173</v>
      </c>
      <c r="CC444" t="s">
        <v>173</v>
      </c>
      <c r="CD444" t="s">
        <v>1290</v>
      </c>
      <c r="CE444" t="s">
        <v>173</v>
      </c>
      <c r="CG444" t="s">
        <v>172</v>
      </c>
      <c r="CH444" t="s">
        <v>249</v>
      </c>
      <c r="CI444" t="s">
        <v>173</v>
      </c>
      <c r="CK444" t="s">
        <v>259</v>
      </c>
      <c r="CM444">
        <v>1</v>
      </c>
      <c r="CN444" t="s">
        <v>260</v>
      </c>
      <c r="CP444">
        <v>259</v>
      </c>
      <c r="CQ444">
        <v>4.3</v>
      </c>
      <c r="CR444">
        <v>35</v>
      </c>
      <c r="CS444" t="s">
        <v>261</v>
      </c>
      <c r="CV444" t="s">
        <v>262</v>
      </c>
      <c r="CX444" t="s">
        <v>263</v>
      </c>
      <c r="CY444" t="s">
        <v>173</v>
      </c>
      <c r="DC444" t="s">
        <v>854</v>
      </c>
      <c r="DD444">
        <v>2</v>
      </c>
      <c r="DE444" t="s">
        <v>307</v>
      </c>
      <c r="DF444" t="s">
        <v>855</v>
      </c>
      <c r="DG444" t="s">
        <v>1258</v>
      </c>
      <c r="DJ444" t="s">
        <v>250</v>
      </c>
      <c r="DK444" t="s">
        <v>251</v>
      </c>
      <c r="DL444" t="s">
        <v>173</v>
      </c>
      <c r="DM444" t="s">
        <v>173</v>
      </c>
      <c r="DN444" t="s">
        <v>173</v>
      </c>
      <c r="DO444" t="s">
        <v>856</v>
      </c>
      <c r="DP444" t="s">
        <v>172</v>
      </c>
      <c r="DQ444" t="s">
        <v>204</v>
      </c>
      <c r="DR444" t="s">
        <v>509</v>
      </c>
      <c r="EA444" s="117"/>
      <c r="EB444">
        <v>7</v>
      </c>
      <c r="EC444">
        <v>7</v>
      </c>
      <c r="EE444" t="s">
        <v>857</v>
      </c>
      <c r="EF444">
        <v>6</v>
      </c>
      <c r="EV444">
        <v>250</v>
      </c>
      <c r="EW444">
        <v>234</v>
      </c>
      <c r="EX444">
        <v>256</v>
      </c>
      <c r="EY444">
        <v>244</v>
      </c>
    </row>
    <row r="445" spans="1:155" x14ac:dyDescent="0.35">
      <c r="A445">
        <v>2026</v>
      </c>
      <c r="B445" t="s">
        <v>242</v>
      </c>
      <c r="C445" s="112" t="s">
        <v>243</v>
      </c>
      <c r="D445" t="s">
        <v>1291</v>
      </c>
      <c r="E445" t="s">
        <v>245</v>
      </c>
      <c r="F445">
        <v>85</v>
      </c>
      <c r="G445" s="113">
        <v>2.4</v>
      </c>
      <c r="H445">
        <v>4</v>
      </c>
      <c r="I445" t="s">
        <v>415</v>
      </c>
      <c r="J445">
        <v>27</v>
      </c>
      <c r="K445">
        <v>28</v>
      </c>
      <c r="L445">
        <v>27</v>
      </c>
      <c r="M445">
        <v>35.1</v>
      </c>
      <c r="N445">
        <v>39.799999999999997</v>
      </c>
      <c r="O445">
        <v>37.069899999999997</v>
      </c>
      <c r="P445">
        <v>26.923500000000001</v>
      </c>
      <c r="Q445">
        <v>27.9986</v>
      </c>
      <c r="R445">
        <v>27.396899999999999</v>
      </c>
      <c r="T445" t="s">
        <v>168</v>
      </c>
      <c r="U445" t="s">
        <v>169</v>
      </c>
      <c r="V445" t="s">
        <v>196</v>
      </c>
      <c r="W445" t="s">
        <v>197</v>
      </c>
      <c r="Y445">
        <v>6</v>
      </c>
      <c r="Z445" t="s">
        <v>173</v>
      </c>
      <c r="AA445" t="s">
        <v>173</v>
      </c>
      <c r="AB445" t="s">
        <v>170</v>
      </c>
      <c r="AC445" t="s">
        <v>232</v>
      </c>
      <c r="AD445">
        <v>15</v>
      </c>
      <c r="AG445" t="s">
        <v>216</v>
      </c>
      <c r="AH445" t="s">
        <v>217</v>
      </c>
      <c r="AI445" t="s">
        <v>178</v>
      </c>
      <c r="AJ445" t="s">
        <v>179</v>
      </c>
      <c r="AK445" t="s">
        <v>664</v>
      </c>
      <c r="AL445" t="s">
        <v>665</v>
      </c>
      <c r="AS445">
        <v>2300</v>
      </c>
      <c r="AT445">
        <v>2300</v>
      </c>
      <c r="BN445" s="114" t="s">
        <v>505</v>
      </c>
      <c r="BO445">
        <v>2</v>
      </c>
      <c r="BP445">
        <v>2</v>
      </c>
      <c r="BQ445">
        <v>31</v>
      </c>
      <c r="BR445" t="s">
        <v>887</v>
      </c>
      <c r="BT445" t="s">
        <v>183</v>
      </c>
      <c r="BU445" s="115">
        <v>45917</v>
      </c>
      <c r="BV445">
        <v>37623</v>
      </c>
      <c r="BW445" s="116"/>
      <c r="BX445" t="s">
        <v>172</v>
      </c>
      <c r="BY445" t="s">
        <v>173</v>
      </c>
      <c r="CB445" t="s">
        <v>173</v>
      </c>
      <c r="CC445" t="s">
        <v>173</v>
      </c>
      <c r="CD445" t="s">
        <v>1292</v>
      </c>
      <c r="CE445" t="s">
        <v>173</v>
      </c>
      <c r="CG445" t="s">
        <v>172</v>
      </c>
      <c r="CH445" t="s">
        <v>249</v>
      </c>
      <c r="CI445" t="s">
        <v>173</v>
      </c>
      <c r="CK445" t="s">
        <v>259</v>
      </c>
      <c r="CM445">
        <v>1</v>
      </c>
      <c r="CN445" t="s">
        <v>515</v>
      </c>
      <c r="CP445">
        <v>288</v>
      </c>
      <c r="CQ445">
        <v>5</v>
      </c>
      <c r="CR445">
        <v>23</v>
      </c>
      <c r="CS445" t="s">
        <v>261</v>
      </c>
      <c r="CV445" t="s">
        <v>262</v>
      </c>
      <c r="CX445" t="s">
        <v>263</v>
      </c>
      <c r="CY445" t="s">
        <v>173</v>
      </c>
      <c r="DD445">
        <v>2</v>
      </c>
      <c r="DE445" t="s">
        <v>307</v>
      </c>
      <c r="DF445" t="s">
        <v>855</v>
      </c>
      <c r="DG445" t="s">
        <v>1293</v>
      </c>
      <c r="DJ445" t="s">
        <v>250</v>
      </c>
      <c r="DK445" t="s">
        <v>251</v>
      </c>
      <c r="DL445" t="s">
        <v>173</v>
      </c>
      <c r="DM445" t="s">
        <v>173</v>
      </c>
      <c r="DN445" t="s">
        <v>173</v>
      </c>
      <c r="DO445" t="s">
        <v>284</v>
      </c>
      <c r="DP445" t="s">
        <v>172</v>
      </c>
      <c r="DQ445" t="s">
        <v>204</v>
      </c>
      <c r="DR445" t="s">
        <v>509</v>
      </c>
      <c r="EA445" s="117"/>
      <c r="EB445">
        <v>5</v>
      </c>
      <c r="EC445">
        <v>5</v>
      </c>
      <c r="EE445" t="s">
        <v>1294</v>
      </c>
      <c r="EF445">
        <v>6</v>
      </c>
      <c r="EV445">
        <v>3000</v>
      </c>
      <c r="EW445">
        <v>326</v>
      </c>
      <c r="EX445">
        <v>314</v>
      </c>
      <c r="EY445">
        <v>321</v>
      </c>
    </row>
    <row r="446" spans="1:155" x14ac:dyDescent="0.35">
      <c r="A446">
        <v>2026</v>
      </c>
      <c r="B446" t="s">
        <v>978</v>
      </c>
      <c r="C446" s="112" t="s">
        <v>979</v>
      </c>
      <c r="D446" t="s">
        <v>1295</v>
      </c>
      <c r="E446" t="s">
        <v>981</v>
      </c>
      <c r="F446">
        <v>54</v>
      </c>
      <c r="G446" s="113">
        <v>2</v>
      </c>
      <c r="H446">
        <v>4</v>
      </c>
      <c r="I446" t="s">
        <v>195</v>
      </c>
      <c r="J446">
        <v>21</v>
      </c>
      <c r="K446">
        <v>28</v>
      </c>
      <c r="L446">
        <v>24</v>
      </c>
      <c r="M446">
        <v>26.5</v>
      </c>
      <c r="N446">
        <v>40.1</v>
      </c>
      <c r="O446">
        <v>31.2728</v>
      </c>
      <c r="P446">
        <v>20.890599999999999</v>
      </c>
      <c r="Q446">
        <v>28.1906</v>
      </c>
      <c r="R446">
        <v>23.646100000000001</v>
      </c>
      <c r="T446" t="s">
        <v>168</v>
      </c>
      <c r="U446" t="s">
        <v>169</v>
      </c>
      <c r="V446" t="s">
        <v>196</v>
      </c>
      <c r="W446" t="s">
        <v>197</v>
      </c>
      <c r="Y446">
        <v>8</v>
      </c>
      <c r="Z446" t="s">
        <v>172</v>
      </c>
      <c r="AA446" t="s">
        <v>173</v>
      </c>
      <c r="AB446" t="s">
        <v>170</v>
      </c>
      <c r="AC446" t="s">
        <v>232</v>
      </c>
      <c r="AD446">
        <v>85</v>
      </c>
      <c r="AG446" t="s">
        <v>167</v>
      </c>
      <c r="AH446" t="s">
        <v>416</v>
      </c>
      <c r="AI446" t="s">
        <v>178</v>
      </c>
      <c r="AJ446" t="s">
        <v>179</v>
      </c>
      <c r="AK446" t="s">
        <v>664</v>
      </c>
      <c r="AL446" t="s">
        <v>665</v>
      </c>
      <c r="AS446">
        <v>2050</v>
      </c>
      <c r="AT446">
        <v>2050</v>
      </c>
      <c r="BN446" s="114" t="s">
        <v>247</v>
      </c>
      <c r="BO446">
        <v>2</v>
      </c>
      <c r="BP446">
        <v>2</v>
      </c>
      <c r="BQ446">
        <v>31</v>
      </c>
      <c r="BR446" t="s">
        <v>887</v>
      </c>
      <c r="BT446" t="s">
        <v>183</v>
      </c>
      <c r="BU446" s="115">
        <v>45908</v>
      </c>
      <c r="BV446">
        <v>37398</v>
      </c>
      <c r="BW446" s="116"/>
      <c r="BX446" t="s">
        <v>173</v>
      </c>
      <c r="BY446" t="s">
        <v>173</v>
      </c>
      <c r="CB446" t="s">
        <v>173</v>
      </c>
      <c r="CC446" t="s">
        <v>173</v>
      </c>
      <c r="CD446" t="s">
        <v>1265</v>
      </c>
      <c r="CE446" t="s">
        <v>173</v>
      </c>
      <c r="CG446" t="s">
        <v>172</v>
      </c>
      <c r="CH446" t="s">
        <v>1260</v>
      </c>
      <c r="CI446" t="s">
        <v>173</v>
      </c>
      <c r="DJ446" t="s">
        <v>250</v>
      </c>
      <c r="DK446" t="s">
        <v>251</v>
      </c>
      <c r="DN446" t="s">
        <v>173</v>
      </c>
      <c r="DO446" t="s">
        <v>983</v>
      </c>
      <c r="DP446" t="s">
        <v>172</v>
      </c>
      <c r="DQ446" t="s">
        <v>204</v>
      </c>
      <c r="EA446" s="117"/>
      <c r="EB446">
        <v>5</v>
      </c>
      <c r="EC446">
        <v>5</v>
      </c>
      <c r="EE446" t="s">
        <v>1266</v>
      </c>
      <c r="EF446">
        <v>5</v>
      </c>
      <c r="EV446">
        <v>1750</v>
      </c>
      <c r="EW446">
        <v>425</v>
      </c>
      <c r="EX446">
        <v>316</v>
      </c>
      <c r="EY446">
        <v>376</v>
      </c>
    </row>
    <row r="447" spans="1:155" x14ac:dyDescent="0.35">
      <c r="A447">
        <v>2026</v>
      </c>
      <c r="B447" t="s">
        <v>978</v>
      </c>
      <c r="C447" s="112" t="s">
        <v>979</v>
      </c>
      <c r="D447" t="s">
        <v>980</v>
      </c>
      <c r="E447" t="s">
        <v>981</v>
      </c>
      <c r="F447">
        <v>17</v>
      </c>
      <c r="G447" s="113">
        <v>2</v>
      </c>
      <c r="H447">
        <v>4</v>
      </c>
      <c r="I447" t="s">
        <v>166</v>
      </c>
      <c r="J447">
        <v>21</v>
      </c>
      <c r="K447">
        <v>29</v>
      </c>
      <c r="L447">
        <v>24</v>
      </c>
      <c r="M447">
        <v>26.4</v>
      </c>
      <c r="N447">
        <v>44.4</v>
      </c>
      <c r="O447">
        <v>32.290900000000001</v>
      </c>
      <c r="P447">
        <v>20.8185</v>
      </c>
      <c r="Q447">
        <v>29</v>
      </c>
      <c r="R447">
        <v>24.4053</v>
      </c>
      <c r="T447" t="s">
        <v>168</v>
      </c>
      <c r="U447" t="s">
        <v>169</v>
      </c>
      <c r="V447" t="s">
        <v>170</v>
      </c>
      <c r="W447" t="s">
        <v>171</v>
      </c>
      <c r="Y447">
        <v>8</v>
      </c>
      <c r="Z447" t="s">
        <v>172</v>
      </c>
      <c r="AA447" t="s">
        <v>173</v>
      </c>
      <c r="AB447" t="s">
        <v>170</v>
      </c>
      <c r="AC447" t="s">
        <v>232</v>
      </c>
      <c r="AD447">
        <v>85</v>
      </c>
      <c r="AG447" t="s">
        <v>167</v>
      </c>
      <c r="AH447" t="s">
        <v>416</v>
      </c>
      <c r="AI447" t="s">
        <v>178</v>
      </c>
      <c r="AJ447" t="s">
        <v>179</v>
      </c>
      <c r="AK447" t="s">
        <v>664</v>
      </c>
      <c r="AL447" t="s">
        <v>665</v>
      </c>
      <c r="AS447">
        <v>2050</v>
      </c>
      <c r="AT447">
        <v>2050</v>
      </c>
      <c r="BN447" s="114" t="s">
        <v>247</v>
      </c>
      <c r="BO447">
        <v>2</v>
      </c>
      <c r="BP447">
        <v>2</v>
      </c>
      <c r="BQ447">
        <v>31</v>
      </c>
      <c r="BR447" t="s">
        <v>887</v>
      </c>
      <c r="BT447" t="s">
        <v>183</v>
      </c>
      <c r="BU447" s="115">
        <v>45890</v>
      </c>
      <c r="BV447">
        <v>36947</v>
      </c>
      <c r="BW447" s="116"/>
      <c r="BX447" t="s">
        <v>173</v>
      </c>
      <c r="BY447" t="s">
        <v>173</v>
      </c>
      <c r="CB447" t="s">
        <v>173</v>
      </c>
      <c r="CC447" t="s">
        <v>173</v>
      </c>
      <c r="CE447" t="s">
        <v>173</v>
      </c>
      <c r="CG447" t="s">
        <v>172</v>
      </c>
      <c r="CH447" t="s">
        <v>982</v>
      </c>
      <c r="CI447" t="s">
        <v>173</v>
      </c>
      <c r="DJ447" t="s">
        <v>250</v>
      </c>
      <c r="DK447" t="s">
        <v>251</v>
      </c>
      <c r="DN447" t="s">
        <v>173</v>
      </c>
      <c r="DO447" t="s">
        <v>983</v>
      </c>
      <c r="DP447" t="s">
        <v>172</v>
      </c>
      <c r="DQ447" t="s">
        <v>204</v>
      </c>
      <c r="EA447" s="117"/>
      <c r="EB447">
        <v>5</v>
      </c>
      <c r="EC447">
        <v>5</v>
      </c>
      <c r="EE447" t="s">
        <v>984</v>
      </c>
      <c r="EF447">
        <v>5</v>
      </c>
      <c r="EV447">
        <v>1750</v>
      </c>
      <c r="EW447">
        <v>425</v>
      </c>
      <c r="EX447">
        <v>306</v>
      </c>
      <c r="EY447">
        <v>369</v>
      </c>
    </row>
    <row r="448" spans="1:155" x14ac:dyDescent="0.35">
      <c r="A448">
        <v>2026</v>
      </c>
      <c r="B448" t="s">
        <v>978</v>
      </c>
      <c r="C448" s="112" t="s">
        <v>979</v>
      </c>
      <c r="D448" t="s">
        <v>985</v>
      </c>
      <c r="E448" t="s">
        <v>981</v>
      </c>
      <c r="F448">
        <v>18</v>
      </c>
      <c r="G448" s="113">
        <v>2</v>
      </c>
      <c r="H448">
        <v>4</v>
      </c>
      <c r="I448" t="s">
        <v>487</v>
      </c>
      <c r="J448">
        <v>29</v>
      </c>
      <c r="K448">
        <v>31</v>
      </c>
      <c r="L448">
        <v>30</v>
      </c>
      <c r="M448">
        <v>38.6663</v>
      </c>
      <c r="N448">
        <v>45.338000000000001</v>
      </c>
      <c r="O448">
        <v>41.408299999999997</v>
      </c>
      <c r="P448">
        <v>28.6173</v>
      </c>
      <c r="Q448">
        <v>31.39</v>
      </c>
      <c r="R448">
        <v>29.8019</v>
      </c>
      <c r="T448" t="s">
        <v>168</v>
      </c>
      <c r="U448" t="s">
        <v>169</v>
      </c>
      <c r="V448" t="s">
        <v>488</v>
      </c>
      <c r="W448" t="s">
        <v>489</v>
      </c>
      <c r="Y448">
        <v>1</v>
      </c>
      <c r="Z448" t="s">
        <v>173</v>
      </c>
      <c r="AA448" t="s">
        <v>173</v>
      </c>
      <c r="AB448" t="s">
        <v>769</v>
      </c>
      <c r="AC448" t="s">
        <v>770</v>
      </c>
      <c r="AD448">
        <v>85</v>
      </c>
      <c r="AG448" t="s">
        <v>167</v>
      </c>
      <c r="AH448" t="s">
        <v>416</v>
      </c>
      <c r="AI448" t="s">
        <v>178</v>
      </c>
      <c r="AJ448" t="s">
        <v>179</v>
      </c>
      <c r="AK448" t="s">
        <v>664</v>
      </c>
      <c r="AL448" t="s">
        <v>665</v>
      </c>
      <c r="AS448">
        <v>1650</v>
      </c>
      <c r="AT448">
        <v>1650</v>
      </c>
      <c r="BN448" s="114" t="s">
        <v>505</v>
      </c>
      <c r="BO448">
        <v>2</v>
      </c>
      <c r="BP448">
        <v>2</v>
      </c>
      <c r="BQ448">
        <v>31</v>
      </c>
      <c r="BR448" t="s">
        <v>887</v>
      </c>
      <c r="BT448" t="s">
        <v>218</v>
      </c>
      <c r="BU448" s="115">
        <v>45890</v>
      </c>
      <c r="BV448">
        <v>37084</v>
      </c>
      <c r="BW448" s="116"/>
      <c r="BX448" t="s">
        <v>173</v>
      </c>
      <c r="BY448" t="s">
        <v>173</v>
      </c>
      <c r="CB448" t="s">
        <v>173</v>
      </c>
      <c r="CC448" t="s">
        <v>173</v>
      </c>
      <c r="CD448" t="s">
        <v>986</v>
      </c>
      <c r="CE448" t="s">
        <v>173</v>
      </c>
      <c r="CG448" t="s">
        <v>172</v>
      </c>
      <c r="CH448" t="s">
        <v>987</v>
      </c>
      <c r="CI448" t="s">
        <v>173</v>
      </c>
      <c r="CK448" t="s">
        <v>259</v>
      </c>
      <c r="CM448">
        <v>1</v>
      </c>
      <c r="CN448" t="s">
        <v>260</v>
      </c>
      <c r="CP448">
        <v>221</v>
      </c>
      <c r="CQ448">
        <v>5</v>
      </c>
      <c r="CR448">
        <v>36.4</v>
      </c>
      <c r="CS448" t="s">
        <v>261</v>
      </c>
      <c r="CV448" t="s">
        <v>262</v>
      </c>
      <c r="CX448" t="s">
        <v>493</v>
      </c>
      <c r="CY448" t="s">
        <v>173</v>
      </c>
      <c r="DD448">
        <v>1</v>
      </c>
      <c r="DE448" t="s">
        <v>307</v>
      </c>
      <c r="DF448" t="s">
        <v>988</v>
      </c>
      <c r="DG448">
        <v>100</v>
      </c>
      <c r="DJ448" t="s">
        <v>250</v>
      </c>
      <c r="DK448" t="s">
        <v>251</v>
      </c>
      <c r="DL448" t="s">
        <v>173</v>
      </c>
      <c r="DM448" t="s">
        <v>173</v>
      </c>
      <c r="DN448" t="s">
        <v>173</v>
      </c>
      <c r="DO448" t="s">
        <v>983</v>
      </c>
      <c r="DP448" t="s">
        <v>172</v>
      </c>
      <c r="DQ448" t="s">
        <v>204</v>
      </c>
      <c r="EA448" s="117"/>
      <c r="EB448">
        <v>6</v>
      </c>
      <c r="EC448">
        <v>6</v>
      </c>
      <c r="EE448" t="s">
        <v>989</v>
      </c>
      <c r="EF448">
        <v>5</v>
      </c>
      <c r="EU448">
        <v>250</v>
      </c>
      <c r="EW448">
        <v>334</v>
      </c>
      <c r="EX448">
        <v>282</v>
      </c>
      <c r="EY448">
        <v>311</v>
      </c>
    </row>
    <row r="449" spans="1:155" x14ac:dyDescent="0.35">
      <c r="A449">
        <v>2026</v>
      </c>
      <c r="B449" t="s">
        <v>1179</v>
      </c>
      <c r="C449" s="112" t="s">
        <v>1180</v>
      </c>
      <c r="D449" t="s">
        <v>1296</v>
      </c>
      <c r="E449" t="s">
        <v>1182</v>
      </c>
      <c r="F449">
        <v>66</v>
      </c>
      <c r="G449" s="113">
        <v>3</v>
      </c>
      <c r="H449">
        <v>6</v>
      </c>
      <c r="I449" t="s">
        <v>166</v>
      </c>
      <c r="J449">
        <v>18</v>
      </c>
      <c r="K449">
        <v>25</v>
      </c>
      <c r="L449">
        <v>20</v>
      </c>
      <c r="M449">
        <v>22.153400000000001</v>
      </c>
      <c r="N449">
        <v>34.507399999999997</v>
      </c>
      <c r="O449">
        <v>26.407800000000002</v>
      </c>
      <c r="P449">
        <v>17.712399999999999</v>
      </c>
      <c r="Q449">
        <v>24.653600000000001</v>
      </c>
      <c r="R449">
        <v>20.2821</v>
      </c>
      <c r="T449" t="s">
        <v>168</v>
      </c>
      <c r="U449" t="s">
        <v>169</v>
      </c>
      <c r="V449" t="s">
        <v>170</v>
      </c>
      <c r="W449" t="s">
        <v>171</v>
      </c>
      <c r="Y449">
        <v>8</v>
      </c>
      <c r="Z449" t="s">
        <v>172</v>
      </c>
      <c r="AA449" t="s">
        <v>173</v>
      </c>
      <c r="AB449" t="s">
        <v>170</v>
      </c>
      <c r="AC449" t="s">
        <v>232</v>
      </c>
      <c r="AD449">
        <v>10</v>
      </c>
      <c r="AG449" t="s">
        <v>216</v>
      </c>
      <c r="AH449" t="s">
        <v>217</v>
      </c>
      <c r="AI449" t="s">
        <v>178</v>
      </c>
      <c r="AJ449" t="s">
        <v>179</v>
      </c>
      <c r="AK449" t="s">
        <v>664</v>
      </c>
      <c r="AL449" t="s">
        <v>665</v>
      </c>
      <c r="AS449">
        <v>3100</v>
      </c>
      <c r="AT449">
        <v>3100</v>
      </c>
      <c r="BN449" s="114" t="s">
        <v>247</v>
      </c>
      <c r="BO449">
        <v>2</v>
      </c>
      <c r="BP449">
        <v>2</v>
      </c>
      <c r="BQ449">
        <v>31</v>
      </c>
      <c r="BR449" t="s">
        <v>887</v>
      </c>
      <c r="BT449" t="s">
        <v>613</v>
      </c>
      <c r="BU449" s="115">
        <v>45919</v>
      </c>
      <c r="BV449">
        <v>37635</v>
      </c>
      <c r="BW449" s="116"/>
      <c r="BX449" t="s">
        <v>172</v>
      </c>
      <c r="BY449" t="s">
        <v>173</v>
      </c>
      <c r="CB449" t="s">
        <v>173</v>
      </c>
      <c r="CC449" t="s">
        <v>173</v>
      </c>
      <c r="CE449" t="s">
        <v>172</v>
      </c>
      <c r="CF449" t="s">
        <v>1183</v>
      </c>
      <c r="CG449" t="s">
        <v>172</v>
      </c>
      <c r="CH449" t="s">
        <v>1297</v>
      </c>
      <c r="CI449" t="s">
        <v>173</v>
      </c>
      <c r="DJ449" t="s">
        <v>250</v>
      </c>
      <c r="DK449" t="s">
        <v>251</v>
      </c>
      <c r="DL449" t="s">
        <v>173</v>
      </c>
      <c r="DN449" t="s">
        <v>173</v>
      </c>
      <c r="DO449" t="s">
        <v>1185</v>
      </c>
      <c r="DP449" t="s">
        <v>172</v>
      </c>
      <c r="DQ449" t="s">
        <v>204</v>
      </c>
      <c r="EA449" s="117"/>
      <c r="EB449">
        <v>4</v>
      </c>
      <c r="EC449">
        <v>4</v>
      </c>
      <c r="EE449" t="s">
        <v>1186</v>
      </c>
      <c r="EF449">
        <v>4</v>
      </c>
      <c r="EV449">
        <v>7000</v>
      </c>
      <c r="EW449">
        <v>495</v>
      </c>
      <c r="EX449">
        <v>354</v>
      </c>
      <c r="EY449">
        <v>432</v>
      </c>
    </row>
    <row r="450" spans="1:155" x14ac:dyDescent="0.35">
      <c r="A450">
        <v>2026</v>
      </c>
      <c r="B450" t="s">
        <v>1179</v>
      </c>
      <c r="C450" s="112" t="s">
        <v>1180</v>
      </c>
      <c r="D450" t="s">
        <v>1298</v>
      </c>
      <c r="E450" t="s">
        <v>1182</v>
      </c>
      <c r="F450">
        <v>60</v>
      </c>
      <c r="G450" s="113">
        <v>3</v>
      </c>
      <c r="H450">
        <v>6</v>
      </c>
      <c r="I450" t="s">
        <v>166</v>
      </c>
      <c r="J450">
        <v>18</v>
      </c>
      <c r="K450">
        <v>25</v>
      </c>
      <c r="L450">
        <v>20</v>
      </c>
      <c r="M450">
        <v>22.153400000000001</v>
      </c>
      <c r="N450">
        <v>34.507399999999997</v>
      </c>
      <c r="O450">
        <v>26.407800000000002</v>
      </c>
      <c r="P450">
        <v>17.712399999999999</v>
      </c>
      <c r="Q450">
        <v>24.653600000000001</v>
      </c>
      <c r="R450">
        <v>20.2821</v>
      </c>
      <c r="T450" t="s">
        <v>168</v>
      </c>
      <c r="U450" t="s">
        <v>169</v>
      </c>
      <c r="V450" t="s">
        <v>170</v>
      </c>
      <c r="W450" t="s">
        <v>171</v>
      </c>
      <c r="Y450">
        <v>8</v>
      </c>
      <c r="Z450" t="s">
        <v>172</v>
      </c>
      <c r="AA450" t="s">
        <v>173</v>
      </c>
      <c r="AB450" t="s">
        <v>170</v>
      </c>
      <c r="AC450" t="s">
        <v>232</v>
      </c>
      <c r="AD450">
        <v>10</v>
      </c>
      <c r="AG450" t="s">
        <v>216</v>
      </c>
      <c r="AH450" t="s">
        <v>217</v>
      </c>
      <c r="AI450" t="s">
        <v>178</v>
      </c>
      <c r="AJ450" t="s">
        <v>179</v>
      </c>
      <c r="AK450" t="s">
        <v>664</v>
      </c>
      <c r="AL450" t="s">
        <v>665</v>
      </c>
      <c r="AS450">
        <v>3100</v>
      </c>
      <c r="AT450">
        <v>3100</v>
      </c>
      <c r="BN450" s="114" t="s">
        <v>247</v>
      </c>
      <c r="BO450">
        <v>2</v>
      </c>
      <c r="BP450">
        <v>2</v>
      </c>
      <c r="BQ450">
        <v>31</v>
      </c>
      <c r="BR450" t="s">
        <v>887</v>
      </c>
      <c r="BT450" t="s">
        <v>613</v>
      </c>
      <c r="BU450" s="115">
        <v>45891</v>
      </c>
      <c r="BV450">
        <v>37634</v>
      </c>
      <c r="BW450" s="116"/>
      <c r="BX450" t="s">
        <v>172</v>
      </c>
      <c r="BY450" t="s">
        <v>173</v>
      </c>
      <c r="CB450" t="s">
        <v>173</v>
      </c>
      <c r="CC450" t="s">
        <v>173</v>
      </c>
      <c r="CE450" t="s">
        <v>172</v>
      </c>
      <c r="CF450" t="s">
        <v>1183</v>
      </c>
      <c r="CG450" t="s">
        <v>172</v>
      </c>
      <c r="CH450" t="s">
        <v>1184</v>
      </c>
      <c r="CI450" t="s">
        <v>173</v>
      </c>
      <c r="DJ450" t="s">
        <v>250</v>
      </c>
      <c r="DK450" t="s">
        <v>251</v>
      </c>
      <c r="DL450" t="s">
        <v>173</v>
      </c>
      <c r="DN450" t="s">
        <v>173</v>
      </c>
      <c r="DO450" t="s">
        <v>1185</v>
      </c>
      <c r="DP450" t="s">
        <v>172</v>
      </c>
      <c r="DQ450" t="s">
        <v>204</v>
      </c>
      <c r="EA450" s="117"/>
      <c r="EB450">
        <v>4</v>
      </c>
      <c r="EC450">
        <v>4</v>
      </c>
      <c r="EE450" t="s">
        <v>1186</v>
      </c>
      <c r="EF450">
        <v>4</v>
      </c>
      <c r="EV450">
        <v>7000</v>
      </c>
      <c r="EW450">
        <v>495</v>
      </c>
      <c r="EX450">
        <v>354</v>
      </c>
      <c r="EY450">
        <v>432</v>
      </c>
    </row>
    <row r="451" spans="1:155" x14ac:dyDescent="0.35">
      <c r="A451">
        <v>2026</v>
      </c>
      <c r="B451" t="s">
        <v>412</v>
      </c>
      <c r="C451" s="112" t="s">
        <v>412</v>
      </c>
      <c r="D451" t="s">
        <v>2129</v>
      </c>
      <c r="E451" t="s">
        <v>414</v>
      </c>
      <c r="F451">
        <v>705</v>
      </c>
      <c r="G451" s="113">
        <v>2.5</v>
      </c>
      <c r="H451">
        <v>4</v>
      </c>
      <c r="I451" t="s">
        <v>415</v>
      </c>
      <c r="J451">
        <v>24</v>
      </c>
      <c r="K451">
        <v>31</v>
      </c>
      <c r="L451">
        <v>27</v>
      </c>
      <c r="M451">
        <v>31.5</v>
      </c>
      <c r="N451">
        <v>45.1</v>
      </c>
      <c r="O451">
        <v>36.445599999999999</v>
      </c>
      <c r="P451">
        <v>24.438199999999998</v>
      </c>
      <c r="Q451">
        <v>31.353999999999999</v>
      </c>
      <c r="R451">
        <v>27.1311</v>
      </c>
      <c r="U451" t="s">
        <v>215</v>
      </c>
      <c r="V451" t="s">
        <v>196</v>
      </c>
      <c r="W451" t="s">
        <v>197</v>
      </c>
      <c r="Y451">
        <v>6</v>
      </c>
      <c r="Z451" t="s">
        <v>172</v>
      </c>
      <c r="AA451" t="s">
        <v>173</v>
      </c>
      <c r="AB451">
        <v>4</v>
      </c>
      <c r="AC451" t="s">
        <v>423</v>
      </c>
      <c r="AD451">
        <v>10</v>
      </c>
      <c r="AG451" t="s">
        <v>167</v>
      </c>
      <c r="AH451" t="s">
        <v>416</v>
      </c>
      <c r="AI451" t="s">
        <v>178</v>
      </c>
      <c r="AJ451" t="s">
        <v>179</v>
      </c>
      <c r="AK451" t="s">
        <v>664</v>
      </c>
      <c r="AL451" t="s">
        <v>665</v>
      </c>
      <c r="AS451">
        <v>1850</v>
      </c>
      <c r="AT451">
        <v>1850</v>
      </c>
      <c r="BN451" s="114" t="s">
        <v>198</v>
      </c>
      <c r="BO451">
        <v>2</v>
      </c>
      <c r="BP451">
        <v>2</v>
      </c>
      <c r="BQ451">
        <v>31</v>
      </c>
      <c r="BR451" t="s">
        <v>887</v>
      </c>
      <c r="BT451" t="s">
        <v>183</v>
      </c>
      <c r="BU451" s="115">
        <v>45926</v>
      </c>
      <c r="BV451">
        <v>37001</v>
      </c>
      <c r="BW451" s="116"/>
      <c r="BX451" t="s">
        <v>172</v>
      </c>
      <c r="BY451" t="s">
        <v>173</v>
      </c>
      <c r="CB451" t="s">
        <v>173</v>
      </c>
      <c r="CC451" t="s">
        <v>173</v>
      </c>
      <c r="CD451" t="s">
        <v>2130</v>
      </c>
      <c r="CE451" t="s">
        <v>173</v>
      </c>
      <c r="CG451" t="s">
        <v>172</v>
      </c>
      <c r="CH451" t="s">
        <v>418</v>
      </c>
      <c r="CI451" t="s">
        <v>173</v>
      </c>
      <c r="DJ451" t="s">
        <v>201</v>
      </c>
      <c r="DK451" t="s">
        <v>202</v>
      </c>
      <c r="DN451" t="s">
        <v>173</v>
      </c>
      <c r="DO451" t="s">
        <v>419</v>
      </c>
      <c r="DP451" t="s">
        <v>173</v>
      </c>
      <c r="DQ451" t="s">
        <v>189</v>
      </c>
      <c r="DR451" t="s">
        <v>420</v>
      </c>
      <c r="EA451" s="117"/>
      <c r="EB451">
        <v>5</v>
      </c>
      <c r="EC451">
        <v>5</v>
      </c>
      <c r="EE451" t="s">
        <v>2131</v>
      </c>
      <c r="EF451">
        <v>6</v>
      </c>
      <c r="EV451">
        <v>750</v>
      </c>
      <c r="EW451">
        <v>365</v>
      </c>
      <c r="EX451">
        <v>285</v>
      </c>
      <c r="EY451">
        <v>329</v>
      </c>
    </row>
    <row r="452" spans="1:155" x14ac:dyDescent="0.35">
      <c r="A452">
        <v>2026</v>
      </c>
      <c r="B452" t="s">
        <v>412</v>
      </c>
      <c r="C452" s="112" t="s">
        <v>412</v>
      </c>
      <c r="D452" t="s">
        <v>2129</v>
      </c>
      <c r="E452" t="s">
        <v>414</v>
      </c>
      <c r="F452">
        <v>708</v>
      </c>
      <c r="G452" s="113">
        <v>2.5</v>
      </c>
      <c r="H452">
        <v>4</v>
      </c>
      <c r="I452" t="s">
        <v>415</v>
      </c>
      <c r="J452">
        <v>22</v>
      </c>
      <c r="K452">
        <v>30</v>
      </c>
      <c r="L452">
        <v>25</v>
      </c>
      <c r="M452">
        <v>28.5</v>
      </c>
      <c r="N452">
        <v>42.677399999999999</v>
      </c>
      <c r="O452">
        <v>33.509300000000003</v>
      </c>
      <c r="P452">
        <v>22.3233</v>
      </c>
      <c r="Q452">
        <v>29.830100000000002</v>
      </c>
      <c r="R452">
        <v>25.174099999999999</v>
      </c>
      <c r="T452" t="s">
        <v>168</v>
      </c>
      <c r="U452" t="s">
        <v>169</v>
      </c>
      <c r="V452" t="s">
        <v>196</v>
      </c>
      <c r="W452" t="s">
        <v>197</v>
      </c>
      <c r="Y452">
        <v>6</v>
      </c>
      <c r="Z452" t="s">
        <v>172</v>
      </c>
      <c r="AA452" t="s">
        <v>173</v>
      </c>
      <c r="AB452">
        <v>4</v>
      </c>
      <c r="AC452" t="s">
        <v>423</v>
      </c>
      <c r="AD452">
        <v>10</v>
      </c>
      <c r="AG452" t="s">
        <v>167</v>
      </c>
      <c r="AH452" t="s">
        <v>416</v>
      </c>
      <c r="AI452" t="s">
        <v>178</v>
      </c>
      <c r="AJ452" t="s">
        <v>179</v>
      </c>
      <c r="AK452" t="s">
        <v>664</v>
      </c>
      <c r="AL452" t="s">
        <v>665</v>
      </c>
      <c r="AS452">
        <v>2000</v>
      </c>
      <c r="AT452">
        <v>2000</v>
      </c>
      <c r="BN452" s="114" t="s">
        <v>198</v>
      </c>
      <c r="BO452">
        <v>2</v>
      </c>
      <c r="BP452">
        <v>2</v>
      </c>
      <c r="BQ452">
        <v>31</v>
      </c>
      <c r="BR452" t="s">
        <v>887</v>
      </c>
      <c r="BT452" t="s">
        <v>183</v>
      </c>
      <c r="BU452" s="115">
        <v>45926</v>
      </c>
      <c r="BV452">
        <v>37000</v>
      </c>
      <c r="BW452" s="116"/>
      <c r="BX452" t="s">
        <v>173</v>
      </c>
      <c r="BY452" t="s">
        <v>173</v>
      </c>
      <c r="CB452" t="s">
        <v>173</v>
      </c>
      <c r="CC452" t="s">
        <v>173</v>
      </c>
      <c r="CE452" t="s">
        <v>173</v>
      </c>
      <c r="CG452" t="s">
        <v>172</v>
      </c>
      <c r="CH452" t="s">
        <v>418</v>
      </c>
      <c r="CI452" t="s">
        <v>173</v>
      </c>
      <c r="DJ452" t="s">
        <v>201</v>
      </c>
      <c r="DK452" t="s">
        <v>202</v>
      </c>
      <c r="DN452" t="s">
        <v>173</v>
      </c>
      <c r="DO452" t="s">
        <v>424</v>
      </c>
      <c r="DP452" t="s">
        <v>173</v>
      </c>
      <c r="DQ452" t="s">
        <v>189</v>
      </c>
      <c r="EA452" s="117"/>
      <c r="EB452">
        <v>5</v>
      </c>
      <c r="EC452">
        <v>5</v>
      </c>
      <c r="EE452" t="s">
        <v>425</v>
      </c>
      <c r="EF452">
        <v>4</v>
      </c>
      <c r="EV452">
        <v>1500</v>
      </c>
      <c r="EW452">
        <v>398</v>
      </c>
      <c r="EX452">
        <v>299</v>
      </c>
      <c r="EY452">
        <v>353</v>
      </c>
    </row>
    <row r="453" spans="1:155" x14ac:dyDescent="0.35">
      <c r="A453">
        <v>2026</v>
      </c>
      <c r="B453" t="s">
        <v>228</v>
      </c>
      <c r="C453" s="112" t="s">
        <v>228</v>
      </c>
      <c r="D453" t="s">
        <v>990</v>
      </c>
      <c r="E453" t="s">
        <v>230</v>
      </c>
      <c r="F453">
        <v>505</v>
      </c>
      <c r="G453" s="113">
        <v>2</v>
      </c>
      <c r="H453">
        <v>4</v>
      </c>
      <c r="I453" t="s">
        <v>428</v>
      </c>
      <c r="J453">
        <v>25</v>
      </c>
      <c r="K453">
        <v>33</v>
      </c>
      <c r="L453">
        <v>28</v>
      </c>
      <c r="M453">
        <v>32.4</v>
      </c>
      <c r="N453">
        <v>47.6</v>
      </c>
      <c r="O453">
        <v>37.8371</v>
      </c>
      <c r="P453">
        <v>25.064800000000002</v>
      </c>
      <c r="Q453">
        <v>32.909500000000001</v>
      </c>
      <c r="R453">
        <v>28.076499999999999</v>
      </c>
      <c r="T453" t="s">
        <v>168</v>
      </c>
      <c r="U453" t="s">
        <v>169</v>
      </c>
      <c r="V453" t="s">
        <v>429</v>
      </c>
      <c r="W453" t="s">
        <v>430</v>
      </c>
      <c r="Y453">
        <v>8</v>
      </c>
      <c r="Z453" t="s">
        <v>172</v>
      </c>
      <c r="AA453" t="s">
        <v>173</v>
      </c>
      <c r="AB453" t="s">
        <v>170</v>
      </c>
      <c r="AC453" t="s">
        <v>232</v>
      </c>
      <c r="AD453">
        <v>10</v>
      </c>
      <c r="AG453" t="s">
        <v>216</v>
      </c>
      <c r="AH453" t="s">
        <v>217</v>
      </c>
      <c r="AI453" t="s">
        <v>178</v>
      </c>
      <c r="AJ453" t="s">
        <v>179</v>
      </c>
      <c r="AK453" t="s">
        <v>664</v>
      </c>
      <c r="AL453" t="s">
        <v>665</v>
      </c>
      <c r="AS453">
        <v>2200</v>
      </c>
      <c r="AT453">
        <v>2200</v>
      </c>
      <c r="BN453" s="114" t="s">
        <v>256</v>
      </c>
      <c r="BO453">
        <v>2</v>
      </c>
      <c r="BP453">
        <v>2</v>
      </c>
      <c r="BQ453">
        <v>31</v>
      </c>
      <c r="BR453" t="s">
        <v>887</v>
      </c>
      <c r="BT453" t="s">
        <v>183</v>
      </c>
      <c r="BU453" s="115">
        <v>45765</v>
      </c>
      <c r="BV453">
        <v>36444</v>
      </c>
      <c r="BW453" s="116"/>
      <c r="BX453" t="s">
        <v>173</v>
      </c>
      <c r="CB453" t="s">
        <v>173</v>
      </c>
      <c r="CC453" t="s">
        <v>173</v>
      </c>
      <c r="CE453" t="s">
        <v>173</v>
      </c>
      <c r="CG453" t="s">
        <v>172</v>
      </c>
      <c r="CH453" t="s">
        <v>362</v>
      </c>
      <c r="CI453" t="s">
        <v>172</v>
      </c>
      <c r="CJ453" t="s">
        <v>438</v>
      </c>
      <c r="CK453" t="s">
        <v>259</v>
      </c>
      <c r="CM453">
        <v>1</v>
      </c>
      <c r="CN453" t="s">
        <v>260</v>
      </c>
      <c r="CP453">
        <v>48</v>
      </c>
      <c r="CQ453">
        <v>7.7</v>
      </c>
      <c r="CR453">
        <v>52.9</v>
      </c>
      <c r="CS453" t="s">
        <v>261</v>
      </c>
      <c r="CV453" t="s">
        <v>262</v>
      </c>
      <c r="CX453" t="s">
        <v>263</v>
      </c>
      <c r="CY453" t="s">
        <v>173</v>
      </c>
      <c r="DC453" t="s">
        <v>439</v>
      </c>
      <c r="DD453">
        <v>1</v>
      </c>
      <c r="DE453" t="s">
        <v>307</v>
      </c>
      <c r="DF453" t="s">
        <v>356</v>
      </c>
      <c r="DG453">
        <v>10</v>
      </c>
      <c r="DJ453" t="s">
        <v>201</v>
      </c>
      <c r="DK453" t="s">
        <v>202</v>
      </c>
      <c r="DL453" t="s">
        <v>173</v>
      </c>
      <c r="DM453" t="s">
        <v>173</v>
      </c>
      <c r="DN453" t="s">
        <v>173</v>
      </c>
      <c r="DO453" t="s">
        <v>235</v>
      </c>
      <c r="DP453" t="s">
        <v>172</v>
      </c>
      <c r="DQ453" t="s">
        <v>204</v>
      </c>
      <c r="DR453" t="s">
        <v>990</v>
      </c>
      <c r="DY453">
        <v>38.1</v>
      </c>
      <c r="EA453" s="117"/>
      <c r="EB453">
        <v>5</v>
      </c>
      <c r="EC453">
        <v>5</v>
      </c>
      <c r="EE453" t="s">
        <v>440</v>
      </c>
      <c r="EF453">
        <v>6</v>
      </c>
      <c r="EV453">
        <v>2500</v>
      </c>
      <c r="EW453">
        <v>353</v>
      </c>
      <c r="EX453">
        <v>269</v>
      </c>
      <c r="EY453">
        <v>315</v>
      </c>
    </row>
    <row r="454" spans="1:155" x14ac:dyDescent="0.35">
      <c r="A454">
        <v>2026</v>
      </c>
      <c r="B454" t="s">
        <v>228</v>
      </c>
      <c r="C454" s="112" t="s">
        <v>228</v>
      </c>
      <c r="D454" t="s">
        <v>991</v>
      </c>
      <c r="E454" t="s">
        <v>230</v>
      </c>
      <c r="F454">
        <v>751</v>
      </c>
      <c r="G454" s="113">
        <v>2</v>
      </c>
      <c r="H454">
        <v>4</v>
      </c>
      <c r="I454" t="s">
        <v>428</v>
      </c>
      <c r="J454">
        <v>24</v>
      </c>
      <c r="K454">
        <v>33</v>
      </c>
      <c r="L454">
        <v>27</v>
      </c>
      <c r="M454">
        <v>30.8</v>
      </c>
      <c r="N454">
        <v>47.2</v>
      </c>
      <c r="O454">
        <v>36.508299999999998</v>
      </c>
      <c r="P454">
        <v>23.9483</v>
      </c>
      <c r="Q454">
        <v>32.661799999999999</v>
      </c>
      <c r="R454">
        <v>27.215499999999999</v>
      </c>
      <c r="T454" t="s">
        <v>168</v>
      </c>
      <c r="U454" t="s">
        <v>169</v>
      </c>
      <c r="V454" t="s">
        <v>429</v>
      </c>
      <c r="W454" t="s">
        <v>430</v>
      </c>
      <c r="Y454">
        <v>8</v>
      </c>
      <c r="Z454" t="s">
        <v>172</v>
      </c>
      <c r="AA454" t="s">
        <v>173</v>
      </c>
      <c r="AB454" t="s">
        <v>170</v>
      </c>
      <c r="AC454" t="s">
        <v>232</v>
      </c>
      <c r="AD454">
        <v>10</v>
      </c>
      <c r="AG454" t="s">
        <v>216</v>
      </c>
      <c r="AH454" t="s">
        <v>217</v>
      </c>
      <c r="AI454" t="s">
        <v>178</v>
      </c>
      <c r="AJ454" t="s">
        <v>179</v>
      </c>
      <c r="AK454" t="s">
        <v>664</v>
      </c>
      <c r="AL454" t="s">
        <v>665</v>
      </c>
      <c r="AS454">
        <v>2300</v>
      </c>
      <c r="AT454">
        <v>2300</v>
      </c>
      <c r="BN454" s="114" t="s">
        <v>256</v>
      </c>
      <c r="BO454">
        <v>2</v>
      </c>
      <c r="BP454">
        <v>2</v>
      </c>
      <c r="BQ454">
        <v>31</v>
      </c>
      <c r="BR454" t="s">
        <v>887</v>
      </c>
      <c r="BT454" t="s">
        <v>183</v>
      </c>
      <c r="BU454" s="115">
        <v>45765</v>
      </c>
      <c r="BV454">
        <v>36446</v>
      </c>
      <c r="BW454" s="116"/>
      <c r="BX454" t="s">
        <v>173</v>
      </c>
      <c r="CB454" t="s">
        <v>173</v>
      </c>
      <c r="CC454" t="s">
        <v>173</v>
      </c>
      <c r="CE454" t="s">
        <v>173</v>
      </c>
      <c r="CG454" t="s">
        <v>172</v>
      </c>
      <c r="CH454" t="s">
        <v>362</v>
      </c>
      <c r="CI454" t="s">
        <v>172</v>
      </c>
      <c r="CJ454" t="s">
        <v>438</v>
      </c>
      <c r="CK454" t="s">
        <v>259</v>
      </c>
      <c r="CM454">
        <v>1</v>
      </c>
      <c r="CN454" t="s">
        <v>260</v>
      </c>
      <c r="CP454">
        <v>48</v>
      </c>
      <c r="CQ454">
        <v>7.7</v>
      </c>
      <c r="CR454">
        <v>52.9</v>
      </c>
      <c r="CS454" t="s">
        <v>261</v>
      </c>
      <c r="CV454" t="s">
        <v>262</v>
      </c>
      <c r="CX454" t="s">
        <v>263</v>
      </c>
      <c r="CY454" t="s">
        <v>173</v>
      </c>
      <c r="DC454" t="s">
        <v>439</v>
      </c>
      <c r="DD454">
        <v>1</v>
      </c>
      <c r="DE454" t="s">
        <v>307</v>
      </c>
      <c r="DF454" t="s">
        <v>356</v>
      </c>
      <c r="DG454">
        <v>10</v>
      </c>
      <c r="DJ454" t="s">
        <v>201</v>
      </c>
      <c r="DK454" t="s">
        <v>202</v>
      </c>
      <c r="DL454" t="s">
        <v>173</v>
      </c>
      <c r="DM454" t="s">
        <v>173</v>
      </c>
      <c r="DN454" t="s">
        <v>173</v>
      </c>
      <c r="DO454" t="s">
        <v>235</v>
      </c>
      <c r="DP454" t="s">
        <v>172</v>
      </c>
      <c r="DQ454" t="s">
        <v>204</v>
      </c>
      <c r="DR454" t="s">
        <v>991</v>
      </c>
      <c r="DY454">
        <v>36.799999999999997</v>
      </c>
      <c r="EA454" s="117"/>
      <c r="EB454">
        <v>5</v>
      </c>
      <c r="EC454">
        <v>5</v>
      </c>
      <c r="EE454" t="s">
        <v>440</v>
      </c>
      <c r="EF454">
        <v>6</v>
      </c>
      <c r="EV454">
        <v>3000</v>
      </c>
      <c r="EW454">
        <v>368</v>
      </c>
      <c r="EX454">
        <v>270</v>
      </c>
      <c r="EY454">
        <v>324</v>
      </c>
    </row>
    <row r="455" spans="1:155" x14ac:dyDescent="0.35">
      <c r="A455">
        <v>2026</v>
      </c>
      <c r="B455" t="s">
        <v>228</v>
      </c>
      <c r="C455" s="112" t="s">
        <v>228</v>
      </c>
      <c r="D455" t="s">
        <v>992</v>
      </c>
      <c r="E455" t="s">
        <v>230</v>
      </c>
      <c r="F455">
        <v>112</v>
      </c>
      <c r="G455" s="113">
        <v>2</v>
      </c>
      <c r="H455">
        <v>4</v>
      </c>
      <c r="I455" t="s">
        <v>231</v>
      </c>
      <c r="J455">
        <v>23</v>
      </c>
      <c r="K455">
        <v>31</v>
      </c>
      <c r="L455">
        <v>26</v>
      </c>
      <c r="M455">
        <v>30.1</v>
      </c>
      <c r="N455">
        <v>44.5</v>
      </c>
      <c r="O455">
        <v>35.2301</v>
      </c>
      <c r="P455">
        <v>23.456299999999999</v>
      </c>
      <c r="Q455">
        <v>30.978100000000001</v>
      </c>
      <c r="R455">
        <v>26.333600000000001</v>
      </c>
      <c r="T455" t="s">
        <v>168</v>
      </c>
      <c r="U455" t="s">
        <v>169</v>
      </c>
      <c r="V455" t="s">
        <v>170</v>
      </c>
      <c r="W455" t="s">
        <v>171</v>
      </c>
      <c r="Y455">
        <v>9</v>
      </c>
      <c r="Z455" t="s">
        <v>172</v>
      </c>
      <c r="AA455" t="s">
        <v>173</v>
      </c>
      <c r="AB455" t="s">
        <v>170</v>
      </c>
      <c r="AC455" t="s">
        <v>232</v>
      </c>
      <c r="AD455">
        <v>10</v>
      </c>
      <c r="AG455" t="s">
        <v>216</v>
      </c>
      <c r="AH455" t="s">
        <v>217</v>
      </c>
      <c r="AI455" t="s">
        <v>178</v>
      </c>
      <c r="AJ455" t="s">
        <v>179</v>
      </c>
      <c r="AK455" t="s">
        <v>664</v>
      </c>
      <c r="AL455" t="s">
        <v>665</v>
      </c>
      <c r="AS455">
        <v>2400</v>
      </c>
      <c r="AT455">
        <v>2400</v>
      </c>
      <c r="BN455" s="114" t="s">
        <v>256</v>
      </c>
      <c r="BO455">
        <v>2</v>
      </c>
      <c r="BP455">
        <v>2</v>
      </c>
      <c r="BQ455">
        <v>31</v>
      </c>
      <c r="BR455" t="s">
        <v>887</v>
      </c>
      <c r="BT455" t="s">
        <v>183</v>
      </c>
      <c r="BU455" s="115">
        <v>45863</v>
      </c>
      <c r="BV455">
        <v>37121</v>
      </c>
      <c r="BW455" s="116"/>
      <c r="BX455" t="s">
        <v>173</v>
      </c>
      <c r="BY455" t="s">
        <v>173</v>
      </c>
      <c r="CB455" t="s">
        <v>173</v>
      </c>
      <c r="CC455" t="s">
        <v>173</v>
      </c>
      <c r="CD455" t="s">
        <v>859</v>
      </c>
      <c r="CE455" t="s">
        <v>173</v>
      </c>
      <c r="CG455" t="s">
        <v>172</v>
      </c>
      <c r="CH455" t="s">
        <v>860</v>
      </c>
      <c r="CI455" t="s">
        <v>173</v>
      </c>
      <c r="CK455" t="s">
        <v>259</v>
      </c>
      <c r="CM455">
        <v>1</v>
      </c>
      <c r="CN455" t="s">
        <v>260</v>
      </c>
      <c r="CP455">
        <v>48</v>
      </c>
      <c r="CQ455">
        <v>17.5</v>
      </c>
      <c r="CR455">
        <v>62.2</v>
      </c>
      <c r="CS455" t="s">
        <v>261</v>
      </c>
      <c r="CV455" t="s">
        <v>262</v>
      </c>
      <c r="CX455" t="s">
        <v>263</v>
      </c>
      <c r="CY455" t="s">
        <v>173</v>
      </c>
      <c r="DC455" t="s">
        <v>355</v>
      </c>
      <c r="DD455">
        <v>1</v>
      </c>
      <c r="DE455" t="s">
        <v>307</v>
      </c>
      <c r="DF455" t="s">
        <v>356</v>
      </c>
      <c r="DG455">
        <v>17</v>
      </c>
      <c r="DJ455" t="s">
        <v>201</v>
      </c>
      <c r="DK455" t="s">
        <v>202</v>
      </c>
      <c r="DL455" t="s">
        <v>173</v>
      </c>
      <c r="DM455" t="s">
        <v>173</v>
      </c>
      <c r="DN455" t="s">
        <v>173</v>
      </c>
      <c r="DO455" t="s">
        <v>347</v>
      </c>
      <c r="DP455" t="s">
        <v>172</v>
      </c>
      <c r="DQ455" t="s">
        <v>204</v>
      </c>
      <c r="DR455" t="s">
        <v>992</v>
      </c>
      <c r="DY455">
        <v>35.5</v>
      </c>
      <c r="EA455" s="117"/>
      <c r="EB455">
        <v>5</v>
      </c>
      <c r="EC455">
        <v>5</v>
      </c>
      <c r="EE455" t="s">
        <v>861</v>
      </c>
      <c r="EF455">
        <v>6</v>
      </c>
      <c r="EV455">
        <v>3500</v>
      </c>
      <c r="EW455">
        <v>380</v>
      </c>
      <c r="EX455">
        <v>287</v>
      </c>
      <c r="EY455">
        <v>338</v>
      </c>
    </row>
    <row r="456" spans="1:155" x14ac:dyDescent="0.35">
      <c r="A456">
        <v>2026</v>
      </c>
      <c r="B456" t="s">
        <v>228</v>
      </c>
      <c r="C456" s="112" t="s">
        <v>228</v>
      </c>
      <c r="D456" t="s">
        <v>993</v>
      </c>
      <c r="E456" t="s">
        <v>230</v>
      </c>
      <c r="F456">
        <v>130</v>
      </c>
      <c r="G456" s="113">
        <v>2</v>
      </c>
      <c r="H456">
        <v>4</v>
      </c>
      <c r="I456" t="s">
        <v>231</v>
      </c>
      <c r="J456">
        <v>23</v>
      </c>
      <c r="K456">
        <v>31</v>
      </c>
      <c r="L456">
        <v>26</v>
      </c>
      <c r="M456">
        <v>29.9</v>
      </c>
      <c r="N456">
        <v>44.1</v>
      </c>
      <c r="O456">
        <v>34.9666</v>
      </c>
      <c r="P456">
        <v>23.315300000000001</v>
      </c>
      <c r="Q456">
        <v>30.726900000000001</v>
      </c>
      <c r="R456">
        <v>26.154199999999999</v>
      </c>
      <c r="T456" t="s">
        <v>168</v>
      </c>
      <c r="U456" t="s">
        <v>169</v>
      </c>
      <c r="V456" t="s">
        <v>170</v>
      </c>
      <c r="W456" t="s">
        <v>171</v>
      </c>
      <c r="Y456">
        <v>9</v>
      </c>
      <c r="Z456" t="s">
        <v>172</v>
      </c>
      <c r="AA456" t="s">
        <v>173</v>
      </c>
      <c r="AB456" t="s">
        <v>170</v>
      </c>
      <c r="AC456" t="s">
        <v>232</v>
      </c>
      <c r="AD456">
        <v>10</v>
      </c>
      <c r="AG456" t="s">
        <v>216</v>
      </c>
      <c r="AH456" t="s">
        <v>217</v>
      </c>
      <c r="AI456" t="s">
        <v>178</v>
      </c>
      <c r="AJ456" t="s">
        <v>179</v>
      </c>
      <c r="AK456" t="s">
        <v>664</v>
      </c>
      <c r="AL456" t="s">
        <v>665</v>
      </c>
      <c r="AS456">
        <v>2400</v>
      </c>
      <c r="AT456">
        <v>2400</v>
      </c>
      <c r="BN456" s="114" t="s">
        <v>256</v>
      </c>
      <c r="BO456">
        <v>2</v>
      </c>
      <c r="BP456">
        <v>2</v>
      </c>
      <c r="BQ456">
        <v>31</v>
      </c>
      <c r="BR456" t="s">
        <v>887</v>
      </c>
      <c r="BT456" t="s">
        <v>183</v>
      </c>
      <c r="BU456" s="115">
        <v>45863</v>
      </c>
      <c r="BV456">
        <v>37119</v>
      </c>
      <c r="BW456" s="116"/>
      <c r="BX456" t="s">
        <v>173</v>
      </c>
      <c r="CB456" t="s">
        <v>173</v>
      </c>
      <c r="CC456" t="s">
        <v>173</v>
      </c>
      <c r="CD456" t="s">
        <v>859</v>
      </c>
      <c r="CE456" t="s">
        <v>173</v>
      </c>
      <c r="CG456" t="s">
        <v>172</v>
      </c>
      <c r="CH456" t="s">
        <v>860</v>
      </c>
      <c r="CI456" t="s">
        <v>173</v>
      </c>
      <c r="CK456" t="s">
        <v>259</v>
      </c>
      <c r="CM456">
        <v>1</v>
      </c>
      <c r="CN456" t="s">
        <v>260</v>
      </c>
      <c r="CP456">
        <v>48</v>
      </c>
      <c r="CQ456">
        <v>17.5</v>
      </c>
      <c r="CR456">
        <v>62.2</v>
      </c>
      <c r="CS456" t="s">
        <v>261</v>
      </c>
      <c r="CV456" t="s">
        <v>262</v>
      </c>
      <c r="CX456" t="s">
        <v>263</v>
      </c>
      <c r="CY456" t="s">
        <v>173</v>
      </c>
      <c r="DC456" t="s">
        <v>355</v>
      </c>
      <c r="DD456">
        <v>1</v>
      </c>
      <c r="DE456" t="s">
        <v>307</v>
      </c>
      <c r="DF456" t="s">
        <v>356</v>
      </c>
      <c r="DG456">
        <v>17</v>
      </c>
      <c r="DJ456" t="s">
        <v>201</v>
      </c>
      <c r="DK456" t="s">
        <v>202</v>
      </c>
      <c r="DL456" t="s">
        <v>173</v>
      </c>
      <c r="DM456" t="s">
        <v>173</v>
      </c>
      <c r="DN456" t="s">
        <v>173</v>
      </c>
      <c r="DO456" t="s">
        <v>347</v>
      </c>
      <c r="DP456" t="s">
        <v>172</v>
      </c>
      <c r="DQ456" t="s">
        <v>204</v>
      </c>
      <c r="DR456" t="s">
        <v>993</v>
      </c>
      <c r="DY456">
        <v>35.200000000000003</v>
      </c>
      <c r="EA456" s="117"/>
      <c r="EB456">
        <v>5</v>
      </c>
      <c r="EC456">
        <v>5</v>
      </c>
      <c r="EE456" t="s">
        <v>861</v>
      </c>
      <c r="EF456">
        <v>6</v>
      </c>
      <c r="EV456">
        <v>3500</v>
      </c>
      <c r="EW456">
        <v>379</v>
      </c>
      <c r="EX456">
        <v>287</v>
      </c>
      <c r="EY456">
        <v>337</v>
      </c>
    </row>
    <row r="457" spans="1:155" x14ac:dyDescent="0.35">
      <c r="A457">
        <v>2026</v>
      </c>
      <c r="B457" t="s">
        <v>228</v>
      </c>
      <c r="C457" s="112" t="s">
        <v>228</v>
      </c>
      <c r="D457" t="s">
        <v>994</v>
      </c>
      <c r="E457" t="s">
        <v>230</v>
      </c>
      <c r="F457">
        <v>414</v>
      </c>
      <c r="G457" s="113">
        <v>2</v>
      </c>
      <c r="H457">
        <v>4</v>
      </c>
      <c r="I457" t="s">
        <v>231</v>
      </c>
      <c r="J457">
        <v>21</v>
      </c>
      <c r="K457">
        <v>28</v>
      </c>
      <c r="L457">
        <v>23</v>
      </c>
      <c r="M457">
        <v>25.9985</v>
      </c>
      <c r="N457">
        <v>39.698999999999998</v>
      </c>
      <c r="O457">
        <v>30.778400000000001</v>
      </c>
      <c r="P457">
        <v>20.528500000000001</v>
      </c>
      <c r="Q457">
        <v>27.933800000000002</v>
      </c>
      <c r="R457">
        <v>23.309200000000001</v>
      </c>
      <c r="T457" t="s">
        <v>168</v>
      </c>
      <c r="U457" t="s">
        <v>169</v>
      </c>
      <c r="V457" t="s">
        <v>170</v>
      </c>
      <c r="W457" t="s">
        <v>171</v>
      </c>
      <c r="Y457">
        <v>9</v>
      </c>
      <c r="Z457" t="s">
        <v>172</v>
      </c>
      <c r="AA457" t="s">
        <v>173</v>
      </c>
      <c r="AB457" t="s">
        <v>174</v>
      </c>
      <c r="AC457" t="s">
        <v>175</v>
      </c>
      <c r="AD457">
        <v>10</v>
      </c>
      <c r="AG457" t="s">
        <v>216</v>
      </c>
      <c r="AH457" t="s">
        <v>217</v>
      </c>
      <c r="AI457" t="s">
        <v>178</v>
      </c>
      <c r="AJ457" t="s">
        <v>179</v>
      </c>
      <c r="AK457" t="s">
        <v>664</v>
      </c>
      <c r="AL457" t="s">
        <v>665</v>
      </c>
      <c r="AS457">
        <v>2700</v>
      </c>
      <c r="AT457">
        <v>2700</v>
      </c>
      <c r="BN457" s="114" t="s">
        <v>256</v>
      </c>
      <c r="BO457">
        <v>2</v>
      </c>
      <c r="BP457">
        <v>2</v>
      </c>
      <c r="BQ457">
        <v>31</v>
      </c>
      <c r="BR457" t="s">
        <v>887</v>
      </c>
      <c r="BT457" t="s">
        <v>183</v>
      </c>
      <c r="BU457" s="115">
        <v>45812</v>
      </c>
      <c r="BV457">
        <v>36732</v>
      </c>
      <c r="BW457" s="116"/>
      <c r="BY457" t="s">
        <v>173</v>
      </c>
      <c r="CB457" t="s">
        <v>173</v>
      </c>
      <c r="CC457" t="s">
        <v>173</v>
      </c>
      <c r="CE457" t="s">
        <v>173</v>
      </c>
      <c r="CG457" t="s">
        <v>172</v>
      </c>
      <c r="CH457" t="s">
        <v>362</v>
      </c>
      <c r="CI457" t="s">
        <v>173</v>
      </c>
      <c r="CK457" t="s">
        <v>259</v>
      </c>
      <c r="CM457">
        <v>1</v>
      </c>
      <c r="CN457" t="s">
        <v>260</v>
      </c>
      <c r="CP457">
        <v>48</v>
      </c>
      <c r="CQ457">
        <v>20</v>
      </c>
      <c r="CR457">
        <v>80</v>
      </c>
      <c r="CS457" t="s">
        <v>261</v>
      </c>
      <c r="CV457" t="s">
        <v>262</v>
      </c>
      <c r="CX457" t="s">
        <v>263</v>
      </c>
      <c r="CY457" t="s">
        <v>173</v>
      </c>
      <c r="DC457" t="s">
        <v>364</v>
      </c>
      <c r="DD457">
        <v>1</v>
      </c>
      <c r="DE457" t="s">
        <v>307</v>
      </c>
      <c r="DF457" t="s">
        <v>356</v>
      </c>
      <c r="DG457">
        <v>15</v>
      </c>
      <c r="DJ457" t="s">
        <v>201</v>
      </c>
      <c r="DK457" t="s">
        <v>202</v>
      </c>
      <c r="DL457" t="s">
        <v>173</v>
      </c>
      <c r="DM457" t="s">
        <v>173</v>
      </c>
      <c r="DN457" t="s">
        <v>173</v>
      </c>
      <c r="DO457" t="s">
        <v>347</v>
      </c>
      <c r="DP457" t="s">
        <v>172</v>
      </c>
      <c r="DQ457" t="s">
        <v>204</v>
      </c>
      <c r="DR457" t="s">
        <v>994</v>
      </c>
      <c r="DY457">
        <v>31</v>
      </c>
      <c r="EA457" s="117"/>
      <c r="EB457">
        <v>5</v>
      </c>
      <c r="EC457">
        <v>5</v>
      </c>
      <c r="EE457" t="s">
        <v>995</v>
      </c>
      <c r="EF457">
        <v>6</v>
      </c>
      <c r="EV457">
        <v>5000</v>
      </c>
      <c r="EW457">
        <v>434</v>
      </c>
      <c r="EX457">
        <v>318</v>
      </c>
      <c r="EY457">
        <v>382</v>
      </c>
    </row>
    <row r="458" spans="1:155" x14ac:dyDescent="0.35">
      <c r="A458">
        <v>2026</v>
      </c>
      <c r="B458" t="s">
        <v>228</v>
      </c>
      <c r="C458" s="112" t="s">
        <v>228</v>
      </c>
      <c r="D458" t="s">
        <v>996</v>
      </c>
      <c r="E458" t="s">
        <v>230</v>
      </c>
      <c r="F458">
        <v>415</v>
      </c>
      <c r="G458" s="113">
        <v>2</v>
      </c>
      <c r="H458">
        <v>4</v>
      </c>
      <c r="I458" t="s">
        <v>231</v>
      </c>
      <c r="J458">
        <v>19</v>
      </c>
      <c r="K458">
        <v>26</v>
      </c>
      <c r="L458">
        <v>22</v>
      </c>
      <c r="M458">
        <v>24.3</v>
      </c>
      <c r="N458">
        <v>36.1</v>
      </c>
      <c r="O458">
        <v>28.4907</v>
      </c>
      <c r="P458">
        <v>19.293199999999999</v>
      </c>
      <c r="Q458">
        <v>25.6084</v>
      </c>
      <c r="R458">
        <v>21.701499999999999</v>
      </c>
      <c r="T458" t="s">
        <v>168</v>
      </c>
      <c r="U458" t="s">
        <v>169</v>
      </c>
      <c r="V458" t="s">
        <v>170</v>
      </c>
      <c r="W458" t="s">
        <v>171</v>
      </c>
      <c r="Y458">
        <v>9</v>
      </c>
      <c r="Z458" t="s">
        <v>172</v>
      </c>
      <c r="AA458" t="s">
        <v>173</v>
      </c>
      <c r="AB458" t="s">
        <v>170</v>
      </c>
      <c r="AC458" t="s">
        <v>232</v>
      </c>
      <c r="AD458">
        <v>10</v>
      </c>
      <c r="AG458" t="s">
        <v>216</v>
      </c>
      <c r="AH458" t="s">
        <v>217</v>
      </c>
      <c r="AI458" t="s">
        <v>178</v>
      </c>
      <c r="AJ458" t="s">
        <v>179</v>
      </c>
      <c r="AK458" t="s">
        <v>664</v>
      </c>
      <c r="AL458" t="s">
        <v>665</v>
      </c>
      <c r="AS458">
        <v>2850</v>
      </c>
      <c r="AT458">
        <v>2850</v>
      </c>
      <c r="BN458" s="114" t="s">
        <v>256</v>
      </c>
      <c r="BO458">
        <v>2</v>
      </c>
      <c r="BP458">
        <v>2</v>
      </c>
      <c r="BQ458">
        <v>31</v>
      </c>
      <c r="BR458" t="s">
        <v>887</v>
      </c>
      <c r="BT458" t="s">
        <v>183</v>
      </c>
      <c r="BU458" s="115">
        <v>45814</v>
      </c>
      <c r="BV458">
        <v>36730</v>
      </c>
      <c r="BW458" s="116"/>
      <c r="BY458" t="s">
        <v>173</v>
      </c>
      <c r="CB458" t="s">
        <v>173</v>
      </c>
      <c r="CC458" t="s">
        <v>173</v>
      </c>
      <c r="CE458" t="s">
        <v>173</v>
      </c>
      <c r="CG458" t="s">
        <v>172</v>
      </c>
      <c r="CH458" t="s">
        <v>362</v>
      </c>
      <c r="CI458" t="s">
        <v>173</v>
      </c>
      <c r="CK458" t="s">
        <v>259</v>
      </c>
      <c r="CM458">
        <v>1</v>
      </c>
      <c r="CN458" t="s">
        <v>260</v>
      </c>
      <c r="CP458">
        <v>48</v>
      </c>
      <c r="CQ458">
        <v>20</v>
      </c>
      <c r="CR458">
        <v>80</v>
      </c>
      <c r="CS458" t="s">
        <v>261</v>
      </c>
      <c r="CV458" t="s">
        <v>262</v>
      </c>
      <c r="CX458" t="s">
        <v>263</v>
      </c>
      <c r="CY458" t="s">
        <v>173</v>
      </c>
      <c r="DC458" t="s">
        <v>364</v>
      </c>
      <c r="DD458">
        <v>1</v>
      </c>
      <c r="DE458" t="s">
        <v>307</v>
      </c>
      <c r="DF458" t="s">
        <v>356</v>
      </c>
      <c r="DG458">
        <v>15</v>
      </c>
      <c r="DJ458" t="s">
        <v>201</v>
      </c>
      <c r="DK458" t="s">
        <v>202</v>
      </c>
      <c r="DL458" t="s">
        <v>173</v>
      </c>
      <c r="DM458" t="s">
        <v>173</v>
      </c>
      <c r="DN458" t="s">
        <v>173</v>
      </c>
      <c r="DO458" t="s">
        <v>347</v>
      </c>
      <c r="DP458" t="s">
        <v>172</v>
      </c>
      <c r="DQ458" t="s">
        <v>204</v>
      </c>
      <c r="DR458" t="s">
        <v>996</v>
      </c>
      <c r="DY458">
        <v>28.7</v>
      </c>
      <c r="EA458" s="117"/>
      <c r="EB458">
        <v>4</v>
      </c>
      <c r="EC458">
        <v>4</v>
      </c>
      <c r="EE458" t="s">
        <v>995</v>
      </c>
      <c r="EF458">
        <v>6</v>
      </c>
      <c r="EV458">
        <v>5750</v>
      </c>
      <c r="EW458">
        <v>461</v>
      </c>
      <c r="EX458">
        <v>347</v>
      </c>
      <c r="EY458">
        <v>410</v>
      </c>
    </row>
    <row r="459" spans="1:155" x14ac:dyDescent="0.35">
      <c r="A459">
        <v>2026</v>
      </c>
      <c r="B459" t="s">
        <v>192</v>
      </c>
      <c r="C459" s="112" t="s">
        <v>272</v>
      </c>
      <c r="D459" t="s">
        <v>997</v>
      </c>
      <c r="E459" t="s">
        <v>194</v>
      </c>
      <c r="F459">
        <v>62</v>
      </c>
      <c r="G459" s="113">
        <v>2</v>
      </c>
      <c r="H459">
        <v>4</v>
      </c>
      <c r="I459" t="s">
        <v>274</v>
      </c>
      <c r="J459">
        <v>24</v>
      </c>
      <c r="K459">
        <v>32</v>
      </c>
      <c r="L459">
        <v>27</v>
      </c>
      <c r="M459">
        <v>30.844200000000001</v>
      </c>
      <c r="N459">
        <v>46.419199999999996</v>
      </c>
      <c r="O459">
        <v>36.329500000000003</v>
      </c>
      <c r="P459">
        <v>23.979299999999999</v>
      </c>
      <c r="Q459">
        <v>32.176900000000003</v>
      </c>
      <c r="R459">
        <v>27.084399999999999</v>
      </c>
      <c r="T459" t="s">
        <v>168</v>
      </c>
      <c r="U459" t="s">
        <v>169</v>
      </c>
      <c r="V459" t="s">
        <v>275</v>
      </c>
      <c r="W459" t="s">
        <v>276</v>
      </c>
      <c r="Y459">
        <v>7</v>
      </c>
      <c r="Z459" t="s">
        <v>173</v>
      </c>
      <c r="AA459" t="s">
        <v>173</v>
      </c>
      <c r="AB459" t="s">
        <v>170</v>
      </c>
      <c r="AC459" t="s">
        <v>232</v>
      </c>
      <c r="AD459">
        <v>10</v>
      </c>
      <c r="AG459" t="s">
        <v>176</v>
      </c>
      <c r="AH459" t="s">
        <v>177</v>
      </c>
      <c r="AI459" t="s">
        <v>178</v>
      </c>
      <c r="AJ459" t="s">
        <v>179</v>
      </c>
      <c r="AK459" t="s">
        <v>664</v>
      </c>
      <c r="AL459" t="s">
        <v>665</v>
      </c>
      <c r="AS459">
        <v>2300</v>
      </c>
      <c r="AT459">
        <v>2300</v>
      </c>
      <c r="BN459" s="114" t="s">
        <v>247</v>
      </c>
      <c r="BO459">
        <v>2</v>
      </c>
      <c r="BP459">
        <v>2</v>
      </c>
      <c r="BQ459">
        <v>31</v>
      </c>
      <c r="BR459" t="s">
        <v>887</v>
      </c>
      <c r="BT459" t="s">
        <v>183</v>
      </c>
      <c r="BU459" s="115">
        <v>45870</v>
      </c>
      <c r="BV459">
        <v>37085</v>
      </c>
      <c r="BW459" s="116"/>
      <c r="BX459" t="s">
        <v>172</v>
      </c>
      <c r="BY459" t="s">
        <v>173</v>
      </c>
      <c r="CB459" t="s">
        <v>173</v>
      </c>
      <c r="CC459" t="s">
        <v>173</v>
      </c>
      <c r="CE459" t="s">
        <v>173</v>
      </c>
      <c r="CG459" t="s">
        <v>172</v>
      </c>
      <c r="CH459" t="s">
        <v>282</v>
      </c>
      <c r="CI459" t="s">
        <v>172</v>
      </c>
      <c r="CJ459" t="s">
        <v>283</v>
      </c>
      <c r="DJ459" t="s">
        <v>250</v>
      </c>
      <c r="DK459" t="s">
        <v>251</v>
      </c>
      <c r="DL459" t="s">
        <v>173</v>
      </c>
      <c r="DM459" t="s">
        <v>173</v>
      </c>
      <c r="DN459" t="s">
        <v>173</v>
      </c>
      <c r="DO459" t="s">
        <v>284</v>
      </c>
      <c r="DP459" t="s">
        <v>172</v>
      </c>
      <c r="DQ459" t="s">
        <v>204</v>
      </c>
      <c r="EA459" s="117"/>
      <c r="EB459">
        <v>5</v>
      </c>
      <c r="EC459">
        <v>5</v>
      </c>
      <c r="EE459" t="s">
        <v>285</v>
      </c>
      <c r="EF459">
        <v>7</v>
      </c>
      <c r="EV459">
        <v>3000</v>
      </c>
      <c r="EW459">
        <v>366</v>
      </c>
      <c r="EX459">
        <v>273</v>
      </c>
      <c r="EY459">
        <v>324</v>
      </c>
    </row>
    <row r="460" spans="1:155" x14ac:dyDescent="0.35">
      <c r="A460">
        <v>2026</v>
      </c>
      <c r="B460" t="s">
        <v>192</v>
      </c>
      <c r="C460" s="112" t="s">
        <v>272</v>
      </c>
      <c r="D460" t="s">
        <v>998</v>
      </c>
      <c r="E460" t="s">
        <v>194</v>
      </c>
      <c r="F460">
        <v>86</v>
      </c>
      <c r="G460" s="113">
        <v>2</v>
      </c>
      <c r="H460">
        <v>4</v>
      </c>
      <c r="I460" t="s">
        <v>274</v>
      </c>
      <c r="J460">
        <v>23</v>
      </c>
      <c r="K460">
        <v>30</v>
      </c>
      <c r="L460">
        <v>25</v>
      </c>
      <c r="M460">
        <v>28.757300000000001</v>
      </c>
      <c r="N460">
        <v>43.604100000000003</v>
      </c>
      <c r="O460">
        <v>33.960799999999999</v>
      </c>
      <c r="P460">
        <v>22.5063</v>
      </c>
      <c r="Q460">
        <v>30.414899999999999</v>
      </c>
      <c r="R460">
        <v>25.488800000000001</v>
      </c>
      <c r="T460" t="s">
        <v>168</v>
      </c>
      <c r="U460" t="s">
        <v>169</v>
      </c>
      <c r="V460" t="s">
        <v>275</v>
      </c>
      <c r="W460" t="s">
        <v>276</v>
      </c>
      <c r="Y460">
        <v>7</v>
      </c>
      <c r="Z460" t="s">
        <v>173</v>
      </c>
      <c r="AA460" t="s">
        <v>173</v>
      </c>
      <c r="AB460" t="s">
        <v>170</v>
      </c>
      <c r="AC460" t="s">
        <v>232</v>
      </c>
      <c r="AD460">
        <v>10</v>
      </c>
      <c r="AG460" t="s">
        <v>176</v>
      </c>
      <c r="AH460" t="s">
        <v>177</v>
      </c>
      <c r="AI460" t="s">
        <v>178</v>
      </c>
      <c r="AJ460" t="s">
        <v>179</v>
      </c>
      <c r="AK460" t="s">
        <v>664</v>
      </c>
      <c r="AL460" t="s">
        <v>665</v>
      </c>
      <c r="AS460">
        <v>2500</v>
      </c>
      <c r="AT460">
        <v>2500</v>
      </c>
      <c r="BN460" s="114" t="s">
        <v>247</v>
      </c>
      <c r="BO460">
        <v>2</v>
      </c>
      <c r="BP460">
        <v>2</v>
      </c>
      <c r="BQ460">
        <v>31</v>
      </c>
      <c r="BR460" t="s">
        <v>887</v>
      </c>
      <c r="BT460" t="s">
        <v>183</v>
      </c>
      <c r="BU460" s="115">
        <v>45870</v>
      </c>
      <c r="BV460">
        <v>37117</v>
      </c>
      <c r="BW460" s="116"/>
      <c r="BX460" t="s">
        <v>172</v>
      </c>
      <c r="BY460" t="s">
        <v>173</v>
      </c>
      <c r="CB460" t="s">
        <v>173</v>
      </c>
      <c r="CC460" t="s">
        <v>173</v>
      </c>
      <c r="CE460" t="s">
        <v>173</v>
      </c>
      <c r="CG460" t="s">
        <v>172</v>
      </c>
      <c r="CH460" t="s">
        <v>282</v>
      </c>
      <c r="CI460" t="s">
        <v>172</v>
      </c>
      <c r="CJ460" t="s">
        <v>283</v>
      </c>
      <c r="DJ460" t="s">
        <v>250</v>
      </c>
      <c r="DK460" t="s">
        <v>251</v>
      </c>
      <c r="DN460" t="s">
        <v>173</v>
      </c>
      <c r="DO460" t="s">
        <v>284</v>
      </c>
      <c r="DP460" t="s">
        <v>172</v>
      </c>
      <c r="DQ460" t="s">
        <v>204</v>
      </c>
      <c r="EA460" s="117"/>
      <c r="EB460">
        <v>5</v>
      </c>
      <c r="EC460">
        <v>5</v>
      </c>
      <c r="EE460" t="s">
        <v>380</v>
      </c>
      <c r="EF460">
        <v>5</v>
      </c>
      <c r="EV460">
        <v>4000</v>
      </c>
      <c r="EW460">
        <v>389</v>
      </c>
      <c r="EX460">
        <v>288</v>
      </c>
      <c r="EY460">
        <v>344</v>
      </c>
    </row>
    <row r="461" spans="1:155" x14ac:dyDescent="0.35">
      <c r="A461">
        <v>2026</v>
      </c>
      <c r="B461" t="s">
        <v>1267</v>
      </c>
      <c r="C461" s="112" t="s">
        <v>1268</v>
      </c>
      <c r="D461" t="s">
        <v>1299</v>
      </c>
      <c r="E461" t="s">
        <v>1269</v>
      </c>
      <c r="F461">
        <v>231</v>
      </c>
      <c r="G461" s="113">
        <v>1.5</v>
      </c>
      <c r="H461">
        <v>4</v>
      </c>
      <c r="I461" t="s">
        <v>644</v>
      </c>
      <c r="J461">
        <v>25</v>
      </c>
      <c r="K461">
        <v>26</v>
      </c>
      <c r="L461">
        <v>25</v>
      </c>
      <c r="M461">
        <v>32.230400000000003</v>
      </c>
      <c r="N461">
        <v>40.899500000000003</v>
      </c>
      <c r="O461">
        <v>35.628799999999998</v>
      </c>
      <c r="P461">
        <v>24.946999999999999</v>
      </c>
      <c r="Q461">
        <v>26</v>
      </c>
      <c r="R461">
        <v>25</v>
      </c>
      <c r="T461" t="s">
        <v>168</v>
      </c>
      <c r="U461" t="s">
        <v>169</v>
      </c>
      <c r="V461" t="s">
        <v>497</v>
      </c>
      <c r="W461" t="s">
        <v>498</v>
      </c>
      <c r="Y461">
        <v>8</v>
      </c>
      <c r="Z461" t="s">
        <v>172</v>
      </c>
      <c r="AA461" t="s">
        <v>173</v>
      </c>
      <c r="AB461">
        <v>4</v>
      </c>
      <c r="AC461" t="s">
        <v>423</v>
      </c>
      <c r="AD461">
        <v>10</v>
      </c>
      <c r="AG461" t="s">
        <v>167</v>
      </c>
      <c r="AH461" t="s">
        <v>416</v>
      </c>
      <c r="AI461" t="s">
        <v>178</v>
      </c>
      <c r="AJ461" t="s">
        <v>179</v>
      </c>
      <c r="AK461" t="s">
        <v>664</v>
      </c>
      <c r="AL461" t="s">
        <v>665</v>
      </c>
      <c r="AS461">
        <v>2000</v>
      </c>
      <c r="AT461">
        <v>2000</v>
      </c>
      <c r="BN461" s="114" t="s">
        <v>198</v>
      </c>
      <c r="BO461">
        <v>2</v>
      </c>
      <c r="BP461">
        <v>2</v>
      </c>
      <c r="BQ461">
        <v>31</v>
      </c>
      <c r="BR461" t="s">
        <v>887</v>
      </c>
      <c r="BT461" t="s">
        <v>613</v>
      </c>
      <c r="BU461" s="115">
        <v>45900</v>
      </c>
      <c r="BV461">
        <v>36791</v>
      </c>
      <c r="BW461" s="116"/>
      <c r="BX461" t="s">
        <v>173</v>
      </c>
      <c r="BY461" t="s">
        <v>173</v>
      </c>
      <c r="CB461" t="s">
        <v>173</v>
      </c>
      <c r="CC461" t="s">
        <v>173</v>
      </c>
      <c r="CE461" t="s">
        <v>173</v>
      </c>
      <c r="CG461" t="s">
        <v>172</v>
      </c>
      <c r="CH461" t="s">
        <v>1300</v>
      </c>
      <c r="CI461" t="s">
        <v>173</v>
      </c>
      <c r="DJ461" t="s">
        <v>201</v>
      </c>
      <c r="DK461" t="s">
        <v>202</v>
      </c>
      <c r="DN461" t="s">
        <v>173</v>
      </c>
      <c r="DO461" t="s">
        <v>203</v>
      </c>
      <c r="DP461" t="s">
        <v>173</v>
      </c>
      <c r="DQ461" t="s">
        <v>189</v>
      </c>
      <c r="EA461" s="117"/>
      <c r="EB461">
        <v>5</v>
      </c>
      <c r="EC461">
        <v>5</v>
      </c>
      <c r="EE461" t="s">
        <v>1301</v>
      </c>
      <c r="EF461">
        <v>2</v>
      </c>
      <c r="EV461">
        <v>1500</v>
      </c>
      <c r="EW461">
        <v>354</v>
      </c>
      <c r="EX461">
        <v>338</v>
      </c>
      <c r="EY461">
        <v>353</v>
      </c>
    </row>
    <row r="462" spans="1:155" x14ac:dyDescent="0.35">
      <c r="A462">
        <v>2026</v>
      </c>
      <c r="B462" t="s">
        <v>1267</v>
      </c>
      <c r="C462" s="112" t="s">
        <v>1268</v>
      </c>
      <c r="D462" t="s">
        <v>1302</v>
      </c>
      <c r="E462" t="s">
        <v>1269</v>
      </c>
      <c r="F462">
        <v>233</v>
      </c>
      <c r="G462" s="113">
        <v>1.5</v>
      </c>
      <c r="H462">
        <v>4</v>
      </c>
      <c r="I462" t="s">
        <v>644</v>
      </c>
      <c r="J462">
        <v>25</v>
      </c>
      <c r="K462">
        <v>28</v>
      </c>
      <c r="L462">
        <v>26</v>
      </c>
      <c r="M462">
        <v>33.464500000000001</v>
      </c>
      <c r="N462">
        <v>42.291600000000003</v>
      </c>
      <c r="O462">
        <v>36.933399999999999</v>
      </c>
      <c r="P462">
        <v>25</v>
      </c>
      <c r="Q462">
        <v>28.117899999999999</v>
      </c>
      <c r="R462">
        <v>26</v>
      </c>
      <c r="T462" t="s">
        <v>168</v>
      </c>
      <c r="U462" t="s">
        <v>169</v>
      </c>
      <c r="V462" t="s">
        <v>497</v>
      </c>
      <c r="W462" t="s">
        <v>498</v>
      </c>
      <c r="Y462">
        <v>8</v>
      </c>
      <c r="Z462" t="s">
        <v>172</v>
      </c>
      <c r="AA462" t="s">
        <v>173</v>
      </c>
      <c r="AB462">
        <v>4</v>
      </c>
      <c r="AC462" t="s">
        <v>423</v>
      </c>
      <c r="AD462">
        <v>10</v>
      </c>
      <c r="AG462" t="s">
        <v>167</v>
      </c>
      <c r="AH462" t="s">
        <v>416</v>
      </c>
      <c r="AI462" t="s">
        <v>178</v>
      </c>
      <c r="AJ462" t="s">
        <v>179</v>
      </c>
      <c r="AK462" t="s">
        <v>664</v>
      </c>
      <c r="AL462" t="s">
        <v>665</v>
      </c>
      <c r="AS462">
        <v>1900</v>
      </c>
      <c r="AT462">
        <v>1900</v>
      </c>
      <c r="BN462" s="114" t="s">
        <v>198</v>
      </c>
      <c r="BO462">
        <v>2</v>
      </c>
      <c r="BP462">
        <v>2</v>
      </c>
      <c r="BQ462">
        <v>31</v>
      </c>
      <c r="BR462" t="s">
        <v>887</v>
      </c>
      <c r="BT462" t="s">
        <v>613</v>
      </c>
      <c r="BU462" s="115">
        <v>45900</v>
      </c>
      <c r="BV462">
        <v>36790</v>
      </c>
      <c r="BW462" s="116"/>
      <c r="BX462" t="s">
        <v>172</v>
      </c>
      <c r="BY462" t="s">
        <v>173</v>
      </c>
      <c r="CB462" t="s">
        <v>173</v>
      </c>
      <c r="CC462" t="s">
        <v>173</v>
      </c>
      <c r="CE462" t="s">
        <v>173</v>
      </c>
      <c r="CG462" t="s">
        <v>172</v>
      </c>
      <c r="CH462" t="s">
        <v>1300</v>
      </c>
      <c r="CI462" t="s">
        <v>173</v>
      </c>
      <c r="DJ462" t="s">
        <v>201</v>
      </c>
      <c r="DK462" t="s">
        <v>202</v>
      </c>
      <c r="DN462" t="s">
        <v>173</v>
      </c>
      <c r="DO462" t="s">
        <v>203</v>
      </c>
      <c r="DP462" t="s">
        <v>173</v>
      </c>
      <c r="DQ462" t="s">
        <v>189</v>
      </c>
      <c r="EA462" s="117"/>
      <c r="EB462">
        <v>5</v>
      </c>
      <c r="EC462">
        <v>5</v>
      </c>
      <c r="EE462" t="s">
        <v>1301</v>
      </c>
      <c r="EF462">
        <v>2</v>
      </c>
      <c r="EV462">
        <v>1000</v>
      </c>
      <c r="EW462">
        <v>354</v>
      </c>
      <c r="EX462">
        <v>312</v>
      </c>
      <c r="EY462">
        <v>339</v>
      </c>
    </row>
    <row r="463" spans="1:155" x14ac:dyDescent="0.35">
      <c r="A463">
        <v>2026</v>
      </c>
      <c r="B463" t="s">
        <v>862</v>
      </c>
      <c r="C463" s="112" t="s">
        <v>863</v>
      </c>
      <c r="D463" t="s">
        <v>1303</v>
      </c>
      <c r="E463" t="s">
        <v>865</v>
      </c>
      <c r="F463">
        <v>392</v>
      </c>
      <c r="G463" s="113">
        <v>2</v>
      </c>
      <c r="H463">
        <v>4</v>
      </c>
      <c r="I463" t="s">
        <v>487</v>
      </c>
      <c r="J463">
        <v>27</v>
      </c>
      <c r="K463">
        <v>34</v>
      </c>
      <c r="L463">
        <v>30</v>
      </c>
      <c r="M463">
        <v>36.4574</v>
      </c>
      <c r="N463">
        <v>49.456400000000002</v>
      </c>
      <c r="O463">
        <v>41.347900000000003</v>
      </c>
      <c r="P463">
        <v>27</v>
      </c>
      <c r="Q463">
        <v>34.0535</v>
      </c>
      <c r="R463">
        <v>30.334399999999999</v>
      </c>
      <c r="U463" t="s">
        <v>215</v>
      </c>
      <c r="V463" t="s">
        <v>488</v>
      </c>
      <c r="W463" t="s">
        <v>489</v>
      </c>
      <c r="Y463">
        <v>1</v>
      </c>
      <c r="Z463" t="s">
        <v>172</v>
      </c>
      <c r="AA463" t="s">
        <v>173</v>
      </c>
      <c r="AB463" t="s">
        <v>170</v>
      </c>
      <c r="AC463" t="s">
        <v>232</v>
      </c>
      <c r="AD463">
        <v>10</v>
      </c>
      <c r="AG463" t="s">
        <v>167</v>
      </c>
      <c r="AH463" t="s">
        <v>416</v>
      </c>
      <c r="AI463" t="s">
        <v>178</v>
      </c>
      <c r="AJ463" t="s">
        <v>179</v>
      </c>
      <c r="AK463" t="s">
        <v>664</v>
      </c>
      <c r="AL463" t="s">
        <v>665</v>
      </c>
      <c r="AS463">
        <v>1650</v>
      </c>
      <c r="AT463">
        <v>1650</v>
      </c>
      <c r="BN463" s="114" t="s">
        <v>198</v>
      </c>
      <c r="BO463">
        <v>2</v>
      </c>
      <c r="BP463">
        <v>2</v>
      </c>
      <c r="BQ463">
        <v>31</v>
      </c>
      <c r="BR463" t="s">
        <v>887</v>
      </c>
      <c r="BT463" t="s">
        <v>183</v>
      </c>
      <c r="BU463" s="115">
        <v>45905</v>
      </c>
      <c r="BV463">
        <v>37254</v>
      </c>
      <c r="BW463" s="116"/>
      <c r="BX463" t="s">
        <v>173</v>
      </c>
      <c r="CB463" t="s">
        <v>173</v>
      </c>
      <c r="CC463" t="s">
        <v>173</v>
      </c>
      <c r="CD463" t="s">
        <v>1304</v>
      </c>
      <c r="CE463" t="s">
        <v>173</v>
      </c>
      <c r="CG463" t="s">
        <v>172</v>
      </c>
      <c r="CH463" t="s">
        <v>1056</v>
      </c>
      <c r="CI463" t="s">
        <v>173</v>
      </c>
      <c r="DJ463" t="s">
        <v>201</v>
      </c>
      <c r="DK463" t="s">
        <v>202</v>
      </c>
      <c r="DN463" t="s">
        <v>173</v>
      </c>
      <c r="DO463" t="s">
        <v>585</v>
      </c>
      <c r="DP463" t="s">
        <v>173</v>
      </c>
      <c r="DQ463" t="s">
        <v>189</v>
      </c>
      <c r="EA463" s="117"/>
      <c r="EB463">
        <v>6</v>
      </c>
      <c r="EC463">
        <v>6</v>
      </c>
      <c r="EE463" t="s">
        <v>1272</v>
      </c>
      <c r="EF463">
        <v>7</v>
      </c>
      <c r="EU463">
        <v>250</v>
      </c>
      <c r="EW463">
        <v>330</v>
      </c>
      <c r="EX463">
        <v>261</v>
      </c>
      <c r="EY463">
        <v>299</v>
      </c>
    </row>
    <row r="464" spans="1:155" x14ac:dyDescent="0.35">
      <c r="A464">
        <v>2026</v>
      </c>
      <c r="B464" t="s">
        <v>862</v>
      </c>
      <c r="C464" s="112" t="s">
        <v>863</v>
      </c>
      <c r="D464" t="s">
        <v>2132</v>
      </c>
      <c r="E464" t="s">
        <v>865</v>
      </c>
      <c r="F464">
        <v>226</v>
      </c>
      <c r="G464" s="113">
        <v>2</v>
      </c>
      <c r="H464">
        <v>4</v>
      </c>
      <c r="I464" t="s">
        <v>896</v>
      </c>
      <c r="J464">
        <v>21</v>
      </c>
      <c r="K464">
        <v>27</v>
      </c>
      <c r="L464">
        <v>23</v>
      </c>
      <c r="M464">
        <v>28.2377</v>
      </c>
      <c r="N464">
        <v>39.171599999999998</v>
      </c>
      <c r="O464">
        <v>32.2941</v>
      </c>
      <c r="P464">
        <v>21</v>
      </c>
      <c r="Q464">
        <v>27</v>
      </c>
      <c r="R464">
        <v>23</v>
      </c>
      <c r="T464" t="s">
        <v>168</v>
      </c>
      <c r="U464" t="s">
        <v>169</v>
      </c>
      <c r="V464" t="s">
        <v>196</v>
      </c>
      <c r="W464" t="s">
        <v>197</v>
      </c>
      <c r="Y464">
        <v>9</v>
      </c>
      <c r="Z464" t="s">
        <v>172</v>
      </c>
      <c r="AA464" t="s">
        <v>173</v>
      </c>
      <c r="AB464" t="s">
        <v>170</v>
      </c>
      <c r="AC464" t="s">
        <v>232</v>
      </c>
      <c r="AD464">
        <v>15</v>
      </c>
      <c r="AG464" t="s">
        <v>167</v>
      </c>
      <c r="AH464" t="s">
        <v>416</v>
      </c>
      <c r="AI464" t="s">
        <v>178</v>
      </c>
      <c r="AJ464" t="s">
        <v>179</v>
      </c>
      <c r="AK464" t="s">
        <v>664</v>
      </c>
      <c r="AL464" t="s">
        <v>665</v>
      </c>
      <c r="AS464">
        <v>2150</v>
      </c>
      <c r="AT464">
        <v>2150</v>
      </c>
      <c r="BN464" s="114" t="s">
        <v>247</v>
      </c>
      <c r="BO464">
        <v>2</v>
      </c>
      <c r="BP464">
        <v>2</v>
      </c>
      <c r="BQ464">
        <v>31</v>
      </c>
      <c r="BR464" t="s">
        <v>887</v>
      </c>
      <c r="BT464" t="s">
        <v>183</v>
      </c>
      <c r="BU464" s="115">
        <v>45925</v>
      </c>
      <c r="BV464">
        <v>37548</v>
      </c>
      <c r="BW464" s="116"/>
      <c r="BX464" t="s">
        <v>173</v>
      </c>
      <c r="CB464" t="s">
        <v>173</v>
      </c>
      <c r="CC464" t="s">
        <v>173</v>
      </c>
      <c r="CD464" t="s">
        <v>2133</v>
      </c>
      <c r="CE464" t="s">
        <v>173</v>
      </c>
      <c r="CG464" t="s">
        <v>172</v>
      </c>
      <c r="CH464" t="s">
        <v>1051</v>
      </c>
      <c r="CI464" t="s">
        <v>173</v>
      </c>
      <c r="DJ464" t="s">
        <v>250</v>
      </c>
      <c r="DK464" t="s">
        <v>251</v>
      </c>
      <c r="DN464" t="s">
        <v>173</v>
      </c>
      <c r="DO464" t="s">
        <v>585</v>
      </c>
      <c r="DP464" t="s">
        <v>172</v>
      </c>
      <c r="DQ464" t="s">
        <v>204</v>
      </c>
      <c r="EA464" s="117"/>
      <c r="EB464">
        <v>5</v>
      </c>
      <c r="EC464">
        <v>5</v>
      </c>
      <c r="EE464" t="s">
        <v>1052</v>
      </c>
      <c r="EF464">
        <v>5</v>
      </c>
      <c r="EI464" t="s">
        <v>1053</v>
      </c>
      <c r="EJ464">
        <v>5</v>
      </c>
      <c r="EV464">
        <v>2250</v>
      </c>
      <c r="EW464">
        <v>424</v>
      </c>
      <c r="EX464">
        <v>330</v>
      </c>
      <c r="EY464">
        <v>387</v>
      </c>
    </row>
    <row r="465" spans="1:155" x14ac:dyDescent="0.35">
      <c r="A465">
        <v>2026</v>
      </c>
      <c r="B465" t="s">
        <v>862</v>
      </c>
      <c r="C465" s="112" t="s">
        <v>863</v>
      </c>
      <c r="D465" t="s">
        <v>999</v>
      </c>
      <c r="E465" t="s">
        <v>865</v>
      </c>
      <c r="F465">
        <v>197</v>
      </c>
      <c r="G465" s="113">
        <v>1.5</v>
      </c>
      <c r="H465">
        <v>3</v>
      </c>
      <c r="I465" t="s">
        <v>644</v>
      </c>
      <c r="J465">
        <v>28</v>
      </c>
      <c r="K465">
        <v>35</v>
      </c>
      <c r="L465">
        <v>31</v>
      </c>
      <c r="M465">
        <v>37.890999999999998</v>
      </c>
      <c r="N465">
        <v>50.2562</v>
      </c>
      <c r="O465">
        <v>42.608600000000003</v>
      </c>
      <c r="P465">
        <v>28</v>
      </c>
      <c r="Q465">
        <v>34.543500000000002</v>
      </c>
      <c r="R465">
        <v>31.136800000000001</v>
      </c>
      <c r="T465" t="s">
        <v>168</v>
      </c>
      <c r="U465" t="s">
        <v>169</v>
      </c>
      <c r="V465" t="s">
        <v>497</v>
      </c>
      <c r="W465" t="s">
        <v>498</v>
      </c>
      <c r="Y465">
        <v>8</v>
      </c>
      <c r="Z465" t="s">
        <v>172</v>
      </c>
      <c r="AA465" t="s">
        <v>173</v>
      </c>
      <c r="AB465" t="s">
        <v>170</v>
      </c>
      <c r="AC465" t="s">
        <v>232</v>
      </c>
      <c r="AD465">
        <v>15</v>
      </c>
      <c r="AG465" t="s">
        <v>167</v>
      </c>
      <c r="AH465" t="s">
        <v>416</v>
      </c>
      <c r="AI465" t="s">
        <v>178</v>
      </c>
      <c r="AJ465" t="s">
        <v>179</v>
      </c>
      <c r="AK465" t="s">
        <v>664</v>
      </c>
      <c r="AL465" t="s">
        <v>665</v>
      </c>
      <c r="AS465">
        <v>1600</v>
      </c>
      <c r="AT465">
        <v>1600</v>
      </c>
      <c r="BN465" s="114" t="s">
        <v>198</v>
      </c>
      <c r="BO465">
        <v>2</v>
      </c>
      <c r="BP465">
        <v>2</v>
      </c>
      <c r="BQ465">
        <v>31</v>
      </c>
      <c r="BR465" t="s">
        <v>887</v>
      </c>
      <c r="BT465" t="s">
        <v>183</v>
      </c>
      <c r="BU465" s="115">
        <v>45867</v>
      </c>
      <c r="BV465">
        <v>36999</v>
      </c>
      <c r="BW465" s="116"/>
      <c r="BX465" t="s">
        <v>173</v>
      </c>
      <c r="CB465" t="s">
        <v>173</v>
      </c>
      <c r="CC465" t="s">
        <v>173</v>
      </c>
      <c r="CE465" t="s">
        <v>173</v>
      </c>
      <c r="CG465" t="s">
        <v>172</v>
      </c>
      <c r="CH465" t="s">
        <v>866</v>
      </c>
      <c r="CI465" t="s">
        <v>173</v>
      </c>
      <c r="DJ465" t="s">
        <v>201</v>
      </c>
      <c r="DK465" t="s">
        <v>202</v>
      </c>
      <c r="DN465" t="s">
        <v>173</v>
      </c>
      <c r="DO465" t="s">
        <v>585</v>
      </c>
      <c r="DP465" t="s">
        <v>172</v>
      </c>
      <c r="DQ465" t="s">
        <v>204</v>
      </c>
      <c r="EA465" s="117"/>
      <c r="EB465">
        <v>6</v>
      </c>
      <c r="EC465">
        <v>6</v>
      </c>
      <c r="EE465" t="s">
        <v>867</v>
      </c>
      <c r="EF465">
        <v>5</v>
      </c>
      <c r="EU465">
        <v>500</v>
      </c>
      <c r="EW465">
        <v>318</v>
      </c>
      <c r="EX465">
        <v>258</v>
      </c>
      <c r="EY465">
        <v>291</v>
      </c>
    </row>
    <row r="466" spans="1:155" x14ac:dyDescent="0.35">
      <c r="A466">
        <v>2026</v>
      </c>
      <c r="B466" t="s">
        <v>862</v>
      </c>
      <c r="C466" s="112" t="s">
        <v>863</v>
      </c>
      <c r="D466" t="s">
        <v>1000</v>
      </c>
      <c r="E466" t="s">
        <v>865</v>
      </c>
      <c r="F466">
        <v>199</v>
      </c>
      <c r="G466" s="113">
        <v>1.5</v>
      </c>
      <c r="H466">
        <v>3</v>
      </c>
      <c r="I466" t="s">
        <v>644</v>
      </c>
      <c r="J466">
        <v>27</v>
      </c>
      <c r="K466">
        <v>32</v>
      </c>
      <c r="L466">
        <v>29</v>
      </c>
      <c r="M466">
        <v>36.5</v>
      </c>
      <c r="N466">
        <v>46.9</v>
      </c>
      <c r="O466">
        <v>40.545900000000003</v>
      </c>
      <c r="P466">
        <v>27</v>
      </c>
      <c r="Q466">
        <v>32.475700000000003</v>
      </c>
      <c r="R466">
        <v>29</v>
      </c>
      <c r="T466" t="s">
        <v>168</v>
      </c>
      <c r="U466" t="s">
        <v>169</v>
      </c>
      <c r="V466" t="s">
        <v>497</v>
      </c>
      <c r="W466" t="s">
        <v>498</v>
      </c>
      <c r="Y466">
        <v>8</v>
      </c>
      <c r="Z466" t="s">
        <v>172</v>
      </c>
      <c r="AA466" t="s">
        <v>173</v>
      </c>
      <c r="AB466" t="s">
        <v>170</v>
      </c>
      <c r="AC466" t="s">
        <v>232</v>
      </c>
      <c r="AD466">
        <v>15</v>
      </c>
      <c r="AG466" t="s">
        <v>167</v>
      </c>
      <c r="AH466" t="s">
        <v>416</v>
      </c>
      <c r="AI466" t="s">
        <v>178</v>
      </c>
      <c r="AJ466" t="s">
        <v>179</v>
      </c>
      <c r="AK466" t="s">
        <v>664</v>
      </c>
      <c r="AL466" t="s">
        <v>665</v>
      </c>
      <c r="AS466">
        <v>1700</v>
      </c>
      <c r="AT466">
        <v>1700</v>
      </c>
      <c r="BN466" s="114" t="s">
        <v>198</v>
      </c>
      <c r="BO466">
        <v>2</v>
      </c>
      <c r="BP466">
        <v>2</v>
      </c>
      <c r="BQ466">
        <v>31</v>
      </c>
      <c r="BR466" t="s">
        <v>887</v>
      </c>
      <c r="BT466" t="s">
        <v>183</v>
      </c>
      <c r="BU466" s="115">
        <v>45867</v>
      </c>
      <c r="BV466">
        <v>36817</v>
      </c>
      <c r="BW466" s="116"/>
      <c r="BX466" t="s">
        <v>172</v>
      </c>
      <c r="CB466" t="s">
        <v>173</v>
      </c>
      <c r="CC466" t="s">
        <v>173</v>
      </c>
      <c r="CE466" t="s">
        <v>173</v>
      </c>
      <c r="CG466" t="s">
        <v>172</v>
      </c>
      <c r="CH466" t="s">
        <v>866</v>
      </c>
      <c r="CI466" t="s">
        <v>173</v>
      </c>
      <c r="DJ466" t="s">
        <v>201</v>
      </c>
      <c r="DK466" t="s">
        <v>202</v>
      </c>
      <c r="DN466" t="s">
        <v>173</v>
      </c>
      <c r="DO466" t="s">
        <v>585</v>
      </c>
      <c r="DP466" t="s">
        <v>172</v>
      </c>
      <c r="DQ466" t="s">
        <v>204</v>
      </c>
      <c r="EA466" s="117"/>
      <c r="EB466">
        <v>6</v>
      </c>
      <c r="EC466">
        <v>6</v>
      </c>
      <c r="EE466" t="s">
        <v>1001</v>
      </c>
      <c r="EF466">
        <v>5</v>
      </c>
      <c r="EU466">
        <v>0</v>
      </c>
      <c r="EW466">
        <v>330</v>
      </c>
      <c r="EX466">
        <v>274</v>
      </c>
      <c r="EY466">
        <v>307</v>
      </c>
    </row>
    <row r="467" spans="1:155" x14ac:dyDescent="0.35">
      <c r="A467">
        <v>2026</v>
      </c>
      <c r="B467" t="s">
        <v>286</v>
      </c>
      <c r="C467" s="112" t="s">
        <v>286</v>
      </c>
      <c r="D467" t="s">
        <v>1002</v>
      </c>
      <c r="E467" t="s">
        <v>288</v>
      </c>
      <c r="F467">
        <v>301</v>
      </c>
      <c r="G467" s="113">
        <v>2</v>
      </c>
      <c r="H467">
        <v>4</v>
      </c>
      <c r="I467" t="s">
        <v>274</v>
      </c>
      <c r="J467">
        <v>19</v>
      </c>
      <c r="K467">
        <v>25</v>
      </c>
      <c r="L467">
        <v>21</v>
      </c>
      <c r="M467">
        <v>25.9</v>
      </c>
      <c r="N467">
        <v>35.6</v>
      </c>
      <c r="O467">
        <v>29.519400000000001</v>
      </c>
      <c r="P467">
        <v>19</v>
      </c>
      <c r="Q467">
        <v>25.282299999999999</v>
      </c>
      <c r="R467">
        <v>21</v>
      </c>
      <c r="T467" t="s">
        <v>168</v>
      </c>
      <c r="U467" t="s">
        <v>169</v>
      </c>
      <c r="V467" t="s">
        <v>275</v>
      </c>
      <c r="W467" t="s">
        <v>276</v>
      </c>
      <c r="Y467">
        <v>7</v>
      </c>
      <c r="Z467" t="s">
        <v>173</v>
      </c>
      <c r="AA467" t="s">
        <v>173</v>
      </c>
      <c r="AB467" t="s">
        <v>170</v>
      </c>
      <c r="AC467" t="s">
        <v>232</v>
      </c>
      <c r="AD467">
        <v>10</v>
      </c>
      <c r="AG467" t="s">
        <v>216</v>
      </c>
      <c r="AH467" t="s">
        <v>217</v>
      </c>
      <c r="AI467" t="s">
        <v>178</v>
      </c>
      <c r="AJ467" t="s">
        <v>179</v>
      </c>
      <c r="AK467" t="s">
        <v>664</v>
      </c>
      <c r="AL467" t="s">
        <v>665</v>
      </c>
      <c r="AS467">
        <v>2950</v>
      </c>
      <c r="AT467">
        <v>2950</v>
      </c>
      <c r="BN467" s="114" t="s">
        <v>198</v>
      </c>
      <c r="BO467">
        <v>2</v>
      </c>
      <c r="BP467">
        <v>2</v>
      </c>
      <c r="BQ467">
        <v>31</v>
      </c>
      <c r="BR467" t="s">
        <v>887</v>
      </c>
      <c r="BT467" t="s">
        <v>183</v>
      </c>
      <c r="BU467" s="115">
        <v>45870</v>
      </c>
      <c r="BV467">
        <v>37144</v>
      </c>
      <c r="BW467" s="116"/>
      <c r="BY467" t="s">
        <v>173</v>
      </c>
      <c r="CB467" t="s">
        <v>173</v>
      </c>
      <c r="CC467" t="s">
        <v>173</v>
      </c>
      <c r="CD467" t="s">
        <v>1003</v>
      </c>
      <c r="CE467" t="s">
        <v>173</v>
      </c>
      <c r="CG467" t="s">
        <v>172</v>
      </c>
      <c r="CH467" t="s">
        <v>291</v>
      </c>
      <c r="CI467" t="s">
        <v>172</v>
      </c>
      <c r="CJ467" t="s">
        <v>291</v>
      </c>
      <c r="DJ467" t="s">
        <v>201</v>
      </c>
      <c r="DK467" t="s">
        <v>202</v>
      </c>
      <c r="DN467" t="s">
        <v>173</v>
      </c>
      <c r="DO467" t="s">
        <v>188</v>
      </c>
      <c r="DP467" t="s">
        <v>172</v>
      </c>
      <c r="DQ467" t="s">
        <v>204</v>
      </c>
      <c r="DR467" t="s">
        <v>1002</v>
      </c>
      <c r="EA467" s="117"/>
      <c r="EB467">
        <v>4</v>
      </c>
      <c r="EC467">
        <v>4</v>
      </c>
      <c r="EE467" t="s">
        <v>1004</v>
      </c>
      <c r="EF467">
        <v>4</v>
      </c>
      <c r="EV467">
        <v>6250</v>
      </c>
      <c r="EW467">
        <v>468</v>
      </c>
      <c r="EX467">
        <v>352</v>
      </c>
      <c r="EY467">
        <v>423</v>
      </c>
    </row>
    <row r="468" spans="1:155" x14ac:dyDescent="0.35">
      <c r="A468">
        <v>2026</v>
      </c>
      <c r="B468" t="s">
        <v>286</v>
      </c>
      <c r="C468" s="112" t="s">
        <v>286</v>
      </c>
      <c r="D468" t="s">
        <v>1005</v>
      </c>
      <c r="E468" t="s">
        <v>288</v>
      </c>
      <c r="F468">
        <v>370</v>
      </c>
      <c r="G468" s="113">
        <v>2.9</v>
      </c>
      <c r="H468">
        <v>6</v>
      </c>
      <c r="I468" t="s">
        <v>274</v>
      </c>
      <c r="J468">
        <v>17</v>
      </c>
      <c r="K468">
        <v>22</v>
      </c>
      <c r="L468">
        <v>19</v>
      </c>
      <c r="M468">
        <v>22.2</v>
      </c>
      <c r="N468">
        <v>32.200000000000003</v>
      </c>
      <c r="O468">
        <v>25.8065</v>
      </c>
      <c r="P468">
        <v>17</v>
      </c>
      <c r="Q468">
        <v>22</v>
      </c>
      <c r="R468">
        <v>19</v>
      </c>
      <c r="T468" t="s">
        <v>168</v>
      </c>
      <c r="U468" t="s">
        <v>169</v>
      </c>
      <c r="V468" t="s">
        <v>275</v>
      </c>
      <c r="W468" t="s">
        <v>276</v>
      </c>
      <c r="Y468">
        <v>7</v>
      </c>
      <c r="Z468" t="s">
        <v>173</v>
      </c>
      <c r="AA468" t="s">
        <v>173</v>
      </c>
      <c r="AB468" t="s">
        <v>170</v>
      </c>
      <c r="AC468" t="s">
        <v>232</v>
      </c>
      <c r="AD468">
        <v>10</v>
      </c>
      <c r="AG468" t="s">
        <v>216</v>
      </c>
      <c r="AH468" t="s">
        <v>217</v>
      </c>
      <c r="AI468" t="s">
        <v>178</v>
      </c>
      <c r="AJ468" t="s">
        <v>179</v>
      </c>
      <c r="AK468" t="s">
        <v>664</v>
      </c>
      <c r="AL468" t="s">
        <v>665</v>
      </c>
      <c r="AS468">
        <v>3300</v>
      </c>
      <c r="AT468">
        <v>3300</v>
      </c>
      <c r="BN468" s="114" t="s">
        <v>198</v>
      </c>
      <c r="BO468">
        <v>2</v>
      </c>
      <c r="BP468">
        <v>2</v>
      </c>
      <c r="BQ468">
        <v>31</v>
      </c>
      <c r="BR468" t="s">
        <v>887</v>
      </c>
      <c r="BT468" t="s">
        <v>183</v>
      </c>
      <c r="BU468" s="115">
        <v>45870</v>
      </c>
      <c r="BV468">
        <v>37328</v>
      </c>
      <c r="BW468" s="116"/>
      <c r="BY468" t="s">
        <v>173</v>
      </c>
      <c r="CB468" t="s">
        <v>173</v>
      </c>
      <c r="CC468" t="s">
        <v>173</v>
      </c>
      <c r="CE468" t="s">
        <v>173</v>
      </c>
      <c r="CG468" t="s">
        <v>172</v>
      </c>
      <c r="CH468" t="s">
        <v>1006</v>
      </c>
      <c r="CI468" t="s">
        <v>172</v>
      </c>
      <c r="CJ468" t="s">
        <v>291</v>
      </c>
      <c r="DJ468" t="s">
        <v>201</v>
      </c>
      <c r="DK468" t="s">
        <v>202</v>
      </c>
      <c r="DN468" t="s">
        <v>173</v>
      </c>
      <c r="DO468" t="s">
        <v>188</v>
      </c>
      <c r="DP468" t="s">
        <v>172</v>
      </c>
      <c r="DQ468" t="s">
        <v>204</v>
      </c>
      <c r="DR468" t="s">
        <v>1002</v>
      </c>
      <c r="EA468" s="117"/>
      <c r="EB468">
        <v>4</v>
      </c>
      <c r="EC468">
        <v>4</v>
      </c>
      <c r="EE468" t="s">
        <v>1007</v>
      </c>
      <c r="EF468">
        <v>4</v>
      </c>
      <c r="EV468">
        <v>8000</v>
      </c>
      <c r="EW468">
        <v>521</v>
      </c>
      <c r="EX468">
        <v>403</v>
      </c>
      <c r="EY468">
        <v>466</v>
      </c>
    </row>
    <row r="469" spans="1:155" x14ac:dyDescent="0.35">
      <c r="A469">
        <v>2026</v>
      </c>
      <c r="B469" t="s">
        <v>286</v>
      </c>
      <c r="C469" s="112" t="s">
        <v>286</v>
      </c>
      <c r="D469" t="s">
        <v>1008</v>
      </c>
      <c r="E469" t="s">
        <v>288</v>
      </c>
      <c r="F469">
        <v>310</v>
      </c>
      <c r="G469" s="113">
        <v>2.9</v>
      </c>
      <c r="H469">
        <v>6</v>
      </c>
      <c r="I469" t="s">
        <v>274</v>
      </c>
      <c r="J469">
        <v>17</v>
      </c>
      <c r="K469">
        <v>23</v>
      </c>
      <c r="L469">
        <v>19</v>
      </c>
      <c r="M469">
        <v>22.8</v>
      </c>
      <c r="N469">
        <v>32.4</v>
      </c>
      <c r="O469">
        <v>26.307700000000001</v>
      </c>
      <c r="P469">
        <v>17</v>
      </c>
      <c r="Q469">
        <v>23.177800000000001</v>
      </c>
      <c r="R469">
        <v>19</v>
      </c>
      <c r="T469" t="s">
        <v>168</v>
      </c>
      <c r="U469" t="s">
        <v>169</v>
      </c>
      <c r="V469" t="s">
        <v>275</v>
      </c>
      <c r="W469" t="s">
        <v>276</v>
      </c>
      <c r="Y469">
        <v>7</v>
      </c>
      <c r="Z469" t="s">
        <v>173</v>
      </c>
      <c r="AA469" t="s">
        <v>173</v>
      </c>
      <c r="AB469" t="s">
        <v>170</v>
      </c>
      <c r="AC469" t="s">
        <v>232</v>
      </c>
      <c r="AD469">
        <v>10</v>
      </c>
      <c r="AG469" t="s">
        <v>216</v>
      </c>
      <c r="AH469" t="s">
        <v>217</v>
      </c>
      <c r="AI469" t="s">
        <v>178</v>
      </c>
      <c r="AJ469" t="s">
        <v>179</v>
      </c>
      <c r="AK469" t="s">
        <v>664</v>
      </c>
      <c r="AL469" t="s">
        <v>665</v>
      </c>
      <c r="AS469">
        <v>3300</v>
      </c>
      <c r="AT469">
        <v>3300</v>
      </c>
      <c r="BN469" s="114" t="s">
        <v>198</v>
      </c>
      <c r="BO469">
        <v>2</v>
      </c>
      <c r="BP469">
        <v>2</v>
      </c>
      <c r="BQ469">
        <v>31</v>
      </c>
      <c r="BR469" t="s">
        <v>887</v>
      </c>
      <c r="BT469" t="s">
        <v>183</v>
      </c>
      <c r="BU469" s="115">
        <v>45870</v>
      </c>
      <c r="BV469">
        <v>37268</v>
      </c>
      <c r="BW469" s="116"/>
      <c r="BY469" t="s">
        <v>173</v>
      </c>
      <c r="CB469" t="s">
        <v>173</v>
      </c>
      <c r="CC469" t="s">
        <v>173</v>
      </c>
      <c r="CD469" t="s">
        <v>1009</v>
      </c>
      <c r="CE469" t="s">
        <v>173</v>
      </c>
      <c r="CG469" t="s">
        <v>172</v>
      </c>
      <c r="CH469" t="s">
        <v>1006</v>
      </c>
      <c r="CI469" t="s">
        <v>172</v>
      </c>
      <c r="CJ469" t="s">
        <v>291</v>
      </c>
      <c r="DJ469" t="s">
        <v>201</v>
      </c>
      <c r="DK469" t="s">
        <v>202</v>
      </c>
      <c r="DN469" t="s">
        <v>173</v>
      </c>
      <c r="DO469" t="s">
        <v>188</v>
      </c>
      <c r="DP469" t="s">
        <v>172</v>
      </c>
      <c r="DQ469" t="s">
        <v>204</v>
      </c>
      <c r="DR469" t="s">
        <v>1002</v>
      </c>
      <c r="EA469" s="117"/>
      <c r="EB469">
        <v>4</v>
      </c>
      <c r="EC469">
        <v>4</v>
      </c>
      <c r="EE469" t="s">
        <v>1007</v>
      </c>
      <c r="EF469">
        <v>4</v>
      </c>
      <c r="EV469">
        <v>8000</v>
      </c>
      <c r="EW469">
        <v>520</v>
      </c>
      <c r="EX469">
        <v>381</v>
      </c>
      <c r="EY469">
        <v>465</v>
      </c>
    </row>
    <row r="470" spans="1:155" x14ac:dyDescent="0.35">
      <c r="A470">
        <v>2026</v>
      </c>
      <c r="B470" t="s">
        <v>286</v>
      </c>
      <c r="C470" s="112" t="s">
        <v>286</v>
      </c>
      <c r="D470" t="s">
        <v>1010</v>
      </c>
      <c r="E470" t="s">
        <v>288</v>
      </c>
      <c r="F470">
        <v>314</v>
      </c>
      <c r="G470" s="113">
        <v>2</v>
      </c>
      <c r="H470">
        <v>4</v>
      </c>
      <c r="I470" t="s">
        <v>274</v>
      </c>
      <c r="J470">
        <v>19</v>
      </c>
      <c r="K470">
        <v>25</v>
      </c>
      <c r="L470">
        <v>21</v>
      </c>
      <c r="M470">
        <v>24.8</v>
      </c>
      <c r="N470">
        <v>34.6</v>
      </c>
      <c r="O470">
        <v>28.422699999999999</v>
      </c>
      <c r="P470">
        <v>19</v>
      </c>
      <c r="Q470">
        <v>24.6279</v>
      </c>
      <c r="R470">
        <v>21</v>
      </c>
      <c r="T470" t="s">
        <v>168</v>
      </c>
      <c r="U470" t="s">
        <v>169</v>
      </c>
      <c r="V470" t="s">
        <v>275</v>
      </c>
      <c r="W470" t="s">
        <v>276</v>
      </c>
      <c r="Y470">
        <v>7</v>
      </c>
      <c r="Z470" t="s">
        <v>173</v>
      </c>
      <c r="AA470" t="s">
        <v>173</v>
      </c>
      <c r="AB470" t="s">
        <v>170</v>
      </c>
      <c r="AC470" t="s">
        <v>232</v>
      </c>
      <c r="AD470">
        <v>10</v>
      </c>
      <c r="AG470" t="s">
        <v>216</v>
      </c>
      <c r="AH470" t="s">
        <v>217</v>
      </c>
      <c r="AI470" t="s">
        <v>178</v>
      </c>
      <c r="AJ470" t="s">
        <v>179</v>
      </c>
      <c r="AK470" t="s">
        <v>664</v>
      </c>
      <c r="AL470" t="s">
        <v>665</v>
      </c>
      <c r="AS470">
        <v>2950</v>
      </c>
      <c r="AT470">
        <v>2950</v>
      </c>
      <c r="BN470" s="114" t="s">
        <v>198</v>
      </c>
      <c r="BO470">
        <v>2</v>
      </c>
      <c r="BP470">
        <v>2</v>
      </c>
      <c r="BQ470">
        <v>31</v>
      </c>
      <c r="BR470" t="s">
        <v>887</v>
      </c>
      <c r="BT470" t="s">
        <v>183</v>
      </c>
      <c r="BU470" s="115">
        <v>45870</v>
      </c>
      <c r="BV470">
        <v>37147</v>
      </c>
      <c r="BW470" s="116"/>
      <c r="BY470" t="s">
        <v>173</v>
      </c>
      <c r="CB470" t="s">
        <v>173</v>
      </c>
      <c r="CC470" t="s">
        <v>173</v>
      </c>
      <c r="CD470" t="s">
        <v>1003</v>
      </c>
      <c r="CE470" t="s">
        <v>173</v>
      </c>
      <c r="CG470" t="s">
        <v>172</v>
      </c>
      <c r="CH470" t="s">
        <v>291</v>
      </c>
      <c r="CI470" t="s">
        <v>172</v>
      </c>
      <c r="CJ470" t="s">
        <v>291</v>
      </c>
      <c r="DJ470" t="s">
        <v>201</v>
      </c>
      <c r="DK470" t="s">
        <v>202</v>
      </c>
      <c r="DN470" t="s">
        <v>173</v>
      </c>
      <c r="DO470" t="s">
        <v>188</v>
      </c>
      <c r="DP470" t="s">
        <v>172</v>
      </c>
      <c r="DQ470" t="s">
        <v>204</v>
      </c>
      <c r="EA470" s="117"/>
      <c r="EB470">
        <v>4</v>
      </c>
      <c r="EC470">
        <v>4</v>
      </c>
      <c r="EE470" t="s">
        <v>1004</v>
      </c>
      <c r="EF470">
        <v>4</v>
      </c>
      <c r="EV470">
        <v>6250</v>
      </c>
      <c r="EW470">
        <v>468</v>
      </c>
      <c r="EX470">
        <v>361</v>
      </c>
      <c r="EY470">
        <v>423</v>
      </c>
    </row>
    <row r="471" spans="1:155" x14ac:dyDescent="0.35">
      <c r="A471">
        <v>2026</v>
      </c>
      <c r="B471" t="s">
        <v>641</v>
      </c>
      <c r="C471" s="112" t="s">
        <v>641</v>
      </c>
      <c r="D471" t="s">
        <v>1011</v>
      </c>
      <c r="E471" t="s">
        <v>643</v>
      </c>
      <c r="F471">
        <v>40</v>
      </c>
      <c r="G471" s="113">
        <v>2.5</v>
      </c>
      <c r="H471">
        <v>4</v>
      </c>
      <c r="I471" t="s">
        <v>644</v>
      </c>
      <c r="J471">
        <v>26</v>
      </c>
      <c r="K471">
        <v>33</v>
      </c>
      <c r="L471">
        <v>29</v>
      </c>
      <c r="M471">
        <v>34.108600000000003</v>
      </c>
      <c r="N471">
        <v>48.272100000000002</v>
      </c>
      <c r="O471">
        <v>39.297199999999997</v>
      </c>
      <c r="P471">
        <v>26.244700000000002</v>
      </c>
      <c r="Q471">
        <v>33.3247</v>
      </c>
      <c r="R471">
        <v>29.019100000000002</v>
      </c>
      <c r="U471" t="s">
        <v>215</v>
      </c>
      <c r="V471" t="s">
        <v>497</v>
      </c>
      <c r="W471" t="s">
        <v>498</v>
      </c>
      <c r="Y471">
        <v>8</v>
      </c>
      <c r="Z471" t="s">
        <v>172</v>
      </c>
      <c r="AA471" t="s">
        <v>173</v>
      </c>
      <c r="AB471" t="s">
        <v>170</v>
      </c>
      <c r="AC471" t="s">
        <v>232</v>
      </c>
      <c r="AD471">
        <v>15</v>
      </c>
      <c r="AG471" t="s">
        <v>167</v>
      </c>
      <c r="AH471" t="s">
        <v>416</v>
      </c>
      <c r="AI471" t="s">
        <v>178</v>
      </c>
      <c r="AJ471" t="s">
        <v>179</v>
      </c>
      <c r="AK471" t="s">
        <v>664</v>
      </c>
      <c r="AL471" t="s">
        <v>665</v>
      </c>
      <c r="AS471">
        <v>1700</v>
      </c>
      <c r="AT471">
        <v>1700</v>
      </c>
      <c r="BN471" s="114" t="s">
        <v>198</v>
      </c>
      <c r="BO471">
        <v>2</v>
      </c>
      <c r="BP471">
        <v>2</v>
      </c>
      <c r="BQ471">
        <v>31</v>
      </c>
      <c r="BR471" t="s">
        <v>887</v>
      </c>
      <c r="BT471" t="s">
        <v>183</v>
      </c>
      <c r="BU471" s="115">
        <v>45872</v>
      </c>
      <c r="BV471">
        <v>37288</v>
      </c>
      <c r="BW471" s="116"/>
      <c r="BX471" t="s">
        <v>173</v>
      </c>
      <c r="BY471" t="s">
        <v>173</v>
      </c>
      <c r="CB471" t="s">
        <v>173</v>
      </c>
      <c r="CC471" t="s">
        <v>173</v>
      </c>
      <c r="CE471" t="s">
        <v>173</v>
      </c>
      <c r="CG471" t="s">
        <v>172</v>
      </c>
      <c r="CH471" t="s">
        <v>645</v>
      </c>
      <c r="CI471" t="s">
        <v>173</v>
      </c>
      <c r="DJ471" t="s">
        <v>201</v>
      </c>
      <c r="DK471" t="s">
        <v>202</v>
      </c>
      <c r="DN471" t="s">
        <v>173</v>
      </c>
      <c r="DO471" t="s">
        <v>646</v>
      </c>
      <c r="DP471" t="s">
        <v>172</v>
      </c>
      <c r="DQ471" t="s">
        <v>204</v>
      </c>
      <c r="EA471" s="117"/>
      <c r="EB471">
        <v>6</v>
      </c>
      <c r="EC471">
        <v>6</v>
      </c>
      <c r="EE471" t="s">
        <v>648</v>
      </c>
      <c r="EF471">
        <v>6</v>
      </c>
      <c r="EU471">
        <v>0</v>
      </c>
      <c r="EW471">
        <v>339</v>
      </c>
      <c r="EX471">
        <v>268</v>
      </c>
      <c r="EY471">
        <v>307</v>
      </c>
    </row>
    <row r="472" spans="1:155" x14ac:dyDescent="0.35">
      <c r="A472">
        <v>2026</v>
      </c>
      <c r="B472" t="s">
        <v>641</v>
      </c>
      <c r="C472" s="112" t="s">
        <v>641</v>
      </c>
      <c r="D472" t="s">
        <v>1012</v>
      </c>
      <c r="E472" t="s">
        <v>643</v>
      </c>
      <c r="F472">
        <v>91</v>
      </c>
      <c r="G472" s="113">
        <v>2.5</v>
      </c>
      <c r="H472">
        <v>4</v>
      </c>
      <c r="I472" t="s">
        <v>852</v>
      </c>
      <c r="J472">
        <v>36</v>
      </c>
      <c r="K472">
        <v>36</v>
      </c>
      <c r="L472">
        <v>36</v>
      </c>
      <c r="M472">
        <v>53.4</v>
      </c>
      <c r="N472">
        <v>50.2</v>
      </c>
      <c r="O472">
        <v>51.910899999999998</v>
      </c>
      <c r="P472">
        <v>36.307400000000001</v>
      </c>
      <c r="Q472">
        <v>36.097999999999999</v>
      </c>
      <c r="R472">
        <v>36.212899999999998</v>
      </c>
      <c r="U472" t="s">
        <v>215</v>
      </c>
      <c r="V472" t="s">
        <v>497</v>
      </c>
      <c r="W472" t="s">
        <v>498</v>
      </c>
      <c r="Y472">
        <v>6</v>
      </c>
      <c r="Z472" t="s">
        <v>173</v>
      </c>
      <c r="AA472" t="s">
        <v>173</v>
      </c>
      <c r="AB472" t="s">
        <v>170</v>
      </c>
      <c r="AC472" t="s">
        <v>232</v>
      </c>
      <c r="AD472">
        <v>15</v>
      </c>
      <c r="AG472" t="s">
        <v>167</v>
      </c>
      <c r="AH472" t="s">
        <v>416</v>
      </c>
      <c r="AI472" t="s">
        <v>178</v>
      </c>
      <c r="AJ472" t="s">
        <v>179</v>
      </c>
      <c r="AK472" t="s">
        <v>664</v>
      </c>
      <c r="AL472" t="s">
        <v>665</v>
      </c>
      <c r="AS472">
        <v>1400</v>
      </c>
      <c r="AT472">
        <v>1400</v>
      </c>
      <c r="BN472" s="114" t="s">
        <v>492</v>
      </c>
      <c r="BO472">
        <v>2</v>
      </c>
      <c r="BP472">
        <v>2</v>
      </c>
      <c r="BQ472">
        <v>31</v>
      </c>
      <c r="BR472" t="s">
        <v>887</v>
      </c>
      <c r="BT472" t="s">
        <v>218</v>
      </c>
      <c r="BU472" s="115">
        <v>45872</v>
      </c>
      <c r="BV472">
        <v>37290</v>
      </c>
      <c r="BW472" s="116"/>
      <c r="BX472" t="s">
        <v>173</v>
      </c>
      <c r="BY472" t="s">
        <v>173</v>
      </c>
      <c r="CB472" t="s">
        <v>173</v>
      </c>
      <c r="CC472" t="s">
        <v>173</v>
      </c>
      <c r="CE472" t="s">
        <v>173</v>
      </c>
      <c r="CG472" t="s">
        <v>172</v>
      </c>
      <c r="CH472" t="s">
        <v>1013</v>
      </c>
      <c r="CI472" t="s">
        <v>173</v>
      </c>
      <c r="CK472" t="s">
        <v>259</v>
      </c>
      <c r="CM472">
        <v>1</v>
      </c>
      <c r="CN472" t="s">
        <v>260</v>
      </c>
      <c r="CP472">
        <v>259</v>
      </c>
      <c r="CQ472">
        <v>4</v>
      </c>
      <c r="CR472">
        <v>60.5</v>
      </c>
      <c r="CS472" t="s">
        <v>261</v>
      </c>
      <c r="CV472" t="s">
        <v>262</v>
      </c>
      <c r="CX472" t="s">
        <v>263</v>
      </c>
      <c r="CY472" t="s">
        <v>173</v>
      </c>
      <c r="DD472">
        <v>1</v>
      </c>
      <c r="DE472" t="s">
        <v>530</v>
      </c>
      <c r="DG472">
        <v>77</v>
      </c>
      <c r="DJ472" t="s">
        <v>201</v>
      </c>
      <c r="DK472" t="s">
        <v>202</v>
      </c>
      <c r="DL472" t="s">
        <v>173</v>
      </c>
      <c r="DM472" t="s">
        <v>173</v>
      </c>
      <c r="DN472" t="s">
        <v>173</v>
      </c>
      <c r="DO472" t="s">
        <v>646</v>
      </c>
      <c r="DP472" t="s">
        <v>173</v>
      </c>
      <c r="DQ472" t="s">
        <v>189</v>
      </c>
      <c r="EA472" s="117"/>
      <c r="EB472">
        <v>7</v>
      </c>
      <c r="EC472">
        <v>7</v>
      </c>
      <c r="EE472" t="s">
        <v>1014</v>
      </c>
      <c r="EF472">
        <v>7</v>
      </c>
      <c r="EU472">
        <v>1500</v>
      </c>
      <c r="EW472">
        <v>244</v>
      </c>
      <c r="EX472">
        <v>247</v>
      </c>
      <c r="EY472">
        <v>246</v>
      </c>
    </row>
    <row r="473" spans="1:155" x14ac:dyDescent="0.35">
      <c r="A473">
        <v>2026</v>
      </c>
      <c r="B473" t="s">
        <v>641</v>
      </c>
      <c r="C473" s="112" t="s">
        <v>641</v>
      </c>
      <c r="D473" t="s">
        <v>1015</v>
      </c>
      <c r="E473" t="s">
        <v>643</v>
      </c>
      <c r="F473">
        <v>41</v>
      </c>
      <c r="G473" s="113">
        <v>2.5</v>
      </c>
      <c r="H473">
        <v>4</v>
      </c>
      <c r="I473" t="s">
        <v>644</v>
      </c>
      <c r="J473">
        <v>24</v>
      </c>
      <c r="K473">
        <v>29</v>
      </c>
      <c r="L473">
        <v>26</v>
      </c>
      <c r="M473">
        <v>31.5</v>
      </c>
      <c r="N473">
        <v>41.7</v>
      </c>
      <c r="O473">
        <v>35.396099999999997</v>
      </c>
      <c r="P473">
        <v>24.438199999999998</v>
      </c>
      <c r="Q473">
        <v>29.210599999999999</v>
      </c>
      <c r="R473">
        <v>26.377500000000001</v>
      </c>
      <c r="U473" t="s">
        <v>215</v>
      </c>
      <c r="V473" t="s">
        <v>497</v>
      </c>
      <c r="W473" t="s">
        <v>498</v>
      </c>
      <c r="Y473">
        <v>8</v>
      </c>
      <c r="Z473" t="s">
        <v>172</v>
      </c>
      <c r="AA473" t="s">
        <v>173</v>
      </c>
      <c r="AB473" t="s">
        <v>170</v>
      </c>
      <c r="AC473" t="s">
        <v>232</v>
      </c>
      <c r="AD473">
        <v>15</v>
      </c>
      <c r="AG473" t="s">
        <v>167</v>
      </c>
      <c r="AH473" t="s">
        <v>416</v>
      </c>
      <c r="AI473" t="s">
        <v>178</v>
      </c>
      <c r="AJ473" t="s">
        <v>179</v>
      </c>
      <c r="AK473" t="s">
        <v>664</v>
      </c>
      <c r="AL473" t="s">
        <v>665</v>
      </c>
      <c r="AS473">
        <v>1900</v>
      </c>
      <c r="AT473">
        <v>1900</v>
      </c>
      <c r="BN473" s="114" t="s">
        <v>198</v>
      </c>
      <c r="BO473">
        <v>2</v>
      </c>
      <c r="BP473">
        <v>2</v>
      </c>
      <c r="BQ473">
        <v>31</v>
      </c>
      <c r="BR473" t="s">
        <v>887</v>
      </c>
      <c r="BT473" t="s">
        <v>183</v>
      </c>
      <c r="BU473" s="115">
        <v>45872</v>
      </c>
      <c r="BV473">
        <v>37289</v>
      </c>
      <c r="BW473" s="116"/>
      <c r="BX473" t="s">
        <v>172</v>
      </c>
      <c r="BY473" t="s">
        <v>173</v>
      </c>
      <c r="CB473" t="s">
        <v>173</v>
      </c>
      <c r="CC473" t="s">
        <v>173</v>
      </c>
      <c r="CE473" t="s">
        <v>173</v>
      </c>
      <c r="CG473" t="s">
        <v>172</v>
      </c>
      <c r="CH473" t="s">
        <v>645</v>
      </c>
      <c r="CI473" t="s">
        <v>173</v>
      </c>
      <c r="DJ473" t="s">
        <v>201</v>
      </c>
      <c r="DK473" t="s">
        <v>202</v>
      </c>
      <c r="DN473" t="s">
        <v>173</v>
      </c>
      <c r="DO473" t="s">
        <v>646</v>
      </c>
      <c r="DP473" t="s">
        <v>172</v>
      </c>
      <c r="DQ473" t="s">
        <v>204</v>
      </c>
      <c r="EA473" s="117"/>
      <c r="EB473">
        <v>5</v>
      </c>
      <c r="EC473">
        <v>5</v>
      </c>
      <c r="EE473" t="s">
        <v>648</v>
      </c>
      <c r="EF473">
        <v>6</v>
      </c>
      <c r="EV473">
        <v>1000</v>
      </c>
      <c r="EW473">
        <v>364</v>
      </c>
      <c r="EX473">
        <v>305</v>
      </c>
      <c r="EY473">
        <v>337</v>
      </c>
    </row>
    <row r="474" spans="1:155" x14ac:dyDescent="0.35">
      <c r="A474">
        <v>2026</v>
      </c>
      <c r="B474" t="s">
        <v>641</v>
      </c>
      <c r="C474" s="112" t="s">
        <v>641</v>
      </c>
      <c r="D474" t="s">
        <v>1016</v>
      </c>
      <c r="E474" t="s">
        <v>643</v>
      </c>
      <c r="F474">
        <v>18</v>
      </c>
      <c r="G474" s="113">
        <v>2.5</v>
      </c>
      <c r="H474">
        <v>4</v>
      </c>
      <c r="I474" t="s">
        <v>644</v>
      </c>
      <c r="J474">
        <v>26</v>
      </c>
      <c r="K474">
        <v>33</v>
      </c>
      <c r="L474">
        <v>29</v>
      </c>
      <c r="M474">
        <v>33.619599999999998</v>
      </c>
      <c r="N474">
        <v>47.9</v>
      </c>
      <c r="O474">
        <v>38.828800000000001</v>
      </c>
      <c r="P474">
        <v>25.908300000000001</v>
      </c>
      <c r="Q474">
        <v>33.094999999999999</v>
      </c>
      <c r="R474">
        <v>28.714200000000002</v>
      </c>
      <c r="U474" t="s">
        <v>215</v>
      </c>
      <c r="V474" t="s">
        <v>497</v>
      </c>
      <c r="W474" t="s">
        <v>498</v>
      </c>
      <c r="Y474">
        <v>8</v>
      </c>
      <c r="Z474" t="s">
        <v>172</v>
      </c>
      <c r="AA474" t="s">
        <v>173</v>
      </c>
      <c r="AB474" t="s">
        <v>170</v>
      </c>
      <c r="AC474" t="s">
        <v>232</v>
      </c>
      <c r="AD474">
        <v>15</v>
      </c>
      <c r="AG474" t="s">
        <v>167</v>
      </c>
      <c r="AH474" t="s">
        <v>416</v>
      </c>
      <c r="AI474" t="s">
        <v>178</v>
      </c>
      <c r="AJ474" t="s">
        <v>179</v>
      </c>
      <c r="AK474" t="s">
        <v>664</v>
      </c>
      <c r="AL474" t="s">
        <v>665</v>
      </c>
      <c r="AS474">
        <v>1700</v>
      </c>
      <c r="AT474">
        <v>1700</v>
      </c>
      <c r="BN474" s="114" t="s">
        <v>198</v>
      </c>
      <c r="BO474">
        <v>2</v>
      </c>
      <c r="BP474">
        <v>2</v>
      </c>
      <c r="BQ474">
        <v>31</v>
      </c>
      <c r="BR474" t="s">
        <v>887</v>
      </c>
      <c r="BT474" t="s">
        <v>183</v>
      </c>
      <c r="BU474" s="115">
        <v>45872</v>
      </c>
      <c r="BV474">
        <v>37292</v>
      </c>
      <c r="BW474" s="116"/>
      <c r="BX474" t="s">
        <v>173</v>
      </c>
      <c r="BY474" t="s">
        <v>173</v>
      </c>
      <c r="CB474" t="s">
        <v>173</v>
      </c>
      <c r="CC474" t="s">
        <v>173</v>
      </c>
      <c r="CE474" t="s">
        <v>173</v>
      </c>
      <c r="CG474" t="s">
        <v>172</v>
      </c>
      <c r="CH474" t="s">
        <v>645</v>
      </c>
      <c r="CI474" t="s">
        <v>173</v>
      </c>
      <c r="DJ474" t="s">
        <v>201</v>
      </c>
      <c r="DK474" t="s">
        <v>202</v>
      </c>
      <c r="DN474" t="s">
        <v>173</v>
      </c>
      <c r="DO474" t="s">
        <v>646</v>
      </c>
      <c r="DP474" t="s">
        <v>172</v>
      </c>
      <c r="DQ474" t="s">
        <v>204</v>
      </c>
      <c r="EA474" s="117"/>
      <c r="EB474">
        <v>6</v>
      </c>
      <c r="EC474">
        <v>6</v>
      </c>
      <c r="EE474" t="s">
        <v>648</v>
      </c>
      <c r="EF474">
        <v>6</v>
      </c>
      <c r="EU474">
        <v>0</v>
      </c>
      <c r="EW474">
        <v>343</v>
      </c>
      <c r="EX474">
        <v>269</v>
      </c>
      <c r="EY474">
        <v>310</v>
      </c>
    </row>
    <row r="475" spans="1:155" x14ac:dyDescent="0.35">
      <c r="A475">
        <v>2026</v>
      </c>
      <c r="B475" t="s">
        <v>641</v>
      </c>
      <c r="C475" s="112" t="s">
        <v>641</v>
      </c>
      <c r="D475" t="s">
        <v>1017</v>
      </c>
      <c r="E475" t="s">
        <v>643</v>
      </c>
      <c r="F475">
        <v>20</v>
      </c>
      <c r="G475" s="113">
        <v>2.5</v>
      </c>
      <c r="H475">
        <v>4</v>
      </c>
      <c r="I475" t="s">
        <v>644</v>
      </c>
      <c r="J475">
        <v>25</v>
      </c>
      <c r="K475">
        <v>32</v>
      </c>
      <c r="L475">
        <v>28</v>
      </c>
      <c r="M475">
        <v>32.9</v>
      </c>
      <c r="N475">
        <v>46.2</v>
      </c>
      <c r="O475">
        <v>37.796300000000002</v>
      </c>
      <c r="P475">
        <v>25.4114</v>
      </c>
      <c r="Q475">
        <v>32.040500000000002</v>
      </c>
      <c r="R475">
        <v>28.020199999999999</v>
      </c>
      <c r="U475" t="s">
        <v>215</v>
      </c>
      <c r="V475" t="s">
        <v>497</v>
      </c>
      <c r="W475" t="s">
        <v>498</v>
      </c>
      <c r="Y475">
        <v>8</v>
      </c>
      <c r="Z475" t="s">
        <v>172</v>
      </c>
      <c r="AA475" t="s">
        <v>173</v>
      </c>
      <c r="AB475" t="s">
        <v>170</v>
      </c>
      <c r="AC475" t="s">
        <v>232</v>
      </c>
      <c r="AD475">
        <v>15</v>
      </c>
      <c r="AG475" t="s">
        <v>167</v>
      </c>
      <c r="AH475" t="s">
        <v>416</v>
      </c>
      <c r="AI475" t="s">
        <v>178</v>
      </c>
      <c r="AJ475" t="s">
        <v>179</v>
      </c>
      <c r="AK475" t="s">
        <v>664</v>
      </c>
      <c r="AL475" t="s">
        <v>665</v>
      </c>
      <c r="AS475">
        <v>1750</v>
      </c>
      <c r="AT475">
        <v>1750</v>
      </c>
      <c r="BN475" s="114" t="s">
        <v>198</v>
      </c>
      <c r="BO475">
        <v>2</v>
      </c>
      <c r="BP475">
        <v>2</v>
      </c>
      <c r="BQ475">
        <v>31</v>
      </c>
      <c r="BR475" t="s">
        <v>887</v>
      </c>
      <c r="BT475" t="s">
        <v>183</v>
      </c>
      <c r="BU475" s="115">
        <v>45872</v>
      </c>
      <c r="BV475">
        <v>37291</v>
      </c>
      <c r="BW475" s="116"/>
      <c r="BX475" t="s">
        <v>172</v>
      </c>
      <c r="BY475" t="s">
        <v>173</v>
      </c>
      <c r="CB475" t="s">
        <v>173</v>
      </c>
      <c r="CC475" t="s">
        <v>173</v>
      </c>
      <c r="CE475" t="s">
        <v>173</v>
      </c>
      <c r="CG475" t="s">
        <v>172</v>
      </c>
      <c r="CH475" t="s">
        <v>645</v>
      </c>
      <c r="CI475" t="s">
        <v>173</v>
      </c>
      <c r="DJ475" t="s">
        <v>201</v>
      </c>
      <c r="DK475" t="s">
        <v>202</v>
      </c>
      <c r="DN475" t="s">
        <v>173</v>
      </c>
      <c r="DO475" t="s">
        <v>646</v>
      </c>
      <c r="DP475" t="s">
        <v>172</v>
      </c>
      <c r="DQ475" t="s">
        <v>204</v>
      </c>
      <c r="EA475" s="117"/>
      <c r="EB475">
        <v>5</v>
      </c>
      <c r="EC475">
        <v>5</v>
      </c>
      <c r="EE475" t="s">
        <v>648</v>
      </c>
      <c r="EF475">
        <v>6</v>
      </c>
      <c r="EV475">
        <v>250</v>
      </c>
      <c r="EW475">
        <v>350</v>
      </c>
      <c r="EX475">
        <v>278</v>
      </c>
      <c r="EY475">
        <v>317</v>
      </c>
    </row>
    <row r="476" spans="1:155" x14ac:dyDescent="0.35">
      <c r="A476">
        <v>2026</v>
      </c>
      <c r="B476" t="s">
        <v>641</v>
      </c>
      <c r="C476" s="112" t="s">
        <v>641</v>
      </c>
      <c r="D476" t="s">
        <v>1018</v>
      </c>
      <c r="E476" t="s">
        <v>643</v>
      </c>
      <c r="F476">
        <v>80</v>
      </c>
      <c r="G476" s="113">
        <v>2.5</v>
      </c>
      <c r="H476">
        <v>4</v>
      </c>
      <c r="I476" t="s">
        <v>644</v>
      </c>
      <c r="J476">
        <v>24</v>
      </c>
      <c r="K476">
        <v>28</v>
      </c>
      <c r="L476">
        <v>26</v>
      </c>
      <c r="M476">
        <v>30.6</v>
      </c>
      <c r="N476">
        <v>40.4</v>
      </c>
      <c r="O476">
        <v>34.349499999999999</v>
      </c>
      <c r="P476">
        <v>23.808</v>
      </c>
      <c r="Q476">
        <v>28.382400000000001</v>
      </c>
      <c r="R476">
        <v>25.669699999999999</v>
      </c>
      <c r="U476" t="s">
        <v>215</v>
      </c>
      <c r="V476" t="s">
        <v>497</v>
      </c>
      <c r="W476" t="s">
        <v>498</v>
      </c>
      <c r="Y476">
        <v>8</v>
      </c>
      <c r="Z476" t="s">
        <v>172</v>
      </c>
      <c r="AA476" t="s">
        <v>173</v>
      </c>
      <c r="AB476" t="s">
        <v>170</v>
      </c>
      <c r="AC476" t="s">
        <v>232</v>
      </c>
      <c r="AD476">
        <v>15</v>
      </c>
      <c r="AG476" t="s">
        <v>167</v>
      </c>
      <c r="AH476" t="s">
        <v>416</v>
      </c>
      <c r="AI476" t="s">
        <v>178</v>
      </c>
      <c r="AJ476" t="s">
        <v>179</v>
      </c>
      <c r="AK476" t="s">
        <v>664</v>
      </c>
      <c r="AL476" t="s">
        <v>665</v>
      </c>
      <c r="AS476">
        <v>1900</v>
      </c>
      <c r="AT476">
        <v>1900</v>
      </c>
      <c r="BN476" s="114" t="s">
        <v>198</v>
      </c>
      <c r="BO476">
        <v>2</v>
      </c>
      <c r="BP476">
        <v>2</v>
      </c>
      <c r="BQ476">
        <v>31</v>
      </c>
      <c r="BR476" t="s">
        <v>887</v>
      </c>
      <c r="BT476" t="s">
        <v>183</v>
      </c>
      <c r="BU476" s="115">
        <v>45872</v>
      </c>
      <c r="BV476">
        <v>37293</v>
      </c>
      <c r="BW476" s="116"/>
      <c r="BX476" t="s">
        <v>172</v>
      </c>
      <c r="BY476" t="s">
        <v>173</v>
      </c>
      <c r="CB476" t="s">
        <v>173</v>
      </c>
      <c r="CC476" t="s">
        <v>173</v>
      </c>
      <c r="CE476" t="s">
        <v>173</v>
      </c>
      <c r="CG476" t="s">
        <v>172</v>
      </c>
      <c r="CH476" t="s">
        <v>645</v>
      </c>
      <c r="CI476" t="s">
        <v>173</v>
      </c>
      <c r="DJ476" t="s">
        <v>201</v>
      </c>
      <c r="DK476" t="s">
        <v>202</v>
      </c>
      <c r="DN476" t="s">
        <v>173</v>
      </c>
      <c r="DO476" t="s">
        <v>646</v>
      </c>
      <c r="DP476" t="s">
        <v>172</v>
      </c>
      <c r="DQ476" t="s">
        <v>204</v>
      </c>
      <c r="EA476" s="117"/>
      <c r="EB476">
        <v>5</v>
      </c>
      <c r="EC476">
        <v>5</v>
      </c>
      <c r="EE476" t="s">
        <v>648</v>
      </c>
      <c r="EF476">
        <v>6</v>
      </c>
      <c r="EV476">
        <v>1000</v>
      </c>
      <c r="EW476">
        <v>374</v>
      </c>
      <c r="EX476">
        <v>315</v>
      </c>
      <c r="EY476">
        <v>347</v>
      </c>
    </row>
    <row r="477" spans="1:155" x14ac:dyDescent="0.35">
      <c r="A477">
        <v>2026</v>
      </c>
      <c r="B477" t="s">
        <v>641</v>
      </c>
      <c r="C477" s="112" t="s">
        <v>641</v>
      </c>
      <c r="D477" t="s">
        <v>1019</v>
      </c>
      <c r="E477" t="s">
        <v>643</v>
      </c>
      <c r="F477">
        <v>19</v>
      </c>
      <c r="G477" s="113">
        <v>2.5</v>
      </c>
      <c r="H477">
        <v>4</v>
      </c>
      <c r="I477" t="s">
        <v>644</v>
      </c>
      <c r="J477">
        <v>25</v>
      </c>
      <c r="K477">
        <v>31</v>
      </c>
      <c r="L477">
        <v>27</v>
      </c>
      <c r="M477">
        <v>31.640899999999998</v>
      </c>
      <c r="N477">
        <v>44.2256</v>
      </c>
      <c r="O477">
        <v>36.287500000000001</v>
      </c>
      <c r="P477">
        <v>24.5365</v>
      </c>
      <c r="Q477">
        <v>30.805800000000001</v>
      </c>
      <c r="R477">
        <v>27.010100000000001</v>
      </c>
      <c r="U477" t="s">
        <v>215</v>
      </c>
      <c r="V477" t="s">
        <v>497</v>
      </c>
      <c r="W477" t="s">
        <v>498</v>
      </c>
      <c r="Y477">
        <v>8</v>
      </c>
      <c r="Z477" t="s">
        <v>172</v>
      </c>
      <c r="AA477" t="s">
        <v>173</v>
      </c>
      <c r="AB477" t="s">
        <v>170</v>
      </c>
      <c r="AC477" t="s">
        <v>232</v>
      </c>
      <c r="AD477">
        <v>15</v>
      </c>
      <c r="AG477" t="s">
        <v>167</v>
      </c>
      <c r="AH477" t="s">
        <v>416</v>
      </c>
      <c r="AI477" t="s">
        <v>178</v>
      </c>
      <c r="AJ477" t="s">
        <v>179</v>
      </c>
      <c r="AK477" t="s">
        <v>664</v>
      </c>
      <c r="AL477" t="s">
        <v>665</v>
      </c>
      <c r="AS477">
        <v>1850</v>
      </c>
      <c r="AT477">
        <v>1850</v>
      </c>
      <c r="BN477" s="114" t="s">
        <v>198</v>
      </c>
      <c r="BO477">
        <v>2</v>
      </c>
      <c r="BP477">
        <v>2</v>
      </c>
      <c r="BQ477">
        <v>31</v>
      </c>
      <c r="BR477" t="s">
        <v>887</v>
      </c>
      <c r="BT477" t="s">
        <v>183</v>
      </c>
      <c r="BU477" s="115">
        <v>45890</v>
      </c>
      <c r="BV477">
        <v>37296</v>
      </c>
      <c r="BW477" s="116"/>
      <c r="BX477" t="s">
        <v>173</v>
      </c>
      <c r="BY477" t="s">
        <v>173</v>
      </c>
      <c r="CB477" t="s">
        <v>173</v>
      </c>
      <c r="CC477" t="s">
        <v>173</v>
      </c>
      <c r="CE477" t="s">
        <v>173</v>
      </c>
      <c r="CG477" t="s">
        <v>172</v>
      </c>
      <c r="CH477" t="s">
        <v>645</v>
      </c>
      <c r="CI477" t="s">
        <v>173</v>
      </c>
      <c r="DJ477" t="s">
        <v>201</v>
      </c>
      <c r="DK477" t="s">
        <v>202</v>
      </c>
      <c r="DN477" t="s">
        <v>173</v>
      </c>
      <c r="DO477" t="s">
        <v>646</v>
      </c>
      <c r="DP477" t="s">
        <v>172</v>
      </c>
      <c r="DQ477" t="s">
        <v>204</v>
      </c>
      <c r="EA477" s="117"/>
      <c r="EB477">
        <v>5</v>
      </c>
      <c r="EC477">
        <v>5</v>
      </c>
      <c r="EE477" t="s">
        <v>648</v>
      </c>
      <c r="EF477">
        <v>6</v>
      </c>
      <c r="EV477">
        <v>750</v>
      </c>
      <c r="EW477">
        <v>363</v>
      </c>
      <c r="EX477">
        <v>289</v>
      </c>
      <c r="EY477">
        <v>330</v>
      </c>
    </row>
    <row r="478" spans="1:155" x14ac:dyDescent="0.35">
      <c r="A478">
        <v>2026</v>
      </c>
      <c r="B478" t="s">
        <v>641</v>
      </c>
      <c r="C478" s="112" t="s">
        <v>641</v>
      </c>
      <c r="D478" t="s">
        <v>1019</v>
      </c>
      <c r="E478" t="s">
        <v>643</v>
      </c>
      <c r="F478">
        <v>21</v>
      </c>
      <c r="G478" s="113">
        <v>2.4</v>
      </c>
      <c r="H478">
        <v>4</v>
      </c>
      <c r="I478" t="s">
        <v>644</v>
      </c>
      <c r="J478">
        <v>21</v>
      </c>
      <c r="K478">
        <v>29</v>
      </c>
      <c r="L478">
        <v>24</v>
      </c>
      <c r="M478">
        <v>27.3</v>
      </c>
      <c r="N478">
        <v>40.6</v>
      </c>
      <c r="O478">
        <v>32.020200000000003</v>
      </c>
      <c r="P478">
        <v>21.465900000000001</v>
      </c>
      <c r="Q478">
        <v>28.510100000000001</v>
      </c>
      <c r="R478">
        <v>24.1511</v>
      </c>
      <c r="T478" t="s">
        <v>168</v>
      </c>
      <c r="U478" t="s">
        <v>169</v>
      </c>
      <c r="V478" t="s">
        <v>497</v>
      </c>
      <c r="W478" t="s">
        <v>498</v>
      </c>
      <c r="Y478">
        <v>8</v>
      </c>
      <c r="Z478" t="s">
        <v>172</v>
      </c>
      <c r="AA478" t="s">
        <v>173</v>
      </c>
      <c r="AB478" t="s">
        <v>170</v>
      </c>
      <c r="AC478" t="s">
        <v>232</v>
      </c>
      <c r="AD478">
        <v>15</v>
      </c>
      <c r="AG478" t="s">
        <v>167</v>
      </c>
      <c r="AH478" t="s">
        <v>416</v>
      </c>
      <c r="AI478" t="s">
        <v>178</v>
      </c>
      <c r="AJ478" t="s">
        <v>179</v>
      </c>
      <c r="AK478" t="s">
        <v>664</v>
      </c>
      <c r="AL478" t="s">
        <v>665</v>
      </c>
      <c r="AS478">
        <v>2050</v>
      </c>
      <c r="AT478">
        <v>2050</v>
      </c>
      <c r="BN478" s="114" t="s">
        <v>198</v>
      </c>
      <c r="BO478">
        <v>2</v>
      </c>
      <c r="BP478">
        <v>2</v>
      </c>
      <c r="BQ478">
        <v>31</v>
      </c>
      <c r="BR478" t="s">
        <v>887</v>
      </c>
      <c r="BT478" t="s">
        <v>183</v>
      </c>
      <c r="BU478" s="115">
        <v>45890</v>
      </c>
      <c r="BV478">
        <v>37297</v>
      </c>
      <c r="BW478" s="116"/>
      <c r="BX478" t="s">
        <v>173</v>
      </c>
      <c r="BY478" t="s">
        <v>173</v>
      </c>
      <c r="CB478" t="s">
        <v>173</v>
      </c>
      <c r="CC478" t="s">
        <v>173</v>
      </c>
      <c r="CE478" t="s">
        <v>173</v>
      </c>
      <c r="CG478" t="s">
        <v>172</v>
      </c>
      <c r="CH478" t="s">
        <v>645</v>
      </c>
      <c r="CI478" t="s">
        <v>173</v>
      </c>
      <c r="DJ478" t="s">
        <v>201</v>
      </c>
      <c r="DK478" t="s">
        <v>202</v>
      </c>
      <c r="DN478" t="s">
        <v>173</v>
      </c>
      <c r="DO478" t="s">
        <v>1020</v>
      </c>
      <c r="DP478" t="s">
        <v>172</v>
      </c>
      <c r="DQ478" t="s">
        <v>204</v>
      </c>
      <c r="EA478" s="117"/>
      <c r="EB478">
        <v>5</v>
      </c>
      <c r="EC478">
        <v>5</v>
      </c>
      <c r="EE478" t="s">
        <v>1021</v>
      </c>
      <c r="EF478">
        <v>5</v>
      </c>
      <c r="EV478">
        <v>1750</v>
      </c>
      <c r="EW478">
        <v>414</v>
      </c>
      <c r="EX478">
        <v>313</v>
      </c>
      <c r="EY478">
        <v>369</v>
      </c>
    </row>
    <row r="479" spans="1:155" x14ac:dyDescent="0.35">
      <c r="A479">
        <v>2026</v>
      </c>
      <c r="B479" t="s">
        <v>641</v>
      </c>
      <c r="C479" s="112" t="s">
        <v>641</v>
      </c>
      <c r="D479" t="s">
        <v>1022</v>
      </c>
      <c r="E479" t="s">
        <v>643</v>
      </c>
      <c r="F479">
        <v>75</v>
      </c>
      <c r="G479" s="113">
        <v>2.4</v>
      </c>
      <c r="H479">
        <v>4</v>
      </c>
      <c r="I479" t="s">
        <v>644</v>
      </c>
      <c r="J479">
        <v>21</v>
      </c>
      <c r="K479">
        <v>27</v>
      </c>
      <c r="L479">
        <v>23</v>
      </c>
      <c r="M479">
        <v>26.5</v>
      </c>
      <c r="N479">
        <v>37.6</v>
      </c>
      <c r="O479">
        <v>30.559699999999999</v>
      </c>
      <c r="P479">
        <v>20.890599999999999</v>
      </c>
      <c r="Q479">
        <v>26.5822</v>
      </c>
      <c r="R479">
        <v>23.117999999999999</v>
      </c>
      <c r="T479" t="s">
        <v>168</v>
      </c>
      <c r="U479" t="s">
        <v>169</v>
      </c>
      <c r="V479" t="s">
        <v>497</v>
      </c>
      <c r="W479" t="s">
        <v>498</v>
      </c>
      <c r="Y479">
        <v>8</v>
      </c>
      <c r="Z479" t="s">
        <v>172</v>
      </c>
      <c r="AA479" t="s">
        <v>173</v>
      </c>
      <c r="AB479" t="s">
        <v>170</v>
      </c>
      <c r="AC479" t="s">
        <v>232</v>
      </c>
      <c r="AD479">
        <v>15</v>
      </c>
      <c r="AG479" t="s">
        <v>167</v>
      </c>
      <c r="AH479" t="s">
        <v>416</v>
      </c>
      <c r="AI479" t="s">
        <v>178</v>
      </c>
      <c r="AJ479" t="s">
        <v>179</v>
      </c>
      <c r="AK479" t="s">
        <v>664</v>
      </c>
      <c r="AL479" t="s">
        <v>665</v>
      </c>
      <c r="AS479">
        <v>2150</v>
      </c>
      <c r="AT479">
        <v>2150</v>
      </c>
      <c r="BN479" s="114" t="s">
        <v>198</v>
      </c>
      <c r="BO479">
        <v>2</v>
      </c>
      <c r="BP479">
        <v>2</v>
      </c>
      <c r="BQ479">
        <v>31</v>
      </c>
      <c r="BR479" t="s">
        <v>887</v>
      </c>
      <c r="BT479" t="s">
        <v>183</v>
      </c>
      <c r="BU479" s="115">
        <v>45890</v>
      </c>
      <c r="BV479">
        <v>37298</v>
      </c>
      <c r="BW479" s="116"/>
      <c r="BX479" t="s">
        <v>172</v>
      </c>
      <c r="BY479" t="s">
        <v>173</v>
      </c>
      <c r="CB479" t="s">
        <v>173</v>
      </c>
      <c r="CC479" t="s">
        <v>173</v>
      </c>
      <c r="CE479" t="s">
        <v>173</v>
      </c>
      <c r="CG479" t="s">
        <v>172</v>
      </c>
      <c r="CH479" t="s">
        <v>645</v>
      </c>
      <c r="CI479" t="s">
        <v>173</v>
      </c>
      <c r="DJ479" t="s">
        <v>201</v>
      </c>
      <c r="DK479" t="s">
        <v>202</v>
      </c>
      <c r="DN479" t="s">
        <v>173</v>
      </c>
      <c r="DO479" t="s">
        <v>1020</v>
      </c>
      <c r="DP479" t="s">
        <v>172</v>
      </c>
      <c r="DQ479" t="s">
        <v>204</v>
      </c>
      <c r="EA479" s="117"/>
      <c r="EB479">
        <v>5</v>
      </c>
      <c r="EC479">
        <v>5</v>
      </c>
      <c r="EE479" t="s">
        <v>1021</v>
      </c>
      <c r="EF479">
        <v>5</v>
      </c>
      <c r="EV479">
        <v>2250</v>
      </c>
      <c r="EW479">
        <v>426</v>
      </c>
      <c r="EX479">
        <v>336</v>
      </c>
      <c r="EY479">
        <v>385</v>
      </c>
    </row>
    <row r="480" spans="1:155" x14ac:dyDescent="0.35">
      <c r="A480">
        <v>2026</v>
      </c>
      <c r="B480" t="s">
        <v>242</v>
      </c>
      <c r="C480" s="112" t="s">
        <v>239</v>
      </c>
      <c r="D480" t="s">
        <v>1305</v>
      </c>
      <c r="E480" t="s">
        <v>245</v>
      </c>
      <c r="F480">
        <v>7</v>
      </c>
      <c r="G480" s="113">
        <v>2</v>
      </c>
      <c r="H480">
        <v>4</v>
      </c>
      <c r="I480" t="s">
        <v>1195</v>
      </c>
      <c r="J480">
        <v>29</v>
      </c>
      <c r="K480">
        <v>31</v>
      </c>
      <c r="L480">
        <v>30</v>
      </c>
      <c r="M480">
        <v>39.859299999999998</v>
      </c>
      <c r="N480">
        <v>49.894500000000001</v>
      </c>
      <c r="O480">
        <v>43.825899999999997</v>
      </c>
      <c r="P480">
        <v>29</v>
      </c>
      <c r="Q480">
        <v>31.017700000000001</v>
      </c>
      <c r="R480">
        <v>30</v>
      </c>
      <c r="U480" t="s">
        <v>215</v>
      </c>
      <c r="V480" t="s">
        <v>497</v>
      </c>
      <c r="W480" t="s">
        <v>498</v>
      </c>
      <c r="Y480">
        <v>10</v>
      </c>
      <c r="Z480" t="s">
        <v>172</v>
      </c>
      <c r="AA480" t="s">
        <v>173</v>
      </c>
      <c r="AB480" t="s">
        <v>170</v>
      </c>
      <c r="AC480" t="s">
        <v>232</v>
      </c>
      <c r="AD480">
        <v>15</v>
      </c>
      <c r="AG480" t="s">
        <v>167</v>
      </c>
      <c r="AH480" t="s">
        <v>416</v>
      </c>
      <c r="AI480" t="s">
        <v>178</v>
      </c>
      <c r="AJ480" t="s">
        <v>179</v>
      </c>
      <c r="AK480" t="s">
        <v>664</v>
      </c>
      <c r="AL480" t="s">
        <v>665</v>
      </c>
      <c r="AS480">
        <v>1650</v>
      </c>
      <c r="AT480">
        <v>1650</v>
      </c>
      <c r="BN480" s="114" t="s">
        <v>247</v>
      </c>
      <c r="BO480">
        <v>2</v>
      </c>
      <c r="BP480">
        <v>2</v>
      </c>
      <c r="BQ480">
        <v>31</v>
      </c>
      <c r="BR480" t="s">
        <v>887</v>
      </c>
      <c r="BT480" t="s">
        <v>613</v>
      </c>
      <c r="BU480" s="115">
        <v>45874</v>
      </c>
      <c r="BV480">
        <v>37500</v>
      </c>
      <c r="BW480" s="116"/>
      <c r="BX480" t="s">
        <v>173</v>
      </c>
      <c r="BY480" t="s">
        <v>173</v>
      </c>
      <c r="CB480" t="s">
        <v>173</v>
      </c>
      <c r="CC480" t="s">
        <v>173</v>
      </c>
      <c r="CE480" t="s">
        <v>173</v>
      </c>
      <c r="CG480" t="s">
        <v>172</v>
      </c>
      <c r="CH480" t="s">
        <v>249</v>
      </c>
      <c r="CI480" t="s">
        <v>173</v>
      </c>
      <c r="DJ480" t="s">
        <v>250</v>
      </c>
      <c r="DK480" t="s">
        <v>251</v>
      </c>
      <c r="DN480" t="s">
        <v>173</v>
      </c>
      <c r="DO480" t="s">
        <v>516</v>
      </c>
      <c r="DP480" t="s">
        <v>172</v>
      </c>
      <c r="DQ480" t="s">
        <v>204</v>
      </c>
      <c r="EA480" s="117"/>
      <c r="EB480">
        <v>6</v>
      </c>
      <c r="EC480">
        <v>6</v>
      </c>
      <c r="EE480" t="s">
        <v>1274</v>
      </c>
      <c r="EF480">
        <v>5</v>
      </c>
      <c r="EU480">
        <v>250</v>
      </c>
      <c r="EW480">
        <v>307</v>
      </c>
      <c r="EX480">
        <v>284</v>
      </c>
      <c r="EY480">
        <v>295</v>
      </c>
    </row>
    <row r="481" spans="1:155" x14ac:dyDescent="0.35">
      <c r="A481">
        <v>2026</v>
      </c>
      <c r="B481" t="s">
        <v>242</v>
      </c>
      <c r="C481" s="112" t="s">
        <v>239</v>
      </c>
      <c r="D481" t="s">
        <v>1306</v>
      </c>
      <c r="E481" t="s">
        <v>245</v>
      </c>
      <c r="F481">
        <v>8</v>
      </c>
      <c r="G481" s="113">
        <v>2</v>
      </c>
      <c r="H481">
        <v>4</v>
      </c>
      <c r="I481" t="s">
        <v>852</v>
      </c>
      <c r="J481">
        <v>46</v>
      </c>
      <c r="K481">
        <v>39</v>
      </c>
      <c r="L481">
        <v>42</v>
      </c>
      <c r="M481">
        <v>65.2102</v>
      </c>
      <c r="N481">
        <v>57.265300000000003</v>
      </c>
      <c r="O481">
        <v>61.3782</v>
      </c>
      <c r="P481">
        <v>46</v>
      </c>
      <c r="Q481">
        <v>39</v>
      </c>
      <c r="R481">
        <v>42</v>
      </c>
      <c r="U481" t="s">
        <v>215</v>
      </c>
      <c r="V481" t="s">
        <v>497</v>
      </c>
      <c r="W481" t="s">
        <v>498</v>
      </c>
      <c r="Y481">
        <v>6</v>
      </c>
      <c r="Z481" t="s">
        <v>173</v>
      </c>
      <c r="AA481" t="s">
        <v>173</v>
      </c>
      <c r="AB481" t="s">
        <v>170</v>
      </c>
      <c r="AC481" t="s">
        <v>232</v>
      </c>
      <c r="AD481">
        <v>15</v>
      </c>
      <c r="AG481" t="s">
        <v>167</v>
      </c>
      <c r="AH481" t="s">
        <v>416</v>
      </c>
      <c r="AI481" t="s">
        <v>178</v>
      </c>
      <c r="AJ481" t="s">
        <v>179</v>
      </c>
      <c r="AK481" t="s">
        <v>664</v>
      </c>
      <c r="AL481" t="s">
        <v>665</v>
      </c>
      <c r="AS481">
        <v>1200</v>
      </c>
      <c r="AT481">
        <v>1200</v>
      </c>
      <c r="BN481" s="114" t="s">
        <v>505</v>
      </c>
      <c r="BO481">
        <v>2</v>
      </c>
      <c r="BP481">
        <v>2</v>
      </c>
      <c r="BQ481">
        <v>31</v>
      </c>
      <c r="BR481" t="s">
        <v>887</v>
      </c>
      <c r="BT481" t="s">
        <v>218</v>
      </c>
      <c r="BU481" s="115">
        <v>45874</v>
      </c>
      <c r="BV481">
        <v>37501</v>
      </c>
      <c r="BW481" s="116"/>
      <c r="BX481" t="s">
        <v>173</v>
      </c>
      <c r="BY481" t="s">
        <v>173</v>
      </c>
      <c r="CB481" t="s">
        <v>173</v>
      </c>
      <c r="CC481" t="s">
        <v>173</v>
      </c>
      <c r="CE481" t="s">
        <v>173</v>
      </c>
      <c r="CG481" t="s">
        <v>172</v>
      </c>
      <c r="CH481" t="s">
        <v>249</v>
      </c>
      <c r="CI481" t="s">
        <v>173</v>
      </c>
      <c r="CK481" t="s">
        <v>259</v>
      </c>
      <c r="CM481">
        <v>1</v>
      </c>
      <c r="CN481" t="s">
        <v>260</v>
      </c>
      <c r="CP481">
        <v>222</v>
      </c>
      <c r="CQ481">
        <v>4.08</v>
      </c>
      <c r="CR481">
        <v>80.7</v>
      </c>
      <c r="CS481" t="s">
        <v>261</v>
      </c>
      <c r="CV481" t="s">
        <v>262</v>
      </c>
      <c r="CX481" t="s">
        <v>263</v>
      </c>
      <c r="CY481" t="s">
        <v>173</v>
      </c>
      <c r="DC481" t="s">
        <v>506</v>
      </c>
      <c r="DD481">
        <v>2</v>
      </c>
      <c r="DE481" t="s">
        <v>307</v>
      </c>
      <c r="DF481" t="s">
        <v>855</v>
      </c>
      <c r="DG481" t="s">
        <v>1307</v>
      </c>
      <c r="DJ481" t="s">
        <v>250</v>
      </c>
      <c r="DK481" t="s">
        <v>251</v>
      </c>
      <c r="DL481" t="s">
        <v>173</v>
      </c>
      <c r="DM481" t="s">
        <v>173</v>
      </c>
      <c r="DN481" t="s">
        <v>173</v>
      </c>
      <c r="DO481" t="s">
        <v>508</v>
      </c>
      <c r="DP481" t="s">
        <v>172</v>
      </c>
      <c r="DQ481" t="s">
        <v>204</v>
      </c>
      <c r="DR481" t="s">
        <v>509</v>
      </c>
      <c r="EA481" s="117"/>
      <c r="EB481">
        <v>7</v>
      </c>
      <c r="EC481">
        <v>7</v>
      </c>
      <c r="EE481" t="s">
        <v>1308</v>
      </c>
      <c r="EF481">
        <v>6</v>
      </c>
      <c r="EU481">
        <v>2500</v>
      </c>
      <c r="EW481">
        <v>192</v>
      </c>
      <c r="EX481">
        <v>227</v>
      </c>
      <c r="EY481">
        <v>211</v>
      </c>
    </row>
    <row r="482" spans="1:155" x14ac:dyDescent="0.35">
      <c r="A482">
        <v>2026</v>
      </c>
      <c r="B482" t="s">
        <v>444</v>
      </c>
      <c r="C482" s="112" t="s">
        <v>445</v>
      </c>
      <c r="D482" t="s">
        <v>1023</v>
      </c>
      <c r="E482" t="s">
        <v>447</v>
      </c>
      <c r="F482">
        <v>12</v>
      </c>
      <c r="G482" s="113">
        <v>2</v>
      </c>
      <c r="H482">
        <v>4</v>
      </c>
      <c r="I482" t="s">
        <v>195</v>
      </c>
      <c r="J482">
        <v>19</v>
      </c>
      <c r="K482">
        <v>25</v>
      </c>
      <c r="L482">
        <v>21</v>
      </c>
      <c r="M482">
        <v>23.5</v>
      </c>
      <c r="N482">
        <v>35.4</v>
      </c>
      <c r="O482">
        <v>27.688500000000001</v>
      </c>
      <c r="P482">
        <v>18.706600000000002</v>
      </c>
      <c r="Q482">
        <v>25.151700000000002</v>
      </c>
      <c r="R482">
        <v>21.1449</v>
      </c>
      <c r="T482" t="s">
        <v>168</v>
      </c>
      <c r="U482" t="s">
        <v>169</v>
      </c>
      <c r="V482" t="s">
        <v>196</v>
      </c>
      <c r="W482" t="s">
        <v>197</v>
      </c>
      <c r="Y482">
        <v>8</v>
      </c>
      <c r="Z482" t="s">
        <v>172</v>
      </c>
      <c r="AA482" t="s">
        <v>173</v>
      </c>
      <c r="AB482" t="s">
        <v>170</v>
      </c>
      <c r="AC482" t="s">
        <v>232</v>
      </c>
      <c r="AD482">
        <v>15</v>
      </c>
      <c r="AG482" t="s">
        <v>167</v>
      </c>
      <c r="AH482" t="s">
        <v>416</v>
      </c>
      <c r="AI482" t="s">
        <v>178</v>
      </c>
      <c r="AJ482" t="s">
        <v>179</v>
      </c>
      <c r="AK482" t="s">
        <v>664</v>
      </c>
      <c r="AL482" t="s">
        <v>665</v>
      </c>
      <c r="AS482">
        <v>2350</v>
      </c>
      <c r="AT482">
        <v>2350</v>
      </c>
      <c r="BN482" s="114" t="s">
        <v>198</v>
      </c>
      <c r="BO482">
        <v>2</v>
      </c>
      <c r="BP482">
        <v>2</v>
      </c>
      <c r="BQ482">
        <v>31</v>
      </c>
      <c r="BR482" t="s">
        <v>887</v>
      </c>
      <c r="BT482" t="s">
        <v>183</v>
      </c>
      <c r="BU482" s="115">
        <v>45803</v>
      </c>
      <c r="BV482">
        <v>36572</v>
      </c>
      <c r="BW482" s="116"/>
      <c r="BX482" t="s">
        <v>172</v>
      </c>
      <c r="BY482" t="s">
        <v>173</v>
      </c>
      <c r="CB482" t="s">
        <v>173</v>
      </c>
      <c r="CC482" t="s">
        <v>173</v>
      </c>
      <c r="CD482" t="s">
        <v>869</v>
      </c>
      <c r="CE482" t="s">
        <v>173</v>
      </c>
      <c r="CG482" t="s">
        <v>172</v>
      </c>
      <c r="CH482" t="s">
        <v>870</v>
      </c>
      <c r="CI482" t="s">
        <v>172</v>
      </c>
      <c r="CJ482" t="s">
        <v>871</v>
      </c>
      <c r="DJ482" t="s">
        <v>201</v>
      </c>
      <c r="DK482" t="s">
        <v>202</v>
      </c>
      <c r="DN482" t="s">
        <v>173</v>
      </c>
      <c r="DO482" t="s">
        <v>451</v>
      </c>
      <c r="DP482" t="s">
        <v>172</v>
      </c>
      <c r="DQ482" t="s">
        <v>204</v>
      </c>
      <c r="EA482" s="117"/>
      <c r="EB482">
        <v>4</v>
      </c>
      <c r="EC482">
        <v>4</v>
      </c>
      <c r="EE482" t="s">
        <v>872</v>
      </c>
      <c r="EF482">
        <v>4</v>
      </c>
      <c r="EV482">
        <v>3250</v>
      </c>
      <c r="EW482">
        <v>476</v>
      </c>
      <c r="EX482">
        <v>355</v>
      </c>
      <c r="EY482">
        <v>421</v>
      </c>
    </row>
    <row r="483" spans="1:155" x14ac:dyDescent="0.35">
      <c r="A483">
        <v>2026</v>
      </c>
      <c r="B483" t="s">
        <v>444</v>
      </c>
      <c r="C483" s="112" t="s">
        <v>445</v>
      </c>
      <c r="D483" t="s">
        <v>1024</v>
      </c>
      <c r="E483" t="s">
        <v>447</v>
      </c>
      <c r="F483">
        <v>11</v>
      </c>
      <c r="G483" s="113">
        <v>2</v>
      </c>
      <c r="H483">
        <v>4</v>
      </c>
      <c r="I483" t="s">
        <v>195</v>
      </c>
      <c r="J483">
        <v>20</v>
      </c>
      <c r="K483">
        <v>26</v>
      </c>
      <c r="L483">
        <v>22</v>
      </c>
      <c r="M483">
        <v>24.629300000000001</v>
      </c>
      <c r="N483">
        <v>36.127899999999997</v>
      </c>
      <c r="O483">
        <v>28.746500000000001</v>
      </c>
      <c r="P483">
        <v>19.533799999999999</v>
      </c>
      <c r="Q483">
        <v>25.6265</v>
      </c>
      <c r="R483">
        <v>21.873999999999999</v>
      </c>
      <c r="T483" t="s">
        <v>168</v>
      </c>
      <c r="U483" t="s">
        <v>169</v>
      </c>
      <c r="V483" t="s">
        <v>196</v>
      </c>
      <c r="W483" t="s">
        <v>197</v>
      </c>
      <c r="Y483">
        <v>8</v>
      </c>
      <c r="Z483" t="s">
        <v>172</v>
      </c>
      <c r="AA483" t="s">
        <v>173</v>
      </c>
      <c r="AB483" t="s">
        <v>170</v>
      </c>
      <c r="AC483" t="s">
        <v>232</v>
      </c>
      <c r="AD483">
        <v>15</v>
      </c>
      <c r="AG483" t="s">
        <v>167</v>
      </c>
      <c r="AH483" t="s">
        <v>416</v>
      </c>
      <c r="AI483" t="s">
        <v>178</v>
      </c>
      <c r="AJ483" t="s">
        <v>179</v>
      </c>
      <c r="AK483" t="s">
        <v>664</v>
      </c>
      <c r="AL483" t="s">
        <v>665</v>
      </c>
      <c r="AS483">
        <v>2250</v>
      </c>
      <c r="AT483">
        <v>2250</v>
      </c>
      <c r="BN483" s="114" t="s">
        <v>198</v>
      </c>
      <c r="BO483">
        <v>2</v>
      </c>
      <c r="BP483">
        <v>2</v>
      </c>
      <c r="BQ483">
        <v>31</v>
      </c>
      <c r="BR483" t="s">
        <v>887</v>
      </c>
      <c r="BT483" t="s">
        <v>183</v>
      </c>
      <c r="BU483" s="115">
        <v>45803</v>
      </c>
      <c r="BV483">
        <v>36571</v>
      </c>
      <c r="BW483" s="116"/>
      <c r="BX483" t="s">
        <v>173</v>
      </c>
      <c r="BY483" t="s">
        <v>173</v>
      </c>
      <c r="CB483" t="s">
        <v>173</v>
      </c>
      <c r="CC483" t="s">
        <v>173</v>
      </c>
      <c r="CD483" t="s">
        <v>869</v>
      </c>
      <c r="CE483" t="s">
        <v>173</v>
      </c>
      <c r="CG483" t="s">
        <v>172</v>
      </c>
      <c r="CH483" t="s">
        <v>870</v>
      </c>
      <c r="CI483" t="s">
        <v>172</v>
      </c>
      <c r="CJ483" t="s">
        <v>871</v>
      </c>
      <c r="DJ483" t="s">
        <v>201</v>
      </c>
      <c r="DK483" t="s">
        <v>202</v>
      </c>
      <c r="DN483" t="s">
        <v>173</v>
      </c>
      <c r="DO483" t="s">
        <v>451</v>
      </c>
      <c r="DP483" t="s">
        <v>172</v>
      </c>
      <c r="DQ483" t="s">
        <v>204</v>
      </c>
      <c r="EA483" s="117"/>
      <c r="EB483">
        <v>4</v>
      </c>
      <c r="EC483">
        <v>4</v>
      </c>
      <c r="EE483" t="s">
        <v>872</v>
      </c>
      <c r="EF483">
        <v>4</v>
      </c>
      <c r="EV483">
        <v>2750</v>
      </c>
      <c r="EW483">
        <v>456</v>
      </c>
      <c r="EX483">
        <v>348</v>
      </c>
      <c r="EY483">
        <v>407</v>
      </c>
    </row>
    <row r="484" spans="1:155" x14ac:dyDescent="0.35">
      <c r="A484">
        <v>2026</v>
      </c>
      <c r="B484" t="s">
        <v>444</v>
      </c>
      <c r="C484" s="112" t="s">
        <v>445</v>
      </c>
      <c r="D484" t="s">
        <v>1025</v>
      </c>
      <c r="E484" t="s">
        <v>447</v>
      </c>
      <c r="F484">
        <v>10</v>
      </c>
      <c r="G484" s="113">
        <v>2</v>
      </c>
      <c r="H484">
        <v>4</v>
      </c>
      <c r="I484" t="s">
        <v>195</v>
      </c>
      <c r="J484">
        <v>20</v>
      </c>
      <c r="K484">
        <v>26</v>
      </c>
      <c r="L484">
        <v>22</v>
      </c>
      <c r="M484">
        <v>24.629300000000001</v>
      </c>
      <c r="N484">
        <v>36.127899999999997</v>
      </c>
      <c r="O484">
        <v>28.746500000000001</v>
      </c>
      <c r="P484">
        <v>19.533799999999999</v>
      </c>
      <c r="Q484">
        <v>25.6265</v>
      </c>
      <c r="R484">
        <v>21.873999999999999</v>
      </c>
      <c r="T484" t="s">
        <v>168</v>
      </c>
      <c r="U484" t="s">
        <v>169</v>
      </c>
      <c r="V484" t="s">
        <v>196</v>
      </c>
      <c r="W484" t="s">
        <v>197</v>
      </c>
      <c r="Y484">
        <v>8</v>
      </c>
      <c r="Z484" t="s">
        <v>172</v>
      </c>
      <c r="AA484" t="s">
        <v>173</v>
      </c>
      <c r="AB484" t="s">
        <v>170</v>
      </c>
      <c r="AC484" t="s">
        <v>232</v>
      </c>
      <c r="AD484">
        <v>15</v>
      </c>
      <c r="AG484" t="s">
        <v>167</v>
      </c>
      <c r="AH484" t="s">
        <v>416</v>
      </c>
      <c r="AI484" t="s">
        <v>178</v>
      </c>
      <c r="AJ484" t="s">
        <v>179</v>
      </c>
      <c r="AK484" t="s">
        <v>664</v>
      </c>
      <c r="AL484" t="s">
        <v>665</v>
      </c>
      <c r="AS484">
        <v>2250</v>
      </c>
      <c r="AT484">
        <v>2250</v>
      </c>
      <c r="BN484" s="114" t="s">
        <v>198</v>
      </c>
      <c r="BO484">
        <v>2</v>
      </c>
      <c r="BP484">
        <v>2</v>
      </c>
      <c r="BQ484">
        <v>31</v>
      </c>
      <c r="BR484" t="s">
        <v>887</v>
      </c>
      <c r="BT484" t="s">
        <v>183</v>
      </c>
      <c r="BU484" s="115">
        <v>45803</v>
      </c>
      <c r="BV484">
        <v>36570</v>
      </c>
      <c r="BW484" s="116"/>
      <c r="BX484" t="s">
        <v>173</v>
      </c>
      <c r="BY484" t="s">
        <v>173</v>
      </c>
      <c r="CB484" t="s">
        <v>173</v>
      </c>
      <c r="CC484" t="s">
        <v>173</v>
      </c>
      <c r="CD484" t="s">
        <v>869</v>
      </c>
      <c r="CE484" t="s">
        <v>173</v>
      </c>
      <c r="CG484" t="s">
        <v>172</v>
      </c>
      <c r="CH484" t="s">
        <v>870</v>
      </c>
      <c r="CI484" t="s">
        <v>172</v>
      </c>
      <c r="CJ484" t="s">
        <v>871</v>
      </c>
      <c r="DJ484" t="s">
        <v>201</v>
      </c>
      <c r="DK484" t="s">
        <v>202</v>
      </c>
      <c r="DN484" t="s">
        <v>173</v>
      </c>
      <c r="DO484" t="s">
        <v>451</v>
      </c>
      <c r="DP484" t="s">
        <v>172</v>
      </c>
      <c r="DQ484" t="s">
        <v>204</v>
      </c>
      <c r="EA484" s="117"/>
      <c r="EB484">
        <v>4</v>
      </c>
      <c r="EC484">
        <v>4</v>
      </c>
      <c r="EE484" t="s">
        <v>872</v>
      </c>
      <c r="EF484">
        <v>4</v>
      </c>
      <c r="EV484">
        <v>2750</v>
      </c>
      <c r="EW484">
        <v>456</v>
      </c>
      <c r="EX484">
        <v>348</v>
      </c>
      <c r="EY484">
        <v>407</v>
      </c>
    </row>
    <row r="485" spans="1:155" x14ac:dyDescent="0.35">
      <c r="A485">
        <v>2026</v>
      </c>
      <c r="B485" t="s">
        <v>444</v>
      </c>
      <c r="C485" s="112" t="s">
        <v>445</v>
      </c>
      <c r="D485" t="s">
        <v>1026</v>
      </c>
      <c r="E485" t="s">
        <v>447</v>
      </c>
      <c r="F485">
        <v>9</v>
      </c>
      <c r="G485" s="113">
        <v>2</v>
      </c>
      <c r="H485">
        <v>4</v>
      </c>
      <c r="I485" t="s">
        <v>195</v>
      </c>
      <c r="J485">
        <v>19</v>
      </c>
      <c r="K485">
        <v>25</v>
      </c>
      <c r="L485">
        <v>21</v>
      </c>
      <c r="M485">
        <v>23.9</v>
      </c>
      <c r="N485">
        <v>35.299999999999997</v>
      </c>
      <c r="O485">
        <v>27.963899999999999</v>
      </c>
      <c r="P485">
        <v>19.000299999999999</v>
      </c>
      <c r="Q485">
        <v>25.086300000000001</v>
      </c>
      <c r="R485">
        <v>21.328800000000001</v>
      </c>
      <c r="T485" t="s">
        <v>168</v>
      </c>
      <c r="U485" t="s">
        <v>169</v>
      </c>
      <c r="V485" t="s">
        <v>196</v>
      </c>
      <c r="W485" t="s">
        <v>197</v>
      </c>
      <c r="Y485">
        <v>8</v>
      </c>
      <c r="Z485" t="s">
        <v>172</v>
      </c>
      <c r="AA485" t="s">
        <v>173</v>
      </c>
      <c r="AB485" t="s">
        <v>170</v>
      </c>
      <c r="AC485" t="s">
        <v>232</v>
      </c>
      <c r="AD485">
        <v>15</v>
      </c>
      <c r="AG485" t="s">
        <v>167</v>
      </c>
      <c r="AH485" t="s">
        <v>416</v>
      </c>
      <c r="AI485" t="s">
        <v>178</v>
      </c>
      <c r="AJ485" t="s">
        <v>179</v>
      </c>
      <c r="AK485" t="s">
        <v>664</v>
      </c>
      <c r="AL485" t="s">
        <v>665</v>
      </c>
      <c r="AS485">
        <v>2350</v>
      </c>
      <c r="AT485">
        <v>2350</v>
      </c>
      <c r="BN485" s="114" t="s">
        <v>198</v>
      </c>
      <c r="BO485">
        <v>2</v>
      </c>
      <c r="BP485">
        <v>2</v>
      </c>
      <c r="BQ485">
        <v>31</v>
      </c>
      <c r="BR485" t="s">
        <v>887</v>
      </c>
      <c r="BT485" t="s">
        <v>183</v>
      </c>
      <c r="BU485" s="115">
        <v>45803</v>
      </c>
      <c r="BV485">
        <v>36569</v>
      </c>
      <c r="BW485" s="116"/>
      <c r="BX485" t="s">
        <v>172</v>
      </c>
      <c r="BY485" t="s">
        <v>173</v>
      </c>
      <c r="CB485" t="s">
        <v>173</v>
      </c>
      <c r="CC485" t="s">
        <v>173</v>
      </c>
      <c r="CD485" t="s">
        <v>869</v>
      </c>
      <c r="CE485" t="s">
        <v>173</v>
      </c>
      <c r="CG485" t="s">
        <v>172</v>
      </c>
      <c r="CH485" t="s">
        <v>870</v>
      </c>
      <c r="CI485" t="s">
        <v>172</v>
      </c>
      <c r="CJ485" t="s">
        <v>871</v>
      </c>
      <c r="DJ485" t="s">
        <v>201</v>
      </c>
      <c r="DK485" t="s">
        <v>202</v>
      </c>
      <c r="DN485" t="s">
        <v>173</v>
      </c>
      <c r="DO485" t="s">
        <v>451</v>
      </c>
      <c r="DP485" t="s">
        <v>172</v>
      </c>
      <c r="DQ485" t="s">
        <v>204</v>
      </c>
      <c r="EA485" s="117"/>
      <c r="EB485">
        <v>4</v>
      </c>
      <c r="EC485">
        <v>4</v>
      </c>
      <c r="EE485" t="s">
        <v>872</v>
      </c>
      <c r="EF485">
        <v>4</v>
      </c>
      <c r="EV485">
        <v>3250</v>
      </c>
      <c r="EW485">
        <v>468</v>
      </c>
      <c r="EX485">
        <v>355</v>
      </c>
      <c r="EY485">
        <v>417</v>
      </c>
    </row>
    <row r="486" spans="1:155" x14ac:dyDescent="0.35">
      <c r="A486">
        <v>2026</v>
      </c>
      <c r="B486" t="s">
        <v>444</v>
      </c>
      <c r="C486" s="112" t="s">
        <v>445</v>
      </c>
      <c r="D486" t="s">
        <v>1027</v>
      </c>
      <c r="E486" t="s">
        <v>447</v>
      </c>
      <c r="F486">
        <v>28</v>
      </c>
      <c r="G486" s="113">
        <v>1.5</v>
      </c>
      <c r="H486">
        <v>4</v>
      </c>
      <c r="I486" t="s">
        <v>195</v>
      </c>
      <c r="J486">
        <v>25</v>
      </c>
      <c r="K486">
        <v>33</v>
      </c>
      <c r="L486">
        <v>28</v>
      </c>
      <c r="M486">
        <v>32.4499</v>
      </c>
      <c r="N486">
        <v>47.047400000000003</v>
      </c>
      <c r="O486">
        <v>37.715899999999998</v>
      </c>
      <c r="P486">
        <v>25.099499999999999</v>
      </c>
      <c r="Q486">
        <v>32.567100000000003</v>
      </c>
      <c r="R486">
        <v>27.987400000000001</v>
      </c>
      <c r="T486" t="s">
        <v>168</v>
      </c>
      <c r="U486" t="s">
        <v>169</v>
      </c>
      <c r="V486" t="s">
        <v>196</v>
      </c>
      <c r="W486" t="s">
        <v>197</v>
      </c>
      <c r="Y486">
        <v>8</v>
      </c>
      <c r="Z486" t="s">
        <v>172</v>
      </c>
      <c r="AA486" t="s">
        <v>173</v>
      </c>
      <c r="AB486">
        <v>4</v>
      </c>
      <c r="AC486" t="s">
        <v>423</v>
      </c>
      <c r="AD486">
        <v>15</v>
      </c>
      <c r="AG486" t="s">
        <v>167</v>
      </c>
      <c r="AH486" t="s">
        <v>416</v>
      </c>
      <c r="AI486" t="s">
        <v>178</v>
      </c>
      <c r="AJ486" t="s">
        <v>179</v>
      </c>
      <c r="AK486" t="s">
        <v>664</v>
      </c>
      <c r="AL486" t="s">
        <v>665</v>
      </c>
      <c r="AO486">
        <v>100</v>
      </c>
      <c r="AP486">
        <v>28</v>
      </c>
      <c r="AS486">
        <v>1750</v>
      </c>
      <c r="AT486">
        <v>1750</v>
      </c>
      <c r="BN486" s="114" t="s">
        <v>198</v>
      </c>
      <c r="BO486">
        <v>2</v>
      </c>
      <c r="BP486">
        <v>2</v>
      </c>
      <c r="BQ486">
        <v>31</v>
      </c>
      <c r="BR486" t="s">
        <v>887</v>
      </c>
      <c r="BT486" t="s">
        <v>183</v>
      </c>
      <c r="BU486" s="115">
        <v>45835</v>
      </c>
      <c r="BV486">
        <v>37083</v>
      </c>
      <c r="BW486" s="116"/>
      <c r="BX486" t="s">
        <v>172</v>
      </c>
      <c r="BY486" t="s">
        <v>173</v>
      </c>
      <c r="CB486" t="s">
        <v>173</v>
      </c>
      <c r="CC486" t="s">
        <v>173</v>
      </c>
      <c r="CD486" t="s">
        <v>878</v>
      </c>
      <c r="CE486" t="s">
        <v>173</v>
      </c>
      <c r="CG486" t="s">
        <v>172</v>
      </c>
      <c r="CH486" t="s">
        <v>455</v>
      </c>
      <c r="CI486" t="s">
        <v>173</v>
      </c>
      <c r="DJ486" t="s">
        <v>201</v>
      </c>
      <c r="DK486" t="s">
        <v>202</v>
      </c>
      <c r="DN486" t="s">
        <v>173</v>
      </c>
      <c r="DO486" t="s">
        <v>451</v>
      </c>
      <c r="DP486" t="s">
        <v>172</v>
      </c>
      <c r="DQ486" t="s">
        <v>204</v>
      </c>
      <c r="DY486">
        <v>38</v>
      </c>
      <c r="EA486" s="117"/>
      <c r="EB486">
        <v>5</v>
      </c>
      <c r="EC486">
        <v>5</v>
      </c>
      <c r="EE486" t="s">
        <v>879</v>
      </c>
      <c r="EF486">
        <v>7</v>
      </c>
      <c r="EV486">
        <v>250</v>
      </c>
      <c r="EW486">
        <v>355</v>
      </c>
      <c r="EX486">
        <v>274</v>
      </c>
      <c r="EY486">
        <v>318</v>
      </c>
    </row>
    <row r="487" spans="1:155" x14ac:dyDescent="0.35">
      <c r="A487">
        <v>2026</v>
      </c>
      <c r="B487" t="s">
        <v>444</v>
      </c>
      <c r="C487" s="112" t="s">
        <v>445</v>
      </c>
      <c r="D487" t="s">
        <v>1028</v>
      </c>
      <c r="E487" t="s">
        <v>447</v>
      </c>
      <c r="F487">
        <v>34</v>
      </c>
      <c r="G487" s="113">
        <v>2</v>
      </c>
      <c r="H487">
        <v>4</v>
      </c>
      <c r="I487" t="s">
        <v>195</v>
      </c>
      <c r="J487">
        <v>22</v>
      </c>
      <c r="K487">
        <v>30</v>
      </c>
      <c r="L487">
        <v>25</v>
      </c>
      <c r="M487">
        <v>28.5</v>
      </c>
      <c r="N487">
        <v>43.4</v>
      </c>
      <c r="O487">
        <v>33.707599999999999</v>
      </c>
      <c r="P487">
        <v>22.3233</v>
      </c>
      <c r="Q487">
        <v>30.286300000000001</v>
      </c>
      <c r="R487">
        <v>25.318899999999999</v>
      </c>
      <c r="T487" t="s">
        <v>168</v>
      </c>
      <c r="U487" t="s">
        <v>169</v>
      </c>
      <c r="V487" t="s">
        <v>196</v>
      </c>
      <c r="W487" t="s">
        <v>197</v>
      </c>
      <c r="Y487">
        <v>8</v>
      </c>
      <c r="Z487" t="s">
        <v>172</v>
      </c>
      <c r="AA487" t="s">
        <v>173</v>
      </c>
      <c r="AB487" t="s">
        <v>170</v>
      </c>
      <c r="AC487" t="s">
        <v>232</v>
      </c>
      <c r="AD487">
        <v>15</v>
      </c>
      <c r="AG487" t="s">
        <v>167</v>
      </c>
      <c r="AH487" t="s">
        <v>416</v>
      </c>
      <c r="AI487" t="s">
        <v>178</v>
      </c>
      <c r="AJ487" t="s">
        <v>179</v>
      </c>
      <c r="AK487" t="s">
        <v>664</v>
      </c>
      <c r="AL487" t="s">
        <v>665</v>
      </c>
      <c r="AS487">
        <v>2000</v>
      </c>
      <c r="AT487">
        <v>2000</v>
      </c>
      <c r="BN487" s="114" t="s">
        <v>198</v>
      </c>
      <c r="BO487">
        <v>2</v>
      </c>
      <c r="BP487">
        <v>2</v>
      </c>
      <c r="BQ487">
        <v>31</v>
      </c>
      <c r="BR487" t="s">
        <v>887</v>
      </c>
      <c r="BT487" t="s">
        <v>183</v>
      </c>
      <c r="BU487" s="115">
        <v>45869</v>
      </c>
      <c r="BV487">
        <v>37081</v>
      </c>
      <c r="BW487" s="116"/>
      <c r="BX487" t="s">
        <v>172</v>
      </c>
      <c r="BY487" t="s">
        <v>173</v>
      </c>
      <c r="CB487" t="s">
        <v>173</v>
      </c>
      <c r="CC487" t="s">
        <v>173</v>
      </c>
      <c r="CD487" t="s">
        <v>1029</v>
      </c>
      <c r="CE487" t="s">
        <v>173</v>
      </c>
      <c r="CG487" t="s">
        <v>172</v>
      </c>
      <c r="CH487" t="s">
        <v>882</v>
      </c>
      <c r="CI487" t="s">
        <v>173</v>
      </c>
      <c r="DJ487" t="s">
        <v>201</v>
      </c>
      <c r="DK487" t="s">
        <v>202</v>
      </c>
      <c r="DN487" t="s">
        <v>173</v>
      </c>
      <c r="DO487" t="s">
        <v>451</v>
      </c>
      <c r="DP487" t="s">
        <v>172</v>
      </c>
      <c r="DQ487" t="s">
        <v>204</v>
      </c>
      <c r="EA487" s="117"/>
      <c r="EB487">
        <v>5</v>
      </c>
      <c r="EC487">
        <v>5</v>
      </c>
      <c r="EE487" t="s">
        <v>883</v>
      </c>
      <c r="EF487">
        <v>6</v>
      </c>
      <c r="EV487">
        <v>1500</v>
      </c>
      <c r="EW487">
        <v>398</v>
      </c>
      <c r="EX487">
        <v>294</v>
      </c>
      <c r="EY487">
        <v>351</v>
      </c>
    </row>
    <row r="488" spans="1:155" x14ac:dyDescent="0.35">
      <c r="A488">
        <v>2026</v>
      </c>
      <c r="B488" t="s">
        <v>444</v>
      </c>
      <c r="C488" s="112" t="s">
        <v>445</v>
      </c>
      <c r="D488" t="s">
        <v>1030</v>
      </c>
      <c r="E488" t="s">
        <v>447</v>
      </c>
      <c r="F488">
        <v>35</v>
      </c>
      <c r="G488" s="113">
        <v>2</v>
      </c>
      <c r="H488">
        <v>4</v>
      </c>
      <c r="I488" t="s">
        <v>195</v>
      </c>
      <c r="J488">
        <v>22</v>
      </c>
      <c r="K488">
        <v>29</v>
      </c>
      <c r="L488">
        <v>25</v>
      </c>
      <c r="M488">
        <v>28</v>
      </c>
      <c r="N488">
        <v>41.9</v>
      </c>
      <c r="O488">
        <v>32.913499999999999</v>
      </c>
      <c r="P488">
        <v>21.966799999999999</v>
      </c>
      <c r="Q488">
        <v>29.337599999999998</v>
      </c>
      <c r="R488">
        <v>24.7669</v>
      </c>
      <c r="T488" t="s">
        <v>168</v>
      </c>
      <c r="U488" t="s">
        <v>169</v>
      </c>
      <c r="V488" t="s">
        <v>196</v>
      </c>
      <c r="W488" t="s">
        <v>197</v>
      </c>
      <c r="Y488">
        <v>8</v>
      </c>
      <c r="Z488" t="s">
        <v>172</v>
      </c>
      <c r="AA488" t="s">
        <v>173</v>
      </c>
      <c r="AB488" t="s">
        <v>170</v>
      </c>
      <c r="AC488" t="s">
        <v>232</v>
      </c>
      <c r="AD488">
        <v>15</v>
      </c>
      <c r="AG488" t="s">
        <v>167</v>
      </c>
      <c r="AH488" t="s">
        <v>416</v>
      </c>
      <c r="AI488" t="s">
        <v>178</v>
      </c>
      <c r="AJ488" t="s">
        <v>179</v>
      </c>
      <c r="AK488" t="s">
        <v>664</v>
      </c>
      <c r="AL488" t="s">
        <v>665</v>
      </c>
      <c r="AS488">
        <v>2000</v>
      </c>
      <c r="AT488">
        <v>2000</v>
      </c>
      <c r="BN488" s="114" t="s">
        <v>198</v>
      </c>
      <c r="BO488">
        <v>2</v>
      </c>
      <c r="BP488">
        <v>2</v>
      </c>
      <c r="BQ488">
        <v>31</v>
      </c>
      <c r="BR488" t="s">
        <v>887</v>
      </c>
      <c r="BT488" t="s">
        <v>183</v>
      </c>
      <c r="BU488" s="115">
        <v>45869</v>
      </c>
      <c r="BV488">
        <v>37082</v>
      </c>
      <c r="BW488" s="116"/>
      <c r="BX488" t="s">
        <v>172</v>
      </c>
      <c r="BY488" t="s">
        <v>173</v>
      </c>
      <c r="CB488" t="s">
        <v>173</v>
      </c>
      <c r="CC488" t="s">
        <v>173</v>
      </c>
      <c r="CD488" t="s">
        <v>1029</v>
      </c>
      <c r="CE488" t="s">
        <v>173</v>
      </c>
      <c r="CG488" t="s">
        <v>172</v>
      </c>
      <c r="CH488" t="s">
        <v>882</v>
      </c>
      <c r="CI488" t="s">
        <v>173</v>
      </c>
      <c r="DJ488" t="s">
        <v>201</v>
      </c>
      <c r="DK488" t="s">
        <v>202</v>
      </c>
      <c r="DN488" t="s">
        <v>173</v>
      </c>
      <c r="DO488" t="s">
        <v>451</v>
      </c>
      <c r="DP488" t="s">
        <v>172</v>
      </c>
      <c r="DQ488" t="s">
        <v>204</v>
      </c>
      <c r="EA488" s="117"/>
      <c r="EB488">
        <v>5</v>
      </c>
      <c r="EC488">
        <v>5</v>
      </c>
      <c r="EE488" t="s">
        <v>883</v>
      </c>
      <c r="EF488">
        <v>6</v>
      </c>
      <c r="EV488">
        <v>1500</v>
      </c>
      <c r="EW488">
        <v>406</v>
      </c>
      <c r="EX488">
        <v>304</v>
      </c>
      <c r="EY488">
        <v>360</v>
      </c>
    </row>
    <row r="489" spans="1:155" x14ac:dyDescent="0.35">
      <c r="A489">
        <v>2026</v>
      </c>
      <c r="B489" t="s">
        <v>524</v>
      </c>
      <c r="C489" s="112" t="s">
        <v>525</v>
      </c>
      <c r="D489" t="s">
        <v>1031</v>
      </c>
      <c r="E489" t="s">
        <v>527</v>
      </c>
      <c r="F489">
        <v>240</v>
      </c>
      <c r="G489" s="113">
        <v>2</v>
      </c>
      <c r="H489">
        <v>4</v>
      </c>
      <c r="I489" t="s">
        <v>195</v>
      </c>
      <c r="J489">
        <v>23</v>
      </c>
      <c r="K489">
        <v>30</v>
      </c>
      <c r="L489">
        <v>26</v>
      </c>
      <c r="M489">
        <v>30</v>
      </c>
      <c r="N489">
        <v>43</v>
      </c>
      <c r="O489">
        <v>34.7241</v>
      </c>
      <c r="P489">
        <v>23.3858</v>
      </c>
      <c r="Q489">
        <v>30.033999999999999</v>
      </c>
      <c r="R489">
        <v>25.972999999999999</v>
      </c>
      <c r="T489" t="s">
        <v>168</v>
      </c>
      <c r="U489" t="s">
        <v>169</v>
      </c>
      <c r="V489" t="s">
        <v>196</v>
      </c>
      <c r="W489" t="s">
        <v>197</v>
      </c>
      <c r="Y489">
        <v>8</v>
      </c>
      <c r="Z489" t="s">
        <v>172</v>
      </c>
      <c r="AA489" t="s">
        <v>173</v>
      </c>
      <c r="AB489" t="s">
        <v>170</v>
      </c>
      <c r="AC489" t="s">
        <v>232</v>
      </c>
      <c r="AD489">
        <v>10</v>
      </c>
      <c r="AG489" t="s">
        <v>216</v>
      </c>
      <c r="AH489" t="s">
        <v>217</v>
      </c>
      <c r="AI489" t="s">
        <v>178</v>
      </c>
      <c r="AJ489" t="s">
        <v>179</v>
      </c>
      <c r="AK489" t="s">
        <v>664</v>
      </c>
      <c r="AL489" t="s">
        <v>665</v>
      </c>
      <c r="AS489">
        <v>2400</v>
      </c>
      <c r="AT489">
        <v>2400</v>
      </c>
      <c r="BN489" s="114" t="s">
        <v>256</v>
      </c>
      <c r="BO489">
        <v>2</v>
      </c>
      <c r="BP489">
        <v>2</v>
      </c>
      <c r="BQ489">
        <v>31</v>
      </c>
      <c r="BR489" t="s">
        <v>887</v>
      </c>
      <c r="BT489" t="s">
        <v>183</v>
      </c>
      <c r="BU489" s="115">
        <v>45800</v>
      </c>
      <c r="BV489">
        <v>36332</v>
      </c>
      <c r="BW489" s="116"/>
      <c r="BY489" t="s">
        <v>173</v>
      </c>
      <c r="CB489" t="s">
        <v>173</v>
      </c>
      <c r="CC489" t="s">
        <v>173</v>
      </c>
      <c r="CD489" t="s">
        <v>528</v>
      </c>
      <c r="CE489" t="s">
        <v>173</v>
      </c>
      <c r="CG489" t="s">
        <v>172</v>
      </c>
      <c r="CH489" t="s">
        <v>529</v>
      </c>
      <c r="CI489" t="s">
        <v>173</v>
      </c>
      <c r="CK489" t="s">
        <v>259</v>
      </c>
      <c r="CM489">
        <v>1</v>
      </c>
      <c r="CN489" t="s">
        <v>260</v>
      </c>
      <c r="CP489">
        <v>44</v>
      </c>
      <c r="CQ489">
        <v>8.4</v>
      </c>
      <c r="CR489">
        <v>56</v>
      </c>
      <c r="CS489" t="s">
        <v>261</v>
      </c>
      <c r="CV489" t="s">
        <v>262</v>
      </c>
      <c r="CX489" t="s">
        <v>263</v>
      </c>
      <c r="CY489" t="s">
        <v>173</v>
      </c>
      <c r="DD489">
        <v>1</v>
      </c>
      <c r="DE489" t="s">
        <v>530</v>
      </c>
      <c r="DG489">
        <v>10</v>
      </c>
      <c r="DJ489" t="s">
        <v>201</v>
      </c>
      <c r="DK489" t="s">
        <v>202</v>
      </c>
      <c r="DL489" t="s">
        <v>173</v>
      </c>
      <c r="DM489" t="s">
        <v>173</v>
      </c>
      <c r="DN489" t="s">
        <v>173</v>
      </c>
      <c r="DO489" t="s">
        <v>531</v>
      </c>
      <c r="DP489" t="s">
        <v>172</v>
      </c>
      <c r="DQ489" t="s">
        <v>204</v>
      </c>
      <c r="DR489" t="s">
        <v>532</v>
      </c>
      <c r="DY489">
        <v>34.700000000000003</v>
      </c>
      <c r="EA489" s="117"/>
      <c r="EB489">
        <v>5</v>
      </c>
      <c r="EC489">
        <v>5</v>
      </c>
      <c r="EE489" t="s">
        <v>533</v>
      </c>
      <c r="EF489">
        <v>4</v>
      </c>
      <c r="EV489">
        <v>3500</v>
      </c>
      <c r="EW489">
        <v>381</v>
      </c>
      <c r="EX489">
        <v>296</v>
      </c>
      <c r="EY489">
        <v>343</v>
      </c>
    </row>
    <row r="490" spans="1:155" x14ac:dyDescent="0.35">
      <c r="A490">
        <v>2026</v>
      </c>
      <c r="B490" t="s">
        <v>524</v>
      </c>
      <c r="C490" s="112" t="s">
        <v>525</v>
      </c>
      <c r="D490" t="s">
        <v>1032</v>
      </c>
      <c r="E490" t="s">
        <v>527</v>
      </c>
      <c r="F490">
        <v>260</v>
      </c>
      <c r="G490" s="113">
        <v>2</v>
      </c>
      <c r="H490">
        <v>4</v>
      </c>
      <c r="I490" t="s">
        <v>195</v>
      </c>
      <c r="J490">
        <v>23</v>
      </c>
      <c r="K490">
        <v>30</v>
      </c>
      <c r="L490">
        <v>26</v>
      </c>
      <c r="M490">
        <v>29.599699999999999</v>
      </c>
      <c r="N490">
        <v>43.6</v>
      </c>
      <c r="O490">
        <v>34.599200000000003</v>
      </c>
      <c r="P490">
        <v>23.103200000000001</v>
      </c>
      <c r="Q490">
        <v>30.412400000000002</v>
      </c>
      <c r="R490">
        <v>25.904800000000002</v>
      </c>
      <c r="T490" t="s">
        <v>168</v>
      </c>
      <c r="U490" t="s">
        <v>169</v>
      </c>
      <c r="V490" t="s">
        <v>196</v>
      </c>
      <c r="W490" t="s">
        <v>197</v>
      </c>
      <c r="Y490">
        <v>8</v>
      </c>
      <c r="Z490" t="s">
        <v>172</v>
      </c>
      <c r="AA490" t="s">
        <v>173</v>
      </c>
      <c r="AB490" t="s">
        <v>170</v>
      </c>
      <c r="AC490" t="s">
        <v>232</v>
      </c>
      <c r="AD490">
        <v>10</v>
      </c>
      <c r="AG490" t="s">
        <v>216</v>
      </c>
      <c r="AH490" t="s">
        <v>217</v>
      </c>
      <c r="AI490" t="s">
        <v>178</v>
      </c>
      <c r="AJ490" t="s">
        <v>179</v>
      </c>
      <c r="AK490" t="s">
        <v>664</v>
      </c>
      <c r="AL490" t="s">
        <v>665</v>
      </c>
      <c r="AS490">
        <v>2400</v>
      </c>
      <c r="AT490">
        <v>2400</v>
      </c>
      <c r="BN490" s="114" t="s">
        <v>256</v>
      </c>
      <c r="BO490">
        <v>2</v>
      </c>
      <c r="BP490">
        <v>2</v>
      </c>
      <c r="BQ490">
        <v>31</v>
      </c>
      <c r="BR490" t="s">
        <v>887</v>
      </c>
      <c r="BT490" t="s">
        <v>183</v>
      </c>
      <c r="BU490" s="115">
        <v>45800</v>
      </c>
      <c r="BV490">
        <v>36336</v>
      </c>
      <c r="BW490" s="116"/>
      <c r="BY490" t="s">
        <v>173</v>
      </c>
      <c r="CB490" t="s">
        <v>173</v>
      </c>
      <c r="CC490" t="s">
        <v>173</v>
      </c>
      <c r="CD490" t="s">
        <v>660</v>
      </c>
      <c r="CE490" t="s">
        <v>173</v>
      </c>
      <c r="CG490" t="s">
        <v>172</v>
      </c>
      <c r="CH490" t="s">
        <v>529</v>
      </c>
      <c r="CI490" t="s">
        <v>173</v>
      </c>
      <c r="CK490" t="s">
        <v>259</v>
      </c>
      <c r="CM490">
        <v>1</v>
      </c>
      <c r="CN490" t="s">
        <v>260</v>
      </c>
      <c r="CP490">
        <v>44</v>
      </c>
      <c r="CQ490">
        <v>8.4</v>
      </c>
      <c r="CR490">
        <v>56</v>
      </c>
      <c r="CS490" t="s">
        <v>261</v>
      </c>
      <c r="CV490" t="s">
        <v>262</v>
      </c>
      <c r="CX490" t="s">
        <v>263</v>
      </c>
      <c r="CY490" t="s">
        <v>173</v>
      </c>
      <c r="DD490">
        <v>1</v>
      </c>
      <c r="DE490" t="s">
        <v>530</v>
      </c>
      <c r="DG490">
        <v>10</v>
      </c>
      <c r="DJ490" t="s">
        <v>201</v>
      </c>
      <c r="DK490" t="s">
        <v>202</v>
      </c>
      <c r="DL490" t="s">
        <v>173</v>
      </c>
      <c r="DM490" t="s">
        <v>173</v>
      </c>
      <c r="DN490" t="s">
        <v>173</v>
      </c>
      <c r="DO490" t="s">
        <v>661</v>
      </c>
      <c r="DP490" t="s">
        <v>172</v>
      </c>
      <c r="DQ490" t="s">
        <v>204</v>
      </c>
      <c r="DR490" t="s">
        <v>532</v>
      </c>
      <c r="EA490" s="117"/>
      <c r="EB490">
        <v>5</v>
      </c>
      <c r="EC490">
        <v>5</v>
      </c>
      <c r="EE490" t="s">
        <v>1033</v>
      </c>
      <c r="EF490">
        <v>6</v>
      </c>
      <c r="EV490">
        <v>3500</v>
      </c>
      <c r="EW490">
        <v>384</v>
      </c>
      <c r="EX490">
        <v>292</v>
      </c>
      <c r="EY490">
        <v>343</v>
      </c>
    </row>
    <row r="491" spans="1:155" x14ac:dyDescent="0.35">
      <c r="A491">
        <v>2026</v>
      </c>
      <c r="B491" t="s">
        <v>192</v>
      </c>
      <c r="C491" s="112" t="s">
        <v>192</v>
      </c>
      <c r="D491" t="s">
        <v>1034</v>
      </c>
      <c r="E491" t="s">
        <v>194</v>
      </c>
      <c r="F491">
        <v>570</v>
      </c>
      <c r="G491" s="113">
        <v>3</v>
      </c>
      <c r="H491">
        <v>6</v>
      </c>
      <c r="I491" t="s">
        <v>195</v>
      </c>
      <c r="J491">
        <v>23</v>
      </c>
      <c r="K491">
        <v>27</v>
      </c>
      <c r="L491">
        <v>25</v>
      </c>
      <c r="M491">
        <v>29.7</v>
      </c>
      <c r="N491">
        <v>37.9</v>
      </c>
      <c r="O491">
        <v>32.903500000000001</v>
      </c>
      <c r="P491">
        <v>23.174099999999999</v>
      </c>
      <c r="Q491">
        <v>26.7761</v>
      </c>
      <c r="R491">
        <v>24.667400000000001</v>
      </c>
      <c r="T491" t="s">
        <v>168</v>
      </c>
      <c r="U491" t="s">
        <v>169</v>
      </c>
      <c r="V491" t="s">
        <v>196</v>
      </c>
      <c r="W491" t="s">
        <v>197</v>
      </c>
      <c r="Y491">
        <v>8</v>
      </c>
      <c r="Z491" t="s">
        <v>172</v>
      </c>
      <c r="AA491" t="s">
        <v>173</v>
      </c>
      <c r="AB491" t="s">
        <v>174</v>
      </c>
      <c r="AC491" t="s">
        <v>175</v>
      </c>
      <c r="AD491">
        <v>10</v>
      </c>
      <c r="AG491" t="s">
        <v>176</v>
      </c>
      <c r="AH491" t="s">
        <v>177</v>
      </c>
      <c r="AI491" t="s">
        <v>178</v>
      </c>
      <c r="AJ491" t="s">
        <v>179</v>
      </c>
      <c r="AK491" t="s">
        <v>664</v>
      </c>
      <c r="AL491" t="s">
        <v>665</v>
      </c>
      <c r="AS491">
        <v>2500</v>
      </c>
      <c r="AT491">
        <v>2500</v>
      </c>
      <c r="BN491" s="114" t="s">
        <v>304</v>
      </c>
      <c r="BO491">
        <v>2</v>
      </c>
      <c r="BP491">
        <v>2</v>
      </c>
      <c r="BQ491">
        <v>32</v>
      </c>
      <c r="BR491" t="s">
        <v>1035</v>
      </c>
      <c r="BT491" t="s">
        <v>183</v>
      </c>
      <c r="BU491" s="115">
        <v>45748</v>
      </c>
      <c r="BV491">
        <v>36610</v>
      </c>
      <c r="BW491" s="116"/>
      <c r="BX491" t="s">
        <v>173</v>
      </c>
      <c r="BY491" t="s">
        <v>173</v>
      </c>
      <c r="CB491" t="s">
        <v>173</v>
      </c>
      <c r="CC491" t="s">
        <v>173</v>
      </c>
      <c r="CE491" t="s">
        <v>173</v>
      </c>
      <c r="CG491" t="s">
        <v>172</v>
      </c>
      <c r="CH491" t="s">
        <v>282</v>
      </c>
      <c r="CI491" t="s">
        <v>172</v>
      </c>
      <c r="CJ491" t="s">
        <v>305</v>
      </c>
      <c r="CK491" t="s">
        <v>259</v>
      </c>
      <c r="CM491">
        <v>1</v>
      </c>
      <c r="CN491" t="s">
        <v>260</v>
      </c>
      <c r="CP491">
        <v>44</v>
      </c>
      <c r="CQ491">
        <v>10</v>
      </c>
      <c r="CR491">
        <v>38</v>
      </c>
      <c r="CS491" t="s">
        <v>261</v>
      </c>
      <c r="CV491" t="s">
        <v>262</v>
      </c>
      <c r="CX491" t="s">
        <v>263</v>
      </c>
      <c r="CY491" t="s">
        <v>173</v>
      </c>
      <c r="DC491" t="s">
        <v>544</v>
      </c>
      <c r="DD491">
        <v>1</v>
      </c>
      <c r="DE491" t="s">
        <v>307</v>
      </c>
      <c r="DF491" t="s">
        <v>330</v>
      </c>
      <c r="DG491">
        <v>9</v>
      </c>
      <c r="DJ491" t="s">
        <v>250</v>
      </c>
      <c r="DK491" t="s">
        <v>251</v>
      </c>
      <c r="DL491" t="s">
        <v>173</v>
      </c>
      <c r="DM491" t="s">
        <v>173</v>
      </c>
      <c r="DN491" t="s">
        <v>173</v>
      </c>
      <c r="DO491" t="s">
        <v>309</v>
      </c>
      <c r="DP491" t="s">
        <v>172</v>
      </c>
      <c r="DQ491" t="s">
        <v>204</v>
      </c>
      <c r="EA491" s="117"/>
      <c r="EB491">
        <v>5</v>
      </c>
      <c r="EC491">
        <v>5</v>
      </c>
      <c r="EE491" t="s">
        <v>545</v>
      </c>
      <c r="EF491">
        <v>6</v>
      </c>
      <c r="EV491">
        <v>4000</v>
      </c>
      <c r="EW491">
        <v>383</v>
      </c>
      <c r="EX491">
        <v>331</v>
      </c>
      <c r="EY491">
        <v>360</v>
      </c>
    </row>
    <row r="492" spans="1:155" x14ac:dyDescent="0.35">
      <c r="A492">
        <v>2026</v>
      </c>
      <c r="B492" t="s">
        <v>211</v>
      </c>
      <c r="C492" s="112" t="s">
        <v>609</v>
      </c>
      <c r="D492" t="s">
        <v>1036</v>
      </c>
      <c r="E492" t="s">
        <v>214</v>
      </c>
      <c r="F492">
        <v>853</v>
      </c>
      <c r="G492" s="113">
        <v>2.5</v>
      </c>
      <c r="H492">
        <v>4</v>
      </c>
      <c r="I492" t="s">
        <v>166</v>
      </c>
      <c r="J492">
        <v>20</v>
      </c>
      <c r="K492">
        <v>25</v>
      </c>
      <c r="L492">
        <v>22</v>
      </c>
      <c r="M492">
        <v>25.3</v>
      </c>
      <c r="N492">
        <v>37.4</v>
      </c>
      <c r="O492">
        <v>29.611000000000001</v>
      </c>
      <c r="P492">
        <v>20.022099999999998</v>
      </c>
      <c r="Q492">
        <v>25</v>
      </c>
      <c r="R492">
        <v>22.481400000000001</v>
      </c>
      <c r="T492" t="s">
        <v>168</v>
      </c>
      <c r="U492" t="s">
        <v>169</v>
      </c>
      <c r="V492" t="s">
        <v>170</v>
      </c>
      <c r="W492" t="s">
        <v>171</v>
      </c>
      <c r="Y492">
        <v>8</v>
      </c>
      <c r="Z492" t="s">
        <v>172</v>
      </c>
      <c r="AA492" t="s">
        <v>173</v>
      </c>
      <c r="AB492" t="s">
        <v>277</v>
      </c>
      <c r="AC492" t="s">
        <v>278</v>
      </c>
      <c r="AD492">
        <v>10</v>
      </c>
      <c r="AG492" t="s">
        <v>167</v>
      </c>
      <c r="AH492" t="s">
        <v>416</v>
      </c>
      <c r="AI492" t="s">
        <v>178</v>
      </c>
      <c r="AJ492" t="s">
        <v>179</v>
      </c>
      <c r="AK492" t="s">
        <v>664</v>
      </c>
      <c r="AL492" t="s">
        <v>665</v>
      </c>
      <c r="AS492">
        <v>2250</v>
      </c>
      <c r="AT492">
        <v>2250</v>
      </c>
      <c r="BN492" s="114" t="s">
        <v>198</v>
      </c>
      <c r="BO492">
        <v>2</v>
      </c>
      <c r="BP492">
        <v>2</v>
      </c>
      <c r="BQ492">
        <v>32</v>
      </c>
      <c r="BR492" t="s">
        <v>1035</v>
      </c>
      <c r="BT492" t="s">
        <v>183</v>
      </c>
      <c r="BU492" s="115">
        <v>45845</v>
      </c>
      <c r="BV492">
        <v>36797</v>
      </c>
      <c r="BW492" s="116"/>
      <c r="BX492" t="s">
        <v>173</v>
      </c>
      <c r="BY492" t="s">
        <v>173</v>
      </c>
      <c r="CB492" t="s">
        <v>173</v>
      </c>
      <c r="CC492" t="s">
        <v>173</v>
      </c>
      <c r="CE492" t="s">
        <v>173</v>
      </c>
      <c r="CG492" t="s">
        <v>172</v>
      </c>
      <c r="CH492" t="s">
        <v>224</v>
      </c>
      <c r="CI492" t="s">
        <v>173</v>
      </c>
      <c r="DJ492" t="s">
        <v>201</v>
      </c>
      <c r="DK492" t="s">
        <v>202</v>
      </c>
      <c r="DN492" t="s">
        <v>173</v>
      </c>
      <c r="DO492" t="s">
        <v>203</v>
      </c>
      <c r="DP492" t="s">
        <v>172</v>
      </c>
      <c r="DQ492" t="s">
        <v>204</v>
      </c>
      <c r="EA492" s="117"/>
      <c r="EB492">
        <v>4</v>
      </c>
      <c r="EC492">
        <v>4</v>
      </c>
      <c r="EE492" t="s">
        <v>1037</v>
      </c>
      <c r="EF492">
        <v>6</v>
      </c>
      <c r="EV492">
        <v>2750</v>
      </c>
      <c r="EW492">
        <v>444</v>
      </c>
      <c r="EX492">
        <v>356</v>
      </c>
      <c r="EY492">
        <v>404</v>
      </c>
    </row>
    <row r="493" spans="1:155" x14ac:dyDescent="0.35">
      <c r="A493">
        <v>2026</v>
      </c>
      <c r="B493" t="s">
        <v>211</v>
      </c>
      <c r="C493" s="112" t="s">
        <v>212</v>
      </c>
      <c r="D493" t="s">
        <v>1309</v>
      </c>
      <c r="E493" t="s">
        <v>214</v>
      </c>
      <c r="F493">
        <v>583</v>
      </c>
      <c r="G493" s="113">
        <v>6.2</v>
      </c>
      <c r="H493">
        <v>8</v>
      </c>
      <c r="I493" t="s">
        <v>669</v>
      </c>
      <c r="J493">
        <v>15</v>
      </c>
      <c r="K493">
        <v>19</v>
      </c>
      <c r="L493">
        <v>16</v>
      </c>
      <c r="M493">
        <v>18.2</v>
      </c>
      <c r="N493">
        <v>27.3</v>
      </c>
      <c r="O493">
        <v>21.411799999999999</v>
      </c>
      <c r="P493">
        <v>14.742100000000001</v>
      </c>
      <c r="Q493">
        <v>18.859300000000001</v>
      </c>
      <c r="R493">
        <v>16.348099999999999</v>
      </c>
      <c r="U493" t="s">
        <v>215</v>
      </c>
      <c r="V493" t="s">
        <v>170</v>
      </c>
      <c r="W493" t="s">
        <v>171</v>
      </c>
      <c r="Y493">
        <v>10</v>
      </c>
      <c r="Z493" t="s">
        <v>172</v>
      </c>
      <c r="AA493" t="s">
        <v>173</v>
      </c>
      <c r="AB493" t="s">
        <v>174</v>
      </c>
      <c r="AC493" t="s">
        <v>175</v>
      </c>
      <c r="AD493">
        <v>10</v>
      </c>
      <c r="AG493" t="s">
        <v>176</v>
      </c>
      <c r="AH493" t="s">
        <v>177</v>
      </c>
      <c r="AI493" t="s">
        <v>178</v>
      </c>
      <c r="AJ493" t="s">
        <v>179</v>
      </c>
      <c r="AK493" t="s">
        <v>664</v>
      </c>
      <c r="AL493" t="s">
        <v>665</v>
      </c>
      <c r="AS493">
        <v>3900</v>
      </c>
      <c r="AT493">
        <v>3900</v>
      </c>
      <c r="BN493" s="114" t="s">
        <v>198</v>
      </c>
      <c r="BO493">
        <v>1</v>
      </c>
      <c r="BP493">
        <v>1</v>
      </c>
      <c r="BQ493">
        <v>32</v>
      </c>
      <c r="BR493" t="s">
        <v>1035</v>
      </c>
      <c r="BT493" t="s">
        <v>613</v>
      </c>
      <c r="BU493" s="115">
        <v>45908</v>
      </c>
      <c r="BV493">
        <v>36831</v>
      </c>
      <c r="BW493" s="116"/>
      <c r="BX493" t="s">
        <v>173</v>
      </c>
      <c r="BY493" t="s">
        <v>173</v>
      </c>
      <c r="CB493" t="s">
        <v>173</v>
      </c>
      <c r="CC493" t="s">
        <v>173</v>
      </c>
      <c r="CE493" t="s">
        <v>172</v>
      </c>
      <c r="CF493" t="s">
        <v>676</v>
      </c>
      <c r="CG493" t="s">
        <v>172</v>
      </c>
      <c r="CH493" t="s">
        <v>677</v>
      </c>
      <c r="CI493" t="s">
        <v>173</v>
      </c>
      <c r="DJ493" t="s">
        <v>201</v>
      </c>
      <c r="DK493" t="s">
        <v>202</v>
      </c>
      <c r="DN493" t="s">
        <v>173</v>
      </c>
      <c r="DO493" t="s">
        <v>203</v>
      </c>
      <c r="DP493" t="s">
        <v>172</v>
      </c>
      <c r="DQ493" t="s">
        <v>204</v>
      </c>
      <c r="EA493" s="117"/>
      <c r="EB493">
        <v>3</v>
      </c>
      <c r="EC493">
        <v>3</v>
      </c>
      <c r="EE493" t="s">
        <v>717</v>
      </c>
      <c r="EF493">
        <v>5</v>
      </c>
      <c r="EV493">
        <v>11000</v>
      </c>
      <c r="EW493">
        <v>605</v>
      </c>
      <c r="EX493">
        <v>470</v>
      </c>
      <c r="EY493">
        <v>544</v>
      </c>
    </row>
    <row r="494" spans="1:155" x14ac:dyDescent="0.35">
      <c r="A494">
        <v>2026</v>
      </c>
      <c r="B494" t="s">
        <v>211</v>
      </c>
      <c r="C494" s="112" t="s">
        <v>212</v>
      </c>
      <c r="D494" t="s">
        <v>1309</v>
      </c>
      <c r="E494" t="s">
        <v>214</v>
      </c>
      <c r="F494">
        <v>593</v>
      </c>
      <c r="G494" s="113">
        <v>5.3</v>
      </c>
      <c r="H494">
        <v>8</v>
      </c>
      <c r="I494" t="s">
        <v>669</v>
      </c>
      <c r="J494">
        <v>15</v>
      </c>
      <c r="K494">
        <v>20</v>
      </c>
      <c r="L494">
        <v>17</v>
      </c>
      <c r="M494">
        <v>19.5</v>
      </c>
      <c r="N494">
        <v>29.9</v>
      </c>
      <c r="O494">
        <v>23.118600000000001</v>
      </c>
      <c r="P494">
        <v>14.9986</v>
      </c>
      <c r="Q494">
        <v>19.604099999999999</v>
      </c>
      <c r="R494">
        <v>16.771599999999999</v>
      </c>
      <c r="U494" t="s">
        <v>215</v>
      </c>
      <c r="V494" t="s">
        <v>170</v>
      </c>
      <c r="W494" t="s">
        <v>171</v>
      </c>
      <c r="Y494">
        <v>10</v>
      </c>
      <c r="Z494" t="s">
        <v>172</v>
      </c>
      <c r="AA494" t="s">
        <v>173</v>
      </c>
      <c r="AB494" t="s">
        <v>174</v>
      </c>
      <c r="AC494" t="s">
        <v>175</v>
      </c>
      <c r="AD494">
        <v>10</v>
      </c>
      <c r="AG494" t="s">
        <v>167</v>
      </c>
      <c r="AH494" t="s">
        <v>416</v>
      </c>
      <c r="AI494" t="s">
        <v>178</v>
      </c>
      <c r="AJ494" t="s">
        <v>179</v>
      </c>
      <c r="AK494" t="s">
        <v>664</v>
      </c>
      <c r="AL494" t="s">
        <v>665</v>
      </c>
      <c r="AS494">
        <v>2900</v>
      </c>
      <c r="AT494">
        <v>2900</v>
      </c>
      <c r="BN494" s="114" t="s">
        <v>198</v>
      </c>
      <c r="BO494">
        <v>1</v>
      </c>
      <c r="BP494">
        <v>1</v>
      </c>
      <c r="BQ494">
        <v>32</v>
      </c>
      <c r="BR494" t="s">
        <v>1035</v>
      </c>
      <c r="BT494" t="s">
        <v>218</v>
      </c>
      <c r="BU494" s="115">
        <v>45908</v>
      </c>
      <c r="BV494">
        <v>36924</v>
      </c>
      <c r="BW494" s="116"/>
      <c r="BX494" t="s">
        <v>173</v>
      </c>
      <c r="BY494" t="s">
        <v>173</v>
      </c>
      <c r="CB494" t="s">
        <v>173</v>
      </c>
      <c r="CC494" t="s">
        <v>173</v>
      </c>
      <c r="CE494" t="s">
        <v>172</v>
      </c>
      <c r="CF494" t="s">
        <v>676</v>
      </c>
      <c r="CG494" t="s">
        <v>172</v>
      </c>
      <c r="CH494" t="s">
        <v>677</v>
      </c>
      <c r="CI494" t="s">
        <v>173</v>
      </c>
      <c r="DJ494" t="s">
        <v>201</v>
      </c>
      <c r="DK494" t="s">
        <v>202</v>
      </c>
      <c r="DN494" t="s">
        <v>173</v>
      </c>
      <c r="DO494" t="s">
        <v>203</v>
      </c>
      <c r="DP494" t="s">
        <v>172</v>
      </c>
      <c r="DQ494" t="s">
        <v>204</v>
      </c>
      <c r="EA494" s="117"/>
      <c r="EB494">
        <v>3</v>
      </c>
      <c r="EC494">
        <v>3</v>
      </c>
      <c r="EE494" t="s">
        <v>679</v>
      </c>
      <c r="EF494">
        <v>6</v>
      </c>
      <c r="EV494">
        <v>6000</v>
      </c>
      <c r="EW494">
        <v>592</v>
      </c>
      <c r="EX494">
        <v>453</v>
      </c>
      <c r="EY494">
        <v>530</v>
      </c>
    </row>
    <row r="495" spans="1:155" x14ac:dyDescent="0.35">
      <c r="A495">
        <v>2026</v>
      </c>
      <c r="B495" t="s">
        <v>211</v>
      </c>
      <c r="C495" s="112" t="s">
        <v>212</v>
      </c>
      <c r="D495" t="s">
        <v>1309</v>
      </c>
      <c r="E495" t="s">
        <v>214</v>
      </c>
      <c r="F495">
        <v>763</v>
      </c>
      <c r="G495" s="113">
        <v>3</v>
      </c>
      <c r="H495">
        <v>6</v>
      </c>
      <c r="I495" t="s">
        <v>669</v>
      </c>
      <c r="J495">
        <v>21</v>
      </c>
      <c r="K495">
        <v>26</v>
      </c>
      <c r="L495">
        <v>23</v>
      </c>
      <c r="M495">
        <v>27.5</v>
      </c>
      <c r="N495">
        <v>40.1</v>
      </c>
      <c r="O495">
        <v>32.028799999999997</v>
      </c>
      <c r="P495">
        <v>21</v>
      </c>
      <c r="Q495">
        <v>26.440999999999999</v>
      </c>
      <c r="R495">
        <v>23</v>
      </c>
      <c r="T495" t="s">
        <v>168</v>
      </c>
      <c r="U495" t="s">
        <v>169</v>
      </c>
      <c r="V495" t="s">
        <v>170</v>
      </c>
      <c r="W495" t="s">
        <v>171</v>
      </c>
      <c r="Y495">
        <v>10</v>
      </c>
      <c r="Z495" t="s">
        <v>172</v>
      </c>
      <c r="AA495" t="s">
        <v>173</v>
      </c>
      <c r="AB495" t="s">
        <v>174</v>
      </c>
      <c r="AC495" t="s">
        <v>175</v>
      </c>
      <c r="AE495">
        <v>20</v>
      </c>
      <c r="AG495" t="s">
        <v>670</v>
      </c>
      <c r="AH495" t="s">
        <v>671</v>
      </c>
      <c r="AI495" t="s">
        <v>178</v>
      </c>
      <c r="AJ495" t="s">
        <v>179</v>
      </c>
      <c r="AK495" t="s">
        <v>664</v>
      </c>
      <c r="AL495" t="s">
        <v>665</v>
      </c>
      <c r="AS495">
        <v>2350</v>
      </c>
      <c r="AT495">
        <v>2350</v>
      </c>
      <c r="BN495" s="114"/>
      <c r="BO495">
        <v>2</v>
      </c>
      <c r="BP495">
        <v>2</v>
      </c>
      <c r="BQ495">
        <v>32</v>
      </c>
      <c r="BR495" t="s">
        <v>1035</v>
      </c>
      <c r="BT495" t="s">
        <v>613</v>
      </c>
      <c r="BU495" s="115">
        <v>45894</v>
      </c>
      <c r="BV495">
        <v>37236</v>
      </c>
      <c r="BW495" s="116"/>
      <c r="BX495" t="s">
        <v>173</v>
      </c>
      <c r="BY495" t="s">
        <v>173</v>
      </c>
      <c r="CB495" t="s">
        <v>173</v>
      </c>
      <c r="CC495" t="s">
        <v>173</v>
      </c>
      <c r="CE495" t="s">
        <v>173</v>
      </c>
      <c r="CG495" t="s">
        <v>173</v>
      </c>
      <c r="CI495" t="s">
        <v>173</v>
      </c>
      <c r="DJ495" t="s">
        <v>672</v>
      </c>
      <c r="DK495" t="s">
        <v>673</v>
      </c>
      <c r="DN495" t="s">
        <v>173</v>
      </c>
      <c r="DO495" t="s">
        <v>203</v>
      </c>
      <c r="DP495" t="s">
        <v>172</v>
      </c>
      <c r="DQ495" t="s">
        <v>204</v>
      </c>
      <c r="EA495" s="117"/>
      <c r="EB495">
        <v>5</v>
      </c>
      <c r="EC495">
        <v>4</v>
      </c>
      <c r="EE495" t="s">
        <v>1310</v>
      </c>
      <c r="EF495">
        <v>4</v>
      </c>
      <c r="EV495">
        <v>3250</v>
      </c>
      <c r="EW495">
        <v>485</v>
      </c>
      <c r="EX495">
        <v>385</v>
      </c>
      <c r="EY495">
        <v>442</v>
      </c>
    </row>
    <row r="496" spans="1:155" x14ac:dyDescent="0.35">
      <c r="A496">
        <v>2026</v>
      </c>
      <c r="B496" t="s">
        <v>211</v>
      </c>
      <c r="C496" s="112" t="s">
        <v>212</v>
      </c>
      <c r="D496" t="s">
        <v>1311</v>
      </c>
      <c r="E496" t="s">
        <v>214</v>
      </c>
      <c r="F496">
        <v>581</v>
      </c>
      <c r="G496" s="113">
        <v>6.2</v>
      </c>
      <c r="H496">
        <v>8</v>
      </c>
      <c r="I496" t="s">
        <v>669</v>
      </c>
      <c r="J496">
        <v>15</v>
      </c>
      <c r="K496">
        <v>20</v>
      </c>
      <c r="L496">
        <v>17</v>
      </c>
      <c r="M496">
        <v>18.7392</v>
      </c>
      <c r="N496">
        <v>29.6</v>
      </c>
      <c r="O496">
        <v>22.4452</v>
      </c>
      <c r="P496">
        <v>15.1518</v>
      </c>
      <c r="Q496">
        <v>20.024999999999999</v>
      </c>
      <c r="R496">
        <v>17.0151</v>
      </c>
      <c r="U496" t="s">
        <v>215</v>
      </c>
      <c r="V496" t="s">
        <v>170</v>
      </c>
      <c r="W496" t="s">
        <v>171</v>
      </c>
      <c r="Y496">
        <v>10</v>
      </c>
      <c r="Z496" t="s">
        <v>172</v>
      </c>
      <c r="AA496" t="s">
        <v>173</v>
      </c>
      <c r="AB496" t="s">
        <v>174</v>
      </c>
      <c r="AC496" t="s">
        <v>175</v>
      </c>
      <c r="AD496">
        <v>10</v>
      </c>
      <c r="AG496" t="s">
        <v>176</v>
      </c>
      <c r="AH496" t="s">
        <v>177</v>
      </c>
      <c r="AI496" t="s">
        <v>178</v>
      </c>
      <c r="AJ496" t="s">
        <v>179</v>
      </c>
      <c r="AK496" t="s">
        <v>664</v>
      </c>
      <c r="AL496" t="s">
        <v>665</v>
      </c>
      <c r="AS496">
        <v>3650</v>
      </c>
      <c r="AT496">
        <v>3650</v>
      </c>
      <c r="BN496" s="114" t="s">
        <v>198</v>
      </c>
      <c r="BO496">
        <v>1</v>
      </c>
      <c r="BP496">
        <v>1</v>
      </c>
      <c r="BQ496">
        <v>32</v>
      </c>
      <c r="BR496" t="s">
        <v>1035</v>
      </c>
      <c r="BT496" t="s">
        <v>613</v>
      </c>
      <c r="BU496" s="115">
        <v>45908</v>
      </c>
      <c r="BV496">
        <v>36829</v>
      </c>
      <c r="BW496" s="116"/>
      <c r="BX496" t="s">
        <v>173</v>
      </c>
      <c r="BY496" t="s">
        <v>173</v>
      </c>
      <c r="CB496" t="s">
        <v>173</v>
      </c>
      <c r="CC496" t="s">
        <v>173</v>
      </c>
      <c r="CE496" t="s">
        <v>172</v>
      </c>
      <c r="CF496" t="s">
        <v>676</v>
      </c>
      <c r="CG496" t="s">
        <v>172</v>
      </c>
      <c r="CH496" t="s">
        <v>677</v>
      </c>
      <c r="CI496" t="s">
        <v>173</v>
      </c>
      <c r="DJ496" t="s">
        <v>201</v>
      </c>
      <c r="DK496" t="s">
        <v>202</v>
      </c>
      <c r="DN496" t="s">
        <v>173</v>
      </c>
      <c r="DO496" t="s">
        <v>203</v>
      </c>
      <c r="DP496" t="s">
        <v>172</v>
      </c>
      <c r="DQ496" t="s">
        <v>204</v>
      </c>
      <c r="EA496" s="117"/>
      <c r="EB496">
        <v>3</v>
      </c>
      <c r="EC496">
        <v>3</v>
      </c>
      <c r="EE496" t="s">
        <v>717</v>
      </c>
      <c r="EF496">
        <v>5</v>
      </c>
      <c r="EV496">
        <v>9750</v>
      </c>
      <c r="EW496">
        <v>587</v>
      </c>
      <c r="EX496">
        <v>444</v>
      </c>
      <c r="EY496">
        <v>523</v>
      </c>
    </row>
    <row r="497" spans="1:155" x14ac:dyDescent="0.35">
      <c r="A497">
        <v>2026</v>
      </c>
      <c r="B497" t="s">
        <v>211</v>
      </c>
      <c r="C497" s="112" t="s">
        <v>212</v>
      </c>
      <c r="D497" t="s">
        <v>1311</v>
      </c>
      <c r="E497" t="s">
        <v>214</v>
      </c>
      <c r="F497">
        <v>591</v>
      </c>
      <c r="G497" s="113">
        <v>5.3</v>
      </c>
      <c r="H497">
        <v>8</v>
      </c>
      <c r="I497" t="s">
        <v>669</v>
      </c>
      <c r="J497">
        <v>15</v>
      </c>
      <c r="K497">
        <v>20</v>
      </c>
      <c r="L497">
        <v>17</v>
      </c>
      <c r="M497">
        <v>19.5</v>
      </c>
      <c r="N497">
        <v>29.9</v>
      </c>
      <c r="O497">
        <v>23.118600000000001</v>
      </c>
      <c r="P497">
        <v>14.9986</v>
      </c>
      <c r="Q497">
        <v>19.604099999999999</v>
      </c>
      <c r="R497">
        <v>16.771599999999999</v>
      </c>
      <c r="U497" t="s">
        <v>215</v>
      </c>
      <c r="V497" t="s">
        <v>170</v>
      </c>
      <c r="W497" t="s">
        <v>171</v>
      </c>
      <c r="Y497">
        <v>10</v>
      </c>
      <c r="Z497" t="s">
        <v>172</v>
      </c>
      <c r="AA497" t="s">
        <v>173</v>
      </c>
      <c r="AB497" t="s">
        <v>174</v>
      </c>
      <c r="AC497" t="s">
        <v>175</v>
      </c>
      <c r="AD497">
        <v>10</v>
      </c>
      <c r="AG497" t="s">
        <v>167</v>
      </c>
      <c r="AH497" t="s">
        <v>416</v>
      </c>
      <c r="AI497" t="s">
        <v>178</v>
      </c>
      <c r="AJ497" t="s">
        <v>179</v>
      </c>
      <c r="AK497" t="s">
        <v>664</v>
      </c>
      <c r="AL497" t="s">
        <v>665</v>
      </c>
      <c r="AS497">
        <v>2900</v>
      </c>
      <c r="AT497">
        <v>2900</v>
      </c>
      <c r="BN497" s="114" t="s">
        <v>198</v>
      </c>
      <c r="BO497">
        <v>1</v>
      </c>
      <c r="BP497">
        <v>1</v>
      </c>
      <c r="BQ497">
        <v>32</v>
      </c>
      <c r="BR497" t="s">
        <v>1035</v>
      </c>
      <c r="BT497" t="s">
        <v>218</v>
      </c>
      <c r="BU497" s="115">
        <v>45908</v>
      </c>
      <c r="BV497">
        <v>36923</v>
      </c>
      <c r="BW497" s="116"/>
      <c r="BX497" t="s">
        <v>173</v>
      </c>
      <c r="BY497" t="s">
        <v>173</v>
      </c>
      <c r="CB497" t="s">
        <v>173</v>
      </c>
      <c r="CC497" t="s">
        <v>173</v>
      </c>
      <c r="CE497" t="s">
        <v>172</v>
      </c>
      <c r="CF497" t="s">
        <v>676</v>
      </c>
      <c r="CG497" t="s">
        <v>172</v>
      </c>
      <c r="CH497" t="s">
        <v>677</v>
      </c>
      <c r="CI497" t="s">
        <v>173</v>
      </c>
      <c r="DJ497" t="s">
        <v>201</v>
      </c>
      <c r="DK497" t="s">
        <v>202</v>
      </c>
      <c r="DN497" t="s">
        <v>173</v>
      </c>
      <c r="DO497" t="s">
        <v>203</v>
      </c>
      <c r="DP497" t="s">
        <v>172</v>
      </c>
      <c r="DQ497" t="s">
        <v>204</v>
      </c>
      <c r="EA497" s="117"/>
      <c r="EB497">
        <v>3</v>
      </c>
      <c r="EC497">
        <v>3</v>
      </c>
      <c r="EE497" t="s">
        <v>679</v>
      </c>
      <c r="EF497">
        <v>6</v>
      </c>
      <c r="EV497">
        <v>6000</v>
      </c>
      <c r="EW497">
        <v>592</v>
      </c>
      <c r="EX497">
        <v>453</v>
      </c>
      <c r="EY497">
        <v>530</v>
      </c>
    </row>
    <row r="498" spans="1:155" x14ac:dyDescent="0.35">
      <c r="A498">
        <v>2026</v>
      </c>
      <c r="B498" t="s">
        <v>211</v>
      </c>
      <c r="C498" s="112" t="s">
        <v>212</v>
      </c>
      <c r="D498" t="s">
        <v>1311</v>
      </c>
      <c r="E498" t="s">
        <v>214</v>
      </c>
      <c r="F498">
        <v>778</v>
      </c>
      <c r="G498" s="113">
        <v>3</v>
      </c>
      <c r="H498">
        <v>6</v>
      </c>
      <c r="I498" t="s">
        <v>669</v>
      </c>
      <c r="J498">
        <v>22</v>
      </c>
      <c r="K498">
        <v>26</v>
      </c>
      <c r="L498">
        <v>24</v>
      </c>
      <c r="M498">
        <v>28.4</v>
      </c>
      <c r="N498">
        <v>40.1</v>
      </c>
      <c r="O498">
        <v>32.692399999999999</v>
      </c>
      <c r="P498">
        <v>22.252099999999999</v>
      </c>
      <c r="Q498">
        <v>26.014299999999999</v>
      </c>
      <c r="R498">
        <v>23.801100000000002</v>
      </c>
      <c r="T498" t="s">
        <v>168</v>
      </c>
      <c r="U498" t="s">
        <v>169</v>
      </c>
      <c r="V498" t="s">
        <v>170</v>
      </c>
      <c r="W498" t="s">
        <v>171</v>
      </c>
      <c r="Y498">
        <v>10</v>
      </c>
      <c r="Z498" t="s">
        <v>172</v>
      </c>
      <c r="AA498" t="s">
        <v>173</v>
      </c>
      <c r="AB498" t="s">
        <v>174</v>
      </c>
      <c r="AC498" t="s">
        <v>175</v>
      </c>
      <c r="AE498">
        <v>20</v>
      </c>
      <c r="AG498" t="s">
        <v>670</v>
      </c>
      <c r="AH498" t="s">
        <v>671</v>
      </c>
      <c r="AI498" t="s">
        <v>178</v>
      </c>
      <c r="AJ498" t="s">
        <v>179</v>
      </c>
      <c r="AK498" t="s">
        <v>664</v>
      </c>
      <c r="AL498" t="s">
        <v>665</v>
      </c>
      <c r="AS498">
        <v>2250</v>
      </c>
      <c r="AT498">
        <v>2250</v>
      </c>
      <c r="BN498" s="114"/>
      <c r="BO498">
        <v>2</v>
      </c>
      <c r="BP498">
        <v>2</v>
      </c>
      <c r="BQ498">
        <v>32</v>
      </c>
      <c r="BR498" t="s">
        <v>1035</v>
      </c>
      <c r="BT498" t="s">
        <v>613</v>
      </c>
      <c r="BU498" s="115">
        <v>45894</v>
      </c>
      <c r="BV498">
        <v>37233</v>
      </c>
      <c r="BW498" s="116"/>
      <c r="BX498" t="s">
        <v>173</v>
      </c>
      <c r="BY498" t="s">
        <v>173</v>
      </c>
      <c r="CB498" t="s">
        <v>173</v>
      </c>
      <c r="CC498" t="s">
        <v>173</v>
      </c>
      <c r="CE498" t="s">
        <v>173</v>
      </c>
      <c r="CG498" t="s">
        <v>173</v>
      </c>
      <c r="CI498" t="s">
        <v>173</v>
      </c>
      <c r="DJ498" t="s">
        <v>672</v>
      </c>
      <c r="DK498" t="s">
        <v>673</v>
      </c>
      <c r="DN498" t="s">
        <v>173</v>
      </c>
      <c r="DO498" t="s">
        <v>203</v>
      </c>
      <c r="DP498" t="s">
        <v>172</v>
      </c>
      <c r="DQ498" t="s">
        <v>204</v>
      </c>
      <c r="EA498" s="117"/>
      <c r="EB498">
        <v>5</v>
      </c>
      <c r="EC498">
        <v>4</v>
      </c>
      <c r="EE498" t="s">
        <v>1310</v>
      </c>
      <c r="EF498">
        <v>4</v>
      </c>
      <c r="EV498">
        <v>2750</v>
      </c>
      <c r="EW498">
        <v>457</v>
      </c>
      <c r="EX498">
        <v>391</v>
      </c>
      <c r="EY498">
        <v>427</v>
      </c>
    </row>
    <row r="499" spans="1:155" x14ac:dyDescent="0.35">
      <c r="A499">
        <v>2026</v>
      </c>
      <c r="B499" t="s">
        <v>211</v>
      </c>
      <c r="C499" s="112" t="s">
        <v>212</v>
      </c>
      <c r="D499" t="s">
        <v>1038</v>
      </c>
      <c r="E499" t="s">
        <v>214</v>
      </c>
      <c r="F499">
        <v>851</v>
      </c>
      <c r="G499" s="113">
        <v>2.5</v>
      </c>
      <c r="H499">
        <v>4</v>
      </c>
      <c r="I499" t="s">
        <v>166</v>
      </c>
      <c r="J499">
        <v>20</v>
      </c>
      <c r="K499">
        <v>26</v>
      </c>
      <c r="L499">
        <v>22</v>
      </c>
      <c r="M499">
        <v>25.4969</v>
      </c>
      <c r="N499">
        <v>38.1873</v>
      </c>
      <c r="O499">
        <v>29.9803</v>
      </c>
      <c r="P499">
        <v>20.165099999999999</v>
      </c>
      <c r="Q499">
        <v>26</v>
      </c>
      <c r="R499">
        <v>22</v>
      </c>
      <c r="T499" t="s">
        <v>168</v>
      </c>
      <c r="U499" t="s">
        <v>169</v>
      </c>
      <c r="V499" t="s">
        <v>170</v>
      </c>
      <c r="W499" t="s">
        <v>171</v>
      </c>
      <c r="Y499">
        <v>8</v>
      </c>
      <c r="Z499" t="s">
        <v>172</v>
      </c>
      <c r="AA499" t="s">
        <v>173</v>
      </c>
      <c r="AB499" t="s">
        <v>277</v>
      </c>
      <c r="AC499" t="s">
        <v>278</v>
      </c>
      <c r="AD499">
        <v>10</v>
      </c>
      <c r="AG499" t="s">
        <v>167</v>
      </c>
      <c r="AH499" t="s">
        <v>416</v>
      </c>
      <c r="AI499" t="s">
        <v>178</v>
      </c>
      <c r="AJ499" t="s">
        <v>179</v>
      </c>
      <c r="AK499" t="s">
        <v>664</v>
      </c>
      <c r="AL499" t="s">
        <v>665</v>
      </c>
      <c r="AS499">
        <v>2250</v>
      </c>
      <c r="AT499">
        <v>2250</v>
      </c>
      <c r="BN499" s="114" t="s">
        <v>198</v>
      </c>
      <c r="BO499">
        <v>2</v>
      </c>
      <c r="BP499">
        <v>2</v>
      </c>
      <c r="BQ499">
        <v>32</v>
      </c>
      <c r="BR499" t="s">
        <v>1035</v>
      </c>
      <c r="BT499" t="s">
        <v>183</v>
      </c>
      <c r="BU499" s="115">
        <v>45845</v>
      </c>
      <c r="BV499">
        <v>36792</v>
      </c>
      <c r="BW499" s="116"/>
      <c r="BX499" t="s">
        <v>173</v>
      </c>
      <c r="BY499" t="s">
        <v>173</v>
      </c>
      <c r="CB499" t="s">
        <v>173</v>
      </c>
      <c r="CC499" t="s">
        <v>173</v>
      </c>
      <c r="CE499" t="s">
        <v>173</v>
      </c>
      <c r="CG499" t="s">
        <v>172</v>
      </c>
      <c r="CH499" t="s">
        <v>224</v>
      </c>
      <c r="CI499" t="s">
        <v>173</v>
      </c>
      <c r="DJ499" t="s">
        <v>201</v>
      </c>
      <c r="DK499" t="s">
        <v>202</v>
      </c>
      <c r="DN499" t="s">
        <v>173</v>
      </c>
      <c r="DO499" t="s">
        <v>203</v>
      </c>
      <c r="DP499" t="s">
        <v>172</v>
      </c>
      <c r="DQ499" t="s">
        <v>204</v>
      </c>
      <c r="EA499" s="117"/>
      <c r="EB499">
        <v>4</v>
      </c>
      <c r="EC499">
        <v>4</v>
      </c>
      <c r="EE499" t="s">
        <v>1037</v>
      </c>
      <c r="EF499">
        <v>6</v>
      </c>
      <c r="EV499">
        <v>2750</v>
      </c>
      <c r="EW499">
        <v>440</v>
      </c>
      <c r="EX499">
        <v>342</v>
      </c>
      <c r="EY499">
        <v>404</v>
      </c>
    </row>
    <row r="500" spans="1:155" x14ac:dyDescent="0.35">
      <c r="A500">
        <v>2026</v>
      </c>
      <c r="B500" t="s">
        <v>688</v>
      </c>
      <c r="C500" s="112" t="s">
        <v>1039</v>
      </c>
      <c r="D500" t="s">
        <v>1040</v>
      </c>
      <c r="E500" t="s">
        <v>691</v>
      </c>
      <c r="F500">
        <v>512</v>
      </c>
      <c r="G500" s="113">
        <v>3.6</v>
      </c>
      <c r="H500">
        <v>6</v>
      </c>
      <c r="I500" t="s">
        <v>166</v>
      </c>
      <c r="J500">
        <v>18</v>
      </c>
      <c r="K500">
        <v>25</v>
      </c>
      <c r="L500">
        <v>20</v>
      </c>
      <c r="M500">
        <v>22.3</v>
      </c>
      <c r="N500">
        <v>35.299999999999997</v>
      </c>
      <c r="O500">
        <v>26.729700000000001</v>
      </c>
      <c r="P500">
        <v>17.821000000000002</v>
      </c>
      <c r="Q500">
        <v>25.086300000000001</v>
      </c>
      <c r="R500">
        <v>20.491599999999998</v>
      </c>
      <c r="U500" t="s">
        <v>215</v>
      </c>
      <c r="V500" t="s">
        <v>170</v>
      </c>
      <c r="W500" t="s">
        <v>171</v>
      </c>
      <c r="Y500">
        <v>8</v>
      </c>
      <c r="Z500" t="s">
        <v>172</v>
      </c>
      <c r="AA500" t="s">
        <v>173</v>
      </c>
      <c r="AB500" t="s">
        <v>174</v>
      </c>
      <c r="AC500" t="s">
        <v>175</v>
      </c>
      <c r="AD500">
        <v>10</v>
      </c>
      <c r="AG500" t="s">
        <v>167</v>
      </c>
      <c r="AH500" t="s">
        <v>416</v>
      </c>
      <c r="AI500" t="s">
        <v>178</v>
      </c>
      <c r="AJ500" t="s">
        <v>179</v>
      </c>
      <c r="AK500" t="s">
        <v>664</v>
      </c>
      <c r="AL500" t="s">
        <v>665</v>
      </c>
      <c r="AS500">
        <v>2500</v>
      </c>
      <c r="AT500">
        <v>2500</v>
      </c>
      <c r="BN500" s="114"/>
      <c r="BO500">
        <v>2</v>
      </c>
      <c r="BP500">
        <v>2</v>
      </c>
      <c r="BQ500">
        <v>32</v>
      </c>
      <c r="BR500" t="s">
        <v>1035</v>
      </c>
      <c r="BT500" t="s">
        <v>183</v>
      </c>
      <c r="BU500" s="115">
        <v>45859</v>
      </c>
      <c r="BV500">
        <v>37100</v>
      </c>
      <c r="BW500" s="116"/>
      <c r="BX500" t="s">
        <v>173</v>
      </c>
      <c r="BY500" t="s">
        <v>173</v>
      </c>
      <c r="CB500" t="s">
        <v>173</v>
      </c>
      <c r="CC500" t="s">
        <v>173</v>
      </c>
      <c r="CE500" t="s">
        <v>173</v>
      </c>
      <c r="CG500" t="s">
        <v>172</v>
      </c>
      <c r="CH500" t="s">
        <v>224</v>
      </c>
      <c r="CI500" t="s">
        <v>173</v>
      </c>
      <c r="DJ500" t="s">
        <v>186</v>
      </c>
      <c r="DK500" t="s">
        <v>187</v>
      </c>
      <c r="DN500" t="s">
        <v>173</v>
      </c>
      <c r="DO500" t="s">
        <v>284</v>
      </c>
      <c r="DP500" t="s">
        <v>173</v>
      </c>
      <c r="DQ500" t="s">
        <v>189</v>
      </c>
      <c r="EA500" s="117"/>
      <c r="EB500">
        <v>4</v>
      </c>
      <c r="EC500">
        <v>4</v>
      </c>
      <c r="EE500" t="s">
        <v>1041</v>
      </c>
      <c r="EF500">
        <v>6</v>
      </c>
      <c r="EV500">
        <v>4000</v>
      </c>
      <c r="EW500">
        <v>499</v>
      </c>
      <c r="EX500">
        <v>355</v>
      </c>
      <c r="EY500">
        <v>434</v>
      </c>
    </row>
    <row r="501" spans="1:155" x14ac:dyDescent="0.35">
      <c r="A501">
        <v>2026</v>
      </c>
      <c r="B501" t="s">
        <v>978</v>
      </c>
      <c r="C501" s="112" t="s">
        <v>1170</v>
      </c>
      <c r="D501" t="s">
        <v>1312</v>
      </c>
      <c r="E501" t="s">
        <v>981</v>
      </c>
      <c r="F501">
        <v>12</v>
      </c>
      <c r="G501" s="113">
        <v>3</v>
      </c>
      <c r="H501">
        <v>6</v>
      </c>
      <c r="I501" t="s">
        <v>246</v>
      </c>
      <c r="J501">
        <v>18</v>
      </c>
      <c r="K501">
        <v>25</v>
      </c>
      <c r="L501">
        <v>21</v>
      </c>
      <c r="M501">
        <v>22.9</v>
      </c>
      <c r="N501">
        <v>36.200000000000003</v>
      </c>
      <c r="O501">
        <v>27.436</v>
      </c>
      <c r="P501">
        <v>18.264700000000001</v>
      </c>
      <c r="Q501">
        <v>25</v>
      </c>
      <c r="R501">
        <v>20.990500000000001</v>
      </c>
      <c r="T501" t="s">
        <v>168</v>
      </c>
      <c r="U501" t="s">
        <v>169</v>
      </c>
      <c r="V501" t="s">
        <v>196</v>
      </c>
      <c r="W501" t="s">
        <v>197</v>
      </c>
      <c r="Y501">
        <v>10</v>
      </c>
      <c r="Z501" t="s">
        <v>172</v>
      </c>
      <c r="AA501" t="s">
        <v>173</v>
      </c>
      <c r="AB501" t="s">
        <v>174</v>
      </c>
      <c r="AC501" t="s">
        <v>175</v>
      </c>
      <c r="AD501">
        <v>10</v>
      </c>
      <c r="AG501" t="s">
        <v>167</v>
      </c>
      <c r="AH501" t="s">
        <v>416</v>
      </c>
      <c r="AI501" t="s">
        <v>178</v>
      </c>
      <c r="AJ501" t="s">
        <v>179</v>
      </c>
      <c r="AK501" t="s">
        <v>664</v>
      </c>
      <c r="AL501" t="s">
        <v>665</v>
      </c>
      <c r="AS501">
        <v>2350</v>
      </c>
      <c r="AT501">
        <v>2350</v>
      </c>
      <c r="BN501" s="114" t="s">
        <v>198</v>
      </c>
      <c r="BO501">
        <v>2</v>
      </c>
      <c r="BP501">
        <v>2</v>
      </c>
      <c r="BQ501">
        <v>32</v>
      </c>
      <c r="BR501" t="s">
        <v>1035</v>
      </c>
      <c r="BT501" t="s">
        <v>183</v>
      </c>
      <c r="BU501" s="115">
        <v>45922</v>
      </c>
      <c r="BV501">
        <v>37675</v>
      </c>
      <c r="BW501" s="116"/>
      <c r="BX501" t="s">
        <v>173</v>
      </c>
      <c r="BY501" t="s">
        <v>173</v>
      </c>
      <c r="CB501" t="s">
        <v>173</v>
      </c>
      <c r="CC501" t="s">
        <v>173</v>
      </c>
      <c r="CE501" t="s">
        <v>173</v>
      </c>
      <c r="CG501" t="s">
        <v>172</v>
      </c>
      <c r="CH501" t="s">
        <v>2134</v>
      </c>
      <c r="CI501" t="s">
        <v>173</v>
      </c>
      <c r="DJ501" t="s">
        <v>201</v>
      </c>
      <c r="DK501" t="s">
        <v>202</v>
      </c>
      <c r="DN501" t="s">
        <v>173</v>
      </c>
      <c r="DO501" t="s">
        <v>983</v>
      </c>
      <c r="DP501" t="s">
        <v>172</v>
      </c>
      <c r="DQ501" t="s">
        <v>204</v>
      </c>
      <c r="EA501" s="117"/>
      <c r="EB501">
        <v>4</v>
      </c>
      <c r="EC501">
        <v>4</v>
      </c>
      <c r="EE501" t="s">
        <v>2135</v>
      </c>
      <c r="EF501">
        <v>5</v>
      </c>
      <c r="EV501">
        <v>3250</v>
      </c>
      <c r="EW501">
        <v>486</v>
      </c>
      <c r="EX501">
        <v>355</v>
      </c>
      <c r="EY501">
        <v>423</v>
      </c>
    </row>
    <row r="502" spans="1:155" x14ac:dyDescent="0.35">
      <c r="A502">
        <v>2026</v>
      </c>
      <c r="B502" t="s">
        <v>978</v>
      </c>
      <c r="C502" s="112" t="s">
        <v>1170</v>
      </c>
      <c r="D502" t="s">
        <v>1312</v>
      </c>
      <c r="E502" t="s">
        <v>981</v>
      </c>
      <c r="F502">
        <v>16</v>
      </c>
      <c r="G502" s="113">
        <v>2.2999999999999998</v>
      </c>
      <c r="H502">
        <v>4</v>
      </c>
      <c r="I502" t="s">
        <v>669</v>
      </c>
      <c r="J502">
        <v>20</v>
      </c>
      <c r="K502">
        <v>29</v>
      </c>
      <c r="L502">
        <v>24</v>
      </c>
      <c r="M502">
        <v>25.9</v>
      </c>
      <c r="N502">
        <v>41</v>
      </c>
      <c r="O502">
        <v>31.045200000000001</v>
      </c>
      <c r="P502">
        <v>20.4572</v>
      </c>
      <c r="Q502">
        <v>28.7652</v>
      </c>
      <c r="R502">
        <v>23.513200000000001</v>
      </c>
      <c r="T502" t="s">
        <v>168</v>
      </c>
      <c r="U502" t="s">
        <v>169</v>
      </c>
      <c r="V502" t="s">
        <v>170</v>
      </c>
      <c r="W502" t="s">
        <v>171</v>
      </c>
      <c r="Y502">
        <v>10</v>
      </c>
      <c r="Z502" t="s">
        <v>172</v>
      </c>
      <c r="AA502" t="s">
        <v>173</v>
      </c>
      <c r="AB502" t="s">
        <v>174</v>
      </c>
      <c r="AC502" t="s">
        <v>175</v>
      </c>
      <c r="AD502">
        <v>10</v>
      </c>
      <c r="AG502" t="s">
        <v>167</v>
      </c>
      <c r="AH502" t="s">
        <v>416</v>
      </c>
      <c r="AI502" t="s">
        <v>178</v>
      </c>
      <c r="AJ502" t="s">
        <v>179</v>
      </c>
      <c r="AK502" t="s">
        <v>664</v>
      </c>
      <c r="AL502" t="s">
        <v>665</v>
      </c>
      <c r="AS502">
        <v>2050</v>
      </c>
      <c r="AT502">
        <v>2050</v>
      </c>
      <c r="BN502" s="114" t="s">
        <v>247</v>
      </c>
      <c r="BO502">
        <v>2</v>
      </c>
      <c r="BP502">
        <v>2</v>
      </c>
      <c r="BQ502">
        <v>32</v>
      </c>
      <c r="BR502" t="s">
        <v>1035</v>
      </c>
      <c r="BT502" t="s">
        <v>183</v>
      </c>
      <c r="BU502" s="115">
        <v>45922</v>
      </c>
      <c r="BV502">
        <v>37755</v>
      </c>
      <c r="BW502" s="116"/>
      <c r="BX502" t="s">
        <v>173</v>
      </c>
      <c r="BY502" t="s">
        <v>173</v>
      </c>
      <c r="CB502" t="s">
        <v>173</v>
      </c>
      <c r="CC502" t="s">
        <v>173</v>
      </c>
      <c r="CE502" t="s">
        <v>173</v>
      </c>
      <c r="CG502" t="s">
        <v>172</v>
      </c>
      <c r="CH502" t="s">
        <v>1174</v>
      </c>
      <c r="CI502" t="s">
        <v>173</v>
      </c>
      <c r="DJ502" t="s">
        <v>250</v>
      </c>
      <c r="DK502" t="s">
        <v>251</v>
      </c>
      <c r="DN502" t="s">
        <v>173</v>
      </c>
      <c r="DO502" t="s">
        <v>983</v>
      </c>
      <c r="DP502" t="s">
        <v>172</v>
      </c>
      <c r="DQ502" t="s">
        <v>204</v>
      </c>
      <c r="EA502" s="117"/>
      <c r="EB502">
        <v>5</v>
      </c>
      <c r="EC502">
        <v>5</v>
      </c>
      <c r="EE502" t="s">
        <v>1313</v>
      </c>
      <c r="EF502">
        <v>6</v>
      </c>
      <c r="EV502">
        <v>1750</v>
      </c>
      <c r="EW502">
        <v>433</v>
      </c>
      <c r="EX502">
        <v>308</v>
      </c>
      <c r="EY502">
        <v>377</v>
      </c>
    </row>
    <row r="503" spans="1:155" x14ac:dyDescent="0.35">
      <c r="A503">
        <v>2026</v>
      </c>
      <c r="B503" t="s">
        <v>211</v>
      </c>
      <c r="C503" s="112" t="s">
        <v>683</v>
      </c>
      <c r="D503" t="s">
        <v>1042</v>
      </c>
      <c r="E503" t="s">
        <v>214</v>
      </c>
      <c r="F503">
        <v>852</v>
      </c>
      <c r="G503" s="113">
        <v>2.5</v>
      </c>
      <c r="H503">
        <v>4</v>
      </c>
      <c r="I503" t="s">
        <v>166</v>
      </c>
      <c r="J503">
        <v>20</v>
      </c>
      <c r="K503">
        <v>26</v>
      </c>
      <c r="L503">
        <v>22</v>
      </c>
      <c r="M503">
        <v>25.5</v>
      </c>
      <c r="N503">
        <v>38.200000000000003</v>
      </c>
      <c r="O503">
        <v>29.9861</v>
      </c>
      <c r="P503">
        <v>20.167300000000001</v>
      </c>
      <c r="Q503">
        <v>26</v>
      </c>
      <c r="R503">
        <v>22</v>
      </c>
      <c r="T503" t="s">
        <v>168</v>
      </c>
      <c r="U503" t="s">
        <v>169</v>
      </c>
      <c r="V503" t="s">
        <v>170</v>
      </c>
      <c r="W503" t="s">
        <v>171</v>
      </c>
      <c r="Y503">
        <v>8</v>
      </c>
      <c r="Z503" t="s">
        <v>172</v>
      </c>
      <c r="AA503" t="s">
        <v>173</v>
      </c>
      <c r="AB503" t="s">
        <v>277</v>
      </c>
      <c r="AC503" t="s">
        <v>278</v>
      </c>
      <c r="AD503">
        <v>10</v>
      </c>
      <c r="AG503" t="s">
        <v>167</v>
      </c>
      <c r="AH503" t="s">
        <v>416</v>
      </c>
      <c r="AI503" t="s">
        <v>178</v>
      </c>
      <c r="AJ503" t="s">
        <v>179</v>
      </c>
      <c r="AK503" t="s">
        <v>664</v>
      </c>
      <c r="AL503" t="s">
        <v>665</v>
      </c>
      <c r="AS503">
        <v>2250</v>
      </c>
      <c r="AT503">
        <v>2250</v>
      </c>
      <c r="BN503" s="114" t="s">
        <v>198</v>
      </c>
      <c r="BO503">
        <v>2</v>
      </c>
      <c r="BP503">
        <v>2</v>
      </c>
      <c r="BQ503">
        <v>32</v>
      </c>
      <c r="BR503" t="s">
        <v>1035</v>
      </c>
      <c r="BT503" t="s">
        <v>183</v>
      </c>
      <c r="BU503" s="115">
        <v>45845</v>
      </c>
      <c r="BV503">
        <v>36794</v>
      </c>
      <c r="BW503" s="116"/>
      <c r="BX503" t="s">
        <v>173</v>
      </c>
      <c r="BY503" t="s">
        <v>173</v>
      </c>
      <c r="CB503" t="s">
        <v>173</v>
      </c>
      <c r="CC503" t="s">
        <v>173</v>
      </c>
      <c r="CE503" t="s">
        <v>173</v>
      </c>
      <c r="CG503" t="s">
        <v>172</v>
      </c>
      <c r="CH503" t="s">
        <v>224</v>
      </c>
      <c r="CI503" t="s">
        <v>173</v>
      </c>
      <c r="DJ503" t="s">
        <v>201</v>
      </c>
      <c r="DK503" t="s">
        <v>202</v>
      </c>
      <c r="DN503" t="s">
        <v>173</v>
      </c>
      <c r="DO503" t="s">
        <v>203</v>
      </c>
      <c r="DP503" t="s">
        <v>172</v>
      </c>
      <c r="DQ503" t="s">
        <v>204</v>
      </c>
      <c r="EA503" s="117"/>
      <c r="EB503">
        <v>4</v>
      </c>
      <c r="EC503">
        <v>4</v>
      </c>
      <c r="EE503" t="s">
        <v>1037</v>
      </c>
      <c r="EF503">
        <v>6</v>
      </c>
      <c r="EV503">
        <v>2750</v>
      </c>
      <c r="EW503">
        <v>440</v>
      </c>
      <c r="EX503">
        <v>342</v>
      </c>
      <c r="EY503">
        <v>404</v>
      </c>
    </row>
    <row r="504" spans="1:155" x14ac:dyDescent="0.35">
      <c r="A504">
        <v>2026</v>
      </c>
      <c r="B504" t="s">
        <v>211</v>
      </c>
      <c r="C504" s="112" t="s">
        <v>683</v>
      </c>
      <c r="D504" t="s">
        <v>1314</v>
      </c>
      <c r="E504" t="s">
        <v>214</v>
      </c>
      <c r="F504">
        <v>582</v>
      </c>
      <c r="G504" s="113">
        <v>6.2</v>
      </c>
      <c r="H504">
        <v>8</v>
      </c>
      <c r="I504" t="s">
        <v>669</v>
      </c>
      <c r="J504">
        <v>15</v>
      </c>
      <c r="K504">
        <v>20</v>
      </c>
      <c r="L504">
        <v>17</v>
      </c>
      <c r="M504">
        <v>18.7392</v>
      </c>
      <c r="N504">
        <v>29.6</v>
      </c>
      <c r="O504">
        <v>22.4452</v>
      </c>
      <c r="P504">
        <v>15.1518</v>
      </c>
      <c r="Q504">
        <v>20.024999999999999</v>
      </c>
      <c r="R504">
        <v>17.0151</v>
      </c>
      <c r="U504" t="s">
        <v>215</v>
      </c>
      <c r="V504" t="s">
        <v>170</v>
      </c>
      <c r="W504" t="s">
        <v>171</v>
      </c>
      <c r="Y504">
        <v>10</v>
      </c>
      <c r="Z504" t="s">
        <v>172</v>
      </c>
      <c r="AA504" t="s">
        <v>173</v>
      </c>
      <c r="AB504" t="s">
        <v>174</v>
      </c>
      <c r="AC504" t="s">
        <v>175</v>
      </c>
      <c r="AD504">
        <v>10</v>
      </c>
      <c r="AG504" t="s">
        <v>176</v>
      </c>
      <c r="AH504" t="s">
        <v>177</v>
      </c>
      <c r="AI504" t="s">
        <v>178</v>
      </c>
      <c r="AJ504" t="s">
        <v>179</v>
      </c>
      <c r="AK504" t="s">
        <v>664</v>
      </c>
      <c r="AL504" t="s">
        <v>665</v>
      </c>
      <c r="AS504">
        <v>3650</v>
      </c>
      <c r="AT504">
        <v>3650</v>
      </c>
      <c r="BN504" s="114" t="s">
        <v>198</v>
      </c>
      <c r="BO504">
        <v>1</v>
      </c>
      <c r="BP504">
        <v>1</v>
      </c>
      <c r="BQ504">
        <v>32</v>
      </c>
      <c r="BR504" t="s">
        <v>1035</v>
      </c>
      <c r="BT504" t="s">
        <v>613</v>
      </c>
      <c r="BU504" s="115">
        <v>45908</v>
      </c>
      <c r="BV504">
        <v>36830</v>
      </c>
      <c r="BW504" s="116"/>
      <c r="BX504" t="s">
        <v>173</v>
      </c>
      <c r="BY504" t="s">
        <v>173</v>
      </c>
      <c r="CB504" t="s">
        <v>173</v>
      </c>
      <c r="CC504" t="s">
        <v>173</v>
      </c>
      <c r="CE504" t="s">
        <v>172</v>
      </c>
      <c r="CF504" t="s">
        <v>676</v>
      </c>
      <c r="CG504" t="s">
        <v>172</v>
      </c>
      <c r="CH504" t="s">
        <v>677</v>
      </c>
      <c r="CI504" t="s">
        <v>173</v>
      </c>
      <c r="DJ504" t="s">
        <v>201</v>
      </c>
      <c r="DK504" t="s">
        <v>202</v>
      </c>
      <c r="DN504" t="s">
        <v>173</v>
      </c>
      <c r="DO504" t="s">
        <v>203</v>
      </c>
      <c r="DP504" t="s">
        <v>172</v>
      </c>
      <c r="DQ504" t="s">
        <v>204</v>
      </c>
      <c r="EA504" s="117"/>
      <c r="EB504">
        <v>3</v>
      </c>
      <c r="EC504">
        <v>3</v>
      </c>
      <c r="EE504" t="s">
        <v>717</v>
      </c>
      <c r="EF504">
        <v>5</v>
      </c>
      <c r="EV504">
        <v>9750</v>
      </c>
      <c r="EW504">
        <v>587</v>
      </c>
      <c r="EX504">
        <v>444</v>
      </c>
      <c r="EY504">
        <v>523</v>
      </c>
    </row>
    <row r="505" spans="1:155" x14ac:dyDescent="0.35">
      <c r="A505">
        <v>2026</v>
      </c>
      <c r="B505" t="s">
        <v>211</v>
      </c>
      <c r="C505" s="112" t="s">
        <v>683</v>
      </c>
      <c r="D505" t="s">
        <v>1314</v>
      </c>
      <c r="E505" t="s">
        <v>214</v>
      </c>
      <c r="F505">
        <v>592</v>
      </c>
      <c r="G505" s="113">
        <v>5.3</v>
      </c>
      <c r="H505">
        <v>8</v>
      </c>
      <c r="I505" t="s">
        <v>669</v>
      </c>
      <c r="J505">
        <v>15</v>
      </c>
      <c r="K505">
        <v>20</v>
      </c>
      <c r="L505">
        <v>17</v>
      </c>
      <c r="M505">
        <v>19.5</v>
      </c>
      <c r="N505">
        <v>29.9</v>
      </c>
      <c r="O505">
        <v>23.118600000000001</v>
      </c>
      <c r="P505">
        <v>14.9986</v>
      </c>
      <c r="Q505">
        <v>19.604099999999999</v>
      </c>
      <c r="R505">
        <v>16.771599999999999</v>
      </c>
      <c r="U505" t="s">
        <v>215</v>
      </c>
      <c r="V505" t="s">
        <v>170</v>
      </c>
      <c r="W505" t="s">
        <v>171</v>
      </c>
      <c r="Y505">
        <v>10</v>
      </c>
      <c r="Z505" t="s">
        <v>172</v>
      </c>
      <c r="AA505" t="s">
        <v>173</v>
      </c>
      <c r="AB505" t="s">
        <v>174</v>
      </c>
      <c r="AC505" t="s">
        <v>175</v>
      </c>
      <c r="AD505">
        <v>10</v>
      </c>
      <c r="AG505" t="s">
        <v>167</v>
      </c>
      <c r="AH505" t="s">
        <v>416</v>
      </c>
      <c r="AI505" t="s">
        <v>178</v>
      </c>
      <c r="AJ505" t="s">
        <v>179</v>
      </c>
      <c r="AK505" t="s">
        <v>664</v>
      </c>
      <c r="AL505" t="s">
        <v>665</v>
      </c>
      <c r="AS505">
        <v>2900</v>
      </c>
      <c r="AT505">
        <v>2900</v>
      </c>
      <c r="BN505" s="114" t="s">
        <v>198</v>
      </c>
      <c r="BO505">
        <v>1</v>
      </c>
      <c r="BP505">
        <v>1</v>
      </c>
      <c r="BQ505">
        <v>32</v>
      </c>
      <c r="BR505" t="s">
        <v>1035</v>
      </c>
      <c r="BT505" t="s">
        <v>218</v>
      </c>
      <c r="BU505" s="115">
        <v>45908</v>
      </c>
      <c r="BV505">
        <v>36925</v>
      </c>
      <c r="BW505" s="116"/>
      <c r="BX505" t="s">
        <v>173</v>
      </c>
      <c r="BY505" t="s">
        <v>173</v>
      </c>
      <c r="CB505" t="s">
        <v>173</v>
      </c>
      <c r="CC505" t="s">
        <v>173</v>
      </c>
      <c r="CE505" t="s">
        <v>172</v>
      </c>
      <c r="CF505" t="s">
        <v>676</v>
      </c>
      <c r="CG505" t="s">
        <v>172</v>
      </c>
      <c r="CH505" t="s">
        <v>677</v>
      </c>
      <c r="CI505" t="s">
        <v>173</v>
      </c>
      <c r="DJ505" t="s">
        <v>201</v>
      </c>
      <c r="DK505" t="s">
        <v>202</v>
      </c>
      <c r="DN505" t="s">
        <v>173</v>
      </c>
      <c r="DO505" t="s">
        <v>203</v>
      </c>
      <c r="DP505" t="s">
        <v>172</v>
      </c>
      <c r="DQ505" t="s">
        <v>204</v>
      </c>
      <c r="EA505" s="117"/>
      <c r="EB505">
        <v>3</v>
      </c>
      <c r="EC505">
        <v>3</v>
      </c>
      <c r="EE505" t="s">
        <v>679</v>
      </c>
      <c r="EF505">
        <v>6</v>
      </c>
      <c r="EV505">
        <v>6000</v>
      </c>
      <c r="EW505">
        <v>592</v>
      </c>
      <c r="EX505">
        <v>453</v>
      </c>
      <c r="EY505">
        <v>530</v>
      </c>
    </row>
    <row r="506" spans="1:155" x14ac:dyDescent="0.35">
      <c r="A506">
        <v>2026</v>
      </c>
      <c r="B506" t="s">
        <v>211</v>
      </c>
      <c r="C506" s="112" t="s">
        <v>683</v>
      </c>
      <c r="D506" t="s">
        <v>1314</v>
      </c>
      <c r="E506" t="s">
        <v>214</v>
      </c>
      <c r="F506">
        <v>762</v>
      </c>
      <c r="G506" s="113">
        <v>3</v>
      </c>
      <c r="H506">
        <v>6</v>
      </c>
      <c r="I506" t="s">
        <v>669</v>
      </c>
      <c r="J506">
        <v>21</v>
      </c>
      <c r="K506">
        <v>26</v>
      </c>
      <c r="L506">
        <v>23</v>
      </c>
      <c r="M506">
        <v>27.5</v>
      </c>
      <c r="N506">
        <v>40.1</v>
      </c>
      <c r="O506">
        <v>32.028799999999997</v>
      </c>
      <c r="P506">
        <v>21</v>
      </c>
      <c r="Q506">
        <v>26.440999999999999</v>
      </c>
      <c r="R506">
        <v>23</v>
      </c>
      <c r="T506" t="s">
        <v>168</v>
      </c>
      <c r="U506" t="s">
        <v>169</v>
      </c>
      <c r="V506" t="s">
        <v>170</v>
      </c>
      <c r="W506" t="s">
        <v>171</v>
      </c>
      <c r="Y506">
        <v>10</v>
      </c>
      <c r="Z506" t="s">
        <v>172</v>
      </c>
      <c r="AA506" t="s">
        <v>173</v>
      </c>
      <c r="AB506" t="s">
        <v>174</v>
      </c>
      <c r="AC506" t="s">
        <v>175</v>
      </c>
      <c r="AE506">
        <v>20</v>
      </c>
      <c r="AG506" t="s">
        <v>670</v>
      </c>
      <c r="AH506" t="s">
        <v>671</v>
      </c>
      <c r="AI506" t="s">
        <v>178</v>
      </c>
      <c r="AJ506" t="s">
        <v>179</v>
      </c>
      <c r="AK506" t="s">
        <v>664</v>
      </c>
      <c r="AL506" t="s">
        <v>665</v>
      </c>
      <c r="AS506">
        <v>2350</v>
      </c>
      <c r="AT506">
        <v>2350</v>
      </c>
      <c r="BN506" s="114"/>
      <c r="BO506">
        <v>2</v>
      </c>
      <c r="BP506">
        <v>2</v>
      </c>
      <c r="BQ506">
        <v>32</v>
      </c>
      <c r="BR506" t="s">
        <v>1035</v>
      </c>
      <c r="BT506" t="s">
        <v>613</v>
      </c>
      <c r="BU506" s="115">
        <v>45894</v>
      </c>
      <c r="BV506">
        <v>37235</v>
      </c>
      <c r="BW506" s="116"/>
      <c r="BX506" t="s">
        <v>173</v>
      </c>
      <c r="BY506" t="s">
        <v>173</v>
      </c>
      <c r="CB506" t="s">
        <v>173</v>
      </c>
      <c r="CC506" t="s">
        <v>173</v>
      </c>
      <c r="CE506" t="s">
        <v>173</v>
      </c>
      <c r="CG506" t="s">
        <v>173</v>
      </c>
      <c r="CI506" t="s">
        <v>173</v>
      </c>
      <c r="DJ506" t="s">
        <v>672</v>
      </c>
      <c r="DK506" t="s">
        <v>673</v>
      </c>
      <c r="DN506" t="s">
        <v>173</v>
      </c>
      <c r="DO506" t="s">
        <v>203</v>
      </c>
      <c r="DP506" t="s">
        <v>172</v>
      </c>
      <c r="DQ506" t="s">
        <v>204</v>
      </c>
      <c r="EA506" s="117"/>
      <c r="EB506">
        <v>5</v>
      </c>
      <c r="EC506">
        <v>4</v>
      </c>
      <c r="EE506" t="s">
        <v>1310</v>
      </c>
      <c r="EF506">
        <v>4</v>
      </c>
      <c r="EV506">
        <v>3250</v>
      </c>
      <c r="EW506">
        <v>485</v>
      </c>
      <c r="EX506">
        <v>385</v>
      </c>
      <c r="EY506">
        <v>442</v>
      </c>
    </row>
    <row r="507" spans="1:155" x14ac:dyDescent="0.35">
      <c r="A507">
        <v>2026</v>
      </c>
      <c r="B507" t="s">
        <v>211</v>
      </c>
      <c r="C507" s="112" t="s">
        <v>683</v>
      </c>
      <c r="D507" t="s">
        <v>1315</v>
      </c>
      <c r="E507" t="s">
        <v>214</v>
      </c>
      <c r="F507">
        <v>584</v>
      </c>
      <c r="G507" s="113">
        <v>6.2</v>
      </c>
      <c r="H507">
        <v>8</v>
      </c>
      <c r="I507" t="s">
        <v>669</v>
      </c>
      <c r="J507">
        <v>15</v>
      </c>
      <c r="K507">
        <v>19</v>
      </c>
      <c r="L507">
        <v>16</v>
      </c>
      <c r="M507">
        <v>18.2</v>
      </c>
      <c r="N507">
        <v>27.3</v>
      </c>
      <c r="O507">
        <v>21.411799999999999</v>
      </c>
      <c r="P507">
        <v>14.742100000000001</v>
      </c>
      <c r="Q507">
        <v>18.859300000000001</v>
      </c>
      <c r="R507">
        <v>16.348099999999999</v>
      </c>
      <c r="U507" t="s">
        <v>215</v>
      </c>
      <c r="V507" t="s">
        <v>170</v>
      </c>
      <c r="W507" t="s">
        <v>171</v>
      </c>
      <c r="Y507">
        <v>10</v>
      </c>
      <c r="Z507" t="s">
        <v>172</v>
      </c>
      <c r="AA507" t="s">
        <v>173</v>
      </c>
      <c r="AB507" t="s">
        <v>174</v>
      </c>
      <c r="AC507" t="s">
        <v>175</v>
      </c>
      <c r="AD507">
        <v>10</v>
      </c>
      <c r="AG507" t="s">
        <v>176</v>
      </c>
      <c r="AH507" t="s">
        <v>177</v>
      </c>
      <c r="AI507" t="s">
        <v>178</v>
      </c>
      <c r="AJ507" t="s">
        <v>179</v>
      </c>
      <c r="AK507" t="s">
        <v>664</v>
      </c>
      <c r="AL507" t="s">
        <v>665</v>
      </c>
      <c r="AS507">
        <v>3900</v>
      </c>
      <c r="AT507">
        <v>3900</v>
      </c>
      <c r="BN507" s="114" t="s">
        <v>198</v>
      </c>
      <c r="BO507">
        <v>1</v>
      </c>
      <c r="BP507">
        <v>1</v>
      </c>
      <c r="BQ507">
        <v>32</v>
      </c>
      <c r="BR507" t="s">
        <v>1035</v>
      </c>
      <c r="BT507" t="s">
        <v>613</v>
      </c>
      <c r="BU507" s="115">
        <v>45908</v>
      </c>
      <c r="BV507">
        <v>36832</v>
      </c>
      <c r="BW507" s="116"/>
      <c r="BX507" t="s">
        <v>173</v>
      </c>
      <c r="BY507" t="s">
        <v>173</v>
      </c>
      <c r="CB507" t="s">
        <v>173</v>
      </c>
      <c r="CC507" t="s">
        <v>173</v>
      </c>
      <c r="CE507" t="s">
        <v>172</v>
      </c>
      <c r="CF507" t="s">
        <v>676</v>
      </c>
      <c r="CG507" t="s">
        <v>172</v>
      </c>
      <c r="CH507" t="s">
        <v>677</v>
      </c>
      <c r="CI507" t="s">
        <v>173</v>
      </c>
      <c r="DJ507" t="s">
        <v>201</v>
      </c>
      <c r="DK507" t="s">
        <v>202</v>
      </c>
      <c r="DN507" t="s">
        <v>173</v>
      </c>
      <c r="DO507" t="s">
        <v>203</v>
      </c>
      <c r="DP507" t="s">
        <v>172</v>
      </c>
      <c r="DQ507" t="s">
        <v>204</v>
      </c>
      <c r="EA507" s="117"/>
      <c r="EB507">
        <v>3</v>
      </c>
      <c r="EC507">
        <v>3</v>
      </c>
      <c r="EE507" t="s">
        <v>717</v>
      </c>
      <c r="EF507">
        <v>5</v>
      </c>
      <c r="EV507">
        <v>11000</v>
      </c>
      <c r="EW507">
        <v>605</v>
      </c>
      <c r="EX507">
        <v>470</v>
      </c>
      <c r="EY507">
        <v>544</v>
      </c>
    </row>
    <row r="508" spans="1:155" x14ac:dyDescent="0.35">
      <c r="A508">
        <v>2026</v>
      </c>
      <c r="B508" t="s">
        <v>211</v>
      </c>
      <c r="C508" s="112" t="s">
        <v>683</v>
      </c>
      <c r="D508" t="s">
        <v>1315</v>
      </c>
      <c r="E508" t="s">
        <v>214</v>
      </c>
      <c r="F508">
        <v>594</v>
      </c>
      <c r="G508" s="113">
        <v>5.3</v>
      </c>
      <c r="H508">
        <v>8</v>
      </c>
      <c r="I508" t="s">
        <v>669</v>
      </c>
      <c r="J508">
        <v>15</v>
      </c>
      <c r="K508">
        <v>20</v>
      </c>
      <c r="L508">
        <v>17</v>
      </c>
      <c r="M508">
        <v>19.5</v>
      </c>
      <c r="N508">
        <v>29.9</v>
      </c>
      <c r="O508">
        <v>23.118600000000001</v>
      </c>
      <c r="P508">
        <v>14.9986</v>
      </c>
      <c r="Q508">
        <v>19.604099999999999</v>
      </c>
      <c r="R508">
        <v>16.771599999999999</v>
      </c>
      <c r="U508" t="s">
        <v>215</v>
      </c>
      <c r="V508" t="s">
        <v>170</v>
      </c>
      <c r="W508" t="s">
        <v>171</v>
      </c>
      <c r="Y508">
        <v>10</v>
      </c>
      <c r="Z508" t="s">
        <v>172</v>
      </c>
      <c r="AA508" t="s">
        <v>173</v>
      </c>
      <c r="AB508" t="s">
        <v>174</v>
      </c>
      <c r="AC508" t="s">
        <v>175</v>
      </c>
      <c r="AD508">
        <v>10</v>
      </c>
      <c r="AG508" t="s">
        <v>167</v>
      </c>
      <c r="AH508" t="s">
        <v>416</v>
      </c>
      <c r="AI508" t="s">
        <v>178</v>
      </c>
      <c r="AJ508" t="s">
        <v>179</v>
      </c>
      <c r="AK508" t="s">
        <v>664</v>
      </c>
      <c r="AL508" t="s">
        <v>665</v>
      </c>
      <c r="AS508">
        <v>2900</v>
      </c>
      <c r="AT508">
        <v>2900</v>
      </c>
      <c r="BN508" s="114" t="s">
        <v>198</v>
      </c>
      <c r="BO508">
        <v>1</v>
      </c>
      <c r="BP508">
        <v>1</v>
      </c>
      <c r="BQ508">
        <v>32</v>
      </c>
      <c r="BR508" t="s">
        <v>1035</v>
      </c>
      <c r="BT508" t="s">
        <v>218</v>
      </c>
      <c r="BU508" s="115">
        <v>45908</v>
      </c>
      <c r="BV508">
        <v>36926</v>
      </c>
      <c r="BW508" s="116"/>
      <c r="BX508" t="s">
        <v>173</v>
      </c>
      <c r="BY508" t="s">
        <v>173</v>
      </c>
      <c r="CB508" t="s">
        <v>173</v>
      </c>
      <c r="CC508" t="s">
        <v>173</v>
      </c>
      <c r="CE508" t="s">
        <v>172</v>
      </c>
      <c r="CF508" t="s">
        <v>676</v>
      </c>
      <c r="CG508" t="s">
        <v>172</v>
      </c>
      <c r="CH508" t="s">
        <v>677</v>
      </c>
      <c r="CI508" t="s">
        <v>173</v>
      </c>
      <c r="DJ508" t="s">
        <v>201</v>
      </c>
      <c r="DK508" t="s">
        <v>202</v>
      </c>
      <c r="DN508" t="s">
        <v>173</v>
      </c>
      <c r="DO508" t="s">
        <v>203</v>
      </c>
      <c r="DP508" t="s">
        <v>172</v>
      </c>
      <c r="DQ508" t="s">
        <v>204</v>
      </c>
      <c r="EA508" s="117"/>
      <c r="EB508">
        <v>3</v>
      </c>
      <c r="EC508">
        <v>3</v>
      </c>
      <c r="EE508" t="s">
        <v>679</v>
      </c>
      <c r="EF508">
        <v>6</v>
      </c>
      <c r="EV508">
        <v>6000</v>
      </c>
      <c r="EW508">
        <v>592</v>
      </c>
      <c r="EX508">
        <v>453</v>
      </c>
      <c r="EY508">
        <v>530</v>
      </c>
    </row>
    <row r="509" spans="1:155" x14ac:dyDescent="0.35">
      <c r="A509">
        <v>2026</v>
      </c>
      <c r="B509" t="s">
        <v>211</v>
      </c>
      <c r="C509" s="112" t="s">
        <v>683</v>
      </c>
      <c r="D509" t="s">
        <v>1315</v>
      </c>
      <c r="E509" t="s">
        <v>214</v>
      </c>
      <c r="F509">
        <v>761</v>
      </c>
      <c r="G509" s="113">
        <v>3</v>
      </c>
      <c r="H509">
        <v>6</v>
      </c>
      <c r="I509" t="s">
        <v>669</v>
      </c>
      <c r="J509">
        <v>21</v>
      </c>
      <c r="K509">
        <v>26</v>
      </c>
      <c r="L509">
        <v>23</v>
      </c>
      <c r="M509">
        <v>27.5</v>
      </c>
      <c r="N509">
        <v>40.1</v>
      </c>
      <c r="O509">
        <v>32.028799999999997</v>
      </c>
      <c r="P509">
        <v>21</v>
      </c>
      <c r="Q509">
        <v>26.440999999999999</v>
      </c>
      <c r="R509">
        <v>23</v>
      </c>
      <c r="T509" t="s">
        <v>168</v>
      </c>
      <c r="U509" t="s">
        <v>169</v>
      </c>
      <c r="V509" t="s">
        <v>170</v>
      </c>
      <c r="W509" t="s">
        <v>171</v>
      </c>
      <c r="Y509">
        <v>10</v>
      </c>
      <c r="Z509" t="s">
        <v>172</v>
      </c>
      <c r="AA509" t="s">
        <v>173</v>
      </c>
      <c r="AB509" t="s">
        <v>174</v>
      </c>
      <c r="AC509" t="s">
        <v>175</v>
      </c>
      <c r="AE509">
        <v>20</v>
      </c>
      <c r="AG509" t="s">
        <v>670</v>
      </c>
      <c r="AH509" t="s">
        <v>671</v>
      </c>
      <c r="AI509" t="s">
        <v>178</v>
      </c>
      <c r="AJ509" t="s">
        <v>179</v>
      </c>
      <c r="AK509" t="s">
        <v>664</v>
      </c>
      <c r="AL509" t="s">
        <v>665</v>
      </c>
      <c r="AS509">
        <v>2350</v>
      </c>
      <c r="AT509">
        <v>2350</v>
      </c>
      <c r="BN509" s="114"/>
      <c r="BO509">
        <v>2</v>
      </c>
      <c r="BP509">
        <v>2</v>
      </c>
      <c r="BQ509">
        <v>32</v>
      </c>
      <c r="BR509" t="s">
        <v>1035</v>
      </c>
      <c r="BT509" t="s">
        <v>613</v>
      </c>
      <c r="BU509" s="115">
        <v>45894</v>
      </c>
      <c r="BV509">
        <v>37234</v>
      </c>
      <c r="BW509" s="116"/>
      <c r="BX509" t="s">
        <v>173</v>
      </c>
      <c r="BY509" t="s">
        <v>173</v>
      </c>
      <c r="CB509" t="s">
        <v>173</v>
      </c>
      <c r="CC509" t="s">
        <v>173</v>
      </c>
      <c r="CE509" t="s">
        <v>173</v>
      </c>
      <c r="CG509" t="s">
        <v>173</v>
      </c>
      <c r="CI509" t="s">
        <v>173</v>
      </c>
      <c r="DJ509" t="s">
        <v>672</v>
      </c>
      <c r="DK509" t="s">
        <v>673</v>
      </c>
      <c r="DN509" t="s">
        <v>173</v>
      </c>
      <c r="DO509" t="s">
        <v>203</v>
      </c>
      <c r="DP509" t="s">
        <v>172</v>
      </c>
      <c r="DQ509" t="s">
        <v>204</v>
      </c>
      <c r="EA509" s="117"/>
      <c r="EB509">
        <v>5</v>
      </c>
      <c r="EC509">
        <v>4</v>
      </c>
      <c r="EE509" t="s">
        <v>1310</v>
      </c>
      <c r="EF509">
        <v>4</v>
      </c>
      <c r="EV509">
        <v>3250</v>
      </c>
      <c r="EW509">
        <v>485</v>
      </c>
      <c r="EX509">
        <v>385</v>
      </c>
      <c r="EY509">
        <v>442</v>
      </c>
    </row>
    <row r="510" spans="1:155" x14ac:dyDescent="0.35">
      <c r="A510">
        <v>2026</v>
      </c>
      <c r="B510" t="s">
        <v>400</v>
      </c>
      <c r="C510" s="112" t="s">
        <v>561</v>
      </c>
      <c r="D510" t="s">
        <v>1043</v>
      </c>
      <c r="E510" t="s">
        <v>403</v>
      </c>
      <c r="F510">
        <v>20</v>
      </c>
      <c r="G510" s="113">
        <v>3.5</v>
      </c>
      <c r="H510">
        <v>6</v>
      </c>
      <c r="I510" t="s">
        <v>195</v>
      </c>
      <c r="J510">
        <v>19</v>
      </c>
      <c r="K510">
        <v>25</v>
      </c>
      <c r="L510">
        <v>21</v>
      </c>
      <c r="M510">
        <v>23.3919</v>
      </c>
      <c r="N510">
        <v>37.069699999999997</v>
      </c>
      <c r="O510">
        <v>28.049099999999999</v>
      </c>
      <c r="P510">
        <v>18.627099999999999</v>
      </c>
      <c r="Q510">
        <v>25.484200000000001</v>
      </c>
      <c r="R510">
        <v>21.193300000000001</v>
      </c>
      <c r="U510" t="s">
        <v>215</v>
      </c>
      <c r="V510" t="s">
        <v>196</v>
      </c>
      <c r="W510" t="s">
        <v>197</v>
      </c>
      <c r="Y510">
        <v>8</v>
      </c>
      <c r="Z510" t="s">
        <v>172</v>
      </c>
      <c r="AA510" t="s">
        <v>173</v>
      </c>
      <c r="AB510" t="s">
        <v>277</v>
      </c>
      <c r="AC510" t="s">
        <v>278</v>
      </c>
      <c r="AD510">
        <v>15</v>
      </c>
      <c r="AG510" t="s">
        <v>167</v>
      </c>
      <c r="AH510" t="s">
        <v>416</v>
      </c>
      <c r="AI510" t="s">
        <v>178</v>
      </c>
      <c r="AJ510" t="s">
        <v>179</v>
      </c>
      <c r="AK510" t="s">
        <v>664</v>
      </c>
      <c r="AL510" t="s">
        <v>665</v>
      </c>
      <c r="AS510">
        <v>2350</v>
      </c>
      <c r="AT510">
        <v>2350</v>
      </c>
      <c r="BN510" s="114" t="s">
        <v>247</v>
      </c>
      <c r="BO510">
        <v>2</v>
      </c>
      <c r="BP510">
        <v>2</v>
      </c>
      <c r="BQ510">
        <v>32</v>
      </c>
      <c r="BR510" t="s">
        <v>1035</v>
      </c>
      <c r="BT510" t="s">
        <v>613</v>
      </c>
      <c r="BU510" s="115">
        <v>45792</v>
      </c>
      <c r="BV510">
        <v>36649</v>
      </c>
      <c r="BW510" s="116"/>
      <c r="BX510" t="s">
        <v>173</v>
      </c>
      <c r="BY510" t="s">
        <v>173</v>
      </c>
      <c r="CB510" t="s">
        <v>173</v>
      </c>
      <c r="CC510" t="s">
        <v>173</v>
      </c>
      <c r="CE510" t="s">
        <v>173</v>
      </c>
      <c r="CG510" t="s">
        <v>172</v>
      </c>
      <c r="CH510" t="s">
        <v>582</v>
      </c>
      <c r="CI510" t="s">
        <v>173</v>
      </c>
      <c r="DJ510" t="s">
        <v>250</v>
      </c>
      <c r="DK510" t="s">
        <v>251</v>
      </c>
      <c r="DN510" t="s">
        <v>173</v>
      </c>
      <c r="DO510" t="s">
        <v>203</v>
      </c>
      <c r="DP510" t="s">
        <v>173</v>
      </c>
      <c r="DQ510" t="s">
        <v>189</v>
      </c>
      <c r="EA510" s="117"/>
      <c r="EB510">
        <v>4</v>
      </c>
      <c r="EC510">
        <v>4</v>
      </c>
      <c r="EE510" t="s">
        <v>1044</v>
      </c>
      <c r="EF510">
        <v>6</v>
      </c>
      <c r="EV510">
        <v>3250</v>
      </c>
      <c r="EW510">
        <v>476</v>
      </c>
      <c r="EX510">
        <v>348</v>
      </c>
      <c r="EY510">
        <v>418</v>
      </c>
    </row>
    <row r="511" spans="1:155" x14ac:dyDescent="0.35">
      <c r="A511">
        <v>2026</v>
      </c>
      <c r="B511" t="s">
        <v>400</v>
      </c>
      <c r="C511" s="112" t="s">
        <v>561</v>
      </c>
      <c r="D511" t="s">
        <v>1316</v>
      </c>
      <c r="E511" t="s">
        <v>403</v>
      </c>
      <c r="F511">
        <v>86</v>
      </c>
      <c r="G511" s="113">
        <v>2.5</v>
      </c>
      <c r="H511">
        <v>4</v>
      </c>
      <c r="I511" t="s">
        <v>573</v>
      </c>
      <c r="J511">
        <v>31</v>
      </c>
      <c r="K511">
        <v>32</v>
      </c>
      <c r="L511">
        <v>31</v>
      </c>
      <c r="M511">
        <v>41.9</v>
      </c>
      <c r="N511">
        <v>43.299799999999998</v>
      </c>
      <c r="O511">
        <v>42.518500000000003</v>
      </c>
      <c r="P511">
        <v>30.665900000000001</v>
      </c>
      <c r="Q511">
        <v>32.061799999999998</v>
      </c>
      <c r="R511">
        <v>31.278700000000001</v>
      </c>
      <c r="T511" t="s">
        <v>168</v>
      </c>
      <c r="U511" t="s">
        <v>169</v>
      </c>
      <c r="V511" t="s">
        <v>275</v>
      </c>
      <c r="W511" t="s">
        <v>276</v>
      </c>
      <c r="Y511">
        <v>6</v>
      </c>
      <c r="Z511" t="s">
        <v>173</v>
      </c>
      <c r="AA511" t="s">
        <v>173</v>
      </c>
      <c r="AB511" t="s">
        <v>277</v>
      </c>
      <c r="AC511" t="s">
        <v>278</v>
      </c>
      <c r="AD511">
        <v>15</v>
      </c>
      <c r="AG511" t="s">
        <v>167</v>
      </c>
      <c r="AH511" t="s">
        <v>416</v>
      </c>
      <c r="AI511" t="s">
        <v>178</v>
      </c>
      <c r="AJ511" t="s">
        <v>179</v>
      </c>
      <c r="AK511" t="s">
        <v>664</v>
      </c>
      <c r="AL511" t="s">
        <v>665</v>
      </c>
      <c r="AS511">
        <v>1600</v>
      </c>
      <c r="AT511">
        <v>1600</v>
      </c>
      <c r="BN511" s="114" t="s">
        <v>492</v>
      </c>
      <c r="BO511">
        <v>2</v>
      </c>
      <c r="BP511">
        <v>2</v>
      </c>
      <c r="BQ511">
        <v>32</v>
      </c>
      <c r="BR511" t="s">
        <v>1035</v>
      </c>
      <c r="BT511" t="s">
        <v>218</v>
      </c>
      <c r="BU511" s="115">
        <v>45884</v>
      </c>
      <c r="BV511">
        <v>37369</v>
      </c>
      <c r="BW511" s="116"/>
      <c r="BX511" t="s">
        <v>173</v>
      </c>
      <c r="BY511" t="s">
        <v>173</v>
      </c>
      <c r="CB511" t="s">
        <v>173</v>
      </c>
      <c r="CC511" t="s">
        <v>173</v>
      </c>
      <c r="CE511" t="s">
        <v>173</v>
      </c>
      <c r="CG511" t="s">
        <v>172</v>
      </c>
      <c r="CH511" t="s">
        <v>1046</v>
      </c>
      <c r="CI511" t="s">
        <v>173</v>
      </c>
      <c r="CK511" t="s">
        <v>259</v>
      </c>
      <c r="CM511">
        <v>1</v>
      </c>
      <c r="CN511" t="s">
        <v>260</v>
      </c>
      <c r="CP511">
        <v>300</v>
      </c>
      <c r="CQ511">
        <v>5.5</v>
      </c>
      <c r="CR511">
        <v>44.7</v>
      </c>
      <c r="CS511" t="s">
        <v>261</v>
      </c>
      <c r="CV511" t="s">
        <v>262</v>
      </c>
      <c r="CX511" t="s">
        <v>493</v>
      </c>
      <c r="CY511" t="s">
        <v>172</v>
      </c>
      <c r="DD511">
        <v>2</v>
      </c>
      <c r="DE511" t="s">
        <v>307</v>
      </c>
      <c r="DF511" t="s">
        <v>330</v>
      </c>
      <c r="DG511" t="s">
        <v>1788</v>
      </c>
      <c r="DJ511" t="s">
        <v>201</v>
      </c>
      <c r="DK511" t="s">
        <v>202</v>
      </c>
      <c r="DL511" t="s">
        <v>173</v>
      </c>
      <c r="DM511" t="s">
        <v>173</v>
      </c>
      <c r="DN511" t="s">
        <v>173</v>
      </c>
      <c r="DO511" t="s">
        <v>827</v>
      </c>
      <c r="DP511" t="s">
        <v>172</v>
      </c>
      <c r="DQ511" t="s">
        <v>204</v>
      </c>
      <c r="EA511" s="117"/>
      <c r="EB511">
        <v>6</v>
      </c>
      <c r="EC511">
        <v>6</v>
      </c>
      <c r="EE511" t="s">
        <v>1047</v>
      </c>
      <c r="EF511">
        <v>6</v>
      </c>
      <c r="EU511">
        <v>500</v>
      </c>
      <c r="EW511">
        <v>287</v>
      </c>
      <c r="EX511">
        <v>277</v>
      </c>
      <c r="EY511">
        <v>283</v>
      </c>
    </row>
    <row r="512" spans="1:155" x14ac:dyDescent="0.35">
      <c r="A512">
        <v>2026</v>
      </c>
      <c r="B512" t="s">
        <v>400</v>
      </c>
      <c r="C512" s="112" t="s">
        <v>561</v>
      </c>
      <c r="D512" t="s">
        <v>1045</v>
      </c>
      <c r="E512" t="s">
        <v>403</v>
      </c>
      <c r="F512">
        <v>87</v>
      </c>
      <c r="G512" s="113">
        <v>2.5</v>
      </c>
      <c r="H512">
        <v>4</v>
      </c>
      <c r="I512" t="s">
        <v>573</v>
      </c>
      <c r="J512">
        <v>33</v>
      </c>
      <c r="K512">
        <v>35</v>
      </c>
      <c r="L512">
        <v>34</v>
      </c>
      <c r="M512">
        <v>45.3</v>
      </c>
      <c r="N512">
        <v>46</v>
      </c>
      <c r="O512">
        <v>45.612299999999998</v>
      </c>
      <c r="P512">
        <v>33.397300000000001</v>
      </c>
      <c r="Q512">
        <v>34.828000000000003</v>
      </c>
      <c r="R512">
        <v>34.026299999999999</v>
      </c>
      <c r="T512" t="s">
        <v>168</v>
      </c>
      <c r="U512" t="s">
        <v>169</v>
      </c>
      <c r="V512" t="s">
        <v>275</v>
      </c>
      <c r="W512" t="s">
        <v>276</v>
      </c>
      <c r="Y512">
        <v>6</v>
      </c>
      <c r="Z512" t="s">
        <v>173</v>
      </c>
      <c r="AA512" t="s">
        <v>173</v>
      </c>
      <c r="AB512" t="s">
        <v>277</v>
      </c>
      <c r="AC512" t="s">
        <v>278</v>
      </c>
      <c r="AD512">
        <v>15</v>
      </c>
      <c r="AG512" t="s">
        <v>167</v>
      </c>
      <c r="AH512" t="s">
        <v>416</v>
      </c>
      <c r="AI512" t="s">
        <v>178</v>
      </c>
      <c r="AJ512" t="s">
        <v>179</v>
      </c>
      <c r="AK512" t="s">
        <v>664</v>
      </c>
      <c r="AL512" t="s">
        <v>665</v>
      </c>
      <c r="AS512">
        <v>1450</v>
      </c>
      <c r="AT512">
        <v>1450</v>
      </c>
      <c r="BN512" s="114" t="s">
        <v>492</v>
      </c>
      <c r="BO512">
        <v>2</v>
      </c>
      <c r="BP512">
        <v>2</v>
      </c>
      <c r="BQ512">
        <v>32</v>
      </c>
      <c r="BR512" t="s">
        <v>1035</v>
      </c>
      <c r="BT512" t="s">
        <v>218</v>
      </c>
      <c r="BU512" s="115">
        <v>45884</v>
      </c>
      <c r="BV512">
        <v>37353</v>
      </c>
      <c r="BW512" s="116"/>
      <c r="BX512" t="s">
        <v>172</v>
      </c>
      <c r="BY512" t="s">
        <v>173</v>
      </c>
      <c r="CB512" t="s">
        <v>173</v>
      </c>
      <c r="CC512" t="s">
        <v>173</v>
      </c>
      <c r="CE512" t="s">
        <v>173</v>
      </c>
      <c r="CG512" t="s">
        <v>172</v>
      </c>
      <c r="CH512" t="s">
        <v>1046</v>
      </c>
      <c r="CI512" t="s">
        <v>173</v>
      </c>
      <c r="CK512" t="s">
        <v>259</v>
      </c>
      <c r="CM512">
        <v>1</v>
      </c>
      <c r="CN512" t="s">
        <v>260</v>
      </c>
      <c r="CP512">
        <v>300</v>
      </c>
      <c r="CQ512">
        <v>5.5</v>
      </c>
      <c r="CR512">
        <v>44.7</v>
      </c>
      <c r="CS512" t="s">
        <v>261</v>
      </c>
      <c r="CV512" t="s">
        <v>262</v>
      </c>
      <c r="CX512" t="s">
        <v>493</v>
      </c>
      <c r="CY512" t="s">
        <v>172</v>
      </c>
      <c r="DD512">
        <v>2</v>
      </c>
      <c r="DE512" t="s">
        <v>307</v>
      </c>
      <c r="DF512" t="s">
        <v>330</v>
      </c>
      <c r="DG512" t="s">
        <v>1788</v>
      </c>
      <c r="DJ512" t="s">
        <v>201</v>
      </c>
      <c r="DK512" t="s">
        <v>202</v>
      </c>
      <c r="DL512" t="s">
        <v>173</v>
      </c>
      <c r="DM512" t="s">
        <v>173</v>
      </c>
      <c r="DN512" t="s">
        <v>173</v>
      </c>
      <c r="DO512" t="s">
        <v>827</v>
      </c>
      <c r="DP512" t="s">
        <v>172</v>
      </c>
      <c r="DQ512" t="s">
        <v>204</v>
      </c>
      <c r="EA512" s="117"/>
      <c r="EB512">
        <v>6</v>
      </c>
      <c r="EC512">
        <v>6</v>
      </c>
      <c r="EE512" t="s">
        <v>1047</v>
      </c>
      <c r="EF512">
        <v>6</v>
      </c>
      <c r="EU512">
        <v>1250</v>
      </c>
      <c r="EW512">
        <v>262</v>
      </c>
      <c r="EX512">
        <v>253</v>
      </c>
      <c r="EY512">
        <v>258</v>
      </c>
    </row>
    <row r="513" spans="1:155" x14ac:dyDescent="0.35">
      <c r="A513">
        <v>2026</v>
      </c>
      <c r="B513" t="s">
        <v>862</v>
      </c>
      <c r="C513" s="112" t="s">
        <v>1048</v>
      </c>
      <c r="D513" t="s">
        <v>1049</v>
      </c>
      <c r="E513" t="s">
        <v>865</v>
      </c>
      <c r="F513">
        <v>222</v>
      </c>
      <c r="G513" s="113">
        <v>2</v>
      </c>
      <c r="H513">
        <v>4</v>
      </c>
      <c r="I513" t="s">
        <v>896</v>
      </c>
      <c r="J513">
        <v>22</v>
      </c>
      <c r="K513">
        <v>28</v>
      </c>
      <c r="L513">
        <v>24</v>
      </c>
      <c r="M513">
        <v>28.8383</v>
      </c>
      <c r="N513">
        <v>40.698</v>
      </c>
      <c r="O513">
        <v>33.1907</v>
      </c>
      <c r="P513">
        <v>22</v>
      </c>
      <c r="Q513">
        <v>28</v>
      </c>
      <c r="R513">
        <v>24</v>
      </c>
      <c r="T513" t="s">
        <v>168</v>
      </c>
      <c r="U513" t="s">
        <v>169</v>
      </c>
      <c r="V513" t="s">
        <v>196</v>
      </c>
      <c r="W513" t="s">
        <v>197</v>
      </c>
      <c r="Y513">
        <v>9</v>
      </c>
      <c r="Z513" t="s">
        <v>172</v>
      </c>
      <c r="AA513" t="s">
        <v>173</v>
      </c>
      <c r="AB513" t="s">
        <v>277</v>
      </c>
      <c r="AC513" t="s">
        <v>278</v>
      </c>
      <c r="AD513">
        <v>15</v>
      </c>
      <c r="AG513" t="s">
        <v>216</v>
      </c>
      <c r="AH513" t="s">
        <v>217</v>
      </c>
      <c r="AI513" t="s">
        <v>178</v>
      </c>
      <c r="AJ513" t="s">
        <v>179</v>
      </c>
      <c r="AK513" t="s">
        <v>664</v>
      </c>
      <c r="AL513" t="s">
        <v>665</v>
      </c>
      <c r="AS513">
        <v>2600</v>
      </c>
      <c r="AT513">
        <v>2600</v>
      </c>
      <c r="BN513" s="114" t="s">
        <v>247</v>
      </c>
      <c r="BO513">
        <v>2</v>
      </c>
      <c r="BP513">
        <v>2</v>
      </c>
      <c r="BQ513">
        <v>32</v>
      </c>
      <c r="BR513" t="s">
        <v>1035</v>
      </c>
      <c r="BT513" t="s">
        <v>183</v>
      </c>
      <c r="BU513" s="115">
        <v>45856</v>
      </c>
      <c r="BV513">
        <v>37264</v>
      </c>
      <c r="BW513" s="116"/>
      <c r="BX513" t="s">
        <v>173</v>
      </c>
      <c r="BY513" t="s">
        <v>173</v>
      </c>
      <c r="CB513" t="s">
        <v>173</v>
      </c>
      <c r="CC513" t="s">
        <v>173</v>
      </c>
      <c r="CD513" t="s">
        <v>1050</v>
      </c>
      <c r="CE513" t="s">
        <v>173</v>
      </c>
      <c r="CG513" t="s">
        <v>172</v>
      </c>
      <c r="CH513" t="s">
        <v>1051</v>
      </c>
      <c r="CI513" t="s">
        <v>173</v>
      </c>
      <c r="DJ513" t="s">
        <v>250</v>
      </c>
      <c r="DK513" t="s">
        <v>251</v>
      </c>
      <c r="DN513" t="s">
        <v>173</v>
      </c>
      <c r="DO513" t="s">
        <v>585</v>
      </c>
      <c r="DP513" t="s">
        <v>172</v>
      </c>
      <c r="DQ513" t="s">
        <v>204</v>
      </c>
      <c r="EA513" s="117"/>
      <c r="EB513">
        <v>5</v>
      </c>
      <c r="EC513">
        <v>5</v>
      </c>
      <c r="EE513" t="s">
        <v>1052</v>
      </c>
      <c r="EF513">
        <v>5</v>
      </c>
      <c r="EI513" t="s">
        <v>1053</v>
      </c>
      <c r="EJ513">
        <v>5</v>
      </c>
      <c r="EV513">
        <v>4500</v>
      </c>
      <c r="EW513">
        <v>405</v>
      </c>
      <c r="EX513">
        <v>318</v>
      </c>
      <c r="EY513">
        <v>371</v>
      </c>
    </row>
    <row r="514" spans="1:155" x14ac:dyDescent="0.35">
      <c r="A514">
        <v>2026</v>
      </c>
      <c r="B514" t="s">
        <v>862</v>
      </c>
      <c r="C514" s="112" t="s">
        <v>1048</v>
      </c>
      <c r="D514" t="s">
        <v>1054</v>
      </c>
      <c r="E514" t="s">
        <v>865</v>
      </c>
      <c r="F514">
        <v>890</v>
      </c>
      <c r="G514" s="113">
        <v>3.5</v>
      </c>
      <c r="H514">
        <v>6</v>
      </c>
      <c r="I514" t="s">
        <v>896</v>
      </c>
      <c r="J514">
        <v>16</v>
      </c>
      <c r="K514">
        <v>20</v>
      </c>
      <c r="L514">
        <v>18</v>
      </c>
      <c r="M514">
        <v>19.8553</v>
      </c>
      <c r="N514">
        <v>30.3245</v>
      </c>
      <c r="O514">
        <v>23.507300000000001</v>
      </c>
      <c r="P514">
        <v>15.995200000000001</v>
      </c>
      <c r="Q514">
        <v>20.186199999999999</v>
      </c>
      <c r="R514">
        <v>17.643599999999999</v>
      </c>
      <c r="T514" t="s">
        <v>168</v>
      </c>
      <c r="U514" t="s">
        <v>169</v>
      </c>
      <c r="V514" t="s">
        <v>196</v>
      </c>
      <c r="W514" t="s">
        <v>197</v>
      </c>
      <c r="Y514">
        <v>9</v>
      </c>
      <c r="Z514" t="s">
        <v>172</v>
      </c>
      <c r="AA514" t="s">
        <v>173</v>
      </c>
      <c r="AB514" t="s">
        <v>174</v>
      </c>
      <c r="AC514" t="s">
        <v>175</v>
      </c>
      <c r="AD514">
        <v>15</v>
      </c>
      <c r="AG514" t="s">
        <v>216</v>
      </c>
      <c r="AH514" t="s">
        <v>217</v>
      </c>
      <c r="AI514" t="s">
        <v>178</v>
      </c>
      <c r="AJ514" t="s">
        <v>179</v>
      </c>
      <c r="AK514" t="s">
        <v>664</v>
      </c>
      <c r="AL514" t="s">
        <v>665</v>
      </c>
      <c r="AS514">
        <v>3450</v>
      </c>
      <c r="AT514">
        <v>3450</v>
      </c>
      <c r="BN514" s="114" t="s">
        <v>198</v>
      </c>
      <c r="BO514">
        <v>2</v>
      </c>
      <c r="BP514">
        <v>2</v>
      </c>
      <c r="BQ514">
        <v>32</v>
      </c>
      <c r="BR514" t="s">
        <v>1035</v>
      </c>
      <c r="BT514" t="s">
        <v>613</v>
      </c>
      <c r="BU514" s="115">
        <v>45776</v>
      </c>
      <c r="BV514">
        <v>36165</v>
      </c>
      <c r="BW514" s="116"/>
      <c r="BX514" t="s">
        <v>173</v>
      </c>
      <c r="CB514" t="s">
        <v>173</v>
      </c>
      <c r="CC514" t="s">
        <v>173</v>
      </c>
      <c r="CD514" t="s">
        <v>1055</v>
      </c>
      <c r="CE514" t="s">
        <v>173</v>
      </c>
      <c r="CG514" t="s">
        <v>172</v>
      </c>
      <c r="CH514" t="s">
        <v>1056</v>
      </c>
      <c r="CI514" t="s">
        <v>173</v>
      </c>
      <c r="DJ514" t="s">
        <v>201</v>
      </c>
      <c r="DK514" t="s">
        <v>202</v>
      </c>
      <c r="DN514" t="s">
        <v>173</v>
      </c>
      <c r="DO514" t="s">
        <v>585</v>
      </c>
      <c r="DP514" t="s">
        <v>172</v>
      </c>
      <c r="DQ514" t="s">
        <v>204</v>
      </c>
      <c r="EA514" s="117"/>
      <c r="EB514">
        <v>3</v>
      </c>
      <c r="EC514">
        <v>3</v>
      </c>
      <c r="EE514" t="s">
        <v>1057</v>
      </c>
      <c r="EF514">
        <v>5</v>
      </c>
      <c r="EV514">
        <v>8750</v>
      </c>
      <c r="EW514">
        <v>557</v>
      </c>
      <c r="EX514">
        <v>440</v>
      </c>
      <c r="EY514">
        <v>504</v>
      </c>
    </row>
    <row r="515" spans="1:155" x14ac:dyDescent="0.35">
      <c r="A515">
        <v>2026</v>
      </c>
      <c r="B515" t="s">
        <v>242</v>
      </c>
      <c r="C515" s="112" t="s">
        <v>243</v>
      </c>
      <c r="D515" t="s">
        <v>1317</v>
      </c>
      <c r="E515" t="s">
        <v>245</v>
      </c>
      <c r="F515">
        <v>110</v>
      </c>
      <c r="G515" s="113">
        <v>2.4</v>
      </c>
      <c r="H515">
        <v>4</v>
      </c>
      <c r="I515" t="s">
        <v>195</v>
      </c>
      <c r="J515">
        <v>21</v>
      </c>
      <c r="K515">
        <v>27</v>
      </c>
      <c r="L515">
        <v>23</v>
      </c>
      <c r="M515">
        <v>26.667400000000001</v>
      </c>
      <c r="N515">
        <v>39.353499999999997</v>
      </c>
      <c r="O515">
        <v>31.1922</v>
      </c>
      <c r="P515">
        <v>21.011199999999999</v>
      </c>
      <c r="Q515">
        <v>27</v>
      </c>
      <c r="R515">
        <v>23</v>
      </c>
      <c r="T515" t="s">
        <v>168</v>
      </c>
      <c r="U515" t="s">
        <v>169</v>
      </c>
      <c r="V515" t="s">
        <v>196</v>
      </c>
      <c r="W515" t="s">
        <v>197</v>
      </c>
      <c r="Y515">
        <v>8</v>
      </c>
      <c r="Z515" t="s">
        <v>172</v>
      </c>
      <c r="AA515" t="s">
        <v>173</v>
      </c>
      <c r="AB515" t="s">
        <v>277</v>
      </c>
      <c r="AC515" t="s">
        <v>278</v>
      </c>
      <c r="AD515">
        <v>15</v>
      </c>
      <c r="AG515" t="s">
        <v>216</v>
      </c>
      <c r="AH515" t="s">
        <v>217</v>
      </c>
      <c r="AI515" t="s">
        <v>178</v>
      </c>
      <c r="AJ515" t="s">
        <v>179</v>
      </c>
      <c r="AK515" t="s">
        <v>664</v>
      </c>
      <c r="AL515" t="s">
        <v>665</v>
      </c>
      <c r="AS515">
        <v>2700</v>
      </c>
      <c r="AT515">
        <v>2700</v>
      </c>
      <c r="BN515" s="114" t="s">
        <v>247</v>
      </c>
      <c r="BO515">
        <v>2</v>
      </c>
      <c r="BP515">
        <v>2</v>
      </c>
      <c r="BQ515">
        <v>32</v>
      </c>
      <c r="BR515" t="s">
        <v>1035</v>
      </c>
      <c r="BT515" t="s">
        <v>183</v>
      </c>
      <c r="BU515" s="115">
        <v>45903</v>
      </c>
      <c r="BV515">
        <v>37024</v>
      </c>
      <c r="BW515" s="116"/>
      <c r="BX515" t="s">
        <v>172</v>
      </c>
      <c r="BY515" t="s">
        <v>173</v>
      </c>
      <c r="CB515" t="s">
        <v>173</v>
      </c>
      <c r="CC515" t="s">
        <v>173</v>
      </c>
      <c r="CD515" t="s">
        <v>974</v>
      </c>
      <c r="CE515" t="s">
        <v>173</v>
      </c>
      <c r="CG515" t="s">
        <v>172</v>
      </c>
      <c r="CH515" t="s">
        <v>249</v>
      </c>
      <c r="CI515" t="s">
        <v>173</v>
      </c>
      <c r="DJ515" t="s">
        <v>250</v>
      </c>
      <c r="DK515" t="s">
        <v>251</v>
      </c>
      <c r="DN515" t="s">
        <v>173</v>
      </c>
      <c r="DO515" t="s">
        <v>284</v>
      </c>
      <c r="DP515" t="s">
        <v>172</v>
      </c>
      <c r="DQ515" t="s">
        <v>204</v>
      </c>
      <c r="EA515" s="117"/>
      <c r="EB515">
        <v>5</v>
      </c>
      <c r="EC515">
        <v>5</v>
      </c>
      <c r="EE515" t="s">
        <v>975</v>
      </c>
      <c r="EF515">
        <v>6</v>
      </c>
      <c r="EV515">
        <v>5000</v>
      </c>
      <c r="EW515">
        <v>418</v>
      </c>
      <c r="EX515">
        <v>326</v>
      </c>
      <c r="EY515">
        <v>382</v>
      </c>
    </row>
    <row r="516" spans="1:155" x14ac:dyDescent="0.35">
      <c r="A516">
        <v>2026</v>
      </c>
      <c r="B516" t="s">
        <v>978</v>
      </c>
      <c r="C516" s="112" t="s">
        <v>979</v>
      </c>
      <c r="D516" t="s">
        <v>2136</v>
      </c>
      <c r="E516" t="s">
        <v>981</v>
      </c>
      <c r="F516">
        <v>2</v>
      </c>
      <c r="G516" s="113">
        <v>3</v>
      </c>
      <c r="H516">
        <v>6</v>
      </c>
      <c r="I516" t="s">
        <v>246</v>
      </c>
      <c r="J516">
        <v>18</v>
      </c>
      <c r="K516">
        <v>25</v>
      </c>
      <c r="L516">
        <v>21</v>
      </c>
      <c r="M516">
        <v>22.9</v>
      </c>
      <c r="N516">
        <v>36.200000000000003</v>
      </c>
      <c r="O516">
        <v>27.436</v>
      </c>
      <c r="P516">
        <v>18.264700000000001</v>
      </c>
      <c r="Q516">
        <v>25</v>
      </c>
      <c r="R516">
        <v>20.990500000000001</v>
      </c>
      <c r="T516" t="s">
        <v>168</v>
      </c>
      <c r="U516" t="s">
        <v>169</v>
      </c>
      <c r="V516" t="s">
        <v>196</v>
      </c>
      <c r="W516" t="s">
        <v>197</v>
      </c>
      <c r="Y516">
        <v>10</v>
      </c>
      <c r="Z516" t="s">
        <v>172</v>
      </c>
      <c r="AA516" t="s">
        <v>173</v>
      </c>
      <c r="AB516" t="s">
        <v>174</v>
      </c>
      <c r="AC516" t="s">
        <v>175</v>
      </c>
      <c r="AD516">
        <v>10</v>
      </c>
      <c r="AG516" t="s">
        <v>167</v>
      </c>
      <c r="AH516" t="s">
        <v>416</v>
      </c>
      <c r="AI516" t="s">
        <v>178</v>
      </c>
      <c r="AJ516" t="s">
        <v>179</v>
      </c>
      <c r="AK516" t="s">
        <v>664</v>
      </c>
      <c r="AL516" t="s">
        <v>665</v>
      </c>
      <c r="AS516">
        <v>2350</v>
      </c>
      <c r="AT516">
        <v>2350</v>
      </c>
      <c r="BN516" s="114" t="s">
        <v>198</v>
      </c>
      <c r="BO516">
        <v>2</v>
      </c>
      <c r="BP516">
        <v>2</v>
      </c>
      <c r="BQ516">
        <v>32</v>
      </c>
      <c r="BR516" t="s">
        <v>1035</v>
      </c>
      <c r="BT516" t="s">
        <v>183</v>
      </c>
      <c r="BU516" s="115">
        <v>45922</v>
      </c>
      <c r="BV516">
        <v>37673</v>
      </c>
      <c r="BW516" s="116"/>
      <c r="BX516" t="s">
        <v>173</v>
      </c>
      <c r="BY516" t="s">
        <v>173</v>
      </c>
      <c r="CB516" t="s">
        <v>173</v>
      </c>
      <c r="CC516" t="s">
        <v>173</v>
      </c>
      <c r="CE516" t="s">
        <v>173</v>
      </c>
      <c r="CG516" t="s">
        <v>172</v>
      </c>
      <c r="CH516" t="s">
        <v>2134</v>
      </c>
      <c r="CI516" t="s">
        <v>173</v>
      </c>
      <c r="DJ516" t="s">
        <v>201</v>
      </c>
      <c r="DK516" t="s">
        <v>202</v>
      </c>
      <c r="DN516" t="s">
        <v>173</v>
      </c>
      <c r="DO516" t="s">
        <v>983</v>
      </c>
      <c r="DP516" t="s">
        <v>172</v>
      </c>
      <c r="DQ516" t="s">
        <v>204</v>
      </c>
      <c r="EA516" s="117"/>
      <c r="EB516">
        <v>4</v>
      </c>
      <c r="EC516">
        <v>4</v>
      </c>
      <c r="EE516" t="s">
        <v>2135</v>
      </c>
      <c r="EF516">
        <v>5</v>
      </c>
      <c r="EV516">
        <v>3250</v>
      </c>
      <c r="EW516">
        <v>486</v>
      </c>
      <c r="EX516">
        <v>355</v>
      </c>
      <c r="EY516">
        <v>423</v>
      </c>
    </row>
    <row r="517" spans="1:155" x14ac:dyDescent="0.35">
      <c r="A517">
        <v>2026</v>
      </c>
      <c r="B517" t="s">
        <v>862</v>
      </c>
      <c r="C517" s="112" t="s">
        <v>863</v>
      </c>
      <c r="D517" t="s">
        <v>1058</v>
      </c>
      <c r="E517" t="s">
        <v>865</v>
      </c>
      <c r="F517">
        <v>282</v>
      </c>
      <c r="G517" s="113">
        <v>3.5</v>
      </c>
      <c r="H517">
        <v>6</v>
      </c>
      <c r="I517" t="s">
        <v>896</v>
      </c>
      <c r="J517">
        <v>16</v>
      </c>
      <c r="K517">
        <v>20</v>
      </c>
      <c r="L517">
        <v>18</v>
      </c>
      <c r="M517">
        <v>20.573799999999999</v>
      </c>
      <c r="N517">
        <v>31.1921</v>
      </c>
      <c r="O517">
        <v>24.2956</v>
      </c>
      <c r="P517">
        <v>16</v>
      </c>
      <c r="Q517">
        <v>20</v>
      </c>
      <c r="R517">
        <v>18.489599999999999</v>
      </c>
      <c r="T517" t="s">
        <v>168</v>
      </c>
      <c r="U517" t="s">
        <v>169</v>
      </c>
      <c r="V517" t="s">
        <v>196</v>
      </c>
      <c r="W517" t="s">
        <v>197</v>
      </c>
      <c r="Y517">
        <v>9</v>
      </c>
      <c r="Z517" t="s">
        <v>172</v>
      </c>
      <c r="AA517" t="s">
        <v>173</v>
      </c>
      <c r="AB517" t="s">
        <v>174</v>
      </c>
      <c r="AC517" t="s">
        <v>175</v>
      </c>
      <c r="AD517">
        <v>15</v>
      </c>
      <c r="AG517" t="s">
        <v>176</v>
      </c>
      <c r="AH517" t="s">
        <v>177</v>
      </c>
      <c r="AI517" t="s">
        <v>178</v>
      </c>
      <c r="AJ517" t="s">
        <v>179</v>
      </c>
      <c r="AK517" t="s">
        <v>664</v>
      </c>
      <c r="AL517" t="s">
        <v>665</v>
      </c>
      <c r="AS517">
        <v>3450</v>
      </c>
      <c r="AT517">
        <v>3450</v>
      </c>
      <c r="BN517" s="114" t="s">
        <v>198</v>
      </c>
      <c r="BO517">
        <v>2</v>
      </c>
      <c r="BP517">
        <v>2</v>
      </c>
      <c r="BQ517">
        <v>32</v>
      </c>
      <c r="BR517" t="s">
        <v>1035</v>
      </c>
      <c r="BT517" t="s">
        <v>613</v>
      </c>
      <c r="BU517" s="115">
        <v>45881</v>
      </c>
      <c r="BV517">
        <v>36816</v>
      </c>
      <c r="BW517" s="116"/>
      <c r="BX517" t="s">
        <v>173</v>
      </c>
      <c r="CB517" t="s">
        <v>173</v>
      </c>
      <c r="CC517" t="s">
        <v>173</v>
      </c>
      <c r="CD517" t="s">
        <v>1059</v>
      </c>
      <c r="CE517" t="s">
        <v>173</v>
      </c>
      <c r="CG517" t="s">
        <v>172</v>
      </c>
      <c r="CH517" t="s">
        <v>1056</v>
      </c>
      <c r="CI517" t="s">
        <v>173</v>
      </c>
      <c r="DJ517" t="s">
        <v>201</v>
      </c>
      <c r="DK517" t="s">
        <v>202</v>
      </c>
      <c r="DN517" t="s">
        <v>173</v>
      </c>
      <c r="DO517" t="s">
        <v>585</v>
      </c>
      <c r="DP517" t="s">
        <v>172</v>
      </c>
      <c r="DQ517" t="s">
        <v>204</v>
      </c>
      <c r="EA517" s="117"/>
      <c r="EB517">
        <v>3</v>
      </c>
      <c r="EC517">
        <v>3</v>
      </c>
      <c r="EE517" t="s">
        <v>1057</v>
      </c>
      <c r="EF517">
        <v>5</v>
      </c>
      <c r="EV517">
        <v>8750</v>
      </c>
      <c r="EW517">
        <v>556</v>
      </c>
      <c r="EX517">
        <v>444</v>
      </c>
      <c r="EY517">
        <v>506</v>
      </c>
    </row>
    <row r="518" spans="1:155" x14ac:dyDescent="0.35">
      <c r="A518">
        <v>2026</v>
      </c>
      <c r="B518" t="s">
        <v>242</v>
      </c>
      <c r="C518" s="112" t="s">
        <v>239</v>
      </c>
      <c r="D518" t="s">
        <v>1318</v>
      </c>
      <c r="E518" t="s">
        <v>245</v>
      </c>
      <c r="F518">
        <v>34</v>
      </c>
      <c r="G518" s="113">
        <v>2.5</v>
      </c>
      <c r="H518">
        <v>4</v>
      </c>
      <c r="I518" t="s">
        <v>852</v>
      </c>
      <c r="J518">
        <v>37</v>
      </c>
      <c r="K518">
        <v>34</v>
      </c>
      <c r="L518">
        <v>36</v>
      </c>
      <c r="M518">
        <v>52.298299999999998</v>
      </c>
      <c r="N518">
        <v>48.6</v>
      </c>
      <c r="O518">
        <v>50.566699999999997</v>
      </c>
      <c r="P518">
        <v>37</v>
      </c>
      <c r="Q518">
        <v>34.058500000000002</v>
      </c>
      <c r="R518">
        <v>36.1798</v>
      </c>
      <c r="U518" t="s">
        <v>215</v>
      </c>
      <c r="V518" t="s">
        <v>497</v>
      </c>
      <c r="W518" t="s">
        <v>498</v>
      </c>
      <c r="Y518">
        <v>6</v>
      </c>
      <c r="Z518" t="s">
        <v>173</v>
      </c>
      <c r="AA518" t="s">
        <v>173</v>
      </c>
      <c r="AB518" t="s">
        <v>277</v>
      </c>
      <c r="AC518" t="s">
        <v>278</v>
      </c>
      <c r="AD518">
        <v>15</v>
      </c>
      <c r="AG518" t="s">
        <v>167</v>
      </c>
      <c r="AH518" t="s">
        <v>416</v>
      </c>
      <c r="AI518" t="s">
        <v>178</v>
      </c>
      <c r="AJ518" t="s">
        <v>179</v>
      </c>
      <c r="AK518" t="s">
        <v>664</v>
      </c>
      <c r="AL518" t="s">
        <v>665</v>
      </c>
      <c r="AS518">
        <v>1400</v>
      </c>
      <c r="AT518">
        <v>1400</v>
      </c>
      <c r="BN518" s="114" t="s">
        <v>505</v>
      </c>
      <c r="BO518">
        <v>2</v>
      </c>
      <c r="BP518">
        <v>2</v>
      </c>
      <c r="BQ518">
        <v>32</v>
      </c>
      <c r="BR518" t="s">
        <v>1035</v>
      </c>
      <c r="BT518" t="s">
        <v>218</v>
      </c>
      <c r="BU518" s="115">
        <v>45903</v>
      </c>
      <c r="BV518">
        <v>37016</v>
      </c>
      <c r="BW518" s="116"/>
      <c r="BX518" t="s">
        <v>173</v>
      </c>
      <c r="BY518" t="s">
        <v>173</v>
      </c>
      <c r="CB518" t="s">
        <v>173</v>
      </c>
      <c r="CC518" t="s">
        <v>173</v>
      </c>
      <c r="CD518" t="s">
        <v>1290</v>
      </c>
      <c r="CE518" t="s">
        <v>173</v>
      </c>
      <c r="CG518" t="s">
        <v>172</v>
      </c>
      <c r="CH518" t="s">
        <v>249</v>
      </c>
      <c r="CI518" t="s">
        <v>173</v>
      </c>
      <c r="CK518" t="s">
        <v>259</v>
      </c>
      <c r="CM518">
        <v>1</v>
      </c>
      <c r="CN518" t="s">
        <v>260</v>
      </c>
      <c r="CP518">
        <v>259</v>
      </c>
      <c r="CQ518">
        <v>4.3</v>
      </c>
      <c r="CR518">
        <v>35</v>
      </c>
      <c r="CS518" t="s">
        <v>261</v>
      </c>
      <c r="CV518" t="s">
        <v>262</v>
      </c>
      <c r="CX518" t="s">
        <v>263</v>
      </c>
      <c r="CY518" t="s">
        <v>173</v>
      </c>
      <c r="DC518" t="s">
        <v>854</v>
      </c>
      <c r="DD518">
        <v>2</v>
      </c>
      <c r="DE518" t="s">
        <v>307</v>
      </c>
      <c r="DF518" t="s">
        <v>855</v>
      </c>
      <c r="DG518" t="s">
        <v>1258</v>
      </c>
      <c r="DJ518" t="s">
        <v>250</v>
      </c>
      <c r="DK518" t="s">
        <v>251</v>
      </c>
      <c r="DL518" t="s">
        <v>173</v>
      </c>
      <c r="DM518" t="s">
        <v>173</v>
      </c>
      <c r="DN518" t="s">
        <v>173</v>
      </c>
      <c r="DO518" t="s">
        <v>856</v>
      </c>
      <c r="DP518" t="s">
        <v>172</v>
      </c>
      <c r="DQ518" t="s">
        <v>204</v>
      </c>
      <c r="DR518" t="s">
        <v>509</v>
      </c>
      <c r="EA518" s="117"/>
      <c r="EB518">
        <v>7</v>
      </c>
      <c r="EC518">
        <v>7</v>
      </c>
      <c r="EE518" t="s">
        <v>857</v>
      </c>
      <c r="EF518">
        <v>6</v>
      </c>
      <c r="EU518">
        <v>1500</v>
      </c>
      <c r="EW518">
        <v>237</v>
      </c>
      <c r="EX518">
        <v>258</v>
      </c>
      <c r="EY518">
        <v>246</v>
      </c>
    </row>
    <row r="519" spans="1:155" x14ac:dyDescent="0.35">
      <c r="A519">
        <v>2026</v>
      </c>
      <c r="B519" t="s">
        <v>242</v>
      </c>
      <c r="C519" s="112" t="s">
        <v>239</v>
      </c>
      <c r="D519" t="s">
        <v>1319</v>
      </c>
      <c r="E519" t="s">
        <v>245</v>
      </c>
      <c r="F519">
        <v>82</v>
      </c>
      <c r="G519" s="113">
        <v>2.4</v>
      </c>
      <c r="H519">
        <v>4</v>
      </c>
      <c r="I519" t="s">
        <v>195</v>
      </c>
      <c r="J519">
        <v>21</v>
      </c>
      <c r="K519">
        <v>28</v>
      </c>
      <c r="L519">
        <v>24</v>
      </c>
      <c r="M519">
        <v>27.4</v>
      </c>
      <c r="N519">
        <v>40</v>
      </c>
      <c r="O519">
        <v>31.9254</v>
      </c>
      <c r="P519">
        <v>21</v>
      </c>
      <c r="Q519">
        <v>28.1266</v>
      </c>
      <c r="R519">
        <v>24.075600000000001</v>
      </c>
      <c r="T519" t="s">
        <v>168</v>
      </c>
      <c r="U519" t="s">
        <v>169</v>
      </c>
      <c r="V519" t="s">
        <v>196</v>
      </c>
      <c r="W519" t="s">
        <v>197</v>
      </c>
      <c r="Y519">
        <v>8</v>
      </c>
      <c r="Z519" t="s">
        <v>172</v>
      </c>
      <c r="AA519" t="s">
        <v>173</v>
      </c>
      <c r="AB519" t="s">
        <v>277</v>
      </c>
      <c r="AC519" t="s">
        <v>278</v>
      </c>
      <c r="AD519">
        <v>15</v>
      </c>
      <c r="AG519" t="s">
        <v>167</v>
      </c>
      <c r="AH519" t="s">
        <v>416</v>
      </c>
      <c r="AI519" t="s">
        <v>178</v>
      </c>
      <c r="AJ519" t="s">
        <v>179</v>
      </c>
      <c r="AK519" t="s">
        <v>664</v>
      </c>
      <c r="AL519" t="s">
        <v>665</v>
      </c>
      <c r="AS519">
        <v>2050</v>
      </c>
      <c r="AT519">
        <v>2050</v>
      </c>
      <c r="BN519" s="114" t="s">
        <v>247</v>
      </c>
      <c r="BO519">
        <v>2</v>
      </c>
      <c r="BP519">
        <v>2</v>
      </c>
      <c r="BQ519">
        <v>32</v>
      </c>
      <c r="BR519" t="s">
        <v>1035</v>
      </c>
      <c r="BT519" t="s">
        <v>183</v>
      </c>
      <c r="BU519" s="115">
        <v>45903</v>
      </c>
      <c r="BV519">
        <v>37019</v>
      </c>
      <c r="BW519" s="116"/>
      <c r="BX519" t="s">
        <v>172</v>
      </c>
      <c r="BY519" t="s">
        <v>173</v>
      </c>
      <c r="CB519" t="s">
        <v>173</v>
      </c>
      <c r="CC519" t="s">
        <v>173</v>
      </c>
      <c r="CD519" t="s">
        <v>1320</v>
      </c>
      <c r="CE519" t="s">
        <v>173</v>
      </c>
      <c r="CG519" t="s">
        <v>172</v>
      </c>
      <c r="CH519" t="s">
        <v>249</v>
      </c>
      <c r="CI519" t="s">
        <v>173</v>
      </c>
      <c r="DJ519" t="s">
        <v>250</v>
      </c>
      <c r="DK519" t="s">
        <v>251</v>
      </c>
      <c r="DN519" t="s">
        <v>173</v>
      </c>
      <c r="DO519" t="s">
        <v>284</v>
      </c>
      <c r="DP519" t="s">
        <v>172</v>
      </c>
      <c r="DQ519" t="s">
        <v>204</v>
      </c>
      <c r="EA519" s="117"/>
      <c r="EB519">
        <v>5</v>
      </c>
      <c r="EC519">
        <v>5</v>
      </c>
      <c r="EE519" t="s">
        <v>975</v>
      </c>
      <c r="EF519">
        <v>6</v>
      </c>
      <c r="EV519">
        <v>1750</v>
      </c>
      <c r="EW519">
        <v>419</v>
      </c>
      <c r="EX519">
        <v>313</v>
      </c>
      <c r="EY519">
        <v>371</v>
      </c>
    </row>
    <row r="520" spans="1:155" x14ac:dyDescent="0.35">
      <c r="A520">
        <v>2026</v>
      </c>
      <c r="B520" t="s">
        <v>242</v>
      </c>
      <c r="C520" s="112" t="s">
        <v>239</v>
      </c>
      <c r="D520" t="s">
        <v>1321</v>
      </c>
      <c r="E520" t="s">
        <v>245</v>
      </c>
      <c r="F520">
        <v>84</v>
      </c>
      <c r="G520" s="113">
        <v>2.4</v>
      </c>
      <c r="H520">
        <v>4</v>
      </c>
      <c r="I520" t="s">
        <v>195</v>
      </c>
      <c r="J520">
        <v>21</v>
      </c>
      <c r="K520">
        <v>28</v>
      </c>
      <c r="L520">
        <v>24</v>
      </c>
      <c r="M520">
        <v>27.3</v>
      </c>
      <c r="N520">
        <v>40.200000000000003</v>
      </c>
      <c r="O520">
        <v>31.907499999999999</v>
      </c>
      <c r="P520">
        <v>21.465900000000001</v>
      </c>
      <c r="Q520">
        <v>28.2546</v>
      </c>
      <c r="R520">
        <v>24.068200000000001</v>
      </c>
      <c r="T520" t="s">
        <v>168</v>
      </c>
      <c r="U520" t="s">
        <v>169</v>
      </c>
      <c r="V520" t="s">
        <v>196</v>
      </c>
      <c r="W520" t="s">
        <v>197</v>
      </c>
      <c r="Y520">
        <v>8</v>
      </c>
      <c r="Z520" t="s">
        <v>172</v>
      </c>
      <c r="AA520" t="s">
        <v>173</v>
      </c>
      <c r="AB520" t="s">
        <v>277</v>
      </c>
      <c r="AC520" t="s">
        <v>278</v>
      </c>
      <c r="AD520">
        <v>15</v>
      </c>
      <c r="AG520" t="s">
        <v>167</v>
      </c>
      <c r="AH520" t="s">
        <v>416</v>
      </c>
      <c r="AI520" t="s">
        <v>178</v>
      </c>
      <c r="AJ520" t="s">
        <v>179</v>
      </c>
      <c r="AK520" t="s">
        <v>664</v>
      </c>
      <c r="AL520" t="s">
        <v>665</v>
      </c>
      <c r="AS520">
        <v>2050</v>
      </c>
      <c r="AT520">
        <v>2050</v>
      </c>
      <c r="BN520" s="114" t="s">
        <v>247</v>
      </c>
      <c r="BO520">
        <v>2</v>
      </c>
      <c r="BP520">
        <v>2</v>
      </c>
      <c r="BQ520">
        <v>32</v>
      </c>
      <c r="BR520" t="s">
        <v>1035</v>
      </c>
      <c r="BT520" t="s">
        <v>183</v>
      </c>
      <c r="BU520" s="115">
        <v>45903</v>
      </c>
      <c r="BV520">
        <v>37021</v>
      </c>
      <c r="BW520" s="116"/>
      <c r="BX520" t="s">
        <v>172</v>
      </c>
      <c r="BY520" t="s">
        <v>173</v>
      </c>
      <c r="CB520" t="s">
        <v>173</v>
      </c>
      <c r="CC520" t="s">
        <v>173</v>
      </c>
      <c r="CD520" t="s">
        <v>1320</v>
      </c>
      <c r="CE520" t="s">
        <v>173</v>
      </c>
      <c r="CG520" t="s">
        <v>172</v>
      </c>
      <c r="CH520" t="s">
        <v>249</v>
      </c>
      <c r="CI520" t="s">
        <v>173</v>
      </c>
      <c r="DJ520" t="s">
        <v>250</v>
      </c>
      <c r="DK520" t="s">
        <v>251</v>
      </c>
      <c r="DN520" t="s">
        <v>173</v>
      </c>
      <c r="DO520" t="s">
        <v>284</v>
      </c>
      <c r="DP520" t="s">
        <v>172</v>
      </c>
      <c r="DQ520" t="s">
        <v>204</v>
      </c>
      <c r="EA520" s="117"/>
      <c r="EB520">
        <v>5</v>
      </c>
      <c r="EC520">
        <v>5</v>
      </c>
      <c r="EE520" t="s">
        <v>975</v>
      </c>
      <c r="EF520">
        <v>6</v>
      </c>
      <c r="EV520">
        <v>1750</v>
      </c>
      <c r="EW520">
        <v>410</v>
      </c>
      <c r="EX520">
        <v>312</v>
      </c>
      <c r="EY520">
        <v>366</v>
      </c>
    </row>
    <row r="521" spans="1:155" x14ac:dyDescent="0.35">
      <c r="A521">
        <v>2026</v>
      </c>
      <c r="B521" t="s">
        <v>242</v>
      </c>
      <c r="C521" s="112" t="s">
        <v>239</v>
      </c>
      <c r="D521" t="s">
        <v>1060</v>
      </c>
      <c r="E521" t="s">
        <v>245</v>
      </c>
      <c r="F521">
        <v>21</v>
      </c>
      <c r="G521" s="113">
        <v>3.4</v>
      </c>
      <c r="H521">
        <v>6</v>
      </c>
      <c r="I521" t="s">
        <v>246</v>
      </c>
      <c r="J521">
        <v>21</v>
      </c>
      <c r="K521">
        <v>24</v>
      </c>
      <c r="L521">
        <v>22</v>
      </c>
      <c r="M521">
        <v>26.8</v>
      </c>
      <c r="N521">
        <v>33.799999999999997</v>
      </c>
      <c r="O521">
        <v>29.554300000000001</v>
      </c>
      <c r="P521">
        <v>21.1067</v>
      </c>
      <c r="Q521">
        <v>24.1023</v>
      </c>
      <c r="R521">
        <v>22.357099999999999</v>
      </c>
      <c r="T521" t="s">
        <v>168</v>
      </c>
      <c r="U521" t="s">
        <v>169</v>
      </c>
      <c r="V521" t="s">
        <v>196</v>
      </c>
      <c r="W521" t="s">
        <v>197</v>
      </c>
      <c r="Y521">
        <v>10</v>
      </c>
      <c r="Z521" t="s">
        <v>172</v>
      </c>
      <c r="AA521" t="s">
        <v>173</v>
      </c>
      <c r="AB521" t="s">
        <v>174</v>
      </c>
      <c r="AC521" t="s">
        <v>175</v>
      </c>
      <c r="AD521">
        <v>15</v>
      </c>
      <c r="AG521" t="s">
        <v>167</v>
      </c>
      <c r="AH521" t="s">
        <v>416</v>
      </c>
      <c r="AI521" t="s">
        <v>178</v>
      </c>
      <c r="AJ521" t="s">
        <v>179</v>
      </c>
      <c r="AK521" t="s">
        <v>664</v>
      </c>
      <c r="AL521" t="s">
        <v>665</v>
      </c>
      <c r="AS521">
        <v>2250</v>
      </c>
      <c r="AT521">
        <v>2250</v>
      </c>
      <c r="BN521" s="114" t="s">
        <v>505</v>
      </c>
      <c r="BO521">
        <v>2</v>
      </c>
      <c r="BP521">
        <v>2</v>
      </c>
      <c r="BQ521">
        <v>32</v>
      </c>
      <c r="BR521" t="s">
        <v>1035</v>
      </c>
      <c r="BT521" t="s">
        <v>183</v>
      </c>
      <c r="BU521" s="115">
        <v>45875</v>
      </c>
      <c r="BV521">
        <v>36982</v>
      </c>
      <c r="BW521" s="116"/>
      <c r="BX521" t="s">
        <v>173</v>
      </c>
      <c r="BY521" t="s">
        <v>173</v>
      </c>
      <c r="CB521" t="s">
        <v>173</v>
      </c>
      <c r="CC521" t="s">
        <v>173</v>
      </c>
      <c r="CD521" t="s">
        <v>701</v>
      </c>
      <c r="CE521" t="s">
        <v>173</v>
      </c>
      <c r="CG521" t="s">
        <v>172</v>
      </c>
      <c r="CH521" t="s">
        <v>249</v>
      </c>
      <c r="CI521" t="s">
        <v>173</v>
      </c>
      <c r="CK521" t="s">
        <v>259</v>
      </c>
      <c r="CM521">
        <v>1</v>
      </c>
      <c r="CN521" t="s">
        <v>515</v>
      </c>
      <c r="CP521">
        <v>288</v>
      </c>
      <c r="CQ521">
        <v>6.5</v>
      </c>
      <c r="CR521">
        <v>33</v>
      </c>
      <c r="CS521" t="s">
        <v>261</v>
      </c>
      <c r="CV521" t="s">
        <v>262</v>
      </c>
      <c r="CX521" t="s">
        <v>702</v>
      </c>
      <c r="CY521" t="s">
        <v>173</v>
      </c>
      <c r="DC521" t="s">
        <v>703</v>
      </c>
      <c r="DD521">
        <v>1</v>
      </c>
      <c r="DE521" t="s">
        <v>307</v>
      </c>
      <c r="DF521" t="s">
        <v>507</v>
      </c>
      <c r="DG521">
        <v>36</v>
      </c>
      <c r="DJ521" t="s">
        <v>250</v>
      </c>
      <c r="DK521" t="s">
        <v>251</v>
      </c>
      <c r="DL521" t="s">
        <v>173</v>
      </c>
      <c r="DM521" t="s">
        <v>173</v>
      </c>
      <c r="DN521" t="s">
        <v>173</v>
      </c>
      <c r="DO521" t="s">
        <v>284</v>
      </c>
      <c r="DP521" t="s">
        <v>172</v>
      </c>
      <c r="DQ521" t="s">
        <v>204</v>
      </c>
      <c r="DR521" t="s">
        <v>509</v>
      </c>
      <c r="EA521" s="117"/>
      <c r="EB521">
        <v>4</v>
      </c>
      <c r="EC521">
        <v>4</v>
      </c>
      <c r="EE521" t="s">
        <v>704</v>
      </c>
      <c r="EF521">
        <v>4</v>
      </c>
      <c r="EV521">
        <v>2750</v>
      </c>
      <c r="EW521">
        <v>418</v>
      </c>
      <c r="EX521">
        <v>366</v>
      </c>
      <c r="EY521">
        <v>395</v>
      </c>
    </row>
    <row r="522" spans="1:155" x14ac:dyDescent="0.35">
      <c r="A522">
        <v>2026</v>
      </c>
      <c r="B522" t="s">
        <v>242</v>
      </c>
      <c r="C522" s="112" t="s">
        <v>239</v>
      </c>
      <c r="D522" t="s">
        <v>1060</v>
      </c>
      <c r="E522" t="s">
        <v>245</v>
      </c>
      <c r="F522">
        <v>208</v>
      </c>
      <c r="G522" s="113">
        <v>3.4</v>
      </c>
      <c r="H522">
        <v>6</v>
      </c>
      <c r="I522" t="s">
        <v>246</v>
      </c>
      <c r="J522">
        <v>21</v>
      </c>
      <c r="K522">
        <v>24</v>
      </c>
      <c r="L522">
        <v>22</v>
      </c>
      <c r="M522">
        <v>26.8</v>
      </c>
      <c r="N522">
        <v>33.799999999999997</v>
      </c>
      <c r="O522">
        <v>29.554300000000001</v>
      </c>
      <c r="P522">
        <v>21.1067</v>
      </c>
      <c r="Q522">
        <v>24.1023</v>
      </c>
      <c r="R522">
        <v>22.357099999999999</v>
      </c>
      <c r="T522" t="s">
        <v>168</v>
      </c>
      <c r="U522" t="s">
        <v>169</v>
      </c>
      <c r="V522" t="s">
        <v>196</v>
      </c>
      <c r="W522" t="s">
        <v>197</v>
      </c>
      <c r="Y522">
        <v>10</v>
      </c>
      <c r="Z522" t="s">
        <v>172</v>
      </c>
      <c r="AA522" t="s">
        <v>173</v>
      </c>
      <c r="AB522" t="s">
        <v>174</v>
      </c>
      <c r="AC522" t="s">
        <v>175</v>
      </c>
      <c r="AD522">
        <v>15</v>
      </c>
      <c r="AG522" t="s">
        <v>216</v>
      </c>
      <c r="AH522" t="s">
        <v>217</v>
      </c>
      <c r="AI522" t="s">
        <v>178</v>
      </c>
      <c r="AJ522" t="s">
        <v>179</v>
      </c>
      <c r="AK522" t="s">
        <v>664</v>
      </c>
      <c r="AL522" t="s">
        <v>665</v>
      </c>
      <c r="AS522">
        <v>2850</v>
      </c>
      <c r="AT522">
        <v>2850</v>
      </c>
      <c r="BN522" s="114" t="s">
        <v>505</v>
      </c>
      <c r="BO522">
        <v>2</v>
      </c>
      <c r="BP522">
        <v>2</v>
      </c>
      <c r="BQ522">
        <v>32</v>
      </c>
      <c r="BR522" t="s">
        <v>1035</v>
      </c>
      <c r="BT522" t="s">
        <v>183</v>
      </c>
      <c r="BU522" s="115">
        <v>45875</v>
      </c>
      <c r="BV522">
        <v>37029</v>
      </c>
      <c r="BW522" s="116"/>
      <c r="BX522" t="s">
        <v>173</v>
      </c>
      <c r="BY522" t="s">
        <v>173</v>
      </c>
      <c r="CB522" t="s">
        <v>173</v>
      </c>
      <c r="CC522" t="s">
        <v>173</v>
      </c>
      <c r="CD522" t="s">
        <v>706</v>
      </c>
      <c r="CE522" t="s">
        <v>173</v>
      </c>
      <c r="CG522" t="s">
        <v>172</v>
      </c>
      <c r="CH522" t="s">
        <v>249</v>
      </c>
      <c r="CI522" t="s">
        <v>173</v>
      </c>
      <c r="CK522" t="s">
        <v>259</v>
      </c>
      <c r="CM522">
        <v>1</v>
      </c>
      <c r="CN522" t="s">
        <v>515</v>
      </c>
      <c r="CP522">
        <v>288</v>
      </c>
      <c r="CQ522">
        <v>6.5</v>
      </c>
      <c r="CR522">
        <v>33</v>
      </c>
      <c r="CS522" t="s">
        <v>261</v>
      </c>
      <c r="CV522" t="s">
        <v>262</v>
      </c>
      <c r="CX522" t="s">
        <v>702</v>
      </c>
      <c r="CY522" t="s">
        <v>173</v>
      </c>
      <c r="DC522" t="s">
        <v>703</v>
      </c>
      <c r="DD522">
        <v>1</v>
      </c>
      <c r="DE522" t="s">
        <v>307</v>
      </c>
      <c r="DF522" t="s">
        <v>507</v>
      </c>
      <c r="DG522">
        <v>36</v>
      </c>
      <c r="DJ522" t="s">
        <v>250</v>
      </c>
      <c r="DK522" t="s">
        <v>251</v>
      </c>
      <c r="DL522" t="s">
        <v>173</v>
      </c>
      <c r="DM522" t="s">
        <v>173</v>
      </c>
      <c r="DN522" t="s">
        <v>173</v>
      </c>
      <c r="DO522" t="s">
        <v>284</v>
      </c>
      <c r="DP522" t="s">
        <v>172</v>
      </c>
      <c r="DQ522" t="s">
        <v>204</v>
      </c>
      <c r="DR522" t="s">
        <v>707</v>
      </c>
      <c r="EA522" s="117"/>
      <c r="EB522">
        <v>4</v>
      </c>
      <c r="EC522">
        <v>4</v>
      </c>
      <c r="EE522" t="s">
        <v>704</v>
      </c>
      <c r="EF522">
        <v>4</v>
      </c>
      <c r="EV522">
        <v>5750</v>
      </c>
      <c r="EW522">
        <v>418</v>
      </c>
      <c r="EX522">
        <v>366</v>
      </c>
      <c r="EY522">
        <v>395</v>
      </c>
    </row>
    <row r="523" spans="1:155" x14ac:dyDescent="0.35">
      <c r="A523">
        <v>2026</v>
      </c>
      <c r="B523" t="s">
        <v>481</v>
      </c>
      <c r="C523" s="112" t="s">
        <v>534</v>
      </c>
      <c r="D523" t="s">
        <v>1061</v>
      </c>
      <c r="E523" t="s">
        <v>483</v>
      </c>
      <c r="F523">
        <v>506</v>
      </c>
      <c r="G523" s="113">
        <v>3</v>
      </c>
      <c r="H523">
        <v>6</v>
      </c>
      <c r="I523" t="s">
        <v>246</v>
      </c>
      <c r="J523">
        <v>17</v>
      </c>
      <c r="K523">
        <v>21</v>
      </c>
      <c r="L523">
        <v>19</v>
      </c>
      <c r="M523">
        <v>22.7</v>
      </c>
      <c r="N523">
        <v>32.1</v>
      </c>
      <c r="O523">
        <v>26.145299999999999</v>
      </c>
      <c r="P523">
        <v>17</v>
      </c>
      <c r="Q523">
        <v>21.488299999999999</v>
      </c>
      <c r="R523">
        <v>19.493200000000002</v>
      </c>
      <c r="T523" t="s">
        <v>168</v>
      </c>
      <c r="U523" t="s">
        <v>169</v>
      </c>
      <c r="V523" t="s">
        <v>196</v>
      </c>
      <c r="W523" t="s">
        <v>197</v>
      </c>
      <c r="Y523">
        <v>10</v>
      </c>
      <c r="Z523" t="s">
        <v>172</v>
      </c>
      <c r="AA523" t="s">
        <v>173</v>
      </c>
      <c r="AB523" t="s">
        <v>170</v>
      </c>
      <c r="AC523" t="s">
        <v>232</v>
      </c>
      <c r="AD523">
        <v>10</v>
      </c>
      <c r="AG523" t="s">
        <v>176</v>
      </c>
      <c r="AH523" t="s">
        <v>177</v>
      </c>
      <c r="AI523" t="s">
        <v>178</v>
      </c>
      <c r="AJ523" t="s">
        <v>179</v>
      </c>
      <c r="AK523" t="s">
        <v>664</v>
      </c>
      <c r="AL523" t="s">
        <v>665</v>
      </c>
      <c r="AS523">
        <v>3300</v>
      </c>
      <c r="AT523">
        <v>3300</v>
      </c>
      <c r="BN523" s="114" t="s">
        <v>198</v>
      </c>
      <c r="BO523">
        <v>2</v>
      </c>
      <c r="BP523">
        <v>2</v>
      </c>
      <c r="BQ523">
        <v>33</v>
      </c>
      <c r="BR523" t="s">
        <v>1062</v>
      </c>
      <c r="BT523" t="s">
        <v>613</v>
      </c>
      <c r="BU523" s="115">
        <v>45798</v>
      </c>
      <c r="BV523">
        <v>36596</v>
      </c>
      <c r="BW523" s="116"/>
      <c r="BX523" t="s">
        <v>173</v>
      </c>
      <c r="BY523" t="s">
        <v>173</v>
      </c>
      <c r="CB523" t="s">
        <v>173</v>
      </c>
      <c r="CC523" t="s">
        <v>173</v>
      </c>
      <c r="CE523" t="s">
        <v>172</v>
      </c>
      <c r="CF523" t="s">
        <v>799</v>
      </c>
      <c r="CG523" t="s">
        <v>172</v>
      </c>
      <c r="CH523" t="s">
        <v>1063</v>
      </c>
      <c r="CI523" t="s">
        <v>173</v>
      </c>
      <c r="DJ523" t="s">
        <v>201</v>
      </c>
      <c r="DK523" t="s">
        <v>202</v>
      </c>
      <c r="DL523" t="s">
        <v>173</v>
      </c>
      <c r="DM523" t="s">
        <v>173</v>
      </c>
      <c r="DN523" t="s">
        <v>173</v>
      </c>
      <c r="DO523" t="s">
        <v>284</v>
      </c>
      <c r="DP523" t="s">
        <v>172</v>
      </c>
      <c r="DQ523" t="s">
        <v>204</v>
      </c>
      <c r="EA523" s="117"/>
      <c r="EB523">
        <v>4</v>
      </c>
      <c r="EC523">
        <v>4</v>
      </c>
      <c r="EE523" t="s">
        <v>1064</v>
      </c>
      <c r="EF523">
        <v>4</v>
      </c>
      <c r="EV523">
        <v>8000</v>
      </c>
      <c r="EW523">
        <v>523</v>
      </c>
      <c r="EX523">
        <v>414</v>
      </c>
      <c r="EY523">
        <v>474</v>
      </c>
    </row>
    <row r="524" spans="1:155" x14ac:dyDescent="0.35">
      <c r="A524">
        <v>2026</v>
      </c>
      <c r="B524" t="s">
        <v>162</v>
      </c>
      <c r="C524" s="112" t="s">
        <v>163</v>
      </c>
      <c r="D524" t="s">
        <v>1322</v>
      </c>
      <c r="E524" t="s">
        <v>165</v>
      </c>
      <c r="F524">
        <v>3</v>
      </c>
      <c r="G524" s="113">
        <v>4</v>
      </c>
      <c r="H524">
        <v>8</v>
      </c>
      <c r="I524" t="s">
        <v>231</v>
      </c>
      <c r="J524">
        <v>15</v>
      </c>
      <c r="K524">
        <v>20</v>
      </c>
      <c r="L524">
        <v>17</v>
      </c>
      <c r="M524">
        <v>18.469200000000001</v>
      </c>
      <c r="N524">
        <v>27.187100000000001</v>
      </c>
      <c r="O524">
        <v>21.5837</v>
      </c>
      <c r="P524">
        <v>14.946899999999999</v>
      </c>
      <c r="Q524">
        <v>19.6829</v>
      </c>
      <c r="R524">
        <v>16.761800000000001</v>
      </c>
      <c r="T524" t="s">
        <v>168</v>
      </c>
      <c r="U524" t="s">
        <v>169</v>
      </c>
      <c r="V524" t="s">
        <v>170</v>
      </c>
      <c r="W524" t="s">
        <v>171</v>
      </c>
      <c r="Y524">
        <v>9</v>
      </c>
      <c r="Z524" t="s">
        <v>172</v>
      </c>
      <c r="AA524" t="s">
        <v>173</v>
      </c>
      <c r="AB524">
        <v>4</v>
      </c>
      <c r="AC524" t="s">
        <v>423</v>
      </c>
      <c r="AD524">
        <v>10</v>
      </c>
      <c r="AG524" t="s">
        <v>176</v>
      </c>
      <c r="AH524" t="s">
        <v>177</v>
      </c>
      <c r="AI524" t="s">
        <v>178</v>
      </c>
      <c r="AJ524" t="s">
        <v>179</v>
      </c>
      <c r="AK524" t="s">
        <v>664</v>
      </c>
      <c r="AL524" t="s">
        <v>665</v>
      </c>
      <c r="AQ524">
        <v>105</v>
      </c>
      <c r="AR524">
        <v>29</v>
      </c>
      <c r="AS524">
        <v>3650</v>
      </c>
      <c r="AT524">
        <v>3650</v>
      </c>
      <c r="BN524" s="114" t="s">
        <v>198</v>
      </c>
      <c r="BO524">
        <v>2</v>
      </c>
      <c r="BP524">
        <v>2</v>
      </c>
      <c r="BQ524">
        <v>33</v>
      </c>
      <c r="BR524" t="s">
        <v>1062</v>
      </c>
      <c r="BT524" t="s">
        <v>183</v>
      </c>
      <c r="BU524" s="115">
        <v>45814</v>
      </c>
      <c r="BV524">
        <v>37421</v>
      </c>
      <c r="BW524" s="116"/>
      <c r="BX524" t="s">
        <v>173</v>
      </c>
      <c r="BY524" t="s">
        <v>173</v>
      </c>
      <c r="CB524" t="s">
        <v>173</v>
      </c>
      <c r="CC524" t="s">
        <v>173</v>
      </c>
      <c r="CD524" t="s">
        <v>1323</v>
      </c>
      <c r="CE524" t="s">
        <v>172</v>
      </c>
      <c r="CF524" t="s">
        <v>1324</v>
      </c>
      <c r="CG524" t="s">
        <v>172</v>
      </c>
      <c r="CH524" t="s">
        <v>185</v>
      </c>
      <c r="CI524" t="s">
        <v>173</v>
      </c>
      <c r="DJ524" t="s">
        <v>201</v>
      </c>
      <c r="DK524" t="s">
        <v>202</v>
      </c>
      <c r="DL524" t="s">
        <v>173</v>
      </c>
      <c r="DN524" t="s">
        <v>173</v>
      </c>
      <c r="DO524" t="s">
        <v>188</v>
      </c>
      <c r="DP524" t="s">
        <v>173</v>
      </c>
      <c r="DQ524" t="s">
        <v>189</v>
      </c>
      <c r="DR524" t="s">
        <v>1322</v>
      </c>
      <c r="EA524" s="117"/>
      <c r="EB524">
        <v>3</v>
      </c>
      <c r="EC524">
        <v>3</v>
      </c>
      <c r="EE524" t="s">
        <v>1138</v>
      </c>
      <c r="EF524">
        <v>4</v>
      </c>
      <c r="EV524">
        <v>9750</v>
      </c>
      <c r="EW524">
        <v>602</v>
      </c>
      <c r="EX524">
        <v>457</v>
      </c>
      <c r="EY524">
        <v>537</v>
      </c>
    </row>
    <row r="525" spans="1:155" x14ac:dyDescent="0.35">
      <c r="A525">
        <v>2026</v>
      </c>
      <c r="B525" t="s">
        <v>162</v>
      </c>
      <c r="C525" s="112" t="s">
        <v>163</v>
      </c>
      <c r="D525" t="s">
        <v>1325</v>
      </c>
      <c r="E525" t="s">
        <v>165</v>
      </c>
      <c r="F525">
        <v>4</v>
      </c>
      <c r="G525" s="113">
        <v>4</v>
      </c>
      <c r="H525">
        <v>8</v>
      </c>
      <c r="I525" t="s">
        <v>231</v>
      </c>
      <c r="J525">
        <v>14</v>
      </c>
      <c r="K525">
        <v>19</v>
      </c>
      <c r="L525">
        <v>16</v>
      </c>
      <c r="M525">
        <v>17.635999999999999</v>
      </c>
      <c r="N525">
        <v>26.897500000000001</v>
      </c>
      <c r="O525">
        <v>20.869700000000002</v>
      </c>
      <c r="P525">
        <v>14.311999999999999</v>
      </c>
      <c r="Q525">
        <v>19.4863</v>
      </c>
      <c r="R525">
        <v>16.253399999999999</v>
      </c>
      <c r="T525" t="s">
        <v>168</v>
      </c>
      <c r="U525" t="s">
        <v>169</v>
      </c>
      <c r="V525" t="s">
        <v>170</v>
      </c>
      <c r="W525" t="s">
        <v>171</v>
      </c>
      <c r="Y525">
        <v>9</v>
      </c>
      <c r="Z525" t="s">
        <v>172</v>
      </c>
      <c r="AA525" t="s">
        <v>173</v>
      </c>
      <c r="AB525">
        <v>4</v>
      </c>
      <c r="AC525" t="s">
        <v>423</v>
      </c>
      <c r="AD525">
        <v>10</v>
      </c>
      <c r="AG525" t="s">
        <v>176</v>
      </c>
      <c r="AH525" t="s">
        <v>177</v>
      </c>
      <c r="AI525" t="s">
        <v>178</v>
      </c>
      <c r="AJ525" t="s">
        <v>179</v>
      </c>
      <c r="AK525" t="s">
        <v>664</v>
      </c>
      <c r="AL525" t="s">
        <v>665</v>
      </c>
      <c r="AQ525">
        <v>105</v>
      </c>
      <c r="AR525">
        <v>29</v>
      </c>
      <c r="AS525">
        <v>3900</v>
      </c>
      <c r="AT525">
        <v>3900</v>
      </c>
      <c r="BN525" s="114" t="s">
        <v>198</v>
      </c>
      <c r="BO525">
        <v>2</v>
      </c>
      <c r="BP525">
        <v>2</v>
      </c>
      <c r="BQ525">
        <v>33</v>
      </c>
      <c r="BR525" t="s">
        <v>1062</v>
      </c>
      <c r="BT525" t="s">
        <v>183</v>
      </c>
      <c r="BU525" s="115">
        <v>45845</v>
      </c>
      <c r="BV525">
        <v>37498</v>
      </c>
      <c r="BW525" s="116"/>
      <c r="BX525" t="s">
        <v>173</v>
      </c>
      <c r="BY525" t="s">
        <v>173</v>
      </c>
      <c r="CB525" t="s">
        <v>173</v>
      </c>
      <c r="CC525" t="s">
        <v>173</v>
      </c>
      <c r="CE525" t="s">
        <v>172</v>
      </c>
      <c r="CF525" t="s">
        <v>1324</v>
      </c>
      <c r="CG525" t="s">
        <v>172</v>
      </c>
      <c r="CH525" t="s">
        <v>185</v>
      </c>
      <c r="CI525" t="s">
        <v>173</v>
      </c>
      <c r="DJ525" t="s">
        <v>201</v>
      </c>
      <c r="DK525" t="s">
        <v>202</v>
      </c>
      <c r="DL525" t="s">
        <v>173</v>
      </c>
      <c r="DN525" t="s">
        <v>173</v>
      </c>
      <c r="DO525" t="s">
        <v>188</v>
      </c>
      <c r="DP525" t="s">
        <v>173</v>
      </c>
      <c r="DQ525" t="s">
        <v>189</v>
      </c>
      <c r="DR525" t="s">
        <v>1325</v>
      </c>
      <c r="EA525" s="117"/>
      <c r="EB525">
        <v>3</v>
      </c>
      <c r="EC525">
        <v>3</v>
      </c>
      <c r="EE525" t="s">
        <v>1138</v>
      </c>
      <c r="EF525">
        <v>4</v>
      </c>
      <c r="EV525">
        <v>11000</v>
      </c>
      <c r="EW525">
        <v>620</v>
      </c>
      <c r="EX525">
        <v>456</v>
      </c>
      <c r="EY525">
        <v>546</v>
      </c>
    </row>
    <row r="526" spans="1:155" x14ac:dyDescent="0.35">
      <c r="A526">
        <v>2026</v>
      </c>
      <c r="B526" t="s">
        <v>444</v>
      </c>
      <c r="C526" s="112" t="s">
        <v>458</v>
      </c>
      <c r="D526" t="s">
        <v>1326</v>
      </c>
      <c r="E526" t="s">
        <v>447</v>
      </c>
      <c r="F526">
        <v>1</v>
      </c>
      <c r="G526" s="113">
        <v>2</v>
      </c>
      <c r="H526">
        <v>4</v>
      </c>
      <c r="I526" t="s">
        <v>195</v>
      </c>
      <c r="J526">
        <v>20</v>
      </c>
      <c r="K526">
        <v>26</v>
      </c>
      <c r="L526">
        <v>22</v>
      </c>
      <c r="M526">
        <v>24.8</v>
      </c>
      <c r="N526">
        <v>36.200000000000003</v>
      </c>
      <c r="O526">
        <v>28.8948</v>
      </c>
      <c r="P526">
        <v>19.658300000000001</v>
      </c>
      <c r="Q526">
        <v>25.673500000000001</v>
      </c>
      <c r="R526">
        <v>21.975200000000001</v>
      </c>
      <c r="T526" t="s">
        <v>168</v>
      </c>
      <c r="U526" t="s">
        <v>169</v>
      </c>
      <c r="V526" t="s">
        <v>196</v>
      </c>
      <c r="W526" t="s">
        <v>197</v>
      </c>
      <c r="Y526">
        <v>8</v>
      </c>
      <c r="Z526" t="s">
        <v>172</v>
      </c>
      <c r="AA526" t="s">
        <v>173</v>
      </c>
      <c r="AB526" t="s">
        <v>170</v>
      </c>
      <c r="AC526" t="s">
        <v>232</v>
      </c>
      <c r="AD526">
        <v>15</v>
      </c>
      <c r="AG526" t="s">
        <v>176</v>
      </c>
      <c r="AH526" t="s">
        <v>177</v>
      </c>
      <c r="AI526" t="s">
        <v>178</v>
      </c>
      <c r="AJ526" t="s">
        <v>179</v>
      </c>
      <c r="AK526" t="s">
        <v>664</v>
      </c>
      <c r="AL526" t="s">
        <v>665</v>
      </c>
      <c r="AS526">
        <v>2850</v>
      </c>
      <c r="AT526">
        <v>2850</v>
      </c>
      <c r="BN526" s="114" t="s">
        <v>198</v>
      </c>
      <c r="BO526">
        <v>2</v>
      </c>
      <c r="BP526">
        <v>2</v>
      </c>
      <c r="BQ526">
        <v>33</v>
      </c>
      <c r="BR526" t="s">
        <v>1062</v>
      </c>
      <c r="BT526" t="s">
        <v>183</v>
      </c>
      <c r="BU526" s="115">
        <v>45911</v>
      </c>
      <c r="BV526">
        <v>37580</v>
      </c>
      <c r="BW526" s="116"/>
      <c r="BX526" t="s">
        <v>172</v>
      </c>
      <c r="BY526" t="s">
        <v>173</v>
      </c>
      <c r="CB526" t="s">
        <v>173</v>
      </c>
      <c r="CC526" t="s">
        <v>173</v>
      </c>
      <c r="CD526" t="s">
        <v>1327</v>
      </c>
      <c r="CE526" t="s">
        <v>173</v>
      </c>
      <c r="CG526" t="s">
        <v>172</v>
      </c>
      <c r="CH526" t="s">
        <v>1328</v>
      </c>
      <c r="CI526" t="s">
        <v>172</v>
      </c>
      <c r="CJ526" t="s">
        <v>1328</v>
      </c>
      <c r="DJ526" t="s">
        <v>201</v>
      </c>
      <c r="DK526" t="s">
        <v>202</v>
      </c>
      <c r="DL526" t="s">
        <v>173</v>
      </c>
      <c r="DN526" t="s">
        <v>173</v>
      </c>
      <c r="DO526" t="s">
        <v>451</v>
      </c>
      <c r="DP526" t="s">
        <v>172</v>
      </c>
      <c r="DQ526" t="s">
        <v>204</v>
      </c>
      <c r="EA526" s="117"/>
      <c r="EB526">
        <v>4</v>
      </c>
      <c r="EC526">
        <v>4</v>
      </c>
      <c r="EE526" t="s">
        <v>1329</v>
      </c>
      <c r="EF526">
        <v>4</v>
      </c>
      <c r="EV526">
        <v>5750</v>
      </c>
      <c r="EW526">
        <v>453</v>
      </c>
      <c r="EX526">
        <v>347</v>
      </c>
      <c r="EY526">
        <v>405</v>
      </c>
    </row>
    <row r="527" spans="1:155" x14ac:dyDescent="0.35">
      <c r="A527">
        <v>2026</v>
      </c>
      <c r="B527" t="s">
        <v>444</v>
      </c>
      <c r="C527" s="112" t="s">
        <v>458</v>
      </c>
      <c r="D527" t="s">
        <v>1330</v>
      </c>
      <c r="E527" t="s">
        <v>447</v>
      </c>
      <c r="F527">
        <v>17</v>
      </c>
      <c r="G527" s="113">
        <v>3</v>
      </c>
      <c r="H527">
        <v>6</v>
      </c>
      <c r="I527" t="s">
        <v>195</v>
      </c>
      <c r="J527">
        <v>18</v>
      </c>
      <c r="K527">
        <v>23</v>
      </c>
      <c r="L527">
        <v>20</v>
      </c>
      <c r="M527">
        <v>22.7</v>
      </c>
      <c r="N527">
        <v>32.799999999999997</v>
      </c>
      <c r="O527">
        <v>26.351400000000002</v>
      </c>
      <c r="P527">
        <v>18.117000000000001</v>
      </c>
      <c r="Q527">
        <v>23.442599999999999</v>
      </c>
      <c r="R527">
        <v>20.18</v>
      </c>
      <c r="T527" t="s">
        <v>168</v>
      </c>
      <c r="U527" t="s">
        <v>169</v>
      </c>
      <c r="V527" t="s">
        <v>196</v>
      </c>
      <c r="W527" t="s">
        <v>197</v>
      </c>
      <c r="Y527">
        <v>8</v>
      </c>
      <c r="Z527" t="s">
        <v>173</v>
      </c>
      <c r="AA527" t="s">
        <v>173</v>
      </c>
      <c r="AB527" t="s">
        <v>170</v>
      </c>
      <c r="AC527" t="s">
        <v>232</v>
      </c>
      <c r="AD527">
        <v>15</v>
      </c>
      <c r="AG527" t="s">
        <v>176</v>
      </c>
      <c r="AH527" t="s">
        <v>177</v>
      </c>
      <c r="AI527" t="s">
        <v>178</v>
      </c>
      <c r="AJ527" t="s">
        <v>179</v>
      </c>
      <c r="AK527" t="s">
        <v>664</v>
      </c>
      <c r="AL527" t="s">
        <v>665</v>
      </c>
      <c r="AS527">
        <v>3100</v>
      </c>
      <c r="AT527">
        <v>3100</v>
      </c>
      <c r="BN527" s="114" t="s">
        <v>256</v>
      </c>
      <c r="BO527">
        <v>2</v>
      </c>
      <c r="BP527">
        <v>2</v>
      </c>
      <c r="BQ527">
        <v>33</v>
      </c>
      <c r="BR527" t="s">
        <v>1062</v>
      </c>
      <c r="BT527" t="s">
        <v>183</v>
      </c>
      <c r="BU527" s="115">
        <v>45911</v>
      </c>
      <c r="BV527">
        <v>37581</v>
      </c>
      <c r="BW527" s="116"/>
      <c r="BX527" t="s">
        <v>172</v>
      </c>
      <c r="BY527" t="s">
        <v>173</v>
      </c>
      <c r="CB527" t="s">
        <v>173</v>
      </c>
      <c r="CC527" t="s">
        <v>173</v>
      </c>
      <c r="CD527" t="s">
        <v>1242</v>
      </c>
      <c r="CE527" t="s">
        <v>173</v>
      </c>
      <c r="CG527" t="s">
        <v>172</v>
      </c>
      <c r="CH527" t="s">
        <v>1243</v>
      </c>
      <c r="CI527" t="s">
        <v>172</v>
      </c>
      <c r="CJ527" t="s">
        <v>871</v>
      </c>
      <c r="CK527" t="s">
        <v>259</v>
      </c>
      <c r="CM527">
        <v>1</v>
      </c>
      <c r="CN527" t="s">
        <v>260</v>
      </c>
      <c r="CP527">
        <v>48</v>
      </c>
      <c r="CQ527">
        <v>9.5</v>
      </c>
      <c r="CR527">
        <v>51</v>
      </c>
      <c r="CS527" t="s">
        <v>261</v>
      </c>
      <c r="CV527" t="s">
        <v>262</v>
      </c>
      <c r="CX527" t="s">
        <v>263</v>
      </c>
      <c r="CY527" t="s">
        <v>173</v>
      </c>
      <c r="DD527">
        <v>1</v>
      </c>
      <c r="DE527" t="s">
        <v>307</v>
      </c>
      <c r="DF527" t="s">
        <v>464</v>
      </c>
      <c r="DG527">
        <v>8</v>
      </c>
      <c r="DJ527" t="s">
        <v>201</v>
      </c>
      <c r="DK527" t="s">
        <v>202</v>
      </c>
      <c r="DL527" t="s">
        <v>173</v>
      </c>
      <c r="DM527" t="s">
        <v>173</v>
      </c>
      <c r="DN527" t="s">
        <v>173</v>
      </c>
      <c r="DO527" t="s">
        <v>451</v>
      </c>
      <c r="DP527" t="s">
        <v>172</v>
      </c>
      <c r="DQ527" t="s">
        <v>204</v>
      </c>
      <c r="EA527" s="117"/>
      <c r="EB527">
        <v>4</v>
      </c>
      <c r="EC527">
        <v>4</v>
      </c>
      <c r="EE527" t="s">
        <v>1244</v>
      </c>
      <c r="EF527">
        <v>4</v>
      </c>
      <c r="EV527">
        <v>7000</v>
      </c>
      <c r="EW527">
        <v>492</v>
      </c>
      <c r="EX527">
        <v>380</v>
      </c>
      <c r="EY527">
        <v>442</v>
      </c>
    </row>
    <row r="528" spans="1:155" x14ac:dyDescent="0.35">
      <c r="A528">
        <v>2026</v>
      </c>
      <c r="B528" t="s">
        <v>444</v>
      </c>
      <c r="C528" s="112" t="s">
        <v>458</v>
      </c>
      <c r="D528" t="s">
        <v>1331</v>
      </c>
      <c r="E528" t="s">
        <v>447</v>
      </c>
      <c r="F528">
        <v>18</v>
      </c>
      <c r="G528" s="113">
        <v>3</v>
      </c>
      <c r="H528">
        <v>6</v>
      </c>
      <c r="I528" t="s">
        <v>195</v>
      </c>
      <c r="J528">
        <v>17</v>
      </c>
      <c r="K528">
        <v>23</v>
      </c>
      <c r="L528">
        <v>19</v>
      </c>
      <c r="M528">
        <v>21.595800000000001</v>
      </c>
      <c r="N528">
        <v>31.7</v>
      </c>
      <c r="O528">
        <v>25.2121</v>
      </c>
      <c r="P528">
        <v>17.298100000000002</v>
      </c>
      <c r="Q528">
        <v>22.7134</v>
      </c>
      <c r="R528">
        <v>19.376999999999999</v>
      </c>
      <c r="T528" t="s">
        <v>168</v>
      </c>
      <c r="U528" t="s">
        <v>169</v>
      </c>
      <c r="V528" t="s">
        <v>196</v>
      </c>
      <c r="W528" t="s">
        <v>197</v>
      </c>
      <c r="Y528">
        <v>8</v>
      </c>
      <c r="Z528" t="s">
        <v>173</v>
      </c>
      <c r="AA528" t="s">
        <v>173</v>
      </c>
      <c r="AB528" t="s">
        <v>170</v>
      </c>
      <c r="AC528" t="s">
        <v>232</v>
      </c>
      <c r="AD528">
        <v>15</v>
      </c>
      <c r="AG528" t="s">
        <v>176</v>
      </c>
      <c r="AH528" t="s">
        <v>177</v>
      </c>
      <c r="AI528" t="s">
        <v>178</v>
      </c>
      <c r="AJ528" t="s">
        <v>179</v>
      </c>
      <c r="AK528" t="s">
        <v>664</v>
      </c>
      <c r="AL528" t="s">
        <v>665</v>
      </c>
      <c r="AS528">
        <v>3300</v>
      </c>
      <c r="AT528">
        <v>3300</v>
      </c>
      <c r="BN528" s="114" t="s">
        <v>256</v>
      </c>
      <c r="BO528">
        <v>2</v>
      </c>
      <c r="BP528">
        <v>2</v>
      </c>
      <c r="BQ528">
        <v>33</v>
      </c>
      <c r="BR528" t="s">
        <v>1062</v>
      </c>
      <c r="BT528" t="s">
        <v>183</v>
      </c>
      <c r="BU528" s="115">
        <v>45911</v>
      </c>
      <c r="BV528">
        <v>37582</v>
      </c>
      <c r="BW528" s="116"/>
      <c r="BX528" t="s">
        <v>172</v>
      </c>
      <c r="BY528" t="s">
        <v>173</v>
      </c>
      <c r="CB528" t="s">
        <v>173</v>
      </c>
      <c r="CC528" t="s">
        <v>173</v>
      </c>
      <c r="CD528" t="s">
        <v>1242</v>
      </c>
      <c r="CE528" t="s">
        <v>173</v>
      </c>
      <c r="CG528" t="s">
        <v>172</v>
      </c>
      <c r="CH528" t="s">
        <v>1243</v>
      </c>
      <c r="CI528" t="s">
        <v>172</v>
      </c>
      <c r="CJ528" t="s">
        <v>871</v>
      </c>
      <c r="CK528" t="s">
        <v>259</v>
      </c>
      <c r="CM528">
        <v>1</v>
      </c>
      <c r="CN528" t="s">
        <v>260</v>
      </c>
      <c r="CP528">
        <v>48</v>
      </c>
      <c r="CQ528">
        <v>9.5</v>
      </c>
      <c r="CR528">
        <v>51</v>
      </c>
      <c r="CS528" t="s">
        <v>261</v>
      </c>
      <c r="CV528" t="s">
        <v>262</v>
      </c>
      <c r="CX528" t="s">
        <v>263</v>
      </c>
      <c r="CY528" t="s">
        <v>173</v>
      </c>
      <c r="DD528">
        <v>1</v>
      </c>
      <c r="DE528" t="s">
        <v>307</v>
      </c>
      <c r="DF528" t="s">
        <v>464</v>
      </c>
      <c r="DG528">
        <v>8</v>
      </c>
      <c r="DJ528" t="s">
        <v>201</v>
      </c>
      <c r="DK528" t="s">
        <v>202</v>
      </c>
      <c r="DL528" t="s">
        <v>173</v>
      </c>
      <c r="DM528" t="s">
        <v>173</v>
      </c>
      <c r="DN528" t="s">
        <v>173</v>
      </c>
      <c r="DO528" t="s">
        <v>451</v>
      </c>
      <c r="DP528" t="s">
        <v>172</v>
      </c>
      <c r="DQ528" t="s">
        <v>204</v>
      </c>
      <c r="EA528" s="117"/>
      <c r="EB528">
        <v>4</v>
      </c>
      <c r="EC528">
        <v>4</v>
      </c>
      <c r="EE528" t="s">
        <v>1244</v>
      </c>
      <c r="EF528">
        <v>4</v>
      </c>
      <c r="EV528">
        <v>8000</v>
      </c>
      <c r="EW528">
        <v>514</v>
      </c>
      <c r="EX528">
        <v>392</v>
      </c>
      <c r="EY528">
        <v>459</v>
      </c>
    </row>
    <row r="529" spans="1:155" x14ac:dyDescent="0.35">
      <c r="A529">
        <v>2026</v>
      </c>
      <c r="B529" t="s">
        <v>444</v>
      </c>
      <c r="C529" s="112" t="s">
        <v>458</v>
      </c>
      <c r="D529" t="s">
        <v>1332</v>
      </c>
      <c r="E529" t="s">
        <v>447</v>
      </c>
      <c r="F529">
        <v>14</v>
      </c>
      <c r="G529" s="113">
        <v>4</v>
      </c>
      <c r="H529">
        <v>8</v>
      </c>
      <c r="I529" t="s">
        <v>195</v>
      </c>
      <c r="J529">
        <v>14</v>
      </c>
      <c r="K529">
        <v>20</v>
      </c>
      <c r="L529">
        <v>16</v>
      </c>
      <c r="M529">
        <v>17.7</v>
      </c>
      <c r="N529">
        <v>27.1</v>
      </c>
      <c r="O529">
        <v>20.973800000000001</v>
      </c>
      <c r="P529">
        <v>14.360900000000001</v>
      </c>
      <c r="Q529">
        <v>19.623799999999999</v>
      </c>
      <c r="R529">
        <v>16.331900000000001</v>
      </c>
      <c r="T529" t="s">
        <v>168</v>
      </c>
      <c r="U529" t="s">
        <v>169</v>
      </c>
      <c r="V529" t="s">
        <v>196</v>
      </c>
      <c r="W529" t="s">
        <v>197</v>
      </c>
      <c r="Y529">
        <v>8</v>
      </c>
      <c r="Z529" t="s">
        <v>172</v>
      </c>
      <c r="AA529" t="s">
        <v>173</v>
      </c>
      <c r="AB529" t="s">
        <v>170</v>
      </c>
      <c r="AC529" t="s">
        <v>232</v>
      </c>
      <c r="AD529">
        <v>15</v>
      </c>
      <c r="AG529" t="s">
        <v>176</v>
      </c>
      <c r="AH529" t="s">
        <v>177</v>
      </c>
      <c r="AI529" t="s">
        <v>178</v>
      </c>
      <c r="AJ529" t="s">
        <v>179</v>
      </c>
      <c r="AK529" t="s">
        <v>664</v>
      </c>
      <c r="AL529" t="s">
        <v>665</v>
      </c>
      <c r="AS529">
        <v>3900</v>
      </c>
      <c r="AT529">
        <v>3900</v>
      </c>
      <c r="BN529" s="114" t="s">
        <v>256</v>
      </c>
      <c r="BO529">
        <v>2</v>
      </c>
      <c r="BP529">
        <v>2</v>
      </c>
      <c r="BQ529">
        <v>33</v>
      </c>
      <c r="BR529" t="s">
        <v>1062</v>
      </c>
      <c r="BT529" t="s">
        <v>183</v>
      </c>
      <c r="BU529" s="115">
        <v>45911</v>
      </c>
      <c r="BV529">
        <v>37584</v>
      </c>
      <c r="BW529" s="116"/>
      <c r="BX529" t="s">
        <v>172</v>
      </c>
      <c r="BY529" t="s">
        <v>173</v>
      </c>
      <c r="CB529" t="s">
        <v>173</v>
      </c>
      <c r="CC529" t="s">
        <v>173</v>
      </c>
      <c r="CD529" t="s">
        <v>1333</v>
      </c>
      <c r="CE529" t="s">
        <v>172</v>
      </c>
      <c r="CF529" t="s">
        <v>462</v>
      </c>
      <c r="CG529" t="s">
        <v>172</v>
      </c>
      <c r="CH529" t="s">
        <v>463</v>
      </c>
      <c r="CI529" t="s">
        <v>173</v>
      </c>
      <c r="CK529" t="s">
        <v>259</v>
      </c>
      <c r="CM529">
        <v>1</v>
      </c>
      <c r="CN529" t="s">
        <v>260</v>
      </c>
      <c r="CP529">
        <v>48</v>
      </c>
      <c r="CQ529">
        <v>9.5</v>
      </c>
      <c r="CR529">
        <v>50.1</v>
      </c>
      <c r="CS529" t="s">
        <v>261</v>
      </c>
      <c r="CV529" t="s">
        <v>262</v>
      </c>
      <c r="CX529" t="s">
        <v>263</v>
      </c>
      <c r="CY529" t="s">
        <v>173</v>
      </c>
      <c r="DD529">
        <v>1</v>
      </c>
      <c r="DE529" t="s">
        <v>307</v>
      </c>
      <c r="DF529" t="s">
        <v>464</v>
      </c>
      <c r="DG529">
        <v>8</v>
      </c>
      <c r="DJ529" t="s">
        <v>201</v>
      </c>
      <c r="DK529" t="s">
        <v>202</v>
      </c>
      <c r="DL529" t="s">
        <v>173</v>
      </c>
      <c r="DM529" t="s">
        <v>173</v>
      </c>
      <c r="DN529" t="s">
        <v>173</v>
      </c>
      <c r="DO529" t="s">
        <v>465</v>
      </c>
      <c r="DP529" t="s">
        <v>172</v>
      </c>
      <c r="DQ529" t="s">
        <v>204</v>
      </c>
      <c r="EA529" s="117"/>
      <c r="EB529">
        <v>3</v>
      </c>
      <c r="EC529">
        <v>3</v>
      </c>
      <c r="EE529" t="s">
        <v>466</v>
      </c>
      <c r="EF529">
        <v>2</v>
      </c>
      <c r="EV529">
        <v>11000</v>
      </c>
      <c r="EW529">
        <v>622</v>
      </c>
      <c r="EX529">
        <v>454</v>
      </c>
      <c r="EY529">
        <v>547</v>
      </c>
    </row>
    <row r="530" spans="1:155" x14ac:dyDescent="0.35">
      <c r="A530">
        <v>2026</v>
      </c>
      <c r="B530" t="s">
        <v>444</v>
      </c>
      <c r="C530" s="112" t="s">
        <v>458</v>
      </c>
      <c r="D530" t="s">
        <v>1065</v>
      </c>
      <c r="E530" t="s">
        <v>447</v>
      </c>
      <c r="F530">
        <v>15</v>
      </c>
      <c r="G530" s="113">
        <v>4</v>
      </c>
      <c r="H530">
        <v>8</v>
      </c>
      <c r="I530" t="s">
        <v>195</v>
      </c>
      <c r="J530">
        <v>14</v>
      </c>
      <c r="K530">
        <v>20</v>
      </c>
      <c r="L530">
        <v>16</v>
      </c>
      <c r="M530">
        <v>17.8</v>
      </c>
      <c r="N530">
        <v>27.4</v>
      </c>
      <c r="O530">
        <v>21.131699999999999</v>
      </c>
      <c r="P530">
        <v>14.4373</v>
      </c>
      <c r="Q530">
        <v>19.827300000000001</v>
      </c>
      <c r="R530">
        <v>16.4496</v>
      </c>
      <c r="T530" t="s">
        <v>168</v>
      </c>
      <c r="U530" t="s">
        <v>169</v>
      </c>
      <c r="V530" t="s">
        <v>196</v>
      </c>
      <c r="W530" t="s">
        <v>197</v>
      </c>
      <c r="Y530">
        <v>8</v>
      </c>
      <c r="Z530" t="s">
        <v>172</v>
      </c>
      <c r="AA530" t="s">
        <v>173</v>
      </c>
      <c r="AB530" t="s">
        <v>170</v>
      </c>
      <c r="AC530" t="s">
        <v>232</v>
      </c>
      <c r="AD530">
        <v>15</v>
      </c>
      <c r="AG530" t="s">
        <v>176</v>
      </c>
      <c r="AH530" t="s">
        <v>177</v>
      </c>
      <c r="AI530" t="s">
        <v>178</v>
      </c>
      <c r="AJ530" t="s">
        <v>179</v>
      </c>
      <c r="AK530" t="s">
        <v>664</v>
      </c>
      <c r="AL530" t="s">
        <v>665</v>
      </c>
      <c r="AS530">
        <v>3900</v>
      </c>
      <c r="AT530">
        <v>3900</v>
      </c>
      <c r="BN530" s="114" t="s">
        <v>198</v>
      </c>
      <c r="BO530">
        <v>2</v>
      </c>
      <c r="BP530">
        <v>2</v>
      </c>
      <c r="BQ530">
        <v>33</v>
      </c>
      <c r="BR530" t="s">
        <v>1062</v>
      </c>
      <c r="BT530" t="s">
        <v>183</v>
      </c>
      <c r="BU530" s="115">
        <v>45870</v>
      </c>
      <c r="BV530">
        <v>37142</v>
      </c>
      <c r="BW530" s="116"/>
      <c r="BX530" t="s">
        <v>172</v>
      </c>
      <c r="BY530" t="s">
        <v>173</v>
      </c>
      <c r="CB530" t="s">
        <v>173</v>
      </c>
      <c r="CC530" t="s">
        <v>173</v>
      </c>
      <c r="CD530" t="s">
        <v>1066</v>
      </c>
      <c r="CE530" t="s">
        <v>172</v>
      </c>
      <c r="CF530" t="s">
        <v>462</v>
      </c>
      <c r="CG530" t="s">
        <v>172</v>
      </c>
      <c r="CH530" t="s">
        <v>1067</v>
      </c>
      <c r="CI530" t="s">
        <v>173</v>
      </c>
      <c r="DJ530" t="s">
        <v>201</v>
      </c>
      <c r="DK530" t="s">
        <v>202</v>
      </c>
      <c r="DL530" t="s">
        <v>173</v>
      </c>
      <c r="DM530" t="s">
        <v>173</v>
      </c>
      <c r="DN530" t="s">
        <v>173</v>
      </c>
      <c r="DO530" t="s">
        <v>465</v>
      </c>
      <c r="DP530" t="s">
        <v>172</v>
      </c>
      <c r="DQ530" t="s">
        <v>204</v>
      </c>
      <c r="EA530" s="117"/>
      <c r="EB530">
        <v>3</v>
      </c>
      <c r="EC530">
        <v>3</v>
      </c>
      <c r="EE530" t="s">
        <v>1068</v>
      </c>
      <c r="EF530">
        <v>2</v>
      </c>
      <c r="EV530">
        <v>11000</v>
      </c>
      <c r="EW530">
        <v>615</v>
      </c>
      <c r="EX530">
        <v>448</v>
      </c>
      <c r="EY530">
        <v>540</v>
      </c>
    </row>
    <row r="531" spans="1:155" x14ac:dyDescent="0.35">
      <c r="A531">
        <v>2026</v>
      </c>
      <c r="B531" t="s">
        <v>444</v>
      </c>
      <c r="C531" s="112" t="s">
        <v>458</v>
      </c>
      <c r="D531" t="s">
        <v>1334</v>
      </c>
      <c r="E531" t="s">
        <v>447</v>
      </c>
      <c r="F531">
        <v>2</v>
      </c>
      <c r="G531" s="113">
        <v>4</v>
      </c>
      <c r="H531">
        <v>8</v>
      </c>
      <c r="I531" t="s">
        <v>195</v>
      </c>
      <c r="J531">
        <v>14</v>
      </c>
      <c r="K531">
        <v>20</v>
      </c>
      <c r="L531">
        <v>16</v>
      </c>
      <c r="M531">
        <v>17.7</v>
      </c>
      <c r="N531">
        <v>26.9</v>
      </c>
      <c r="O531">
        <v>20.919599999999999</v>
      </c>
      <c r="P531">
        <v>14.261100000000001</v>
      </c>
      <c r="Q531">
        <v>20.250399999999999</v>
      </c>
      <c r="R531">
        <v>16.450600000000001</v>
      </c>
      <c r="T531" t="s">
        <v>168</v>
      </c>
      <c r="U531" t="s">
        <v>169</v>
      </c>
      <c r="V531" t="s">
        <v>196</v>
      </c>
      <c r="W531" t="s">
        <v>197</v>
      </c>
      <c r="Y531">
        <v>8</v>
      </c>
      <c r="Z531" t="s">
        <v>172</v>
      </c>
      <c r="AA531" t="s">
        <v>173</v>
      </c>
      <c r="AB531" t="s">
        <v>170</v>
      </c>
      <c r="AC531" t="s">
        <v>232</v>
      </c>
      <c r="AD531">
        <v>15</v>
      </c>
      <c r="AG531" t="s">
        <v>176</v>
      </c>
      <c r="AH531" t="s">
        <v>177</v>
      </c>
      <c r="AI531" t="s">
        <v>178</v>
      </c>
      <c r="AJ531" t="s">
        <v>179</v>
      </c>
      <c r="AK531" t="s">
        <v>664</v>
      </c>
      <c r="AL531" t="s">
        <v>665</v>
      </c>
      <c r="AS531">
        <v>3900</v>
      </c>
      <c r="AT531">
        <v>3900</v>
      </c>
      <c r="BN531" s="114" t="s">
        <v>198</v>
      </c>
      <c r="BO531">
        <v>2</v>
      </c>
      <c r="BP531">
        <v>2</v>
      </c>
      <c r="BQ531">
        <v>33</v>
      </c>
      <c r="BR531" t="s">
        <v>1062</v>
      </c>
      <c r="BT531" t="s">
        <v>218</v>
      </c>
      <c r="BU531" s="115">
        <v>45911</v>
      </c>
      <c r="BV531">
        <v>37587</v>
      </c>
      <c r="BW531" s="116"/>
      <c r="BX531" t="s">
        <v>172</v>
      </c>
      <c r="BY531" t="s">
        <v>173</v>
      </c>
      <c r="CB531" t="s">
        <v>173</v>
      </c>
      <c r="CC531" t="s">
        <v>173</v>
      </c>
      <c r="CD531" t="s">
        <v>1066</v>
      </c>
      <c r="CE531" t="s">
        <v>172</v>
      </c>
      <c r="CF531" t="s">
        <v>462</v>
      </c>
      <c r="CG531" t="s">
        <v>172</v>
      </c>
      <c r="CH531" t="s">
        <v>1067</v>
      </c>
      <c r="CI531" t="s">
        <v>173</v>
      </c>
      <c r="DJ531" t="s">
        <v>201</v>
      </c>
      <c r="DK531" t="s">
        <v>202</v>
      </c>
      <c r="DL531" t="s">
        <v>173</v>
      </c>
      <c r="DM531" t="s">
        <v>173</v>
      </c>
      <c r="DN531" t="s">
        <v>173</v>
      </c>
      <c r="DO531" t="s">
        <v>465</v>
      </c>
      <c r="DP531" t="s">
        <v>172</v>
      </c>
      <c r="DQ531" t="s">
        <v>204</v>
      </c>
      <c r="EA531" s="117"/>
      <c r="EB531">
        <v>3</v>
      </c>
      <c r="EC531">
        <v>3</v>
      </c>
      <c r="EE531" t="s">
        <v>1068</v>
      </c>
      <c r="EF531">
        <v>2</v>
      </c>
      <c r="EV531">
        <v>11000</v>
      </c>
      <c r="EW531">
        <v>623</v>
      </c>
      <c r="EX531">
        <v>439</v>
      </c>
      <c r="EY531">
        <v>540</v>
      </c>
    </row>
    <row r="532" spans="1:155" x14ac:dyDescent="0.35">
      <c r="A532">
        <v>2026</v>
      </c>
      <c r="B532" t="s">
        <v>444</v>
      </c>
      <c r="C532" s="112" t="s">
        <v>1069</v>
      </c>
      <c r="D532" t="s">
        <v>1070</v>
      </c>
      <c r="E532" t="s">
        <v>447</v>
      </c>
      <c r="F532">
        <v>30</v>
      </c>
      <c r="G532" s="113">
        <v>4</v>
      </c>
      <c r="H532">
        <v>8</v>
      </c>
      <c r="I532" t="s">
        <v>195</v>
      </c>
      <c r="J532">
        <v>14</v>
      </c>
      <c r="K532">
        <v>21</v>
      </c>
      <c r="L532">
        <v>16</v>
      </c>
      <c r="M532">
        <v>17.2</v>
      </c>
      <c r="N532">
        <v>28.3</v>
      </c>
      <c r="O532">
        <v>20.886500000000002</v>
      </c>
      <c r="P532">
        <v>13.724600000000001</v>
      </c>
      <c r="Q532">
        <v>20.5717</v>
      </c>
      <c r="R532">
        <v>16.142399999999999</v>
      </c>
      <c r="T532" t="s">
        <v>168</v>
      </c>
      <c r="U532" t="s">
        <v>169</v>
      </c>
      <c r="V532" t="s">
        <v>196</v>
      </c>
      <c r="W532" t="s">
        <v>197</v>
      </c>
      <c r="Y532">
        <v>8</v>
      </c>
      <c r="Z532" t="s">
        <v>172</v>
      </c>
      <c r="AA532" t="s">
        <v>173</v>
      </c>
      <c r="AB532" t="s">
        <v>170</v>
      </c>
      <c r="AC532" t="s">
        <v>232</v>
      </c>
      <c r="AD532">
        <v>15</v>
      </c>
      <c r="AG532" t="s">
        <v>176</v>
      </c>
      <c r="AH532" t="s">
        <v>177</v>
      </c>
      <c r="AI532" t="s">
        <v>178</v>
      </c>
      <c r="AJ532" t="s">
        <v>179</v>
      </c>
      <c r="AK532" t="s">
        <v>664</v>
      </c>
      <c r="AL532" t="s">
        <v>665</v>
      </c>
      <c r="AS532">
        <v>3900</v>
      </c>
      <c r="AT532">
        <v>3900</v>
      </c>
      <c r="BN532" s="114" t="s">
        <v>198</v>
      </c>
      <c r="BO532">
        <v>2</v>
      </c>
      <c r="BP532">
        <v>2</v>
      </c>
      <c r="BQ532">
        <v>33</v>
      </c>
      <c r="BR532" t="s">
        <v>1062</v>
      </c>
      <c r="BT532" t="s">
        <v>218</v>
      </c>
      <c r="BU532" s="115">
        <v>45870</v>
      </c>
      <c r="BV532">
        <v>37161</v>
      </c>
      <c r="BW532" s="116"/>
      <c r="BX532" t="s">
        <v>173</v>
      </c>
      <c r="BY532" t="s">
        <v>173</v>
      </c>
      <c r="CB532" t="s">
        <v>173</v>
      </c>
      <c r="CC532" t="s">
        <v>173</v>
      </c>
      <c r="CD532" t="s">
        <v>1071</v>
      </c>
      <c r="CE532" t="s">
        <v>172</v>
      </c>
      <c r="CF532" t="s">
        <v>462</v>
      </c>
      <c r="CG532" t="s">
        <v>172</v>
      </c>
      <c r="CH532" t="s">
        <v>1072</v>
      </c>
      <c r="CI532" t="s">
        <v>173</v>
      </c>
      <c r="DJ532" t="s">
        <v>201</v>
      </c>
      <c r="DK532" t="s">
        <v>202</v>
      </c>
      <c r="DN532" t="s">
        <v>173</v>
      </c>
      <c r="DO532" t="s">
        <v>465</v>
      </c>
      <c r="DP532" t="s">
        <v>172</v>
      </c>
      <c r="DQ532" t="s">
        <v>204</v>
      </c>
      <c r="EA532" s="117"/>
      <c r="EB532">
        <v>3</v>
      </c>
      <c r="EC532">
        <v>3</v>
      </c>
      <c r="EE532" t="s">
        <v>1073</v>
      </c>
      <c r="EF532">
        <v>2</v>
      </c>
      <c r="EV532">
        <v>11000</v>
      </c>
      <c r="EW532">
        <v>650</v>
      </c>
      <c r="EX532">
        <v>433</v>
      </c>
      <c r="EY532">
        <v>553</v>
      </c>
    </row>
    <row r="533" spans="1:155" x14ac:dyDescent="0.35">
      <c r="A533">
        <v>2026</v>
      </c>
      <c r="B533" t="s">
        <v>444</v>
      </c>
      <c r="C533" s="112" t="s">
        <v>1069</v>
      </c>
      <c r="D533" t="s">
        <v>1074</v>
      </c>
      <c r="E533" t="s">
        <v>447</v>
      </c>
      <c r="F533">
        <v>31</v>
      </c>
      <c r="G533" s="113">
        <v>4</v>
      </c>
      <c r="H533">
        <v>8</v>
      </c>
      <c r="I533" t="s">
        <v>195</v>
      </c>
      <c r="J533">
        <v>14</v>
      </c>
      <c r="K533">
        <v>21</v>
      </c>
      <c r="L533">
        <v>16</v>
      </c>
      <c r="M533">
        <v>17.2</v>
      </c>
      <c r="N533">
        <v>28.3</v>
      </c>
      <c r="O533">
        <v>20.886500000000002</v>
      </c>
      <c r="P533">
        <v>13.724600000000001</v>
      </c>
      <c r="Q533">
        <v>20.5717</v>
      </c>
      <c r="R533">
        <v>16.142399999999999</v>
      </c>
      <c r="T533" t="s">
        <v>168</v>
      </c>
      <c r="U533" t="s">
        <v>169</v>
      </c>
      <c r="V533" t="s">
        <v>196</v>
      </c>
      <c r="W533" t="s">
        <v>197</v>
      </c>
      <c r="Y533">
        <v>8</v>
      </c>
      <c r="Z533" t="s">
        <v>172</v>
      </c>
      <c r="AA533" t="s">
        <v>173</v>
      </c>
      <c r="AB533" t="s">
        <v>170</v>
      </c>
      <c r="AC533" t="s">
        <v>232</v>
      </c>
      <c r="AD533">
        <v>15</v>
      </c>
      <c r="AG533" t="s">
        <v>176</v>
      </c>
      <c r="AH533" t="s">
        <v>177</v>
      </c>
      <c r="AI533" t="s">
        <v>178</v>
      </c>
      <c r="AJ533" t="s">
        <v>179</v>
      </c>
      <c r="AK533" t="s">
        <v>664</v>
      </c>
      <c r="AL533" t="s">
        <v>665</v>
      </c>
      <c r="AS533">
        <v>3900</v>
      </c>
      <c r="AT533">
        <v>3900</v>
      </c>
      <c r="BN533" s="114" t="s">
        <v>198</v>
      </c>
      <c r="BO533">
        <v>2</v>
      </c>
      <c r="BP533">
        <v>2</v>
      </c>
      <c r="BQ533">
        <v>33</v>
      </c>
      <c r="BR533" t="s">
        <v>1062</v>
      </c>
      <c r="BT533" t="s">
        <v>218</v>
      </c>
      <c r="BU533" s="115">
        <v>45870</v>
      </c>
      <c r="BV533">
        <v>37163</v>
      </c>
      <c r="BW533" s="116"/>
      <c r="BX533" t="s">
        <v>173</v>
      </c>
      <c r="BY533" t="s">
        <v>173</v>
      </c>
      <c r="CB533" t="s">
        <v>173</v>
      </c>
      <c r="CC533" t="s">
        <v>173</v>
      </c>
      <c r="CD533" t="s">
        <v>1071</v>
      </c>
      <c r="CE533" t="s">
        <v>172</v>
      </c>
      <c r="CF533" t="s">
        <v>462</v>
      </c>
      <c r="CG533" t="s">
        <v>172</v>
      </c>
      <c r="CH533" t="s">
        <v>1072</v>
      </c>
      <c r="CI533" t="s">
        <v>173</v>
      </c>
      <c r="DJ533" t="s">
        <v>201</v>
      </c>
      <c r="DK533" t="s">
        <v>202</v>
      </c>
      <c r="DN533" t="s">
        <v>173</v>
      </c>
      <c r="DO533" t="s">
        <v>465</v>
      </c>
      <c r="DP533" t="s">
        <v>172</v>
      </c>
      <c r="DQ533" t="s">
        <v>204</v>
      </c>
      <c r="EA533" s="117"/>
      <c r="EB533">
        <v>3</v>
      </c>
      <c r="EC533">
        <v>3</v>
      </c>
      <c r="EE533" t="s">
        <v>1073</v>
      </c>
      <c r="EF533">
        <v>2</v>
      </c>
      <c r="EV533">
        <v>11000</v>
      </c>
      <c r="EW533">
        <v>650</v>
      </c>
      <c r="EX533">
        <v>433</v>
      </c>
      <c r="EY533">
        <v>553</v>
      </c>
    </row>
    <row r="534" spans="1:155" x14ac:dyDescent="0.35">
      <c r="A534">
        <v>2026</v>
      </c>
      <c r="B534" t="s">
        <v>192</v>
      </c>
      <c r="C534" s="112" t="s">
        <v>192</v>
      </c>
      <c r="D534" t="s">
        <v>1075</v>
      </c>
      <c r="E534" t="s">
        <v>194</v>
      </c>
      <c r="F534">
        <v>777</v>
      </c>
      <c r="G534" s="113">
        <v>4.4000000000000004</v>
      </c>
      <c r="H534">
        <v>8</v>
      </c>
      <c r="I534" t="s">
        <v>195</v>
      </c>
      <c r="J534">
        <v>16</v>
      </c>
      <c r="K534">
        <v>20</v>
      </c>
      <c r="L534">
        <v>17</v>
      </c>
      <c r="M534">
        <v>19.2</v>
      </c>
      <c r="N534">
        <v>28</v>
      </c>
      <c r="O534">
        <v>22.3627</v>
      </c>
      <c r="P534">
        <v>15.5008</v>
      </c>
      <c r="Q534">
        <v>20.2334</v>
      </c>
      <c r="R534">
        <v>17.324300000000001</v>
      </c>
      <c r="T534" t="s">
        <v>168</v>
      </c>
      <c r="U534" t="s">
        <v>169</v>
      </c>
      <c r="V534" t="s">
        <v>196</v>
      </c>
      <c r="W534" t="s">
        <v>197</v>
      </c>
      <c r="Y534">
        <v>8</v>
      </c>
      <c r="Z534" t="s">
        <v>172</v>
      </c>
      <c r="AA534" t="s">
        <v>173</v>
      </c>
      <c r="AB534" t="s">
        <v>170</v>
      </c>
      <c r="AC534" t="s">
        <v>232</v>
      </c>
      <c r="AD534">
        <v>10</v>
      </c>
      <c r="AG534" t="s">
        <v>176</v>
      </c>
      <c r="AH534" t="s">
        <v>177</v>
      </c>
      <c r="AI534" t="s">
        <v>178</v>
      </c>
      <c r="AJ534" t="s">
        <v>179</v>
      </c>
      <c r="AK534" t="s">
        <v>664</v>
      </c>
      <c r="AL534" t="s">
        <v>665</v>
      </c>
      <c r="AS534">
        <v>3650</v>
      </c>
      <c r="AT534">
        <v>3650</v>
      </c>
      <c r="BN534" s="114" t="s">
        <v>256</v>
      </c>
      <c r="BO534">
        <v>2</v>
      </c>
      <c r="BP534">
        <v>2</v>
      </c>
      <c r="BQ534">
        <v>33</v>
      </c>
      <c r="BR534" t="s">
        <v>1062</v>
      </c>
      <c r="BT534" t="s">
        <v>183</v>
      </c>
      <c r="BU534" s="115">
        <v>45748</v>
      </c>
      <c r="BV534">
        <v>36630</v>
      </c>
      <c r="BW534" s="116"/>
      <c r="BX534" t="s">
        <v>173</v>
      </c>
      <c r="BY534" t="s">
        <v>173</v>
      </c>
      <c r="CB534" t="s">
        <v>173</v>
      </c>
      <c r="CC534" t="s">
        <v>173</v>
      </c>
      <c r="CE534" t="s">
        <v>173</v>
      </c>
      <c r="CG534" t="s">
        <v>172</v>
      </c>
      <c r="CH534" t="s">
        <v>282</v>
      </c>
      <c r="CI534" t="s">
        <v>172</v>
      </c>
      <c r="CJ534" t="s">
        <v>283</v>
      </c>
      <c r="CK534" t="s">
        <v>259</v>
      </c>
      <c r="CM534">
        <v>1</v>
      </c>
      <c r="CN534" t="s">
        <v>260</v>
      </c>
      <c r="CP534">
        <v>44</v>
      </c>
      <c r="CQ534">
        <v>10</v>
      </c>
      <c r="CR534">
        <v>38</v>
      </c>
      <c r="CS534" t="s">
        <v>261</v>
      </c>
      <c r="CV534" t="s">
        <v>262</v>
      </c>
      <c r="CX534" t="s">
        <v>263</v>
      </c>
      <c r="CY534" t="s">
        <v>173</v>
      </c>
      <c r="DC534" t="s">
        <v>548</v>
      </c>
      <c r="DD534">
        <v>1</v>
      </c>
      <c r="DE534" t="s">
        <v>307</v>
      </c>
      <c r="DF534" t="s">
        <v>330</v>
      </c>
      <c r="DG534">
        <v>9</v>
      </c>
      <c r="DJ534" t="s">
        <v>201</v>
      </c>
      <c r="DK534" t="s">
        <v>202</v>
      </c>
      <c r="DL534" t="s">
        <v>173</v>
      </c>
      <c r="DM534" t="s">
        <v>173</v>
      </c>
      <c r="DN534" t="s">
        <v>173</v>
      </c>
      <c r="DO534" t="s">
        <v>266</v>
      </c>
      <c r="DP534" t="s">
        <v>172</v>
      </c>
      <c r="DQ534" t="s">
        <v>204</v>
      </c>
      <c r="EA534" s="117"/>
      <c r="EB534">
        <v>3</v>
      </c>
      <c r="EC534">
        <v>3</v>
      </c>
      <c r="EE534" t="s">
        <v>549</v>
      </c>
      <c r="EF534">
        <v>4</v>
      </c>
      <c r="EV534">
        <v>9750</v>
      </c>
      <c r="EW534">
        <v>564</v>
      </c>
      <c r="EX534">
        <v>434</v>
      </c>
      <c r="EY534">
        <v>506</v>
      </c>
    </row>
    <row r="535" spans="1:155" x14ac:dyDescent="0.35">
      <c r="A535">
        <v>2026</v>
      </c>
      <c r="B535" t="s">
        <v>192</v>
      </c>
      <c r="C535" s="112" t="s">
        <v>192</v>
      </c>
      <c r="D535" t="s">
        <v>1076</v>
      </c>
      <c r="E535" t="s">
        <v>194</v>
      </c>
      <c r="F535">
        <v>591</v>
      </c>
      <c r="G535" s="113">
        <v>4.4000000000000004</v>
      </c>
      <c r="H535">
        <v>8</v>
      </c>
      <c r="I535" t="s">
        <v>195</v>
      </c>
      <c r="J535">
        <v>13</v>
      </c>
      <c r="K535">
        <v>18</v>
      </c>
      <c r="L535">
        <v>15</v>
      </c>
      <c r="M535">
        <v>15.8142</v>
      </c>
      <c r="N535">
        <v>25.0123</v>
      </c>
      <c r="O535">
        <v>18.950199999999999</v>
      </c>
      <c r="P535">
        <v>12.9117</v>
      </c>
      <c r="Q535">
        <v>18.1998</v>
      </c>
      <c r="R535">
        <v>14.853899999999999</v>
      </c>
      <c r="T535" t="s">
        <v>168</v>
      </c>
      <c r="U535" t="s">
        <v>169</v>
      </c>
      <c r="V535" t="s">
        <v>196</v>
      </c>
      <c r="W535" t="s">
        <v>197</v>
      </c>
      <c r="Y535">
        <v>8</v>
      </c>
      <c r="Z535" t="s">
        <v>172</v>
      </c>
      <c r="AA535" t="s">
        <v>173</v>
      </c>
      <c r="AB535" t="s">
        <v>170</v>
      </c>
      <c r="AC535" t="s">
        <v>232</v>
      </c>
      <c r="AD535">
        <v>10</v>
      </c>
      <c r="AG535" t="s">
        <v>216</v>
      </c>
      <c r="AH535" t="s">
        <v>217</v>
      </c>
      <c r="AI535" t="s">
        <v>178</v>
      </c>
      <c r="AJ535" t="s">
        <v>179</v>
      </c>
      <c r="AK535" t="s">
        <v>664</v>
      </c>
      <c r="AL535" t="s">
        <v>665</v>
      </c>
      <c r="AS535">
        <v>4150</v>
      </c>
      <c r="AT535">
        <v>4150</v>
      </c>
      <c r="BN535" s="114" t="s">
        <v>256</v>
      </c>
      <c r="BO535">
        <v>2</v>
      </c>
      <c r="BP535">
        <v>2</v>
      </c>
      <c r="BQ535">
        <v>33</v>
      </c>
      <c r="BR535" t="s">
        <v>1062</v>
      </c>
      <c r="BT535" t="s">
        <v>183</v>
      </c>
      <c r="BU535" s="115">
        <v>45748</v>
      </c>
      <c r="BV535">
        <v>36434</v>
      </c>
      <c r="BW535" s="116"/>
      <c r="BX535" t="s">
        <v>172</v>
      </c>
      <c r="BY535" t="s">
        <v>173</v>
      </c>
      <c r="CB535" t="s">
        <v>173</v>
      </c>
      <c r="CC535" t="s">
        <v>173</v>
      </c>
      <c r="CE535" t="s">
        <v>173</v>
      </c>
      <c r="CG535" t="s">
        <v>172</v>
      </c>
      <c r="CH535" t="s">
        <v>282</v>
      </c>
      <c r="CI535" t="s">
        <v>172</v>
      </c>
      <c r="CJ535" t="s">
        <v>283</v>
      </c>
      <c r="CK535" t="s">
        <v>259</v>
      </c>
      <c r="CM535">
        <v>1</v>
      </c>
      <c r="CN535" t="s">
        <v>260</v>
      </c>
      <c r="CP535">
        <v>44</v>
      </c>
      <c r="CQ535">
        <v>10</v>
      </c>
      <c r="CR535">
        <v>38</v>
      </c>
      <c r="CS535" t="s">
        <v>261</v>
      </c>
      <c r="CV535" t="s">
        <v>262</v>
      </c>
      <c r="CX535" t="s">
        <v>263</v>
      </c>
      <c r="CY535" t="s">
        <v>173</v>
      </c>
      <c r="DC535" t="s">
        <v>1077</v>
      </c>
      <c r="DD535">
        <v>1</v>
      </c>
      <c r="DE535" t="s">
        <v>307</v>
      </c>
      <c r="DF535" t="s">
        <v>330</v>
      </c>
      <c r="DG535">
        <v>9</v>
      </c>
      <c r="DJ535" t="s">
        <v>201</v>
      </c>
      <c r="DK535" t="s">
        <v>202</v>
      </c>
      <c r="DL535" t="s">
        <v>173</v>
      </c>
      <c r="DM535" t="s">
        <v>173</v>
      </c>
      <c r="DN535" t="s">
        <v>173</v>
      </c>
      <c r="DO535" t="s">
        <v>266</v>
      </c>
      <c r="DP535" t="s">
        <v>172</v>
      </c>
      <c r="DQ535" t="s">
        <v>204</v>
      </c>
      <c r="EA535" s="117"/>
      <c r="EB535">
        <v>2</v>
      </c>
      <c r="EC535">
        <v>2</v>
      </c>
      <c r="EE535" t="s">
        <v>1078</v>
      </c>
      <c r="EF535">
        <v>4</v>
      </c>
      <c r="EV535">
        <v>12250</v>
      </c>
      <c r="EW535">
        <v>678</v>
      </c>
      <c r="EX535">
        <v>481</v>
      </c>
      <c r="EY535">
        <v>589</v>
      </c>
    </row>
    <row r="536" spans="1:155" x14ac:dyDescent="0.35">
      <c r="A536">
        <v>2026</v>
      </c>
      <c r="B536" t="s">
        <v>192</v>
      </c>
      <c r="C536" s="112" t="s">
        <v>192</v>
      </c>
      <c r="D536" t="s">
        <v>1079</v>
      </c>
      <c r="E536" t="s">
        <v>194</v>
      </c>
      <c r="F536">
        <v>574</v>
      </c>
      <c r="G536" s="113">
        <v>4.4000000000000004</v>
      </c>
      <c r="H536">
        <v>8</v>
      </c>
      <c r="I536" t="s">
        <v>195</v>
      </c>
      <c r="J536">
        <v>17</v>
      </c>
      <c r="K536">
        <v>22</v>
      </c>
      <c r="L536">
        <v>19</v>
      </c>
      <c r="M536">
        <v>21.329499999999999</v>
      </c>
      <c r="N536">
        <v>31.210599999999999</v>
      </c>
      <c r="O536">
        <v>24.873100000000001</v>
      </c>
      <c r="P536">
        <v>17.099699999999999</v>
      </c>
      <c r="Q536">
        <v>22.387699999999999</v>
      </c>
      <c r="R536">
        <v>19.133400000000002</v>
      </c>
      <c r="T536" t="s">
        <v>168</v>
      </c>
      <c r="U536" t="s">
        <v>169</v>
      </c>
      <c r="V536" t="s">
        <v>196</v>
      </c>
      <c r="W536" t="s">
        <v>197</v>
      </c>
      <c r="Y536">
        <v>8</v>
      </c>
      <c r="Z536" t="s">
        <v>172</v>
      </c>
      <c r="AA536" t="s">
        <v>173</v>
      </c>
      <c r="AB536" t="s">
        <v>170</v>
      </c>
      <c r="AC536" t="s">
        <v>232</v>
      </c>
      <c r="AD536">
        <v>10</v>
      </c>
      <c r="AG536" t="s">
        <v>176</v>
      </c>
      <c r="AH536" t="s">
        <v>177</v>
      </c>
      <c r="AI536" t="s">
        <v>178</v>
      </c>
      <c r="AJ536" t="s">
        <v>179</v>
      </c>
      <c r="AK536" t="s">
        <v>664</v>
      </c>
      <c r="AL536" t="s">
        <v>665</v>
      </c>
      <c r="AS536">
        <v>3300</v>
      </c>
      <c r="AT536">
        <v>3300</v>
      </c>
      <c r="BN536" s="114" t="s">
        <v>256</v>
      </c>
      <c r="BO536">
        <v>2</v>
      </c>
      <c r="BP536">
        <v>2</v>
      </c>
      <c r="BQ536">
        <v>33</v>
      </c>
      <c r="BR536" t="s">
        <v>1062</v>
      </c>
      <c r="BT536" t="s">
        <v>183</v>
      </c>
      <c r="BU536" s="115">
        <v>45748</v>
      </c>
      <c r="BV536">
        <v>36633</v>
      </c>
      <c r="BW536" s="116"/>
      <c r="BX536" t="s">
        <v>173</v>
      </c>
      <c r="BY536" t="s">
        <v>173</v>
      </c>
      <c r="CB536" t="s">
        <v>173</v>
      </c>
      <c r="CC536" t="s">
        <v>173</v>
      </c>
      <c r="CE536" t="s">
        <v>173</v>
      </c>
      <c r="CG536" t="s">
        <v>172</v>
      </c>
      <c r="CH536" t="s">
        <v>282</v>
      </c>
      <c r="CI536" t="s">
        <v>172</v>
      </c>
      <c r="CJ536" t="s">
        <v>283</v>
      </c>
      <c r="CK536" t="s">
        <v>259</v>
      </c>
      <c r="CM536">
        <v>1</v>
      </c>
      <c r="CN536" t="s">
        <v>260</v>
      </c>
      <c r="CP536">
        <v>44</v>
      </c>
      <c r="CQ536">
        <v>10</v>
      </c>
      <c r="CR536">
        <v>38</v>
      </c>
      <c r="CS536" t="s">
        <v>261</v>
      </c>
      <c r="CV536" t="s">
        <v>262</v>
      </c>
      <c r="CX536" t="s">
        <v>263</v>
      </c>
      <c r="CY536" t="s">
        <v>173</v>
      </c>
      <c r="DC536" t="s">
        <v>548</v>
      </c>
      <c r="DD536">
        <v>1</v>
      </c>
      <c r="DE536" t="s">
        <v>307</v>
      </c>
      <c r="DF536" t="s">
        <v>330</v>
      </c>
      <c r="DG536">
        <v>9</v>
      </c>
      <c r="DJ536" t="s">
        <v>201</v>
      </c>
      <c r="DK536" t="s">
        <v>202</v>
      </c>
      <c r="DL536" t="s">
        <v>173</v>
      </c>
      <c r="DM536" t="s">
        <v>173</v>
      </c>
      <c r="DN536" t="s">
        <v>173</v>
      </c>
      <c r="DO536" t="s">
        <v>266</v>
      </c>
      <c r="DP536" t="s">
        <v>172</v>
      </c>
      <c r="DQ536" t="s">
        <v>204</v>
      </c>
      <c r="EA536" s="117"/>
      <c r="EB536">
        <v>4</v>
      </c>
      <c r="EC536">
        <v>4</v>
      </c>
      <c r="EE536" t="s">
        <v>549</v>
      </c>
      <c r="EF536">
        <v>4</v>
      </c>
      <c r="EV536">
        <v>8000</v>
      </c>
      <c r="EW536">
        <v>512</v>
      </c>
      <c r="EX536">
        <v>391</v>
      </c>
      <c r="EY536">
        <v>458</v>
      </c>
    </row>
    <row r="537" spans="1:155" x14ac:dyDescent="0.35">
      <c r="A537">
        <v>2026</v>
      </c>
      <c r="B537" t="s">
        <v>192</v>
      </c>
      <c r="C537" s="112" t="s">
        <v>192</v>
      </c>
      <c r="D537" t="s">
        <v>1080</v>
      </c>
      <c r="E537" t="s">
        <v>194</v>
      </c>
      <c r="F537">
        <v>571</v>
      </c>
      <c r="G537" s="113">
        <v>3</v>
      </c>
      <c r="H537">
        <v>6</v>
      </c>
      <c r="I537" t="s">
        <v>195</v>
      </c>
      <c r="J537">
        <v>23</v>
      </c>
      <c r="K537">
        <v>27</v>
      </c>
      <c r="L537">
        <v>25</v>
      </c>
      <c r="M537">
        <v>30</v>
      </c>
      <c r="N537">
        <v>38.4</v>
      </c>
      <c r="O537">
        <v>33.275599999999997</v>
      </c>
      <c r="P537">
        <v>23.3858</v>
      </c>
      <c r="Q537">
        <v>27.098800000000001</v>
      </c>
      <c r="R537">
        <v>24.922499999999999</v>
      </c>
      <c r="T537" t="s">
        <v>168</v>
      </c>
      <c r="U537" t="s">
        <v>169</v>
      </c>
      <c r="V537" t="s">
        <v>196</v>
      </c>
      <c r="W537" t="s">
        <v>197</v>
      </c>
      <c r="Y537">
        <v>8</v>
      </c>
      <c r="Z537" t="s">
        <v>172</v>
      </c>
      <c r="AA537" t="s">
        <v>173</v>
      </c>
      <c r="AB537" t="s">
        <v>170</v>
      </c>
      <c r="AC537" t="s">
        <v>232</v>
      </c>
      <c r="AD537">
        <v>10</v>
      </c>
      <c r="AG537" t="s">
        <v>176</v>
      </c>
      <c r="AH537" t="s">
        <v>177</v>
      </c>
      <c r="AI537" t="s">
        <v>178</v>
      </c>
      <c r="AJ537" t="s">
        <v>179</v>
      </c>
      <c r="AK537" t="s">
        <v>664</v>
      </c>
      <c r="AL537" t="s">
        <v>665</v>
      </c>
      <c r="AS537">
        <v>2500</v>
      </c>
      <c r="AT537">
        <v>2500</v>
      </c>
      <c r="BN537" s="114" t="s">
        <v>304</v>
      </c>
      <c r="BO537">
        <v>2</v>
      </c>
      <c r="BP537">
        <v>2</v>
      </c>
      <c r="BQ537">
        <v>33</v>
      </c>
      <c r="BR537" t="s">
        <v>1062</v>
      </c>
      <c r="BT537" t="s">
        <v>183</v>
      </c>
      <c r="BU537" s="115">
        <v>45748</v>
      </c>
      <c r="BV537">
        <v>36611</v>
      </c>
      <c r="BW537" s="116"/>
      <c r="BX537" t="s">
        <v>172</v>
      </c>
      <c r="BY537" t="s">
        <v>173</v>
      </c>
      <c r="CB537" t="s">
        <v>173</v>
      </c>
      <c r="CC537" t="s">
        <v>173</v>
      </c>
      <c r="CE537" t="s">
        <v>173</v>
      </c>
      <c r="CG537" t="s">
        <v>172</v>
      </c>
      <c r="CH537" t="s">
        <v>282</v>
      </c>
      <c r="CI537" t="s">
        <v>172</v>
      </c>
      <c r="CJ537" t="s">
        <v>305</v>
      </c>
      <c r="CK537" t="s">
        <v>259</v>
      </c>
      <c r="CM537">
        <v>1</v>
      </c>
      <c r="CN537" t="s">
        <v>260</v>
      </c>
      <c r="CP537">
        <v>44</v>
      </c>
      <c r="CQ537">
        <v>10</v>
      </c>
      <c r="CR537">
        <v>38</v>
      </c>
      <c r="CS537" t="s">
        <v>261</v>
      </c>
      <c r="CV537" t="s">
        <v>262</v>
      </c>
      <c r="CX537" t="s">
        <v>263</v>
      </c>
      <c r="CY537" t="s">
        <v>173</v>
      </c>
      <c r="DC537" t="s">
        <v>544</v>
      </c>
      <c r="DD537">
        <v>1</v>
      </c>
      <c r="DE537" t="s">
        <v>307</v>
      </c>
      <c r="DF537" t="s">
        <v>330</v>
      </c>
      <c r="DG537">
        <v>9</v>
      </c>
      <c r="DJ537" t="s">
        <v>250</v>
      </c>
      <c r="DK537" t="s">
        <v>251</v>
      </c>
      <c r="DL537" t="s">
        <v>173</v>
      </c>
      <c r="DM537" t="s">
        <v>173</v>
      </c>
      <c r="DN537" t="s">
        <v>173</v>
      </c>
      <c r="DO537" t="s">
        <v>309</v>
      </c>
      <c r="DP537" t="s">
        <v>172</v>
      </c>
      <c r="DQ537" t="s">
        <v>204</v>
      </c>
      <c r="EA537" s="117"/>
      <c r="EB537">
        <v>5</v>
      </c>
      <c r="EC537">
        <v>5</v>
      </c>
      <c r="EE537" t="s">
        <v>545</v>
      </c>
      <c r="EF537">
        <v>6</v>
      </c>
      <c r="EV537">
        <v>4000</v>
      </c>
      <c r="EW537">
        <v>375</v>
      </c>
      <c r="EX537">
        <v>323</v>
      </c>
      <c r="EY537">
        <v>352</v>
      </c>
    </row>
    <row r="538" spans="1:155" x14ac:dyDescent="0.35">
      <c r="A538">
        <v>2026</v>
      </c>
      <c r="B538" t="s">
        <v>192</v>
      </c>
      <c r="C538" s="112" t="s">
        <v>192</v>
      </c>
      <c r="D538" t="s">
        <v>1081</v>
      </c>
      <c r="E538" t="s">
        <v>194</v>
      </c>
      <c r="F538">
        <v>691</v>
      </c>
      <c r="G538" s="113">
        <v>4.4000000000000004</v>
      </c>
      <c r="H538">
        <v>8</v>
      </c>
      <c r="I538" t="s">
        <v>195</v>
      </c>
      <c r="J538">
        <v>13</v>
      </c>
      <c r="K538">
        <v>18</v>
      </c>
      <c r="L538">
        <v>15</v>
      </c>
      <c r="M538">
        <v>15.8142</v>
      </c>
      <c r="N538">
        <v>25.0123</v>
      </c>
      <c r="O538">
        <v>18.950199999999999</v>
      </c>
      <c r="P538">
        <v>12.9117</v>
      </c>
      <c r="Q538">
        <v>18.1998</v>
      </c>
      <c r="R538">
        <v>14.853899999999999</v>
      </c>
      <c r="T538" t="s">
        <v>168</v>
      </c>
      <c r="U538" t="s">
        <v>169</v>
      </c>
      <c r="V538" t="s">
        <v>196</v>
      </c>
      <c r="W538" t="s">
        <v>197</v>
      </c>
      <c r="Y538">
        <v>8</v>
      </c>
      <c r="Z538" t="s">
        <v>172</v>
      </c>
      <c r="AA538" t="s">
        <v>173</v>
      </c>
      <c r="AB538" t="s">
        <v>170</v>
      </c>
      <c r="AC538" t="s">
        <v>232</v>
      </c>
      <c r="AD538">
        <v>10</v>
      </c>
      <c r="AG538" t="s">
        <v>216</v>
      </c>
      <c r="AH538" t="s">
        <v>217</v>
      </c>
      <c r="AI538" t="s">
        <v>178</v>
      </c>
      <c r="AJ538" t="s">
        <v>179</v>
      </c>
      <c r="AK538" t="s">
        <v>664</v>
      </c>
      <c r="AL538" t="s">
        <v>665</v>
      </c>
      <c r="AS538">
        <v>4150</v>
      </c>
      <c r="AT538">
        <v>4150</v>
      </c>
      <c r="BN538" s="114" t="s">
        <v>256</v>
      </c>
      <c r="BO538">
        <v>2</v>
      </c>
      <c r="BP538">
        <v>2</v>
      </c>
      <c r="BQ538">
        <v>33</v>
      </c>
      <c r="BR538" t="s">
        <v>1062</v>
      </c>
      <c r="BT538" t="s">
        <v>183</v>
      </c>
      <c r="BU538" s="115">
        <v>45748</v>
      </c>
      <c r="BV538">
        <v>36433</v>
      </c>
      <c r="BW538" s="116"/>
      <c r="BX538" t="s">
        <v>172</v>
      </c>
      <c r="BY538" t="s">
        <v>173</v>
      </c>
      <c r="CB538" t="s">
        <v>173</v>
      </c>
      <c r="CC538" t="s">
        <v>173</v>
      </c>
      <c r="CE538" t="s">
        <v>173</v>
      </c>
      <c r="CG538" t="s">
        <v>172</v>
      </c>
      <c r="CH538" t="s">
        <v>282</v>
      </c>
      <c r="CI538" t="s">
        <v>172</v>
      </c>
      <c r="CJ538" t="s">
        <v>283</v>
      </c>
      <c r="CK538" t="s">
        <v>259</v>
      </c>
      <c r="CM538">
        <v>1</v>
      </c>
      <c r="CN538" t="s">
        <v>260</v>
      </c>
      <c r="CP538">
        <v>44</v>
      </c>
      <c r="CQ538">
        <v>10</v>
      </c>
      <c r="CR538">
        <v>38</v>
      </c>
      <c r="CS538" t="s">
        <v>261</v>
      </c>
      <c r="CV538" t="s">
        <v>262</v>
      </c>
      <c r="CX538" t="s">
        <v>263</v>
      </c>
      <c r="CY538" t="s">
        <v>173</v>
      </c>
      <c r="DC538" t="s">
        <v>1077</v>
      </c>
      <c r="DD538">
        <v>1</v>
      </c>
      <c r="DE538" t="s">
        <v>307</v>
      </c>
      <c r="DF538" t="s">
        <v>330</v>
      </c>
      <c r="DG538">
        <v>9</v>
      </c>
      <c r="DJ538" t="s">
        <v>201</v>
      </c>
      <c r="DK538" t="s">
        <v>202</v>
      </c>
      <c r="DL538" t="s">
        <v>173</v>
      </c>
      <c r="DM538" t="s">
        <v>173</v>
      </c>
      <c r="DN538" t="s">
        <v>173</v>
      </c>
      <c r="DO538" t="s">
        <v>266</v>
      </c>
      <c r="DP538" t="s">
        <v>172</v>
      </c>
      <c r="DQ538" t="s">
        <v>204</v>
      </c>
      <c r="EA538" s="117"/>
      <c r="EB538">
        <v>2</v>
      </c>
      <c r="EC538">
        <v>2</v>
      </c>
      <c r="EE538" t="s">
        <v>1078</v>
      </c>
      <c r="EF538">
        <v>4</v>
      </c>
      <c r="EV538">
        <v>12250</v>
      </c>
      <c r="EW538">
        <v>678</v>
      </c>
      <c r="EX538">
        <v>481</v>
      </c>
      <c r="EY538">
        <v>589</v>
      </c>
    </row>
    <row r="539" spans="1:155" x14ac:dyDescent="0.35">
      <c r="A539">
        <v>2026</v>
      </c>
      <c r="B539" t="s">
        <v>192</v>
      </c>
      <c r="C539" s="112" t="s">
        <v>192</v>
      </c>
      <c r="D539" t="s">
        <v>1082</v>
      </c>
      <c r="E539" t="s">
        <v>194</v>
      </c>
      <c r="F539">
        <v>674</v>
      </c>
      <c r="G539" s="113">
        <v>4.4000000000000004</v>
      </c>
      <c r="H539">
        <v>8</v>
      </c>
      <c r="I539" t="s">
        <v>195</v>
      </c>
      <c r="J539">
        <v>17</v>
      </c>
      <c r="K539">
        <v>22</v>
      </c>
      <c r="L539">
        <v>19</v>
      </c>
      <c r="M539">
        <v>21.329499999999999</v>
      </c>
      <c r="N539">
        <v>31.210599999999999</v>
      </c>
      <c r="O539">
        <v>24.873100000000001</v>
      </c>
      <c r="P539">
        <v>17.099699999999999</v>
      </c>
      <c r="Q539">
        <v>22.387699999999999</v>
      </c>
      <c r="R539">
        <v>19.133400000000002</v>
      </c>
      <c r="T539" t="s">
        <v>168</v>
      </c>
      <c r="U539" t="s">
        <v>169</v>
      </c>
      <c r="V539" t="s">
        <v>196</v>
      </c>
      <c r="W539" t="s">
        <v>197</v>
      </c>
      <c r="Y539">
        <v>8</v>
      </c>
      <c r="Z539" t="s">
        <v>172</v>
      </c>
      <c r="AA539" t="s">
        <v>173</v>
      </c>
      <c r="AB539" t="s">
        <v>170</v>
      </c>
      <c r="AC539" t="s">
        <v>232</v>
      </c>
      <c r="AD539">
        <v>10</v>
      </c>
      <c r="AG539" t="s">
        <v>176</v>
      </c>
      <c r="AH539" t="s">
        <v>177</v>
      </c>
      <c r="AI539" t="s">
        <v>178</v>
      </c>
      <c r="AJ539" t="s">
        <v>179</v>
      </c>
      <c r="AK539" t="s">
        <v>664</v>
      </c>
      <c r="AL539" t="s">
        <v>665</v>
      </c>
      <c r="AS539">
        <v>3300</v>
      </c>
      <c r="AT539">
        <v>3300</v>
      </c>
      <c r="BN539" s="114" t="s">
        <v>256</v>
      </c>
      <c r="BO539">
        <v>2</v>
      </c>
      <c r="BP539">
        <v>2</v>
      </c>
      <c r="BQ539">
        <v>33</v>
      </c>
      <c r="BR539" t="s">
        <v>1062</v>
      </c>
      <c r="BT539" t="s">
        <v>183</v>
      </c>
      <c r="BU539" s="115">
        <v>45748</v>
      </c>
      <c r="BV539">
        <v>36632</v>
      </c>
      <c r="BW539" s="116"/>
      <c r="BX539" t="s">
        <v>173</v>
      </c>
      <c r="BY539" t="s">
        <v>173</v>
      </c>
      <c r="CB539" t="s">
        <v>173</v>
      </c>
      <c r="CC539" t="s">
        <v>173</v>
      </c>
      <c r="CE539" t="s">
        <v>173</v>
      </c>
      <c r="CG539" t="s">
        <v>172</v>
      </c>
      <c r="CH539" t="s">
        <v>282</v>
      </c>
      <c r="CI539" t="s">
        <v>172</v>
      </c>
      <c r="CJ539" t="s">
        <v>283</v>
      </c>
      <c r="CK539" t="s">
        <v>259</v>
      </c>
      <c r="CM539">
        <v>1</v>
      </c>
      <c r="CN539" t="s">
        <v>260</v>
      </c>
      <c r="CP539">
        <v>44</v>
      </c>
      <c r="CQ539">
        <v>10</v>
      </c>
      <c r="CR539">
        <v>38</v>
      </c>
      <c r="CS539" t="s">
        <v>261</v>
      </c>
      <c r="CV539" t="s">
        <v>262</v>
      </c>
      <c r="CX539" t="s">
        <v>263</v>
      </c>
      <c r="CY539" t="s">
        <v>173</v>
      </c>
      <c r="DC539" t="s">
        <v>548</v>
      </c>
      <c r="DD539">
        <v>1</v>
      </c>
      <c r="DE539" t="s">
        <v>307</v>
      </c>
      <c r="DF539" t="s">
        <v>330</v>
      </c>
      <c r="DG539">
        <v>9</v>
      </c>
      <c r="DJ539" t="s">
        <v>201</v>
      </c>
      <c r="DK539" t="s">
        <v>202</v>
      </c>
      <c r="DL539" t="s">
        <v>173</v>
      </c>
      <c r="DM539" t="s">
        <v>173</v>
      </c>
      <c r="DN539" t="s">
        <v>173</v>
      </c>
      <c r="DO539" t="s">
        <v>266</v>
      </c>
      <c r="DP539" t="s">
        <v>172</v>
      </c>
      <c r="DQ539" t="s">
        <v>204</v>
      </c>
      <c r="EA539" s="117"/>
      <c r="EB539">
        <v>4</v>
      </c>
      <c r="EC539">
        <v>4</v>
      </c>
      <c r="EE539" t="s">
        <v>549</v>
      </c>
      <c r="EF539">
        <v>4</v>
      </c>
      <c r="EV539">
        <v>8000</v>
      </c>
      <c r="EW539">
        <v>512</v>
      </c>
      <c r="EX539">
        <v>391</v>
      </c>
      <c r="EY539">
        <v>458</v>
      </c>
    </row>
    <row r="540" spans="1:155" x14ac:dyDescent="0.35">
      <c r="A540">
        <v>2026</v>
      </c>
      <c r="B540" t="s">
        <v>192</v>
      </c>
      <c r="C540" s="112" t="s">
        <v>192</v>
      </c>
      <c r="D540" t="s">
        <v>1083</v>
      </c>
      <c r="E540" t="s">
        <v>194</v>
      </c>
      <c r="F540">
        <v>671</v>
      </c>
      <c r="G540" s="113">
        <v>3</v>
      </c>
      <c r="H540">
        <v>6</v>
      </c>
      <c r="I540" t="s">
        <v>195</v>
      </c>
      <c r="J540">
        <v>22</v>
      </c>
      <c r="K540">
        <v>26</v>
      </c>
      <c r="L540">
        <v>23</v>
      </c>
      <c r="M540">
        <v>27.3536</v>
      </c>
      <c r="N540">
        <v>37.183500000000002</v>
      </c>
      <c r="O540">
        <v>31.047000000000001</v>
      </c>
      <c r="P540">
        <v>21.504300000000001</v>
      </c>
      <c r="Q540">
        <v>26.3124</v>
      </c>
      <c r="R540">
        <v>23.431100000000001</v>
      </c>
      <c r="T540" t="s">
        <v>168</v>
      </c>
      <c r="U540" t="s">
        <v>169</v>
      </c>
      <c r="V540" t="s">
        <v>196</v>
      </c>
      <c r="W540" t="s">
        <v>197</v>
      </c>
      <c r="Y540">
        <v>8</v>
      </c>
      <c r="Z540" t="s">
        <v>172</v>
      </c>
      <c r="AA540" t="s">
        <v>173</v>
      </c>
      <c r="AB540" t="s">
        <v>170</v>
      </c>
      <c r="AC540" t="s">
        <v>232</v>
      </c>
      <c r="AD540">
        <v>10</v>
      </c>
      <c r="AG540" t="s">
        <v>176</v>
      </c>
      <c r="AH540" t="s">
        <v>177</v>
      </c>
      <c r="AI540" t="s">
        <v>178</v>
      </c>
      <c r="AJ540" t="s">
        <v>179</v>
      </c>
      <c r="AK540" t="s">
        <v>664</v>
      </c>
      <c r="AL540" t="s">
        <v>665</v>
      </c>
      <c r="AS540">
        <v>2700</v>
      </c>
      <c r="AT540">
        <v>2700</v>
      </c>
      <c r="BN540" s="114" t="s">
        <v>304</v>
      </c>
      <c r="BO540">
        <v>2</v>
      </c>
      <c r="BP540">
        <v>2</v>
      </c>
      <c r="BQ540">
        <v>33</v>
      </c>
      <c r="BR540" t="s">
        <v>1062</v>
      </c>
      <c r="BT540" t="s">
        <v>183</v>
      </c>
      <c r="BU540" s="115">
        <v>45748</v>
      </c>
      <c r="BV540">
        <v>36612</v>
      </c>
      <c r="BW540" s="116"/>
      <c r="BX540" t="s">
        <v>172</v>
      </c>
      <c r="BY540" t="s">
        <v>173</v>
      </c>
      <c r="CB540" t="s">
        <v>173</v>
      </c>
      <c r="CC540" t="s">
        <v>173</v>
      </c>
      <c r="CE540" t="s">
        <v>173</v>
      </c>
      <c r="CG540" t="s">
        <v>172</v>
      </c>
      <c r="CH540" t="s">
        <v>282</v>
      </c>
      <c r="CI540" t="s">
        <v>172</v>
      </c>
      <c r="CJ540" t="s">
        <v>305</v>
      </c>
      <c r="CK540" t="s">
        <v>259</v>
      </c>
      <c r="CM540">
        <v>1</v>
      </c>
      <c r="CN540" t="s">
        <v>260</v>
      </c>
      <c r="CP540">
        <v>44</v>
      </c>
      <c r="CQ540">
        <v>10</v>
      </c>
      <c r="CR540">
        <v>38</v>
      </c>
      <c r="CS540" t="s">
        <v>261</v>
      </c>
      <c r="CV540" t="s">
        <v>262</v>
      </c>
      <c r="CX540" t="s">
        <v>263</v>
      </c>
      <c r="CY540" t="s">
        <v>173</v>
      </c>
      <c r="DC540" t="s">
        <v>544</v>
      </c>
      <c r="DD540">
        <v>1</v>
      </c>
      <c r="DE540" t="s">
        <v>307</v>
      </c>
      <c r="DF540" t="s">
        <v>330</v>
      </c>
      <c r="DG540">
        <v>9</v>
      </c>
      <c r="DJ540" t="s">
        <v>250</v>
      </c>
      <c r="DK540" t="s">
        <v>251</v>
      </c>
      <c r="DL540" t="s">
        <v>173</v>
      </c>
      <c r="DM540" t="s">
        <v>173</v>
      </c>
      <c r="DN540" t="s">
        <v>173</v>
      </c>
      <c r="DO540" t="s">
        <v>309</v>
      </c>
      <c r="DP540" t="s">
        <v>172</v>
      </c>
      <c r="DQ540" t="s">
        <v>204</v>
      </c>
      <c r="EA540" s="117"/>
      <c r="EB540">
        <v>5</v>
      </c>
      <c r="EC540">
        <v>5</v>
      </c>
      <c r="EE540" t="s">
        <v>545</v>
      </c>
      <c r="EF540">
        <v>6</v>
      </c>
      <c r="EV540">
        <v>5000</v>
      </c>
      <c r="EW540">
        <v>406</v>
      </c>
      <c r="EX540">
        <v>332</v>
      </c>
      <c r="EY540">
        <v>372</v>
      </c>
    </row>
    <row r="541" spans="1:155" x14ac:dyDescent="0.35">
      <c r="A541">
        <v>2026</v>
      </c>
      <c r="B541" t="s">
        <v>192</v>
      </c>
      <c r="C541" s="112" t="s">
        <v>192</v>
      </c>
      <c r="D541" t="s">
        <v>1084</v>
      </c>
      <c r="E541" t="s">
        <v>194</v>
      </c>
      <c r="F541">
        <v>774</v>
      </c>
      <c r="G541" s="113">
        <v>4.4000000000000004</v>
      </c>
      <c r="H541">
        <v>8</v>
      </c>
      <c r="I541" t="s">
        <v>195</v>
      </c>
      <c r="J541">
        <v>16</v>
      </c>
      <c r="K541">
        <v>20</v>
      </c>
      <c r="L541">
        <v>18</v>
      </c>
      <c r="M541">
        <v>19.8828</v>
      </c>
      <c r="N541">
        <v>28.113199999999999</v>
      </c>
      <c r="O541">
        <v>22.8996</v>
      </c>
      <c r="P541">
        <v>16.015899999999998</v>
      </c>
      <c r="Q541">
        <v>20.309899999999999</v>
      </c>
      <c r="R541">
        <v>17.6999</v>
      </c>
      <c r="T541" t="s">
        <v>168</v>
      </c>
      <c r="U541" t="s">
        <v>169</v>
      </c>
      <c r="V541" t="s">
        <v>196</v>
      </c>
      <c r="W541" t="s">
        <v>197</v>
      </c>
      <c r="Y541">
        <v>8</v>
      </c>
      <c r="Z541" t="s">
        <v>172</v>
      </c>
      <c r="AA541" t="s">
        <v>173</v>
      </c>
      <c r="AB541" t="s">
        <v>170</v>
      </c>
      <c r="AC541" t="s">
        <v>232</v>
      </c>
      <c r="AD541">
        <v>10</v>
      </c>
      <c r="AG541" t="s">
        <v>176</v>
      </c>
      <c r="AH541" t="s">
        <v>177</v>
      </c>
      <c r="AI541" t="s">
        <v>178</v>
      </c>
      <c r="AJ541" t="s">
        <v>179</v>
      </c>
      <c r="AK541" t="s">
        <v>664</v>
      </c>
      <c r="AL541" t="s">
        <v>665</v>
      </c>
      <c r="AS541">
        <v>3450</v>
      </c>
      <c r="AT541">
        <v>3450</v>
      </c>
      <c r="BN541" s="114" t="s">
        <v>256</v>
      </c>
      <c r="BO541">
        <v>2</v>
      </c>
      <c r="BP541">
        <v>2</v>
      </c>
      <c r="BQ541">
        <v>33</v>
      </c>
      <c r="BR541" t="s">
        <v>1062</v>
      </c>
      <c r="BT541" t="s">
        <v>183</v>
      </c>
      <c r="BU541" s="115">
        <v>45748</v>
      </c>
      <c r="BV541">
        <v>36631</v>
      </c>
      <c r="BW541" s="116"/>
      <c r="BX541" t="s">
        <v>172</v>
      </c>
      <c r="BY541" t="s">
        <v>173</v>
      </c>
      <c r="CB541" t="s">
        <v>173</v>
      </c>
      <c r="CC541" t="s">
        <v>173</v>
      </c>
      <c r="CE541" t="s">
        <v>173</v>
      </c>
      <c r="CG541" t="s">
        <v>172</v>
      </c>
      <c r="CH541" t="s">
        <v>282</v>
      </c>
      <c r="CI541" t="s">
        <v>172</v>
      </c>
      <c r="CJ541" t="s">
        <v>283</v>
      </c>
      <c r="CK541" t="s">
        <v>259</v>
      </c>
      <c r="CM541">
        <v>1</v>
      </c>
      <c r="CN541" t="s">
        <v>260</v>
      </c>
      <c r="CP541">
        <v>44</v>
      </c>
      <c r="CQ541">
        <v>10</v>
      </c>
      <c r="CR541">
        <v>38</v>
      </c>
      <c r="CS541" t="s">
        <v>261</v>
      </c>
      <c r="CV541" t="s">
        <v>262</v>
      </c>
      <c r="CX541" t="s">
        <v>263</v>
      </c>
      <c r="CY541" t="s">
        <v>173</v>
      </c>
      <c r="DC541" t="s">
        <v>548</v>
      </c>
      <c r="DD541">
        <v>1</v>
      </c>
      <c r="DE541" t="s">
        <v>307</v>
      </c>
      <c r="DF541" t="s">
        <v>330</v>
      </c>
      <c r="DG541">
        <v>9</v>
      </c>
      <c r="DJ541" t="s">
        <v>201</v>
      </c>
      <c r="DK541" t="s">
        <v>202</v>
      </c>
      <c r="DL541" t="s">
        <v>173</v>
      </c>
      <c r="DM541" t="s">
        <v>173</v>
      </c>
      <c r="DN541" t="s">
        <v>173</v>
      </c>
      <c r="DO541" t="s">
        <v>266</v>
      </c>
      <c r="DP541" t="s">
        <v>172</v>
      </c>
      <c r="DQ541" t="s">
        <v>204</v>
      </c>
      <c r="EA541" s="117"/>
      <c r="EB541">
        <v>3</v>
      </c>
      <c r="EC541">
        <v>3</v>
      </c>
      <c r="EE541" t="s">
        <v>549</v>
      </c>
      <c r="EF541">
        <v>4</v>
      </c>
      <c r="EV541">
        <v>8750</v>
      </c>
      <c r="EW541">
        <v>550</v>
      </c>
      <c r="EX541">
        <v>435</v>
      </c>
      <c r="EY541">
        <v>498</v>
      </c>
    </row>
    <row r="542" spans="1:155" x14ac:dyDescent="0.35">
      <c r="A542">
        <v>2026</v>
      </c>
      <c r="B542" t="s">
        <v>192</v>
      </c>
      <c r="C542" s="112" t="s">
        <v>192</v>
      </c>
      <c r="D542" t="s">
        <v>1085</v>
      </c>
      <c r="E542" t="s">
        <v>194</v>
      </c>
      <c r="F542">
        <v>770</v>
      </c>
      <c r="G542" s="113">
        <v>3</v>
      </c>
      <c r="H542">
        <v>6</v>
      </c>
      <c r="I542" t="s">
        <v>195</v>
      </c>
      <c r="J542">
        <v>21</v>
      </c>
      <c r="K542">
        <v>25</v>
      </c>
      <c r="L542">
        <v>23</v>
      </c>
      <c r="M542">
        <v>26.3049</v>
      </c>
      <c r="N542">
        <v>35.524299999999997</v>
      </c>
      <c r="O542">
        <v>29.783200000000001</v>
      </c>
      <c r="P542">
        <v>20.7499</v>
      </c>
      <c r="Q542">
        <v>25.232900000000001</v>
      </c>
      <c r="R542">
        <v>22.553000000000001</v>
      </c>
      <c r="T542" t="s">
        <v>168</v>
      </c>
      <c r="U542" t="s">
        <v>169</v>
      </c>
      <c r="V542" t="s">
        <v>196</v>
      </c>
      <c r="W542" t="s">
        <v>197</v>
      </c>
      <c r="Y542">
        <v>8</v>
      </c>
      <c r="Z542" t="s">
        <v>172</v>
      </c>
      <c r="AA542" t="s">
        <v>173</v>
      </c>
      <c r="AB542" t="s">
        <v>170</v>
      </c>
      <c r="AC542" t="s">
        <v>232</v>
      </c>
      <c r="AD542">
        <v>10</v>
      </c>
      <c r="AG542" t="s">
        <v>176</v>
      </c>
      <c r="AH542" t="s">
        <v>177</v>
      </c>
      <c r="AI542" t="s">
        <v>178</v>
      </c>
      <c r="AJ542" t="s">
        <v>179</v>
      </c>
      <c r="AK542" t="s">
        <v>664</v>
      </c>
      <c r="AL542" t="s">
        <v>665</v>
      </c>
      <c r="AS542">
        <v>2700</v>
      </c>
      <c r="AT542">
        <v>2700</v>
      </c>
      <c r="BN542" s="114" t="s">
        <v>304</v>
      </c>
      <c r="BO542">
        <v>2</v>
      </c>
      <c r="BP542">
        <v>2</v>
      </c>
      <c r="BQ542">
        <v>33</v>
      </c>
      <c r="BR542" t="s">
        <v>1062</v>
      </c>
      <c r="BT542" t="s">
        <v>183</v>
      </c>
      <c r="BU542" s="115">
        <v>45748</v>
      </c>
      <c r="BV542">
        <v>36613</v>
      </c>
      <c r="BW542" s="116"/>
      <c r="BX542" t="s">
        <v>173</v>
      </c>
      <c r="BY542" t="s">
        <v>173</v>
      </c>
      <c r="CB542" t="s">
        <v>173</v>
      </c>
      <c r="CC542" t="s">
        <v>173</v>
      </c>
      <c r="CE542" t="s">
        <v>173</v>
      </c>
      <c r="CG542" t="s">
        <v>172</v>
      </c>
      <c r="CH542" t="s">
        <v>282</v>
      </c>
      <c r="CI542" t="s">
        <v>172</v>
      </c>
      <c r="CJ542" t="s">
        <v>305</v>
      </c>
      <c r="CK542" t="s">
        <v>259</v>
      </c>
      <c r="CM542">
        <v>1</v>
      </c>
      <c r="CN542" t="s">
        <v>260</v>
      </c>
      <c r="CP542">
        <v>44</v>
      </c>
      <c r="CQ542">
        <v>10</v>
      </c>
      <c r="CR542">
        <v>38</v>
      </c>
      <c r="CS542" t="s">
        <v>261</v>
      </c>
      <c r="CV542" t="s">
        <v>262</v>
      </c>
      <c r="CX542" t="s">
        <v>263</v>
      </c>
      <c r="CY542" t="s">
        <v>173</v>
      </c>
      <c r="DC542" t="s">
        <v>544</v>
      </c>
      <c r="DD542">
        <v>1</v>
      </c>
      <c r="DE542" t="s">
        <v>307</v>
      </c>
      <c r="DF542" t="s">
        <v>330</v>
      </c>
      <c r="DG542">
        <v>9</v>
      </c>
      <c r="DJ542" t="s">
        <v>250</v>
      </c>
      <c r="DK542" t="s">
        <v>251</v>
      </c>
      <c r="DL542" t="s">
        <v>173</v>
      </c>
      <c r="DM542" t="s">
        <v>173</v>
      </c>
      <c r="DN542" t="s">
        <v>173</v>
      </c>
      <c r="DO542" t="s">
        <v>309</v>
      </c>
      <c r="DP542" t="s">
        <v>172</v>
      </c>
      <c r="DQ542" t="s">
        <v>204</v>
      </c>
      <c r="EA542" s="117"/>
      <c r="EB542">
        <v>5</v>
      </c>
      <c r="EC542">
        <v>5</v>
      </c>
      <c r="EE542" t="s">
        <v>545</v>
      </c>
      <c r="EF542">
        <v>6</v>
      </c>
      <c r="EV542">
        <v>5000</v>
      </c>
      <c r="EW542">
        <v>420</v>
      </c>
      <c r="EX542">
        <v>346</v>
      </c>
      <c r="EY542">
        <v>387</v>
      </c>
    </row>
    <row r="543" spans="1:155" x14ac:dyDescent="0.35">
      <c r="A543">
        <v>2026</v>
      </c>
      <c r="B543" t="s">
        <v>211</v>
      </c>
      <c r="C543" s="112" t="s">
        <v>609</v>
      </c>
      <c r="D543" t="s">
        <v>1086</v>
      </c>
      <c r="E543" t="s">
        <v>214</v>
      </c>
      <c r="F543">
        <v>856</v>
      </c>
      <c r="G543" s="113">
        <v>2.5</v>
      </c>
      <c r="H543">
        <v>4</v>
      </c>
      <c r="I543" t="s">
        <v>166</v>
      </c>
      <c r="J543">
        <v>20</v>
      </c>
      <c r="K543">
        <v>24</v>
      </c>
      <c r="L543">
        <v>21</v>
      </c>
      <c r="M543">
        <v>24.6358</v>
      </c>
      <c r="N543">
        <v>34.809699999999999</v>
      </c>
      <c r="O543">
        <v>28.366599999999998</v>
      </c>
      <c r="P543">
        <v>19.538499999999999</v>
      </c>
      <c r="Q543">
        <v>24</v>
      </c>
      <c r="R543">
        <v>21</v>
      </c>
      <c r="T543" t="s">
        <v>168</v>
      </c>
      <c r="U543" t="s">
        <v>169</v>
      </c>
      <c r="V543" t="s">
        <v>170</v>
      </c>
      <c r="W543" t="s">
        <v>171</v>
      </c>
      <c r="Y543">
        <v>8</v>
      </c>
      <c r="Z543" t="s">
        <v>172</v>
      </c>
      <c r="AA543" t="s">
        <v>173</v>
      </c>
      <c r="AB543" t="s">
        <v>170</v>
      </c>
      <c r="AC543" t="s">
        <v>232</v>
      </c>
      <c r="AD543">
        <v>10</v>
      </c>
      <c r="AG543" t="s">
        <v>167</v>
      </c>
      <c r="AH543" t="s">
        <v>416</v>
      </c>
      <c r="AI543" t="s">
        <v>178</v>
      </c>
      <c r="AJ543" t="s">
        <v>179</v>
      </c>
      <c r="AK543" t="s">
        <v>664</v>
      </c>
      <c r="AL543" t="s">
        <v>665</v>
      </c>
      <c r="AS543">
        <v>2350</v>
      </c>
      <c r="AT543">
        <v>2350</v>
      </c>
      <c r="BN543" s="114" t="s">
        <v>198</v>
      </c>
      <c r="BO543">
        <v>2</v>
      </c>
      <c r="BP543">
        <v>2</v>
      </c>
      <c r="BQ543">
        <v>33</v>
      </c>
      <c r="BR543" t="s">
        <v>1062</v>
      </c>
      <c r="BT543" t="s">
        <v>183</v>
      </c>
      <c r="BU543" s="115">
        <v>45845</v>
      </c>
      <c r="BV543">
        <v>36796</v>
      </c>
      <c r="BW543" s="116"/>
      <c r="BX543" t="s">
        <v>173</v>
      </c>
      <c r="BY543" t="s">
        <v>173</v>
      </c>
      <c r="CB543" t="s">
        <v>173</v>
      </c>
      <c r="CC543" t="s">
        <v>173</v>
      </c>
      <c r="CE543" t="s">
        <v>173</v>
      </c>
      <c r="CG543" t="s">
        <v>172</v>
      </c>
      <c r="CH543" t="s">
        <v>224</v>
      </c>
      <c r="CI543" t="s">
        <v>173</v>
      </c>
      <c r="DJ543" t="s">
        <v>201</v>
      </c>
      <c r="DK543" t="s">
        <v>202</v>
      </c>
      <c r="DN543" t="s">
        <v>173</v>
      </c>
      <c r="DO543" t="s">
        <v>203</v>
      </c>
      <c r="DP543" t="s">
        <v>172</v>
      </c>
      <c r="DQ543" t="s">
        <v>204</v>
      </c>
      <c r="EA543" s="117"/>
      <c r="EB543">
        <v>4</v>
      </c>
      <c r="EC543">
        <v>4</v>
      </c>
      <c r="EE543" t="s">
        <v>1037</v>
      </c>
      <c r="EF543">
        <v>6</v>
      </c>
      <c r="EV543">
        <v>3250</v>
      </c>
      <c r="EW543">
        <v>454</v>
      </c>
      <c r="EX543">
        <v>370</v>
      </c>
      <c r="EY543">
        <v>423</v>
      </c>
    </row>
    <row r="544" spans="1:155" x14ac:dyDescent="0.35">
      <c r="A544">
        <v>2026</v>
      </c>
      <c r="B544" t="s">
        <v>211</v>
      </c>
      <c r="C544" s="112" t="s">
        <v>388</v>
      </c>
      <c r="D544" t="s">
        <v>1335</v>
      </c>
      <c r="E544" t="s">
        <v>214</v>
      </c>
      <c r="F544">
        <v>590</v>
      </c>
      <c r="G544" s="113">
        <v>6.2</v>
      </c>
      <c r="H544">
        <v>8</v>
      </c>
      <c r="I544" t="s">
        <v>669</v>
      </c>
      <c r="J544">
        <v>14</v>
      </c>
      <c r="K544">
        <v>18</v>
      </c>
      <c r="L544">
        <v>16</v>
      </c>
      <c r="M544">
        <v>18.2</v>
      </c>
      <c r="N544">
        <v>27.3</v>
      </c>
      <c r="O544">
        <v>21.411799999999999</v>
      </c>
      <c r="P544">
        <v>14</v>
      </c>
      <c r="Q544">
        <v>18</v>
      </c>
      <c r="R544">
        <v>16.296900000000001</v>
      </c>
      <c r="U544" t="s">
        <v>215</v>
      </c>
      <c r="V544" t="s">
        <v>170</v>
      </c>
      <c r="W544" t="s">
        <v>171</v>
      </c>
      <c r="Y544">
        <v>10</v>
      </c>
      <c r="Z544" t="s">
        <v>172</v>
      </c>
      <c r="AA544" t="s">
        <v>173</v>
      </c>
      <c r="AB544">
        <v>4</v>
      </c>
      <c r="AC544" t="s">
        <v>423</v>
      </c>
      <c r="AD544">
        <v>10</v>
      </c>
      <c r="AG544" t="s">
        <v>176</v>
      </c>
      <c r="AH544" t="s">
        <v>177</v>
      </c>
      <c r="AI544" t="s">
        <v>178</v>
      </c>
      <c r="AJ544" t="s">
        <v>179</v>
      </c>
      <c r="AK544" t="s">
        <v>664</v>
      </c>
      <c r="AL544" t="s">
        <v>665</v>
      </c>
      <c r="AS544">
        <v>3900</v>
      </c>
      <c r="AT544">
        <v>3900</v>
      </c>
      <c r="BN544" s="114" t="s">
        <v>198</v>
      </c>
      <c r="BO544">
        <v>1</v>
      </c>
      <c r="BP544">
        <v>1</v>
      </c>
      <c r="BQ544">
        <v>33</v>
      </c>
      <c r="BR544" t="s">
        <v>1062</v>
      </c>
      <c r="BT544" t="s">
        <v>613</v>
      </c>
      <c r="BU544" s="115">
        <v>45908</v>
      </c>
      <c r="BV544">
        <v>36836</v>
      </c>
      <c r="BW544" s="116"/>
      <c r="BX544" t="s">
        <v>173</v>
      </c>
      <c r="BY544" t="s">
        <v>173</v>
      </c>
      <c r="CB544" t="s">
        <v>173</v>
      </c>
      <c r="CC544" t="s">
        <v>173</v>
      </c>
      <c r="CE544" t="s">
        <v>172</v>
      </c>
      <c r="CF544" t="s">
        <v>676</v>
      </c>
      <c r="CG544" t="s">
        <v>172</v>
      </c>
      <c r="CH544" t="s">
        <v>677</v>
      </c>
      <c r="CI544" t="s">
        <v>173</v>
      </c>
      <c r="DJ544" t="s">
        <v>201</v>
      </c>
      <c r="DK544" t="s">
        <v>202</v>
      </c>
      <c r="DN544" t="s">
        <v>173</v>
      </c>
      <c r="DO544" t="s">
        <v>203</v>
      </c>
      <c r="DP544" t="s">
        <v>172</v>
      </c>
      <c r="DQ544" t="s">
        <v>204</v>
      </c>
      <c r="EA544" s="117"/>
      <c r="EB544">
        <v>3</v>
      </c>
      <c r="EC544">
        <v>3</v>
      </c>
      <c r="EE544" t="s">
        <v>717</v>
      </c>
      <c r="EF544">
        <v>5</v>
      </c>
      <c r="EV544">
        <v>11000</v>
      </c>
      <c r="EW544">
        <v>634</v>
      </c>
      <c r="EX544">
        <v>495</v>
      </c>
      <c r="EY544">
        <v>572</v>
      </c>
    </row>
    <row r="545" spans="1:155" x14ac:dyDescent="0.35">
      <c r="A545">
        <v>2026</v>
      </c>
      <c r="B545" t="s">
        <v>211</v>
      </c>
      <c r="C545" s="112" t="s">
        <v>388</v>
      </c>
      <c r="D545" t="s">
        <v>1336</v>
      </c>
      <c r="E545" t="s">
        <v>214</v>
      </c>
      <c r="F545">
        <v>520</v>
      </c>
      <c r="G545" s="113">
        <v>6.2</v>
      </c>
      <c r="H545">
        <v>8</v>
      </c>
      <c r="I545" t="s">
        <v>246</v>
      </c>
      <c r="J545">
        <v>11</v>
      </c>
      <c r="K545">
        <v>17</v>
      </c>
      <c r="L545">
        <v>13</v>
      </c>
      <c r="M545">
        <v>13.8309</v>
      </c>
      <c r="N545">
        <v>24.2544</v>
      </c>
      <c r="O545">
        <v>17.146999999999998</v>
      </c>
      <c r="P545">
        <v>11.367699999999999</v>
      </c>
      <c r="Q545">
        <v>17</v>
      </c>
      <c r="R545">
        <v>13</v>
      </c>
      <c r="T545" t="s">
        <v>478</v>
      </c>
      <c r="U545" t="s">
        <v>479</v>
      </c>
      <c r="V545" t="s">
        <v>196</v>
      </c>
      <c r="W545" t="s">
        <v>197</v>
      </c>
      <c r="Y545">
        <v>10</v>
      </c>
      <c r="Z545" t="s">
        <v>172</v>
      </c>
      <c r="AA545" t="s">
        <v>173</v>
      </c>
      <c r="AB545">
        <v>4</v>
      </c>
      <c r="AC545" t="s">
        <v>423</v>
      </c>
      <c r="AD545">
        <v>10</v>
      </c>
      <c r="AG545" t="s">
        <v>216</v>
      </c>
      <c r="AH545" t="s">
        <v>217</v>
      </c>
      <c r="AI545" t="s">
        <v>178</v>
      </c>
      <c r="AJ545" t="s">
        <v>179</v>
      </c>
      <c r="AK545" t="s">
        <v>664</v>
      </c>
      <c r="AL545" t="s">
        <v>665</v>
      </c>
      <c r="AS545">
        <v>4800</v>
      </c>
      <c r="AT545">
        <v>4800</v>
      </c>
      <c r="BN545" s="114" t="s">
        <v>198</v>
      </c>
      <c r="BO545">
        <v>1</v>
      </c>
      <c r="BP545">
        <v>1</v>
      </c>
      <c r="BQ545">
        <v>33</v>
      </c>
      <c r="BR545" t="s">
        <v>1062</v>
      </c>
      <c r="BT545" t="s">
        <v>183</v>
      </c>
      <c r="BU545" s="115">
        <v>45908</v>
      </c>
      <c r="BV545">
        <v>37126</v>
      </c>
      <c r="BW545" s="116"/>
      <c r="BX545" t="s">
        <v>173</v>
      </c>
      <c r="BY545" t="s">
        <v>173</v>
      </c>
      <c r="CB545" t="s">
        <v>173</v>
      </c>
      <c r="CC545" t="s">
        <v>173</v>
      </c>
      <c r="CE545" t="s">
        <v>173</v>
      </c>
      <c r="CG545" t="s">
        <v>172</v>
      </c>
      <c r="CH545" t="s">
        <v>224</v>
      </c>
      <c r="CI545" t="s">
        <v>173</v>
      </c>
      <c r="DJ545" t="s">
        <v>201</v>
      </c>
      <c r="DK545" t="s">
        <v>202</v>
      </c>
      <c r="DN545" t="s">
        <v>173</v>
      </c>
      <c r="DO545" t="s">
        <v>188</v>
      </c>
      <c r="DP545" t="s">
        <v>173</v>
      </c>
      <c r="DQ545" t="s">
        <v>189</v>
      </c>
      <c r="EA545" s="117"/>
      <c r="EB545">
        <v>1</v>
      </c>
      <c r="EC545">
        <v>1</v>
      </c>
      <c r="EE545" t="s">
        <v>1337</v>
      </c>
      <c r="EF545">
        <v>2</v>
      </c>
      <c r="EV545">
        <v>15500</v>
      </c>
      <c r="EW545">
        <v>793</v>
      </c>
      <c r="EX545">
        <v>526</v>
      </c>
      <c r="EY545">
        <v>691</v>
      </c>
    </row>
    <row r="546" spans="1:155" x14ac:dyDescent="0.35">
      <c r="A546">
        <v>2026</v>
      </c>
      <c r="B546" t="s">
        <v>211</v>
      </c>
      <c r="C546" s="112" t="s">
        <v>212</v>
      </c>
      <c r="D546" t="s">
        <v>1338</v>
      </c>
      <c r="E546" t="s">
        <v>214</v>
      </c>
      <c r="F546">
        <v>588</v>
      </c>
      <c r="G546" s="113">
        <v>6.2</v>
      </c>
      <c r="H546">
        <v>8</v>
      </c>
      <c r="I546" t="s">
        <v>669</v>
      </c>
      <c r="J546">
        <v>14</v>
      </c>
      <c r="K546">
        <v>18</v>
      </c>
      <c r="L546">
        <v>16</v>
      </c>
      <c r="M546">
        <v>18.2</v>
      </c>
      <c r="N546">
        <v>27.3</v>
      </c>
      <c r="O546">
        <v>21.411799999999999</v>
      </c>
      <c r="P546">
        <v>14</v>
      </c>
      <c r="Q546">
        <v>18</v>
      </c>
      <c r="R546">
        <v>16.296900000000001</v>
      </c>
      <c r="U546" t="s">
        <v>215</v>
      </c>
      <c r="V546" t="s">
        <v>170</v>
      </c>
      <c r="W546" t="s">
        <v>171</v>
      </c>
      <c r="Y546">
        <v>10</v>
      </c>
      <c r="Z546" t="s">
        <v>172</v>
      </c>
      <c r="AA546" t="s">
        <v>173</v>
      </c>
      <c r="AB546">
        <v>4</v>
      </c>
      <c r="AC546" t="s">
        <v>423</v>
      </c>
      <c r="AD546">
        <v>10</v>
      </c>
      <c r="AG546" t="s">
        <v>176</v>
      </c>
      <c r="AH546" t="s">
        <v>177</v>
      </c>
      <c r="AI546" t="s">
        <v>178</v>
      </c>
      <c r="AJ546" t="s">
        <v>179</v>
      </c>
      <c r="AK546" t="s">
        <v>664</v>
      </c>
      <c r="AL546" t="s">
        <v>665</v>
      </c>
      <c r="AS546">
        <v>3900</v>
      </c>
      <c r="AT546">
        <v>3900</v>
      </c>
      <c r="BN546" s="114" t="s">
        <v>198</v>
      </c>
      <c r="BO546">
        <v>1</v>
      </c>
      <c r="BP546">
        <v>1</v>
      </c>
      <c r="BQ546">
        <v>33</v>
      </c>
      <c r="BR546" t="s">
        <v>1062</v>
      </c>
      <c r="BT546" t="s">
        <v>613</v>
      </c>
      <c r="BU546" s="115">
        <v>45908</v>
      </c>
      <c r="BV546">
        <v>36835</v>
      </c>
      <c r="BW546" s="116"/>
      <c r="BX546" t="s">
        <v>173</v>
      </c>
      <c r="BY546" t="s">
        <v>173</v>
      </c>
      <c r="CB546" t="s">
        <v>173</v>
      </c>
      <c r="CC546" t="s">
        <v>173</v>
      </c>
      <c r="CE546" t="s">
        <v>172</v>
      </c>
      <c r="CF546" t="s">
        <v>676</v>
      </c>
      <c r="CG546" t="s">
        <v>172</v>
      </c>
      <c r="CH546" t="s">
        <v>677</v>
      </c>
      <c r="CI546" t="s">
        <v>173</v>
      </c>
      <c r="DJ546" t="s">
        <v>201</v>
      </c>
      <c r="DK546" t="s">
        <v>202</v>
      </c>
      <c r="DN546" t="s">
        <v>173</v>
      </c>
      <c r="DO546" t="s">
        <v>203</v>
      </c>
      <c r="DP546" t="s">
        <v>172</v>
      </c>
      <c r="DQ546" t="s">
        <v>204</v>
      </c>
      <c r="EA546" s="117"/>
      <c r="EB546">
        <v>3</v>
      </c>
      <c r="EC546">
        <v>3</v>
      </c>
      <c r="EE546" t="s">
        <v>717</v>
      </c>
      <c r="EF546">
        <v>5</v>
      </c>
      <c r="EV546">
        <v>11000</v>
      </c>
      <c r="EW546">
        <v>634</v>
      </c>
      <c r="EX546">
        <v>495</v>
      </c>
      <c r="EY546">
        <v>572</v>
      </c>
    </row>
    <row r="547" spans="1:155" x14ac:dyDescent="0.35">
      <c r="A547">
        <v>2026</v>
      </c>
      <c r="B547" t="s">
        <v>211</v>
      </c>
      <c r="C547" s="112" t="s">
        <v>212</v>
      </c>
      <c r="D547" t="s">
        <v>1338</v>
      </c>
      <c r="E547" t="s">
        <v>214</v>
      </c>
      <c r="F547">
        <v>597</v>
      </c>
      <c r="G547" s="113">
        <v>5.3</v>
      </c>
      <c r="H547">
        <v>8</v>
      </c>
      <c r="I547" t="s">
        <v>669</v>
      </c>
      <c r="J547">
        <v>14</v>
      </c>
      <c r="K547">
        <v>19</v>
      </c>
      <c r="L547">
        <v>16</v>
      </c>
      <c r="M547">
        <v>17.727</v>
      </c>
      <c r="N547">
        <v>27.344100000000001</v>
      </c>
      <c r="O547">
        <v>21.060099999999998</v>
      </c>
      <c r="P547">
        <v>13.7134</v>
      </c>
      <c r="Q547">
        <v>18.513500000000001</v>
      </c>
      <c r="R547">
        <v>15.524699999999999</v>
      </c>
      <c r="U547" t="s">
        <v>215</v>
      </c>
      <c r="V547" t="s">
        <v>170</v>
      </c>
      <c r="W547" t="s">
        <v>171</v>
      </c>
      <c r="Y547">
        <v>10</v>
      </c>
      <c r="Z547" t="s">
        <v>172</v>
      </c>
      <c r="AA547" t="s">
        <v>173</v>
      </c>
      <c r="AB547">
        <v>4</v>
      </c>
      <c r="AC547" t="s">
        <v>423</v>
      </c>
      <c r="AD547">
        <v>10</v>
      </c>
      <c r="AG547" t="s">
        <v>167</v>
      </c>
      <c r="AH547" t="s">
        <v>416</v>
      </c>
      <c r="AI547" t="s">
        <v>178</v>
      </c>
      <c r="AJ547" t="s">
        <v>179</v>
      </c>
      <c r="AK547" t="s">
        <v>664</v>
      </c>
      <c r="AL547" t="s">
        <v>665</v>
      </c>
      <c r="AS547">
        <v>3100</v>
      </c>
      <c r="AT547">
        <v>3100</v>
      </c>
      <c r="BN547" s="114" t="s">
        <v>198</v>
      </c>
      <c r="BO547">
        <v>1</v>
      </c>
      <c r="BP547">
        <v>1</v>
      </c>
      <c r="BQ547">
        <v>33</v>
      </c>
      <c r="BR547" t="s">
        <v>1062</v>
      </c>
      <c r="BT547" t="s">
        <v>218</v>
      </c>
      <c r="BU547" s="115">
        <v>45908</v>
      </c>
      <c r="BV547">
        <v>36929</v>
      </c>
      <c r="BW547" s="116"/>
      <c r="BX547" t="s">
        <v>173</v>
      </c>
      <c r="BY547" t="s">
        <v>173</v>
      </c>
      <c r="CB547" t="s">
        <v>173</v>
      </c>
      <c r="CC547" t="s">
        <v>173</v>
      </c>
      <c r="CE547" t="s">
        <v>172</v>
      </c>
      <c r="CF547" t="s">
        <v>676</v>
      </c>
      <c r="CG547" t="s">
        <v>172</v>
      </c>
      <c r="CH547" t="s">
        <v>677</v>
      </c>
      <c r="CI547" t="s">
        <v>173</v>
      </c>
      <c r="DJ547" t="s">
        <v>201</v>
      </c>
      <c r="DK547" t="s">
        <v>202</v>
      </c>
      <c r="DN547" t="s">
        <v>173</v>
      </c>
      <c r="DO547" t="s">
        <v>203</v>
      </c>
      <c r="DP547" t="s">
        <v>172</v>
      </c>
      <c r="DQ547" t="s">
        <v>204</v>
      </c>
      <c r="EA547" s="117"/>
      <c r="EB547">
        <v>3</v>
      </c>
      <c r="EC547">
        <v>3</v>
      </c>
      <c r="EE547" t="s">
        <v>679</v>
      </c>
      <c r="EF547">
        <v>6</v>
      </c>
      <c r="EV547">
        <v>7000</v>
      </c>
      <c r="EW547">
        <v>646</v>
      </c>
      <c r="EX547">
        <v>481</v>
      </c>
      <c r="EY547">
        <v>571</v>
      </c>
    </row>
    <row r="548" spans="1:155" x14ac:dyDescent="0.35">
      <c r="A548">
        <v>2026</v>
      </c>
      <c r="B548" t="s">
        <v>211</v>
      </c>
      <c r="C548" s="112" t="s">
        <v>212</v>
      </c>
      <c r="D548" t="s">
        <v>1338</v>
      </c>
      <c r="E548" t="s">
        <v>214</v>
      </c>
      <c r="F548">
        <v>766</v>
      </c>
      <c r="G548" s="113">
        <v>3</v>
      </c>
      <c r="H548">
        <v>6</v>
      </c>
      <c r="I548" t="s">
        <v>669</v>
      </c>
      <c r="J548">
        <v>20</v>
      </c>
      <c r="K548">
        <v>24</v>
      </c>
      <c r="L548">
        <v>22</v>
      </c>
      <c r="M548">
        <v>25.940100000000001</v>
      </c>
      <c r="N548">
        <v>37.0535</v>
      </c>
      <c r="O548">
        <v>29.987400000000001</v>
      </c>
      <c r="P548">
        <v>20.4862</v>
      </c>
      <c r="Q548">
        <v>24.4178</v>
      </c>
      <c r="R548">
        <v>22.086500000000001</v>
      </c>
      <c r="T548" t="s">
        <v>168</v>
      </c>
      <c r="U548" t="s">
        <v>169</v>
      </c>
      <c r="V548" t="s">
        <v>170</v>
      </c>
      <c r="W548" t="s">
        <v>171</v>
      </c>
      <c r="Y548">
        <v>10</v>
      </c>
      <c r="Z548" t="s">
        <v>172</v>
      </c>
      <c r="AA548" t="s">
        <v>173</v>
      </c>
      <c r="AB548">
        <v>4</v>
      </c>
      <c r="AC548" t="s">
        <v>423</v>
      </c>
      <c r="AE548">
        <v>20</v>
      </c>
      <c r="AG548" t="s">
        <v>670</v>
      </c>
      <c r="AH548" t="s">
        <v>671</v>
      </c>
      <c r="AI548" t="s">
        <v>178</v>
      </c>
      <c r="AJ548" t="s">
        <v>179</v>
      </c>
      <c r="AK548" t="s">
        <v>664</v>
      </c>
      <c r="AL548" t="s">
        <v>665</v>
      </c>
      <c r="AS548">
        <v>2450</v>
      </c>
      <c r="AT548">
        <v>2450</v>
      </c>
      <c r="BN548" s="114"/>
      <c r="BO548">
        <v>2</v>
      </c>
      <c r="BP548">
        <v>2</v>
      </c>
      <c r="BQ548">
        <v>33</v>
      </c>
      <c r="BR548" t="s">
        <v>1062</v>
      </c>
      <c r="BT548" t="s">
        <v>613</v>
      </c>
      <c r="BU548" s="115">
        <v>45894</v>
      </c>
      <c r="BV548">
        <v>37239</v>
      </c>
      <c r="BW548" s="116"/>
      <c r="BX548" t="s">
        <v>173</v>
      </c>
      <c r="BY548" t="s">
        <v>173</v>
      </c>
      <c r="CB548" t="s">
        <v>173</v>
      </c>
      <c r="CC548" t="s">
        <v>173</v>
      </c>
      <c r="CE548" t="s">
        <v>173</v>
      </c>
      <c r="CG548" t="s">
        <v>173</v>
      </c>
      <c r="CI548" t="s">
        <v>173</v>
      </c>
      <c r="DJ548" t="s">
        <v>672</v>
      </c>
      <c r="DK548" t="s">
        <v>673</v>
      </c>
      <c r="DN548" t="s">
        <v>173</v>
      </c>
      <c r="DO548" t="s">
        <v>203</v>
      </c>
      <c r="DP548" t="s">
        <v>172</v>
      </c>
      <c r="DQ548" t="s">
        <v>204</v>
      </c>
      <c r="EA548" s="117"/>
      <c r="EB548">
        <v>4</v>
      </c>
      <c r="EC548">
        <v>4</v>
      </c>
      <c r="EE548" t="s">
        <v>1310</v>
      </c>
      <c r="EF548">
        <v>4</v>
      </c>
      <c r="EV548">
        <v>3750</v>
      </c>
      <c r="EW548">
        <v>496</v>
      </c>
      <c r="EX548">
        <v>416</v>
      </c>
      <c r="EY548">
        <v>460</v>
      </c>
    </row>
    <row r="549" spans="1:155" x14ac:dyDescent="0.35">
      <c r="A549">
        <v>2026</v>
      </c>
      <c r="B549" t="s">
        <v>211</v>
      </c>
      <c r="C549" s="112" t="s">
        <v>212</v>
      </c>
      <c r="D549" t="s">
        <v>1339</v>
      </c>
      <c r="E549" t="s">
        <v>214</v>
      </c>
      <c r="F549">
        <v>767</v>
      </c>
      <c r="G549" s="113">
        <v>3</v>
      </c>
      <c r="H549">
        <v>6</v>
      </c>
      <c r="I549" t="s">
        <v>669</v>
      </c>
      <c r="J549">
        <v>20</v>
      </c>
      <c r="K549">
        <v>24</v>
      </c>
      <c r="L549">
        <v>22</v>
      </c>
      <c r="M549">
        <v>25.940100000000001</v>
      </c>
      <c r="N549">
        <v>37.0535</v>
      </c>
      <c r="O549">
        <v>29.987400000000001</v>
      </c>
      <c r="P549">
        <v>20.4862</v>
      </c>
      <c r="Q549">
        <v>24.4178</v>
      </c>
      <c r="R549">
        <v>22.086500000000001</v>
      </c>
      <c r="T549" t="s">
        <v>168</v>
      </c>
      <c r="U549" t="s">
        <v>169</v>
      </c>
      <c r="V549" t="s">
        <v>170</v>
      </c>
      <c r="W549" t="s">
        <v>171</v>
      </c>
      <c r="Y549">
        <v>10</v>
      </c>
      <c r="Z549" t="s">
        <v>172</v>
      </c>
      <c r="AA549" t="s">
        <v>173</v>
      </c>
      <c r="AB549">
        <v>4</v>
      </c>
      <c r="AC549" t="s">
        <v>423</v>
      </c>
      <c r="AE549">
        <v>20</v>
      </c>
      <c r="AG549" t="s">
        <v>670</v>
      </c>
      <c r="AH549" t="s">
        <v>671</v>
      </c>
      <c r="AI549" t="s">
        <v>178</v>
      </c>
      <c r="AJ549" t="s">
        <v>179</v>
      </c>
      <c r="AK549" t="s">
        <v>664</v>
      </c>
      <c r="AL549" t="s">
        <v>665</v>
      </c>
      <c r="AS549">
        <v>2450</v>
      </c>
      <c r="AT549">
        <v>2450</v>
      </c>
      <c r="BN549" s="114"/>
      <c r="BO549">
        <v>2</v>
      </c>
      <c r="BP549">
        <v>2</v>
      </c>
      <c r="BQ549">
        <v>33</v>
      </c>
      <c r="BR549" t="s">
        <v>1062</v>
      </c>
      <c r="BT549" t="s">
        <v>613</v>
      </c>
      <c r="BU549" s="115">
        <v>45894</v>
      </c>
      <c r="BV549">
        <v>37240</v>
      </c>
      <c r="BW549" s="116"/>
      <c r="BX549" t="s">
        <v>173</v>
      </c>
      <c r="BY549" t="s">
        <v>173</v>
      </c>
      <c r="CB549" t="s">
        <v>173</v>
      </c>
      <c r="CC549" t="s">
        <v>173</v>
      </c>
      <c r="CE549" t="s">
        <v>173</v>
      </c>
      <c r="CG549" t="s">
        <v>173</v>
      </c>
      <c r="CI549" t="s">
        <v>173</v>
      </c>
      <c r="DJ549" t="s">
        <v>672</v>
      </c>
      <c r="DK549" t="s">
        <v>673</v>
      </c>
      <c r="DN549" t="s">
        <v>173</v>
      </c>
      <c r="DO549" t="s">
        <v>203</v>
      </c>
      <c r="DP549" t="s">
        <v>172</v>
      </c>
      <c r="DQ549" t="s">
        <v>204</v>
      </c>
      <c r="EA549" s="117"/>
      <c r="EB549">
        <v>4</v>
      </c>
      <c r="EC549">
        <v>4</v>
      </c>
      <c r="EE549" t="s">
        <v>1310</v>
      </c>
      <c r="EF549">
        <v>4</v>
      </c>
      <c r="EV549">
        <v>3750</v>
      </c>
      <c r="EW549">
        <v>496</v>
      </c>
      <c r="EX549">
        <v>416</v>
      </c>
      <c r="EY549">
        <v>460</v>
      </c>
    </row>
    <row r="550" spans="1:155" x14ac:dyDescent="0.35">
      <c r="A550">
        <v>2026</v>
      </c>
      <c r="B550" t="s">
        <v>211</v>
      </c>
      <c r="C550" s="112" t="s">
        <v>212</v>
      </c>
      <c r="D550" t="s">
        <v>1340</v>
      </c>
      <c r="E550" t="s">
        <v>214</v>
      </c>
      <c r="F550">
        <v>595</v>
      </c>
      <c r="G550" s="113">
        <v>5.3</v>
      </c>
      <c r="H550">
        <v>8</v>
      </c>
      <c r="I550" t="s">
        <v>669</v>
      </c>
      <c r="J550">
        <v>15</v>
      </c>
      <c r="K550">
        <v>19</v>
      </c>
      <c r="L550">
        <v>17</v>
      </c>
      <c r="M550">
        <v>19.399999999999999</v>
      </c>
      <c r="N550">
        <v>29.4</v>
      </c>
      <c r="O550">
        <v>22.905999999999999</v>
      </c>
      <c r="P550">
        <v>14.905099999999999</v>
      </c>
      <c r="Q550">
        <v>19.241499999999998</v>
      </c>
      <c r="R550">
        <v>16.587299999999999</v>
      </c>
      <c r="U550" t="s">
        <v>215</v>
      </c>
      <c r="V550" t="s">
        <v>170</v>
      </c>
      <c r="W550" t="s">
        <v>171</v>
      </c>
      <c r="Y550">
        <v>10</v>
      </c>
      <c r="Z550" t="s">
        <v>172</v>
      </c>
      <c r="AA550" t="s">
        <v>173</v>
      </c>
      <c r="AB550">
        <v>4</v>
      </c>
      <c r="AC550" t="s">
        <v>423</v>
      </c>
      <c r="AD550">
        <v>10</v>
      </c>
      <c r="AG550" t="s">
        <v>167</v>
      </c>
      <c r="AH550" t="s">
        <v>416</v>
      </c>
      <c r="AI550" t="s">
        <v>178</v>
      </c>
      <c r="AJ550" t="s">
        <v>179</v>
      </c>
      <c r="AK550" t="s">
        <v>664</v>
      </c>
      <c r="AL550" t="s">
        <v>665</v>
      </c>
      <c r="AS550">
        <v>2900</v>
      </c>
      <c r="AT550">
        <v>2900</v>
      </c>
      <c r="BN550" s="114" t="s">
        <v>198</v>
      </c>
      <c r="BO550">
        <v>1</v>
      </c>
      <c r="BP550">
        <v>1</v>
      </c>
      <c r="BQ550">
        <v>33</v>
      </c>
      <c r="BR550" t="s">
        <v>1062</v>
      </c>
      <c r="BT550" t="s">
        <v>218</v>
      </c>
      <c r="BU550" s="115">
        <v>45908</v>
      </c>
      <c r="BV550">
        <v>36927</v>
      </c>
      <c r="BW550" s="116"/>
      <c r="BX550" t="s">
        <v>173</v>
      </c>
      <c r="BY550" t="s">
        <v>173</v>
      </c>
      <c r="CB550" t="s">
        <v>173</v>
      </c>
      <c r="CC550" t="s">
        <v>173</v>
      </c>
      <c r="CE550" t="s">
        <v>172</v>
      </c>
      <c r="CF550" t="s">
        <v>676</v>
      </c>
      <c r="CG550" t="s">
        <v>172</v>
      </c>
      <c r="CH550" t="s">
        <v>677</v>
      </c>
      <c r="CI550" t="s">
        <v>173</v>
      </c>
      <c r="DJ550" t="s">
        <v>201</v>
      </c>
      <c r="DK550" t="s">
        <v>202</v>
      </c>
      <c r="DN550" t="s">
        <v>173</v>
      </c>
      <c r="DO550" t="s">
        <v>203</v>
      </c>
      <c r="DP550" t="s">
        <v>172</v>
      </c>
      <c r="DQ550" t="s">
        <v>204</v>
      </c>
      <c r="EA550" s="117"/>
      <c r="EB550">
        <v>3</v>
      </c>
      <c r="EC550">
        <v>3</v>
      </c>
      <c r="EE550" t="s">
        <v>679</v>
      </c>
      <c r="EF550">
        <v>6</v>
      </c>
      <c r="EV550">
        <v>6000</v>
      </c>
      <c r="EW550">
        <v>596</v>
      </c>
      <c r="EX550">
        <v>462</v>
      </c>
      <c r="EY550">
        <v>536</v>
      </c>
    </row>
    <row r="551" spans="1:155" x14ac:dyDescent="0.35">
      <c r="A551">
        <v>2026</v>
      </c>
      <c r="B551" t="s">
        <v>211</v>
      </c>
      <c r="C551" s="112" t="s">
        <v>212</v>
      </c>
      <c r="D551" t="s">
        <v>1341</v>
      </c>
      <c r="E551" t="s">
        <v>214</v>
      </c>
      <c r="F551">
        <v>586</v>
      </c>
      <c r="G551" s="113">
        <v>6.2</v>
      </c>
      <c r="H551">
        <v>8</v>
      </c>
      <c r="I551" t="s">
        <v>669</v>
      </c>
      <c r="J551">
        <v>14</v>
      </c>
      <c r="K551">
        <v>18</v>
      </c>
      <c r="L551">
        <v>16</v>
      </c>
      <c r="M551">
        <v>18.2</v>
      </c>
      <c r="N551">
        <v>27.3</v>
      </c>
      <c r="O551">
        <v>21.411799999999999</v>
      </c>
      <c r="P551">
        <v>14</v>
      </c>
      <c r="Q551">
        <v>18</v>
      </c>
      <c r="R551">
        <v>16.296900000000001</v>
      </c>
      <c r="U551" t="s">
        <v>215</v>
      </c>
      <c r="V551" t="s">
        <v>170</v>
      </c>
      <c r="W551" t="s">
        <v>171</v>
      </c>
      <c r="Y551">
        <v>10</v>
      </c>
      <c r="Z551" t="s">
        <v>172</v>
      </c>
      <c r="AA551" t="s">
        <v>173</v>
      </c>
      <c r="AB551">
        <v>4</v>
      </c>
      <c r="AC551" t="s">
        <v>423</v>
      </c>
      <c r="AD551">
        <v>10</v>
      </c>
      <c r="AG551" t="s">
        <v>176</v>
      </c>
      <c r="AH551" t="s">
        <v>177</v>
      </c>
      <c r="AI551" t="s">
        <v>178</v>
      </c>
      <c r="AJ551" t="s">
        <v>179</v>
      </c>
      <c r="AK551" t="s">
        <v>664</v>
      </c>
      <c r="AL551" t="s">
        <v>665</v>
      </c>
      <c r="AS551">
        <v>3900</v>
      </c>
      <c r="AT551">
        <v>3900</v>
      </c>
      <c r="BN551" s="114" t="s">
        <v>198</v>
      </c>
      <c r="BO551">
        <v>1</v>
      </c>
      <c r="BP551">
        <v>1</v>
      </c>
      <c r="BQ551">
        <v>33</v>
      </c>
      <c r="BR551" t="s">
        <v>1062</v>
      </c>
      <c r="BT551" t="s">
        <v>613</v>
      </c>
      <c r="BU551" s="115">
        <v>45908</v>
      </c>
      <c r="BV551">
        <v>36839</v>
      </c>
      <c r="BW551" s="116"/>
      <c r="BX551" t="s">
        <v>173</v>
      </c>
      <c r="BY551" t="s">
        <v>173</v>
      </c>
      <c r="CB551" t="s">
        <v>173</v>
      </c>
      <c r="CC551" t="s">
        <v>173</v>
      </c>
      <c r="CE551" t="s">
        <v>172</v>
      </c>
      <c r="CF551" t="s">
        <v>676</v>
      </c>
      <c r="CG551" t="s">
        <v>172</v>
      </c>
      <c r="CH551" t="s">
        <v>677</v>
      </c>
      <c r="CI551" t="s">
        <v>173</v>
      </c>
      <c r="DJ551" t="s">
        <v>201</v>
      </c>
      <c r="DK551" t="s">
        <v>202</v>
      </c>
      <c r="DN551" t="s">
        <v>173</v>
      </c>
      <c r="DO551" t="s">
        <v>203</v>
      </c>
      <c r="DP551" t="s">
        <v>172</v>
      </c>
      <c r="DQ551" t="s">
        <v>204</v>
      </c>
      <c r="EA551" s="117"/>
      <c r="EB551">
        <v>3</v>
      </c>
      <c r="EC551">
        <v>3</v>
      </c>
      <c r="EE551" t="s">
        <v>717</v>
      </c>
      <c r="EF551">
        <v>5</v>
      </c>
      <c r="EV551">
        <v>11000</v>
      </c>
      <c r="EW551">
        <v>634</v>
      </c>
      <c r="EX551">
        <v>495</v>
      </c>
      <c r="EY551">
        <v>572</v>
      </c>
    </row>
    <row r="552" spans="1:155" x14ac:dyDescent="0.35">
      <c r="A552">
        <v>2026</v>
      </c>
      <c r="B552" t="s">
        <v>211</v>
      </c>
      <c r="C552" s="112" t="s">
        <v>212</v>
      </c>
      <c r="D552" t="s">
        <v>1087</v>
      </c>
      <c r="E552" t="s">
        <v>214</v>
      </c>
      <c r="F552">
        <v>854</v>
      </c>
      <c r="G552" s="113">
        <v>2.5</v>
      </c>
      <c r="H552">
        <v>4</v>
      </c>
      <c r="I552" t="s">
        <v>166</v>
      </c>
      <c r="J552">
        <v>20</v>
      </c>
      <c r="K552">
        <v>24</v>
      </c>
      <c r="L552">
        <v>21</v>
      </c>
      <c r="M552">
        <v>24.6358</v>
      </c>
      <c r="N552">
        <v>34.809699999999999</v>
      </c>
      <c r="O552">
        <v>28.366599999999998</v>
      </c>
      <c r="P552">
        <v>19.538499999999999</v>
      </c>
      <c r="Q552">
        <v>24</v>
      </c>
      <c r="R552">
        <v>21</v>
      </c>
      <c r="T552" t="s">
        <v>168</v>
      </c>
      <c r="U552" t="s">
        <v>169</v>
      </c>
      <c r="V552" t="s">
        <v>170</v>
      </c>
      <c r="W552" t="s">
        <v>171</v>
      </c>
      <c r="Y552">
        <v>8</v>
      </c>
      <c r="Z552" t="s">
        <v>172</v>
      </c>
      <c r="AA552" t="s">
        <v>173</v>
      </c>
      <c r="AB552" t="s">
        <v>170</v>
      </c>
      <c r="AC552" t="s">
        <v>232</v>
      </c>
      <c r="AD552">
        <v>10</v>
      </c>
      <c r="AG552" t="s">
        <v>167</v>
      </c>
      <c r="AH552" t="s">
        <v>416</v>
      </c>
      <c r="AI552" t="s">
        <v>178</v>
      </c>
      <c r="AJ552" t="s">
        <v>179</v>
      </c>
      <c r="AK552" t="s">
        <v>664</v>
      </c>
      <c r="AL552" t="s">
        <v>665</v>
      </c>
      <c r="AS552">
        <v>2350</v>
      </c>
      <c r="AT552">
        <v>2350</v>
      </c>
      <c r="BN552" s="114" t="s">
        <v>198</v>
      </c>
      <c r="BO552">
        <v>2</v>
      </c>
      <c r="BP552">
        <v>2</v>
      </c>
      <c r="BQ552">
        <v>33</v>
      </c>
      <c r="BR552" t="s">
        <v>1062</v>
      </c>
      <c r="BT552" t="s">
        <v>183</v>
      </c>
      <c r="BU552" s="115">
        <v>45845</v>
      </c>
      <c r="BV552">
        <v>36793</v>
      </c>
      <c r="BW552" s="116"/>
      <c r="BX552" t="s">
        <v>173</v>
      </c>
      <c r="BY552" t="s">
        <v>173</v>
      </c>
      <c r="CB552" t="s">
        <v>173</v>
      </c>
      <c r="CC552" t="s">
        <v>173</v>
      </c>
      <c r="CE552" t="s">
        <v>173</v>
      </c>
      <c r="CG552" t="s">
        <v>172</v>
      </c>
      <c r="CH552" t="s">
        <v>224</v>
      </c>
      <c r="CI552" t="s">
        <v>173</v>
      </c>
      <c r="DJ552" t="s">
        <v>201</v>
      </c>
      <c r="DK552" t="s">
        <v>202</v>
      </c>
      <c r="DN552" t="s">
        <v>173</v>
      </c>
      <c r="DO552" t="s">
        <v>203</v>
      </c>
      <c r="DP552" t="s">
        <v>172</v>
      </c>
      <c r="DQ552" t="s">
        <v>204</v>
      </c>
      <c r="EA552" s="117"/>
      <c r="EB552">
        <v>4</v>
      </c>
      <c r="EC552">
        <v>4</v>
      </c>
      <c r="EE552" t="s">
        <v>1037</v>
      </c>
      <c r="EF552">
        <v>6</v>
      </c>
      <c r="EV552">
        <v>3250</v>
      </c>
      <c r="EW552">
        <v>454</v>
      </c>
      <c r="EX552">
        <v>370</v>
      </c>
      <c r="EY552">
        <v>423</v>
      </c>
    </row>
    <row r="553" spans="1:155" x14ac:dyDescent="0.35">
      <c r="A553">
        <v>2026</v>
      </c>
      <c r="B553" t="s">
        <v>688</v>
      </c>
      <c r="C553" s="112" t="s">
        <v>1039</v>
      </c>
      <c r="D553" t="s">
        <v>1088</v>
      </c>
      <c r="E553" t="s">
        <v>691</v>
      </c>
      <c r="F553">
        <v>513</v>
      </c>
      <c r="G553" s="113">
        <v>3.6</v>
      </c>
      <c r="H553">
        <v>6</v>
      </c>
      <c r="I553" t="s">
        <v>166</v>
      </c>
      <c r="J553">
        <v>17</v>
      </c>
      <c r="K553">
        <v>24</v>
      </c>
      <c r="L553">
        <v>20</v>
      </c>
      <c r="M553">
        <v>21.8</v>
      </c>
      <c r="N553">
        <v>33.299999999999997</v>
      </c>
      <c r="O553">
        <v>25.811199999999999</v>
      </c>
      <c r="P553">
        <v>17.45</v>
      </c>
      <c r="Q553">
        <v>23.7728</v>
      </c>
      <c r="R553">
        <v>19.822500000000002</v>
      </c>
      <c r="U553" t="s">
        <v>215</v>
      </c>
      <c r="V553" t="s">
        <v>170</v>
      </c>
      <c r="W553" t="s">
        <v>171</v>
      </c>
      <c r="Y553">
        <v>8</v>
      </c>
      <c r="Z553" t="s">
        <v>172</v>
      </c>
      <c r="AA553" t="s">
        <v>173</v>
      </c>
      <c r="AB553" t="s">
        <v>170</v>
      </c>
      <c r="AC553" t="s">
        <v>232</v>
      </c>
      <c r="AD553">
        <v>10</v>
      </c>
      <c r="AG553" t="s">
        <v>167</v>
      </c>
      <c r="AH553" t="s">
        <v>416</v>
      </c>
      <c r="AI553" t="s">
        <v>178</v>
      </c>
      <c r="AJ553" t="s">
        <v>179</v>
      </c>
      <c r="AK553" t="s">
        <v>664</v>
      </c>
      <c r="AL553" t="s">
        <v>665</v>
      </c>
      <c r="AS553">
        <v>2500</v>
      </c>
      <c r="AT553">
        <v>2500</v>
      </c>
      <c r="BN553" s="114"/>
      <c r="BO553">
        <v>2</v>
      </c>
      <c r="BP553">
        <v>2</v>
      </c>
      <c r="BQ553">
        <v>33</v>
      </c>
      <c r="BR553" t="s">
        <v>1062</v>
      </c>
      <c r="BT553" t="s">
        <v>183</v>
      </c>
      <c r="BU553" s="115">
        <v>45859</v>
      </c>
      <c r="BV553">
        <v>37101</v>
      </c>
      <c r="BW553" s="116"/>
      <c r="BX553" t="s">
        <v>173</v>
      </c>
      <c r="BY553" t="s">
        <v>173</v>
      </c>
      <c r="CB553" t="s">
        <v>173</v>
      </c>
      <c r="CC553" t="s">
        <v>173</v>
      </c>
      <c r="CE553" t="s">
        <v>173</v>
      </c>
      <c r="CG553" t="s">
        <v>172</v>
      </c>
      <c r="CH553" t="s">
        <v>224</v>
      </c>
      <c r="CI553" t="s">
        <v>173</v>
      </c>
      <c r="DJ553" t="s">
        <v>186</v>
      </c>
      <c r="DK553" t="s">
        <v>187</v>
      </c>
      <c r="DN553" t="s">
        <v>173</v>
      </c>
      <c r="DO553" t="s">
        <v>284</v>
      </c>
      <c r="DP553" t="s">
        <v>173</v>
      </c>
      <c r="DQ553" t="s">
        <v>189</v>
      </c>
      <c r="EA553" s="117"/>
      <c r="EB553">
        <v>4</v>
      </c>
      <c r="EC553">
        <v>4</v>
      </c>
      <c r="EE553" t="s">
        <v>1041</v>
      </c>
      <c r="EF553">
        <v>6</v>
      </c>
      <c r="EV553">
        <v>4000</v>
      </c>
      <c r="EW553">
        <v>510</v>
      </c>
      <c r="EX553">
        <v>374</v>
      </c>
      <c r="EY553">
        <v>449</v>
      </c>
    </row>
    <row r="554" spans="1:155" x14ac:dyDescent="0.35">
      <c r="A554">
        <v>2026</v>
      </c>
      <c r="B554" t="s">
        <v>688</v>
      </c>
      <c r="C554" s="112" t="s">
        <v>1039</v>
      </c>
      <c r="D554" t="s">
        <v>1088</v>
      </c>
      <c r="E554" t="s">
        <v>691</v>
      </c>
      <c r="F554">
        <v>514</v>
      </c>
      <c r="G554" s="113">
        <v>5.7</v>
      </c>
      <c r="H554">
        <v>8</v>
      </c>
      <c r="I554" t="s">
        <v>166</v>
      </c>
      <c r="J554">
        <v>14</v>
      </c>
      <c r="K554">
        <v>21</v>
      </c>
      <c r="L554">
        <v>16</v>
      </c>
      <c r="M554">
        <v>17</v>
      </c>
      <c r="N554">
        <v>29.7</v>
      </c>
      <c r="O554">
        <v>21.050699999999999</v>
      </c>
      <c r="P554">
        <v>13.825100000000001</v>
      </c>
      <c r="Q554">
        <v>21.3781</v>
      </c>
      <c r="R554">
        <v>16.438600000000001</v>
      </c>
      <c r="U554" t="s">
        <v>215</v>
      </c>
      <c r="V554" t="s">
        <v>170</v>
      </c>
      <c r="W554" t="s">
        <v>171</v>
      </c>
      <c r="Y554">
        <v>8</v>
      </c>
      <c r="Z554" t="s">
        <v>172</v>
      </c>
      <c r="AA554" t="s">
        <v>173</v>
      </c>
      <c r="AB554" t="s">
        <v>170</v>
      </c>
      <c r="AC554" t="s">
        <v>232</v>
      </c>
      <c r="AD554">
        <v>10</v>
      </c>
      <c r="AG554" t="s">
        <v>756</v>
      </c>
      <c r="AH554" t="s">
        <v>757</v>
      </c>
      <c r="AI554" t="s">
        <v>178</v>
      </c>
      <c r="AJ554" t="s">
        <v>179</v>
      </c>
      <c r="AK554" t="s">
        <v>664</v>
      </c>
      <c r="AL554" t="s">
        <v>665</v>
      </c>
      <c r="AS554">
        <v>3550</v>
      </c>
      <c r="AT554">
        <v>3550</v>
      </c>
      <c r="BN554" s="114"/>
      <c r="BO554">
        <v>1</v>
      </c>
      <c r="BP554">
        <v>1</v>
      </c>
      <c r="BQ554">
        <v>33</v>
      </c>
      <c r="BR554" t="s">
        <v>1062</v>
      </c>
      <c r="BT554" t="s">
        <v>183</v>
      </c>
      <c r="BU554" s="115">
        <v>45859</v>
      </c>
      <c r="BV554">
        <v>37096</v>
      </c>
      <c r="BW554" s="116"/>
      <c r="BX554" t="s">
        <v>173</v>
      </c>
      <c r="BY554" t="s">
        <v>173</v>
      </c>
      <c r="CB554" t="s">
        <v>173</v>
      </c>
      <c r="CC554" t="s">
        <v>173</v>
      </c>
      <c r="CE554" t="s">
        <v>172</v>
      </c>
      <c r="CF554" t="s">
        <v>758</v>
      </c>
      <c r="CG554" t="s">
        <v>172</v>
      </c>
      <c r="CH554" t="s">
        <v>759</v>
      </c>
      <c r="CI554" t="s">
        <v>173</v>
      </c>
      <c r="DJ554" t="s">
        <v>186</v>
      </c>
      <c r="DK554" t="s">
        <v>187</v>
      </c>
      <c r="DN554" t="s">
        <v>173</v>
      </c>
      <c r="DO554" t="s">
        <v>585</v>
      </c>
      <c r="DP554" t="s">
        <v>173</v>
      </c>
      <c r="DQ554" t="s">
        <v>189</v>
      </c>
      <c r="EA554" s="117"/>
      <c r="EB554">
        <v>3</v>
      </c>
      <c r="EC554">
        <v>3</v>
      </c>
      <c r="EE554" t="s">
        <v>1089</v>
      </c>
      <c r="EF554">
        <v>4</v>
      </c>
      <c r="EV554">
        <v>9250</v>
      </c>
      <c r="EW554">
        <v>643</v>
      </c>
      <c r="EX554">
        <v>415</v>
      </c>
      <c r="EY554">
        <v>541</v>
      </c>
    </row>
    <row r="555" spans="1:155" x14ac:dyDescent="0.35">
      <c r="A555">
        <v>2026</v>
      </c>
      <c r="B555" t="s">
        <v>978</v>
      </c>
      <c r="C555" s="112" t="s">
        <v>1170</v>
      </c>
      <c r="D555" t="s">
        <v>1342</v>
      </c>
      <c r="E555" t="s">
        <v>981</v>
      </c>
      <c r="F555">
        <v>10</v>
      </c>
      <c r="G555" s="113">
        <v>3</v>
      </c>
      <c r="H555">
        <v>6</v>
      </c>
      <c r="I555" t="s">
        <v>246</v>
      </c>
      <c r="J555">
        <v>18</v>
      </c>
      <c r="K555">
        <v>25</v>
      </c>
      <c r="L555">
        <v>20</v>
      </c>
      <c r="M555">
        <v>22.1</v>
      </c>
      <c r="N555">
        <v>34.5</v>
      </c>
      <c r="O555">
        <v>26.364100000000001</v>
      </c>
      <c r="P555">
        <v>17.672799999999999</v>
      </c>
      <c r="Q555">
        <v>24.5623</v>
      </c>
      <c r="R555">
        <v>20.2257</v>
      </c>
      <c r="T555" t="s">
        <v>168</v>
      </c>
      <c r="U555" t="s">
        <v>169</v>
      </c>
      <c r="V555" t="s">
        <v>196</v>
      </c>
      <c r="W555" t="s">
        <v>197</v>
      </c>
      <c r="Y555">
        <v>10</v>
      </c>
      <c r="Z555" t="s">
        <v>172</v>
      </c>
      <c r="AA555" t="s">
        <v>173</v>
      </c>
      <c r="AB555" t="s">
        <v>769</v>
      </c>
      <c r="AC555" t="s">
        <v>770</v>
      </c>
      <c r="AD555">
        <v>10</v>
      </c>
      <c r="AG555" t="s">
        <v>167</v>
      </c>
      <c r="AH555" t="s">
        <v>416</v>
      </c>
      <c r="AI555" t="s">
        <v>178</v>
      </c>
      <c r="AJ555" t="s">
        <v>179</v>
      </c>
      <c r="AK555" t="s">
        <v>664</v>
      </c>
      <c r="AL555" t="s">
        <v>665</v>
      </c>
      <c r="AS555">
        <v>2500</v>
      </c>
      <c r="AT555">
        <v>2500</v>
      </c>
      <c r="BN555" s="114" t="s">
        <v>198</v>
      </c>
      <c r="BO555">
        <v>2</v>
      </c>
      <c r="BP555">
        <v>2</v>
      </c>
      <c r="BQ555">
        <v>33</v>
      </c>
      <c r="BR555" t="s">
        <v>1062</v>
      </c>
      <c r="BT555" t="s">
        <v>183</v>
      </c>
      <c r="BU555" s="115">
        <v>45922</v>
      </c>
      <c r="BV555">
        <v>37672</v>
      </c>
      <c r="BW555" s="116"/>
      <c r="BX555" t="s">
        <v>173</v>
      </c>
      <c r="BY555" t="s">
        <v>173</v>
      </c>
      <c r="CB555" t="s">
        <v>173</v>
      </c>
      <c r="CC555" t="s">
        <v>173</v>
      </c>
      <c r="CE555" t="s">
        <v>173</v>
      </c>
      <c r="CG555" t="s">
        <v>172</v>
      </c>
      <c r="CH555" t="s">
        <v>2134</v>
      </c>
      <c r="CI555" t="s">
        <v>173</v>
      </c>
      <c r="DJ555" t="s">
        <v>201</v>
      </c>
      <c r="DK555" t="s">
        <v>202</v>
      </c>
      <c r="DN555" t="s">
        <v>173</v>
      </c>
      <c r="DO555" t="s">
        <v>983</v>
      </c>
      <c r="DP555" t="s">
        <v>172</v>
      </c>
      <c r="DQ555" t="s">
        <v>204</v>
      </c>
      <c r="EA555" s="117"/>
      <c r="EB555">
        <v>4</v>
      </c>
      <c r="EC555">
        <v>4</v>
      </c>
      <c r="EE555" t="s">
        <v>2135</v>
      </c>
      <c r="EF555">
        <v>5</v>
      </c>
      <c r="EV555">
        <v>4000</v>
      </c>
      <c r="EW555">
        <v>503</v>
      </c>
      <c r="EX555">
        <v>361</v>
      </c>
      <c r="EY555">
        <v>439</v>
      </c>
    </row>
    <row r="556" spans="1:155" x14ac:dyDescent="0.35">
      <c r="A556">
        <v>2026</v>
      </c>
      <c r="B556" t="s">
        <v>978</v>
      </c>
      <c r="C556" s="112" t="s">
        <v>1170</v>
      </c>
      <c r="D556" t="s">
        <v>1342</v>
      </c>
      <c r="E556" t="s">
        <v>981</v>
      </c>
      <c r="F556">
        <v>15</v>
      </c>
      <c r="G556" s="113">
        <v>2.2999999999999998</v>
      </c>
      <c r="H556">
        <v>4</v>
      </c>
      <c r="I556" t="s">
        <v>669</v>
      </c>
      <c r="J556">
        <v>20</v>
      </c>
      <c r="K556">
        <v>27</v>
      </c>
      <c r="L556">
        <v>23</v>
      </c>
      <c r="M556">
        <v>25</v>
      </c>
      <c r="N556">
        <v>38.299999999999997</v>
      </c>
      <c r="O556">
        <v>29.630199999999999</v>
      </c>
      <c r="P556">
        <v>19.803899999999999</v>
      </c>
      <c r="Q556">
        <v>27.034400000000002</v>
      </c>
      <c r="R556">
        <v>22.513500000000001</v>
      </c>
      <c r="T556" t="s">
        <v>168</v>
      </c>
      <c r="U556" t="s">
        <v>169</v>
      </c>
      <c r="V556" t="s">
        <v>170</v>
      </c>
      <c r="W556" t="s">
        <v>171</v>
      </c>
      <c r="Y556">
        <v>10</v>
      </c>
      <c r="Z556" t="s">
        <v>172</v>
      </c>
      <c r="AA556" t="s">
        <v>173</v>
      </c>
      <c r="AB556" t="s">
        <v>769</v>
      </c>
      <c r="AC556" t="s">
        <v>770</v>
      </c>
      <c r="AD556">
        <v>10</v>
      </c>
      <c r="AG556" t="s">
        <v>167</v>
      </c>
      <c r="AH556" t="s">
        <v>416</v>
      </c>
      <c r="AI556" t="s">
        <v>178</v>
      </c>
      <c r="AJ556" t="s">
        <v>179</v>
      </c>
      <c r="AK556" t="s">
        <v>664</v>
      </c>
      <c r="AL556" t="s">
        <v>665</v>
      </c>
      <c r="AS556">
        <v>2150</v>
      </c>
      <c r="AT556">
        <v>2150</v>
      </c>
      <c r="BN556" s="114" t="s">
        <v>247</v>
      </c>
      <c r="BO556">
        <v>2</v>
      </c>
      <c r="BP556">
        <v>2</v>
      </c>
      <c r="BQ556">
        <v>33</v>
      </c>
      <c r="BR556" t="s">
        <v>1062</v>
      </c>
      <c r="BT556" t="s">
        <v>183</v>
      </c>
      <c r="BU556" s="115">
        <v>45922</v>
      </c>
      <c r="BV556">
        <v>37754</v>
      </c>
      <c r="BW556" s="116"/>
      <c r="BX556" t="s">
        <v>173</v>
      </c>
      <c r="BY556" t="s">
        <v>173</v>
      </c>
      <c r="CB556" t="s">
        <v>173</v>
      </c>
      <c r="CC556" t="s">
        <v>173</v>
      </c>
      <c r="CE556" t="s">
        <v>173</v>
      </c>
      <c r="CG556" t="s">
        <v>172</v>
      </c>
      <c r="CH556" t="s">
        <v>1174</v>
      </c>
      <c r="CI556" t="s">
        <v>173</v>
      </c>
      <c r="DJ556" t="s">
        <v>250</v>
      </c>
      <c r="DK556" t="s">
        <v>251</v>
      </c>
      <c r="DN556" t="s">
        <v>173</v>
      </c>
      <c r="DO556" t="s">
        <v>983</v>
      </c>
      <c r="DP556" t="s">
        <v>172</v>
      </c>
      <c r="DQ556" t="s">
        <v>204</v>
      </c>
      <c r="EA556" s="117"/>
      <c r="EB556">
        <v>5</v>
      </c>
      <c r="EC556">
        <v>5</v>
      </c>
      <c r="EE556" t="s">
        <v>1313</v>
      </c>
      <c r="EF556">
        <v>6</v>
      </c>
      <c r="EV556">
        <v>2250</v>
      </c>
      <c r="EW556">
        <v>448</v>
      </c>
      <c r="EX556">
        <v>329</v>
      </c>
      <c r="EY556">
        <v>394</v>
      </c>
    </row>
    <row r="557" spans="1:155" x14ac:dyDescent="0.35">
      <c r="A557">
        <v>2026</v>
      </c>
      <c r="B557" t="s">
        <v>978</v>
      </c>
      <c r="C557" s="112" t="s">
        <v>1170</v>
      </c>
      <c r="D557" t="s">
        <v>2137</v>
      </c>
      <c r="E557" t="s">
        <v>981</v>
      </c>
      <c r="F557">
        <v>139</v>
      </c>
      <c r="G557" s="113">
        <v>2.2999999999999998</v>
      </c>
      <c r="H557">
        <v>4</v>
      </c>
      <c r="I557" t="s">
        <v>246</v>
      </c>
      <c r="J557">
        <v>19</v>
      </c>
      <c r="K557">
        <v>23</v>
      </c>
      <c r="L557">
        <v>21</v>
      </c>
      <c r="M557">
        <v>24.304600000000001</v>
      </c>
      <c r="N557">
        <v>36.735700000000001</v>
      </c>
      <c r="O557">
        <v>28.670500000000001</v>
      </c>
      <c r="P557">
        <v>19.296600000000002</v>
      </c>
      <c r="Q557">
        <v>23.437999999999999</v>
      </c>
      <c r="R557">
        <v>20.9635</v>
      </c>
      <c r="T557" t="s">
        <v>168</v>
      </c>
      <c r="U557" t="s">
        <v>169</v>
      </c>
      <c r="V557" t="s">
        <v>196</v>
      </c>
      <c r="W557" t="s">
        <v>197</v>
      </c>
      <c r="Y557">
        <v>10</v>
      </c>
      <c r="Z557" t="s">
        <v>172</v>
      </c>
      <c r="AA557" t="s">
        <v>173</v>
      </c>
      <c r="AB557" t="s">
        <v>769</v>
      </c>
      <c r="AC557" t="s">
        <v>770</v>
      </c>
      <c r="AD557">
        <v>10</v>
      </c>
      <c r="AG557" t="s">
        <v>167</v>
      </c>
      <c r="AH557" t="s">
        <v>416</v>
      </c>
      <c r="AI557" t="s">
        <v>178</v>
      </c>
      <c r="AJ557" t="s">
        <v>179</v>
      </c>
      <c r="AK557" t="s">
        <v>664</v>
      </c>
      <c r="AL557" t="s">
        <v>665</v>
      </c>
      <c r="AS557">
        <v>2350</v>
      </c>
      <c r="AT557">
        <v>2350</v>
      </c>
      <c r="BN557" s="114" t="s">
        <v>247</v>
      </c>
      <c r="BO557">
        <v>2</v>
      </c>
      <c r="BP557">
        <v>2</v>
      </c>
      <c r="BQ557">
        <v>33</v>
      </c>
      <c r="BR557" t="s">
        <v>1062</v>
      </c>
      <c r="BT557" t="s">
        <v>613</v>
      </c>
      <c r="BU557" s="115">
        <v>45930</v>
      </c>
      <c r="BV557">
        <v>37756</v>
      </c>
      <c r="BW557" s="116"/>
      <c r="BX557" t="s">
        <v>173</v>
      </c>
      <c r="BY557" t="s">
        <v>173</v>
      </c>
      <c r="CB557" t="s">
        <v>173</v>
      </c>
      <c r="CC557" t="s">
        <v>173</v>
      </c>
      <c r="CE557" t="s">
        <v>173</v>
      </c>
      <c r="CG557" t="s">
        <v>172</v>
      </c>
      <c r="CH557" t="s">
        <v>1174</v>
      </c>
      <c r="CI557" t="s">
        <v>173</v>
      </c>
      <c r="DJ557" t="s">
        <v>250</v>
      </c>
      <c r="DK557" t="s">
        <v>251</v>
      </c>
      <c r="DN557" t="s">
        <v>173</v>
      </c>
      <c r="DO557" t="s">
        <v>983</v>
      </c>
      <c r="DP557" t="s">
        <v>172</v>
      </c>
      <c r="DQ557" t="s">
        <v>204</v>
      </c>
      <c r="DR557" t="s">
        <v>2138</v>
      </c>
      <c r="EA557" s="117"/>
      <c r="EB557">
        <v>4</v>
      </c>
      <c r="EC557">
        <v>4</v>
      </c>
      <c r="EE557" t="s">
        <v>2139</v>
      </c>
      <c r="EF557">
        <v>6</v>
      </c>
      <c r="EI557" t="s">
        <v>1313</v>
      </c>
      <c r="EJ557">
        <v>6</v>
      </c>
      <c r="EV557">
        <v>3250</v>
      </c>
      <c r="EW557">
        <v>460</v>
      </c>
      <c r="EX557">
        <v>378</v>
      </c>
      <c r="EY557">
        <v>424</v>
      </c>
    </row>
    <row r="558" spans="1:155" x14ac:dyDescent="0.35">
      <c r="A558">
        <v>2026</v>
      </c>
      <c r="B558" t="s">
        <v>400</v>
      </c>
      <c r="C558" s="112" t="s">
        <v>401</v>
      </c>
      <c r="D558" t="s">
        <v>1090</v>
      </c>
      <c r="E558" t="s">
        <v>403</v>
      </c>
      <c r="F558">
        <v>13</v>
      </c>
      <c r="G558" s="113">
        <v>2.5</v>
      </c>
      <c r="H558">
        <v>4</v>
      </c>
      <c r="I558" t="s">
        <v>195</v>
      </c>
      <c r="J558">
        <v>19</v>
      </c>
      <c r="K558">
        <v>24</v>
      </c>
      <c r="L558">
        <v>21</v>
      </c>
      <c r="M558">
        <v>23.6417</v>
      </c>
      <c r="N558">
        <v>33.809399999999997</v>
      </c>
      <c r="O558">
        <v>27.341899999999999</v>
      </c>
      <c r="P558">
        <v>18.8108</v>
      </c>
      <c r="Q558">
        <v>24.108499999999999</v>
      </c>
      <c r="R558">
        <v>20.875</v>
      </c>
      <c r="T558" t="s">
        <v>168</v>
      </c>
      <c r="U558" t="s">
        <v>169</v>
      </c>
      <c r="V558" t="s">
        <v>196</v>
      </c>
      <c r="W558" t="s">
        <v>197</v>
      </c>
      <c r="Y558">
        <v>8</v>
      </c>
      <c r="Z558" t="s">
        <v>172</v>
      </c>
      <c r="AA558" t="s">
        <v>173</v>
      </c>
      <c r="AB558" t="s">
        <v>170</v>
      </c>
      <c r="AC558" t="s">
        <v>232</v>
      </c>
      <c r="AD558">
        <v>15</v>
      </c>
      <c r="AG558" t="s">
        <v>176</v>
      </c>
      <c r="AH558" t="s">
        <v>177</v>
      </c>
      <c r="AI558" t="s">
        <v>178</v>
      </c>
      <c r="AJ558" t="s">
        <v>179</v>
      </c>
      <c r="AK558" t="s">
        <v>664</v>
      </c>
      <c r="AL558" t="s">
        <v>665</v>
      </c>
      <c r="AS558">
        <v>2950</v>
      </c>
      <c r="AT558">
        <v>2950</v>
      </c>
      <c r="BN558" s="114" t="s">
        <v>247</v>
      </c>
      <c r="BO558">
        <v>2</v>
      </c>
      <c r="BP558">
        <v>2</v>
      </c>
      <c r="BQ558">
        <v>33</v>
      </c>
      <c r="BR558" t="s">
        <v>1062</v>
      </c>
      <c r="BT558" t="s">
        <v>183</v>
      </c>
      <c r="BU558" s="115">
        <v>45823</v>
      </c>
      <c r="BV558">
        <v>36735</v>
      </c>
      <c r="BW558" s="116"/>
      <c r="BX558" t="s">
        <v>173</v>
      </c>
      <c r="BY558" t="s">
        <v>173</v>
      </c>
      <c r="CB558" t="s">
        <v>173</v>
      </c>
      <c r="CC558" t="s">
        <v>173</v>
      </c>
      <c r="CE558" t="s">
        <v>173</v>
      </c>
      <c r="CG558" t="s">
        <v>172</v>
      </c>
      <c r="CH558" t="s">
        <v>551</v>
      </c>
      <c r="CI558" t="s">
        <v>173</v>
      </c>
      <c r="DJ558" t="s">
        <v>250</v>
      </c>
      <c r="DK558" t="s">
        <v>251</v>
      </c>
      <c r="DN558" t="s">
        <v>173</v>
      </c>
      <c r="DO558" t="s">
        <v>552</v>
      </c>
      <c r="DP558" t="s">
        <v>172</v>
      </c>
      <c r="DQ558" t="s">
        <v>204</v>
      </c>
      <c r="EA558" s="117"/>
      <c r="EB558">
        <v>4</v>
      </c>
      <c r="EC558">
        <v>4</v>
      </c>
      <c r="EE558" t="s">
        <v>810</v>
      </c>
      <c r="EF558">
        <v>6</v>
      </c>
      <c r="EV558">
        <v>6250</v>
      </c>
      <c r="EW558">
        <v>474</v>
      </c>
      <c r="EX558">
        <v>369</v>
      </c>
      <c r="EY558">
        <v>427</v>
      </c>
    </row>
    <row r="559" spans="1:155" x14ac:dyDescent="0.35">
      <c r="A559">
        <v>2026</v>
      </c>
      <c r="B559" t="s">
        <v>400</v>
      </c>
      <c r="C559" s="112" t="s">
        <v>401</v>
      </c>
      <c r="D559" t="s">
        <v>1090</v>
      </c>
      <c r="E559" t="s">
        <v>403</v>
      </c>
      <c r="F559">
        <v>14</v>
      </c>
      <c r="G559" s="113">
        <v>3.5</v>
      </c>
      <c r="H559">
        <v>6</v>
      </c>
      <c r="I559" t="s">
        <v>195</v>
      </c>
      <c r="J559">
        <v>16</v>
      </c>
      <c r="K559">
        <v>22</v>
      </c>
      <c r="L559">
        <v>19</v>
      </c>
      <c r="M559">
        <v>20.482700000000001</v>
      </c>
      <c r="N559">
        <v>31.217199999999998</v>
      </c>
      <c r="O559">
        <v>24.232399999999998</v>
      </c>
      <c r="P559">
        <v>16.4666</v>
      </c>
      <c r="Q559">
        <v>22.392099999999999</v>
      </c>
      <c r="R559">
        <v>18.692499999999999</v>
      </c>
      <c r="T559" t="s">
        <v>168</v>
      </c>
      <c r="U559" t="s">
        <v>169</v>
      </c>
      <c r="V559" t="s">
        <v>196</v>
      </c>
      <c r="W559" t="s">
        <v>197</v>
      </c>
      <c r="Y559">
        <v>8</v>
      </c>
      <c r="Z559" t="s">
        <v>172</v>
      </c>
      <c r="AA559" t="s">
        <v>173</v>
      </c>
      <c r="AB559" t="s">
        <v>170</v>
      </c>
      <c r="AC559" t="s">
        <v>232</v>
      </c>
      <c r="AD559">
        <v>15</v>
      </c>
      <c r="AG559" t="s">
        <v>176</v>
      </c>
      <c r="AH559" t="s">
        <v>177</v>
      </c>
      <c r="AI559" t="s">
        <v>178</v>
      </c>
      <c r="AJ559" t="s">
        <v>179</v>
      </c>
      <c r="AK559" t="s">
        <v>664</v>
      </c>
      <c r="AL559" t="s">
        <v>665</v>
      </c>
      <c r="AS559">
        <v>3300</v>
      </c>
      <c r="AT559">
        <v>3300</v>
      </c>
      <c r="BN559" s="114" t="s">
        <v>247</v>
      </c>
      <c r="BO559">
        <v>2</v>
      </c>
      <c r="BP559">
        <v>2</v>
      </c>
      <c r="BQ559">
        <v>33</v>
      </c>
      <c r="BR559" t="s">
        <v>1062</v>
      </c>
      <c r="BT559" t="s">
        <v>183</v>
      </c>
      <c r="BU559" s="115">
        <v>45823</v>
      </c>
      <c r="BV559">
        <v>36737</v>
      </c>
      <c r="BW559" s="116"/>
      <c r="BX559" t="s">
        <v>173</v>
      </c>
      <c r="BY559" t="s">
        <v>173</v>
      </c>
      <c r="CB559" t="s">
        <v>173</v>
      </c>
      <c r="CC559" t="s">
        <v>173</v>
      </c>
      <c r="CE559" t="s">
        <v>173</v>
      </c>
      <c r="CG559" t="s">
        <v>172</v>
      </c>
      <c r="CH559" t="s">
        <v>551</v>
      </c>
      <c r="CI559" t="s">
        <v>173</v>
      </c>
      <c r="DJ559" t="s">
        <v>250</v>
      </c>
      <c r="DK559" t="s">
        <v>251</v>
      </c>
      <c r="DN559" t="s">
        <v>173</v>
      </c>
      <c r="DO559" t="s">
        <v>552</v>
      </c>
      <c r="DP559" t="s">
        <v>172</v>
      </c>
      <c r="DQ559" t="s">
        <v>204</v>
      </c>
      <c r="EA559" s="117"/>
      <c r="EB559">
        <v>4</v>
      </c>
      <c r="EC559">
        <v>4</v>
      </c>
      <c r="EE559" t="s">
        <v>1091</v>
      </c>
      <c r="EF559">
        <v>5</v>
      </c>
      <c r="EV559">
        <v>8000</v>
      </c>
      <c r="EW559">
        <v>538</v>
      </c>
      <c r="EX559">
        <v>395</v>
      </c>
      <c r="EY559">
        <v>473</v>
      </c>
    </row>
    <row r="560" spans="1:155" x14ac:dyDescent="0.35">
      <c r="A560">
        <v>2026</v>
      </c>
      <c r="B560" t="s">
        <v>400</v>
      </c>
      <c r="C560" s="112" t="s">
        <v>401</v>
      </c>
      <c r="D560" t="s">
        <v>1092</v>
      </c>
      <c r="E560" t="s">
        <v>403</v>
      </c>
      <c r="F560">
        <v>75</v>
      </c>
      <c r="G560" s="113">
        <v>3.5</v>
      </c>
      <c r="H560">
        <v>6</v>
      </c>
      <c r="I560" t="s">
        <v>195</v>
      </c>
      <c r="J560">
        <v>17</v>
      </c>
      <c r="K560">
        <v>22</v>
      </c>
      <c r="L560">
        <v>19</v>
      </c>
      <c r="M560">
        <v>21.5</v>
      </c>
      <c r="N560">
        <v>29.9</v>
      </c>
      <c r="O560">
        <v>24.6114</v>
      </c>
      <c r="P560">
        <v>17.226800000000001</v>
      </c>
      <c r="Q560">
        <v>21.5122</v>
      </c>
      <c r="R560">
        <v>18.923100000000002</v>
      </c>
      <c r="T560" t="s">
        <v>341</v>
      </c>
      <c r="U560" t="s">
        <v>342</v>
      </c>
      <c r="V560" t="s">
        <v>196</v>
      </c>
      <c r="W560" t="s">
        <v>197</v>
      </c>
      <c r="Y560">
        <v>8</v>
      </c>
      <c r="Z560" t="s">
        <v>172</v>
      </c>
      <c r="AA560" t="s">
        <v>173</v>
      </c>
      <c r="AB560" t="s">
        <v>170</v>
      </c>
      <c r="AC560" t="s">
        <v>232</v>
      </c>
      <c r="AD560">
        <v>15</v>
      </c>
      <c r="AG560" t="s">
        <v>176</v>
      </c>
      <c r="AH560" t="s">
        <v>177</v>
      </c>
      <c r="AI560" t="s">
        <v>178</v>
      </c>
      <c r="AJ560" t="s">
        <v>179</v>
      </c>
      <c r="AK560" t="s">
        <v>664</v>
      </c>
      <c r="AL560" t="s">
        <v>665</v>
      </c>
      <c r="AS560">
        <v>3300</v>
      </c>
      <c r="AT560">
        <v>3300</v>
      </c>
      <c r="BN560" s="114" t="s">
        <v>304</v>
      </c>
      <c r="BO560">
        <v>2</v>
      </c>
      <c r="BP560">
        <v>2</v>
      </c>
      <c r="BQ560">
        <v>33</v>
      </c>
      <c r="BR560" t="s">
        <v>1062</v>
      </c>
      <c r="BT560" t="s">
        <v>183</v>
      </c>
      <c r="BU560" s="115">
        <v>45823</v>
      </c>
      <c r="BV560">
        <v>36738</v>
      </c>
      <c r="BW560" s="116"/>
      <c r="BX560" t="s">
        <v>173</v>
      </c>
      <c r="BY560" t="s">
        <v>173</v>
      </c>
      <c r="CB560" t="s">
        <v>173</v>
      </c>
      <c r="CC560" t="s">
        <v>173</v>
      </c>
      <c r="CD560" t="s">
        <v>1093</v>
      </c>
      <c r="CE560" t="s">
        <v>173</v>
      </c>
      <c r="CG560" t="s">
        <v>172</v>
      </c>
      <c r="CH560" t="s">
        <v>551</v>
      </c>
      <c r="CI560" t="s">
        <v>173</v>
      </c>
      <c r="CK560" t="s">
        <v>259</v>
      </c>
      <c r="CM560">
        <v>1</v>
      </c>
      <c r="CN560" t="s">
        <v>260</v>
      </c>
      <c r="CP560">
        <v>45</v>
      </c>
      <c r="CQ560">
        <v>9.8000000000000007</v>
      </c>
      <c r="CR560">
        <v>36.4</v>
      </c>
      <c r="CS560" t="s">
        <v>261</v>
      </c>
      <c r="CV560" t="s">
        <v>262</v>
      </c>
      <c r="CX560" t="s">
        <v>493</v>
      </c>
      <c r="CY560" t="s">
        <v>173</v>
      </c>
      <c r="DC560" t="s">
        <v>1094</v>
      </c>
      <c r="DD560">
        <v>1</v>
      </c>
      <c r="DE560" t="s">
        <v>307</v>
      </c>
      <c r="DF560" t="s">
        <v>1095</v>
      </c>
      <c r="DG560">
        <v>12</v>
      </c>
      <c r="DJ560" t="s">
        <v>250</v>
      </c>
      <c r="DK560" t="s">
        <v>251</v>
      </c>
      <c r="DL560" t="s">
        <v>173</v>
      </c>
      <c r="DM560" t="s">
        <v>173</v>
      </c>
      <c r="DN560" t="s">
        <v>173</v>
      </c>
      <c r="DO560" t="s">
        <v>552</v>
      </c>
      <c r="DP560" t="s">
        <v>172</v>
      </c>
      <c r="DQ560" t="s">
        <v>204</v>
      </c>
      <c r="EA560" s="117"/>
      <c r="EB560">
        <v>4</v>
      </c>
      <c r="EC560">
        <v>4</v>
      </c>
      <c r="EE560" t="s">
        <v>1096</v>
      </c>
      <c r="EF560">
        <v>5</v>
      </c>
      <c r="EV560">
        <v>8000</v>
      </c>
      <c r="EW560">
        <v>513</v>
      </c>
      <c r="EX560">
        <v>410</v>
      </c>
      <c r="EY560">
        <v>467</v>
      </c>
    </row>
    <row r="561" spans="1:155" x14ac:dyDescent="0.35">
      <c r="A561">
        <v>2026</v>
      </c>
      <c r="B561" t="s">
        <v>211</v>
      </c>
      <c r="C561" s="112" t="s">
        <v>683</v>
      </c>
      <c r="D561" t="s">
        <v>1097</v>
      </c>
      <c r="E561" t="s">
        <v>214</v>
      </c>
      <c r="F561">
        <v>855</v>
      </c>
      <c r="G561" s="113">
        <v>2.5</v>
      </c>
      <c r="H561">
        <v>4</v>
      </c>
      <c r="I561" t="s">
        <v>166</v>
      </c>
      <c r="J561">
        <v>20</v>
      </c>
      <c r="K561">
        <v>23</v>
      </c>
      <c r="L561">
        <v>21</v>
      </c>
      <c r="M561">
        <v>24.6358</v>
      </c>
      <c r="N561">
        <v>34.809699999999999</v>
      </c>
      <c r="O561">
        <v>28.366599999999998</v>
      </c>
      <c r="P561">
        <v>19.538499999999999</v>
      </c>
      <c r="Q561">
        <v>23</v>
      </c>
      <c r="R561">
        <v>21</v>
      </c>
      <c r="T561" t="s">
        <v>168</v>
      </c>
      <c r="U561" t="s">
        <v>169</v>
      </c>
      <c r="V561" t="s">
        <v>170</v>
      </c>
      <c r="W561" t="s">
        <v>171</v>
      </c>
      <c r="Y561">
        <v>8</v>
      </c>
      <c r="Z561" t="s">
        <v>172</v>
      </c>
      <c r="AA561" t="s">
        <v>173</v>
      </c>
      <c r="AB561" t="s">
        <v>170</v>
      </c>
      <c r="AC561" t="s">
        <v>232</v>
      </c>
      <c r="AD561">
        <v>10</v>
      </c>
      <c r="AG561" t="s">
        <v>167</v>
      </c>
      <c r="AH561" t="s">
        <v>416</v>
      </c>
      <c r="AI561" t="s">
        <v>178</v>
      </c>
      <c r="AJ561" t="s">
        <v>179</v>
      </c>
      <c r="AK561" t="s">
        <v>664</v>
      </c>
      <c r="AL561" t="s">
        <v>665</v>
      </c>
      <c r="AS561">
        <v>2350</v>
      </c>
      <c r="AT561">
        <v>2350</v>
      </c>
      <c r="BN561" s="114" t="s">
        <v>198</v>
      </c>
      <c r="BO561">
        <v>2</v>
      </c>
      <c r="BP561">
        <v>2</v>
      </c>
      <c r="BQ561">
        <v>33</v>
      </c>
      <c r="BR561" t="s">
        <v>1062</v>
      </c>
      <c r="BT561" t="s">
        <v>183</v>
      </c>
      <c r="BU561" s="115">
        <v>45845</v>
      </c>
      <c r="BV561">
        <v>36795</v>
      </c>
      <c r="BW561" s="116"/>
      <c r="BX561" t="s">
        <v>173</v>
      </c>
      <c r="BY561" t="s">
        <v>173</v>
      </c>
      <c r="CB561" t="s">
        <v>173</v>
      </c>
      <c r="CC561" t="s">
        <v>173</v>
      </c>
      <c r="CE561" t="s">
        <v>173</v>
      </c>
      <c r="CG561" t="s">
        <v>172</v>
      </c>
      <c r="CH561" t="s">
        <v>224</v>
      </c>
      <c r="CI561" t="s">
        <v>173</v>
      </c>
      <c r="DJ561" t="s">
        <v>201</v>
      </c>
      <c r="DK561" t="s">
        <v>202</v>
      </c>
      <c r="DN561" t="s">
        <v>173</v>
      </c>
      <c r="DO561" t="s">
        <v>203</v>
      </c>
      <c r="DP561" t="s">
        <v>172</v>
      </c>
      <c r="DQ561" t="s">
        <v>204</v>
      </c>
      <c r="EA561" s="117"/>
      <c r="EB561">
        <v>4</v>
      </c>
      <c r="EC561">
        <v>4</v>
      </c>
      <c r="EE561" t="s">
        <v>1037</v>
      </c>
      <c r="EF561">
        <v>6</v>
      </c>
      <c r="EV561">
        <v>3250</v>
      </c>
      <c r="EW561">
        <v>454</v>
      </c>
      <c r="EX561">
        <v>387</v>
      </c>
      <c r="EY561">
        <v>423</v>
      </c>
    </row>
    <row r="562" spans="1:155" x14ac:dyDescent="0.35">
      <c r="A562">
        <v>2026</v>
      </c>
      <c r="B562" t="s">
        <v>211</v>
      </c>
      <c r="C562" s="112" t="s">
        <v>683</v>
      </c>
      <c r="D562" t="s">
        <v>1343</v>
      </c>
      <c r="E562" t="s">
        <v>214</v>
      </c>
      <c r="F562">
        <v>587</v>
      </c>
      <c r="G562" s="113">
        <v>6.2</v>
      </c>
      <c r="H562">
        <v>8</v>
      </c>
      <c r="I562" t="s">
        <v>669</v>
      </c>
      <c r="J562">
        <v>14</v>
      </c>
      <c r="K562">
        <v>18</v>
      </c>
      <c r="L562">
        <v>16</v>
      </c>
      <c r="M562">
        <v>18.2</v>
      </c>
      <c r="N562">
        <v>27.3</v>
      </c>
      <c r="O562">
        <v>21.411799999999999</v>
      </c>
      <c r="P562">
        <v>14</v>
      </c>
      <c r="Q562">
        <v>18</v>
      </c>
      <c r="R562">
        <v>16.296900000000001</v>
      </c>
      <c r="U562" t="s">
        <v>215</v>
      </c>
      <c r="V562" t="s">
        <v>170</v>
      </c>
      <c r="W562" t="s">
        <v>171</v>
      </c>
      <c r="Y562">
        <v>10</v>
      </c>
      <c r="Z562" t="s">
        <v>172</v>
      </c>
      <c r="AA562" t="s">
        <v>173</v>
      </c>
      <c r="AB562">
        <v>4</v>
      </c>
      <c r="AC562" t="s">
        <v>423</v>
      </c>
      <c r="AD562">
        <v>10</v>
      </c>
      <c r="AG562" t="s">
        <v>176</v>
      </c>
      <c r="AH562" t="s">
        <v>177</v>
      </c>
      <c r="AI562" t="s">
        <v>178</v>
      </c>
      <c r="AJ562" t="s">
        <v>179</v>
      </c>
      <c r="AK562" t="s">
        <v>664</v>
      </c>
      <c r="AL562" t="s">
        <v>665</v>
      </c>
      <c r="AS562">
        <v>3900</v>
      </c>
      <c r="AT562">
        <v>3900</v>
      </c>
      <c r="BN562" s="114" t="s">
        <v>198</v>
      </c>
      <c r="BO562">
        <v>1</v>
      </c>
      <c r="BP562">
        <v>1</v>
      </c>
      <c r="BQ562">
        <v>33</v>
      </c>
      <c r="BR562" t="s">
        <v>1062</v>
      </c>
      <c r="BT562" t="s">
        <v>613</v>
      </c>
      <c r="BU562" s="115">
        <v>45908</v>
      </c>
      <c r="BV562">
        <v>36834</v>
      </c>
      <c r="BW562" s="116"/>
      <c r="BX562" t="s">
        <v>173</v>
      </c>
      <c r="BY562" t="s">
        <v>173</v>
      </c>
      <c r="CB562" t="s">
        <v>173</v>
      </c>
      <c r="CC562" t="s">
        <v>173</v>
      </c>
      <c r="CE562" t="s">
        <v>172</v>
      </c>
      <c r="CF562" t="s">
        <v>676</v>
      </c>
      <c r="CG562" t="s">
        <v>172</v>
      </c>
      <c r="CH562" t="s">
        <v>677</v>
      </c>
      <c r="CI562" t="s">
        <v>173</v>
      </c>
      <c r="DJ562" t="s">
        <v>201</v>
      </c>
      <c r="DK562" t="s">
        <v>202</v>
      </c>
      <c r="DN562" t="s">
        <v>173</v>
      </c>
      <c r="DO562" t="s">
        <v>203</v>
      </c>
      <c r="DP562" t="s">
        <v>172</v>
      </c>
      <c r="DQ562" t="s">
        <v>204</v>
      </c>
      <c r="EA562" s="117"/>
      <c r="EB562">
        <v>3</v>
      </c>
      <c r="EC562">
        <v>3</v>
      </c>
      <c r="EE562" t="s">
        <v>717</v>
      </c>
      <c r="EF562">
        <v>5</v>
      </c>
      <c r="EV562">
        <v>11000</v>
      </c>
      <c r="EW562">
        <v>634</v>
      </c>
      <c r="EX562">
        <v>495</v>
      </c>
      <c r="EY562">
        <v>572</v>
      </c>
    </row>
    <row r="563" spans="1:155" x14ac:dyDescent="0.35">
      <c r="A563">
        <v>2026</v>
      </c>
      <c r="B563" t="s">
        <v>211</v>
      </c>
      <c r="C563" s="112" t="s">
        <v>683</v>
      </c>
      <c r="D563" t="s">
        <v>1343</v>
      </c>
      <c r="E563" t="s">
        <v>214</v>
      </c>
      <c r="F563">
        <v>596</v>
      </c>
      <c r="G563" s="113">
        <v>5.3</v>
      </c>
      <c r="H563">
        <v>8</v>
      </c>
      <c r="I563" t="s">
        <v>669</v>
      </c>
      <c r="J563">
        <v>15</v>
      </c>
      <c r="K563">
        <v>19</v>
      </c>
      <c r="L563">
        <v>17</v>
      </c>
      <c r="M563">
        <v>19.399999999999999</v>
      </c>
      <c r="N563">
        <v>29.4</v>
      </c>
      <c r="O563">
        <v>22.905999999999999</v>
      </c>
      <c r="P563">
        <v>14.905099999999999</v>
      </c>
      <c r="Q563">
        <v>19.241499999999998</v>
      </c>
      <c r="R563">
        <v>16.587299999999999</v>
      </c>
      <c r="U563" t="s">
        <v>215</v>
      </c>
      <c r="V563" t="s">
        <v>170</v>
      </c>
      <c r="W563" t="s">
        <v>171</v>
      </c>
      <c r="Y563">
        <v>10</v>
      </c>
      <c r="Z563" t="s">
        <v>172</v>
      </c>
      <c r="AA563" t="s">
        <v>173</v>
      </c>
      <c r="AB563">
        <v>4</v>
      </c>
      <c r="AC563" t="s">
        <v>423</v>
      </c>
      <c r="AD563">
        <v>10</v>
      </c>
      <c r="AG563" t="s">
        <v>167</v>
      </c>
      <c r="AH563" t="s">
        <v>416</v>
      </c>
      <c r="AI563" t="s">
        <v>178</v>
      </c>
      <c r="AJ563" t="s">
        <v>179</v>
      </c>
      <c r="AK563" t="s">
        <v>664</v>
      </c>
      <c r="AL563" t="s">
        <v>665</v>
      </c>
      <c r="AS563">
        <v>2900</v>
      </c>
      <c r="AT563">
        <v>2900</v>
      </c>
      <c r="BN563" s="114" t="s">
        <v>198</v>
      </c>
      <c r="BO563">
        <v>1</v>
      </c>
      <c r="BP563">
        <v>1</v>
      </c>
      <c r="BQ563">
        <v>33</v>
      </c>
      <c r="BR563" t="s">
        <v>1062</v>
      </c>
      <c r="BT563" t="s">
        <v>218</v>
      </c>
      <c r="BU563" s="115">
        <v>45908</v>
      </c>
      <c r="BV563">
        <v>36930</v>
      </c>
      <c r="BW563" s="116"/>
      <c r="BX563" t="s">
        <v>173</v>
      </c>
      <c r="BY563" t="s">
        <v>173</v>
      </c>
      <c r="CB563" t="s">
        <v>173</v>
      </c>
      <c r="CC563" t="s">
        <v>173</v>
      </c>
      <c r="CE563" t="s">
        <v>172</v>
      </c>
      <c r="CF563" t="s">
        <v>676</v>
      </c>
      <c r="CG563" t="s">
        <v>172</v>
      </c>
      <c r="CH563" t="s">
        <v>677</v>
      </c>
      <c r="CI563" t="s">
        <v>173</v>
      </c>
      <c r="DJ563" t="s">
        <v>201</v>
      </c>
      <c r="DK563" t="s">
        <v>202</v>
      </c>
      <c r="DN563" t="s">
        <v>173</v>
      </c>
      <c r="DO563" t="s">
        <v>203</v>
      </c>
      <c r="DP563" t="s">
        <v>172</v>
      </c>
      <c r="DQ563" t="s">
        <v>204</v>
      </c>
      <c r="EA563" s="117"/>
      <c r="EB563">
        <v>3</v>
      </c>
      <c r="EC563">
        <v>3</v>
      </c>
      <c r="EE563" t="s">
        <v>679</v>
      </c>
      <c r="EF563">
        <v>6</v>
      </c>
      <c r="EV563">
        <v>6000</v>
      </c>
      <c r="EW563">
        <v>596</v>
      </c>
      <c r="EX563">
        <v>462</v>
      </c>
      <c r="EY563">
        <v>536</v>
      </c>
    </row>
    <row r="564" spans="1:155" x14ac:dyDescent="0.35">
      <c r="A564">
        <v>2026</v>
      </c>
      <c r="B564" t="s">
        <v>211</v>
      </c>
      <c r="C564" s="112" t="s">
        <v>683</v>
      </c>
      <c r="D564" t="s">
        <v>1343</v>
      </c>
      <c r="E564" t="s">
        <v>214</v>
      </c>
      <c r="F564">
        <v>765</v>
      </c>
      <c r="G564" s="113">
        <v>3</v>
      </c>
      <c r="H564">
        <v>6</v>
      </c>
      <c r="I564" t="s">
        <v>669</v>
      </c>
      <c r="J564">
        <v>20</v>
      </c>
      <c r="K564">
        <v>24</v>
      </c>
      <c r="L564">
        <v>22</v>
      </c>
      <c r="M564">
        <v>25.940100000000001</v>
      </c>
      <c r="N564">
        <v>37.0535</v>
      </c>
      <c r="O564">
        <v>29.987400000000001</v>
      </c>
      <c r="P564">
        <v>20.4862</v>
      </c>
      <c r="Q564">
        <v>24.4178</v>
      </c>
      <c r="R564">
        <v>22.086500000000001</v>
      </c>
      <c r="T564" t="s">
        <v>168</v>
      </c>
      <c r="U564" t="s">
        <v>169</v>
      </c>
      <c r="V564" t="s">
        <v>170</v>
      </c>
      <c r="W564" t="s">
        <v>171</v>
      </c>
      <c r="Y564">
        <v>10</v>
      </c>
      <c r="Z564" t="s">
        <v>172</v>
      </c>
      <c r="AA564" t="s">
        <v>173</v>
      </c>
      <c r="AB564">
        <v>4</v>
      </c>
      <c r="AC564" t="s">
        <v>423</v>
      </c>
      <c r="AE564">
        <v>20</v>
      </c>
      <c r="AG564" t="s">
        <v>670</v>
      </c>
      <c r="AH564" t="s">
        <v>671</v>
      </c>
      <c r="AI564" t="s">
        <v>178</v>
      </c>
      <c r="AJ564" t="s">
        <v>179</v>
      </c>
      <c r="AK564" t="s">
        <v>664</v>
      </c>
      <c r="AL564" t="s">
        <v>665</v>
      </c>
      <c r="AS564">
        <v>2450</v>
      </c>
      <c r="AT564">
        <v>2450</v>
      </c>
      <c r="BN564" s="114"/>
      <c r="BO564">
        <v>2</v>
      </c>
      <c r="BP564">
        <v>2</v>
      </c>
      <c r="BQ564">
        <v>33</v>
      </c>
      <c r="BR564" t="s">
        <v>1062</v>
      </c>
      <c r="BT564" t="s">
        <v>613</v>
      </c>
      <c r="BU564" s="115">
        <v>45894</v>
      </c>
      <c r="BV564">
        <v>37238</v>
      </c>
      <c r="BW564" s="116"/>
      <c r="BX564" t="s">
        <v>173</v>
      </c>
      <c r="BY564" t="s">
        <v>173</v>
      </c>
      <c r="CB564" t="s">
        <v>173</v>
      </c>
      <c r="CC564" t="s">
        <v>173</v>
      </c>
      <c r="CE564" t="s">
        <v>173</v>
      </c>
      <c r="CG564" t="s">
        <v>173</v>
      </c>
      <c r="CI564" t="s">
        <v>173</v>
      </c>
      <c r="DJ564" t="s">
        <v>672</v>
      </c>
      <c r="DK564" t="s">
        <v>673</v>
      </c>
      <c r="DN564" t="s">
        <v>173</v>
      </c>
      <c r="DO564" t="s">
        <v>203</v>
      </c>
      <c r="DP564" t="s">
        <v>172</v>
      </c>
      <c r="DQ564" t="s">
        <v>204</v>
      </c>
      <c r="EA564" s="117"/>
      <c r="EB564">
        <v>4</v>
      </c>
      <c r="EC564">
        <v>4</v>
      </c>
      <c r="EE564" t="s">
        <v>1310</v>
      </c>
      <c r="EF564">
        <v>4</v>
      </c>
      <c r="EV564">
        <v>3750</v>
      </c>
      <c r="EW564">
        <v>496</v>
      </c>
      <c r="EX564">
        <v>416</v>
      </c>
      <c r="EY564">
        <v>460</v>
      </c>
    </row>
    <row r="565" spans="1:155" x14ac:dyDescent="0.35">
      <c r="A565">
        <v>2026</v>
      </c>
      <c r="B565" t="s">
        <v>211</v>
      </c>
      <c r="C565" s="112" t="s">
        <v>683</v>
      </c>
      <c r="D565" t="s">
        <v>1344</v>
      </c>
      <c r="E565" t="s">
        <v>214</v>
      </c>
      <c r="F565">
        <v>589</v>
      </c>
      <c r="G565" s="113">
        <v>6.2</v>
      </c>
      <c r="H565">
        <v>8</v>
      </c>
      <c r="I565" t="s">
        <v>669</v>
      </c>
      <c r="J565">
        <v>14</v>
      </c>
      <c r="K565">
        <v>18</v>
      </c>
      <c r="L565">
        <v>16</v>
      </c>
      <c r="M565">
        <v>18.2</v>
      </c>
      <c r="N565">
        <v>27.3</v>
      </c>
      <c r="O565">
        <v>21.411799999999999</v>
      </c>
      <c r="P565">
        <v>14</v>
      </c>
      <c r="Q565">
        <v>18</v>
      </c>
      <c r="R565">
        <v>16.296900000000001</v>
      </c>
      <c r="U565" t="s">
        <v>215</v>
      </c>
      <c r="V565" t="s">
        <v>170</v>
      </c>
      <c r="W565" t="s">
        <v>171</v>
      </c>
      <c r="Y565">
        <v>10</v>
      </c>
      <c r="Z565" t="s">
        <v>172</v>
      </c>
      <c r="AA565" t="s">
        <v>173</v>
      </c>
      <c r="AB565">
        <v>4</v>
      </c>
      <c r="AC565" t="s">
        <v>423</v>
      </c>
      <c r="AD565">
        <v>10</v>
      </c>
      <c r="AG565" t="s">
        <v>176</v>
      </c>
      <c r="AH565" t="s">
        <v>177</v>
      </c>
      <c r="AI565" t="s">
        <v>178</v>
      </c>
      <c r="AJ565" t="s">
        <v>179</v>
      </c>
      <c r="AK565" t="s">
        <v>664</v>
      </c>
      <c r="AL565" t="s">
        <v>665</v>
      </c>
      <c r="AS565">
        <v>3900</v>
      </c>
      <c r="AT565">
        <v>3900</v>
      </c>
      <c r="BN565" s="114" t="s">
        <v>198</v>
      </c>
      <c r="BO565">
        <v>1</v>
      </c>
      <c r="BP565">
        <v>1</v>
      </c>
      <c r="BQ565">
        <v>33</v>
      </c>
      <c r="BR565" t="s">
        <v>1062</v>
      </c>
      <c r="BT565" t="s">
        <v>613</v>
      </c>
      <c r="BU565" s="115">
        <v>45908</v>
      </c>
      <c r="BV565">
        <v>36837</v>
      </c>
      <c r="BW565" s="116"/>
      <c r="BX565" t="s">
        <v>173</v>
      </c>
      <c r="BY565" t="s">
        <v>173</v>
      </c>
      <c r="CB565" t="s">
        <v>173</v>
      </c>
      <c r="CC565" t="s">
        <v>173</v>
      </c>
      <c r="CE565" t="s">
        <v>172</v>
      </c>
      <c r="CF565" t="s">
        <v>676</v>
      </c>
      <c r="CG565" t="s">
        <v>172</v>
      </c>
      <c r="CH565" t="s">
        <v>677</v>
      </c>
      <c r="CI565" t="s">
        <v>173</v>
      </c>
      <c r="DJ565" t="s">
        <v>201</v>
      </c>
      <c r="DK565" t="s">
        <v>202</v>
      </c>
      <c r="DN565" t="s">
        <v>173</v>
      </c>
      <c r="DO565" t="s">
        <v>203</v>
      </c>
      <c r="DP565" t="s">
        <v>172</v>
      </c>
      <c r="DQ565" t="s">
        <v>204</v>
      </c>
      <c r="EA565" s="117"/>
      <c r="EB565">
        <v>3</v>
      </c>
      <c r="EC565">
        <v>3</v>
      </c>
      <c r="EE565" t="s">
        <v>717</v>
      </c>
      <c r="EF565">
        <v>5</v>
      </c>
      <c r="EV565">
        <v>11000</v>
      </c>
      <c r="EW565">
        <v>634</v>
      </c>
      <c r="EX565">
        <v>495</v>
      </c>
      <c r="EY565">
        <v>572</v>
      </c>
    </row>
    <row r="566" spans="1:155" x14ac:dyDescent="0.35">
      <c r="A566">
        <v>2026</v>
      </c>
      <c r="B566" t="s">
        <v>211</v>
      </c>
      <c r="C566" s="112" t="s">
        <v>683</v>
      </c>
      <c r="D566" t="s">
        <v>1344</v>
      </c>
      <c r="E566" t="s">
        <v>214</v>
      </c>
      <c r="F566">
        <v>598</v>
      </c>
      <c r="G566" s="113">
        <v>5.3</v>
      </c>
      <c r="H566">
        <v>8</v>
      </c>
      <c r="I566" t="s">
        <v>669</v>
      </c>
      <c r="J566">
        <v>14</v>
      </c>
      <c r="K566">
        <v>19</v>
      </c>
      <c r="L566">
        <v>16</v>
      </c>
      <c r="M566">
        <v>17.727</v>
      </c>
      <c r="N566">
        <v>27.344100000000001</v>
      </c>
      <c r="O566">
        <v>21.060099999999998</v>
      </c>
      <c r="P566">
        <v>13.7134</v>
      </c>
      <c r="Q566">
        <v>18.513500000000001</v>
      </c>
      <c r="R566">
        <v>15.524699999999999</v>
      </c>
      <c r="U566" t="s">
        <v>215</v>
      </c>
      <c r="V566" t="s">
        <v>170</v>
      </c>
      <c r="W566" t="s">
        <v>171</v>
      </c>
      <c r="Y566">
        <v>10</v>
      </c>
      <c r="Z566" t="s">
        <v>172</v>
      </c>
      <c r="AA566" t="s">
        <v>173</v>
      </c>
      <c r="AB566">
        <v>4</v>
      </c>
      <c r="AC566" t="s">
        <v>423</v>
      </c>
      <c r="AD566">
        <v>10</v>
      </c>
      <c r="AG566" t="s">
        <v>167</v>
      </c>
      <c r="AH566" t="s">
        <v>416</v>
      </c>
      <c r="AI566" t="s">
        <v>178</v>
      </c>
      <c r="AJ566" t="s">
        <v>179</v>
      </c>
      <c r="AK566" t="s">
        <v>664</v>
      </c>
      <c r="AL566" t="s">
        <v>665</v>
      </c>
      <c r="AS566">
        <v>3100</v>
      </c>
      <c r="AT566">
        <v>3100</v>
      </c>
      <c r="BN566" s="114" t="s">
        <v>198</v>
      </c>
      <c r="BO566">
        <v>1</v>
      </c>
      <c r="BP566">
        <v>1</v>
      </c>
      <c r="BQ566">
        <v>33</v>
      </c>
      <c r="BR566" t="s">
        <v>1062</v>
      </c>
      <c r="BT566" t="s">
        <v>218</v>
      </c>
      <c r="BU566" s="115">
        <v>45908</v>
      </c>
      <c r="BV566">
        <v>36928</v>
      </c>
      <c r="BW566" s="116"/>
      <c r="BX566" t="s">
        <v>173</v>
      </c>
      <c r="BY566" t="s">
        <v>173</v>
      </c>
      <c r="CB566" t="s">
        <v>173</v>
      </c>
      <c r="CC566" t="s">
        <v>173</v>
      </c>
      <c r="CE566" t="s">
        <v>172</v>
      </c>
      <c r="CF566" t="s">
        <v>676</v>
      </c>
      <c r="CG566" t="s">
        <v>172</v>
      </c>
      <c r="CH566" t="s">
        <v>677</v>
      </c>
      <c r="CI566" t="s">
        <v>173</v>
      </c>
      <c r="DJ566" t="s">
        <v>201</v>
      </c>
      <c r="DK566" t="s">
        <v>202</v>
      </c>
      <c r="DN566" t="s">
        <v>173</v>
      </c>
      <c r="DO566" t="s">
        <v>203</v>
      </c>
      <c r="DP566" t="s">
        <v>172</v>
      </c>
      <c r="DQ566" t="s">
        <v>204</v>
      </c>
      <c r="EA566" s="117"/>
      <c r="EB566">
        <v>3</v>
      </c>
      <c r="EC566">
        <v>3</v>
      </c>
      <c r="EE566" t="s">
        <v>679</v>
      </c>
      <c r="EF566">
        <v>6</v>
      </c>
      <c r="EV566">
        <v>7000</v>
      </c>
      <c r="EW566">
        <v>646</v>
      </c>
      <c r="EX566">
        <v>481</v>
      </c>
      <c r="EY566">
        <v>571</v>
      </c>
    </row>
    <row r="567" spans="1:155" x14ac:dyDescent="0.35">
      <c r="A567">
        <v>2026</v>
      </c>
      <c r="B567" t="s">
        <v>211</v>
      </c>
      <c r="C567" s="112" t="s">
        <v>683</v>
      </c>
      <c r="D567" t="s">
        <v>1344</v>
      </c>
      <c r="E567" t="s">
        <v>214</v>
      </c>
      <c r="F567">
        <v>764</v>
      </c>
      <c r="G567" s="113">
        <v>3</v>
      </c>
      <c r="H567">
        <v>6</v>
      </c>
      <c r="I567" t="s">
        <v>669</v>
      </c>
      <c r="J567">
        <v>20</v>
      </c>
      <c r="K567">
        <v>24</v>
      </c>
      <c r="L567">
        <v>22</v>
      </c>
      <c r="M567">
        <v>25.940100000000001</v>
      </c>
      <c r="N567">
        <v>37.0535</v>
      </c>
      <c r="O567">
        <v>29.987400000000001</v>
      </c>
      <c r="P567">
        <v>20.4862</v>
      </c>
      <c r="Q567">
        <v>24.4178</v>
      </c>
      <c r="R567">
        <v>22.086500000000001</v>
      </c>
      <c r="T567" t="s">
        <v>168</v>
      </c>
      <c r="U567" t="s">
        <v>169</v>
      </c>
      <c r="V567" t="s">
        <v>170</v>
      </c>
      <c r="W567" t="s">
        <v>171</v>
      </c>
      <c r="Y567">
        <v>10</v>
      </c>
      <c r="Z567" t="s">
        <v>172</v>
      </c>
      <c r="AA567" t="s">
        <v>173</v>
      </c>
      <c r="AB567">
        <v>4</v>
      </c>
      <c r="AC567" t="s">
        <v>423</v>
      </c>
      <c r="AE567">
        <v>20</v>
      </c>
      <c r="AG567" t="s">
        <v>670</v>
      </c>
      <c r="AH567" t="s">
        <v>671</v>
      </c>
      <c r="AI567" t="s">
        <v>178</v>
      </c>
      <c r="AJ567" t="s">
        <v>179</v>
      </c>
      <c r="AK567" t="s">
        <v>664</v>
      </c>
      <c r="AL567" t="s">
        <v>665</v>
      </c>
      <c r="AS567">
        <v>2450</v>
      </c>
      <c r="AT567">
        <v>2450</v>
      </c>
      <c r="BN567" s="114"/>
      <c r="BO567">
        <v>2</v>
      </c>
      <c r="BP567">
        <v>2</v>
      </c>
      <c r="BQ567">
        <v>33</v>
      </c>
      <c r="BR567" t="s">
        <v>1062</v>
      </c>
      <c r="BT567" t="s">
        <v>613</v>
      </c>
      <c r="BU567" s="115">
        <v>45894</v>
      </c>
      <c r="BV567">
        <v>37237</v>
      </c>
      <c r="BW567" s="116"/>
      <c r="BX567" t="s">
        <v>173</v>
      </c>
      <c r="BY567" t="s">
        <v>173</v>
      </c>
      <c r="CB567" t="s">
        <v>173</v>
      </c>
      <c r="CC567" t="s">
        <v>173</v>
      </c>
      <c r="CE567" t="s">
        <v>173</v>
      </c>
      <c r="CG567" t="s">
        <v>173</v>
      </c>
      <c r="CI567" t="s">
        <v>173</v>
      </c>
      <c r="DJ567" t="s">
        <v>672</v>
      </c>
      <c r="DK567" t="s">
        <v>673</v>
      </c>
      <c r="DN567" t="s">
        <v>173</v>
      </c>
      <c r="DO567" t="s">
        <v>203</v>
      </c>
      <c r="DP567" t="s">
        <v>172</v>
      </c>
      <c r="DQ567" t="s">
        <v>204</v>
      </c>
      <c r="EA567" s="117"/>
      <c r="EB567">
        <v>4</v>
      </c>
      <c r="EC567">
        <v>4</v>
      </c>
      <c r="EE567" t="s">
        <v>1310</v>
      </c>
      <c r="EF567">
        <v>4</v>
      </c>
      <c r="EV567">
        <v>3750</v>
      </c>
      <c r="EW567">
        <v>496</v>
      </c>
      <c r="EX567">
        <v>416</v>
      </c>
      <c r="EY567">
        <v>460</v>
      </c>
    </row>
    <row r="568" spans="1:155" x14ac:dyDescent="0.35">
      <c r="A568">
        <v>2026</v>
      </c>
      <c r="B568" t="s">
        <v>400</v>
      </c>
      <c r="C568" s="112" t="s">
        <v>561</v>
      </c>
      <c r="D568" t="s">
        <v>1098</v>
      </c>
      <c r="E568" t="s">
        <v>403</v>
      </c>
      <c r="F568">
        <v>19</v>
      </c>
      <c r="G568" s="113">
        <v>3.5</v>
      </c>
      <c r="H568">
        <v>6</v>
      </c>
      <c r="I568" t="s">
        <v>195</v>
      </c>
      <c r="J568">
        <v>18</v>
      </c>
      <c r="K568">
        <v>24</v>
      </c>
      <c r="L568">
        <v>20</v>
      </c>
      <c r="M568">
        <v>22.216799999999999</v>
      </c>
      <c r="N568">
        <v>33.8857</v>
      </c>
      <c r="O568">
        <v>26.290900000000001</v>
      </c>
      <c r="P568">
        <v>17.759399999999999</v>
      </c>
      <c r="Q568">
        <v>23.671399999999998</v>
      </c>
      <c r="R568">
        <v>20.008099999999999</v>
      </c>
      <c r="U568" t="s">
        <v>215</v>
      </c>
      <c r="V568" t="s">
        <v>196</v>
      </c>
      <c r="W568" t="s">
        <v>197</v>
      </c>
      <c r="Y568">
        <v>8</v>
      </c>
      <c r="Z568" t="s">
        <v>172</v>
      </c>
      <c r="AA568" t="s">
        <v>173</v>
      </c>
      <c r="AB568" t="s">
        <v>170</v>
      </c>
      <c r="AC568" t="s">
        <v>232</v>
      </c>
      <c r="AD568">
        <v>15</v>
      </c>
      <c r="AG568" t="s">
        <v>167</v>
      </c>
      <c r="AH568" t="s">
        <v>416</v>
      </c>
      <c r="AI568" t="s">
        <v>178</v>
      </c>
      <c r="AJ568" t="s">
        <v>179</v>
      </c>
      <c r="AK568" t="s">
        <v>664</v>
      </c>
      <c r="AL568" t="s">
        <v>665</v>
      </c>
      <c r="AS568">
        <v>2500</v>
      </c>
      <c r="AT568">
        <v>2500</v>
      </c>
      <c r="BN568" s="114" t="s">
        <v>247</v>
      </c>
      <c r="BO568">
        <v>2</v>
      </c>
      <c r="BP568">
        <v>2</v>
      </c>
      <c r="BQ568">
        <v>33</v>
      </c>
      <c r="BR568" t="s">
        <v>1062</v>
      </c>
      <c r="BT568" t="s">
        <v>613</v>
      </c>
      <c r="BU568" s="115">
        <v>45792</v>
      </c>
      <c r="BV568">
        <v>36648</v>
      </c>
      <c r="BW568" s="116"/>
      <c r="BX568" t="s">
        <v>173</v>
      </c>
      <c r="BY568" t="s">
        <v>173</v>
      </c>
      <c r="CB568" t="s">
        <v>173</v>
      </c>
      <c r="CC568" t="s">
        <v>173</v>
      </c>
      <c r="CE568" t="s">
        <v>173</v>
      </c>
      <c r="CG568" t="s">
        <v>172</v>
      </c>
      <c r="CH568" t="s">
        <v>582</v>
      </c>
      <c r="CI568" t="s">
        <v>173</v>
      </c>
      <c r="DJ568" t="s">
        <v>250</v>
      </c>
      <c r="DK568" t="s">
        <v>251</v>
      </c>
      <c r="DN568" t="s">
        <v>173</v>
      </c>
      <c r="DO568" t="s">
        <v>203</v>
      </c>
      <c r="DP568" t="s">
        <v>173</v>
      </c>
      <c r="DQ568" t="s">
        <v>189</v>
      </c>
      <c r="EA568" s="117"/>
      <c r="EB568">
        <v>4</v>
      </c>
      <c r="EC568">
        <v>4</v>
      </c>
      <c r="EE568" t="s">
        <v>1044</v>
      </c>
      <c r="EF568">
        <v>6</v>
      </c>
      <c r="EV568">
        <v>4000</v>
      </c>
      <c r="EW568">
        <v>500</v>
      </c>
      <c r="EX568">
        <v>375</v>
      </c>
      <c r="EY568">
        <v>444</v>
      </c>
    </row>
    <row r="569" spans="1:155" x14ac:dyDescent="0.35">
      <c r="A569">
        <v>2026</v>
      </c>
      <c r="B569" t="s">
        <v>400</v>
      </c>
      <c r="C569" s="112" t="s">
        <v>561</v>
      </c>
      <c r="D569" t="s">
        <v>1099</v>
      </c>
      <c r="E569" t="s">
        <v>403</v>
      </c>
      <c r="F569">
        <v>85</v>
      </c>
      <c r="G569" s="113">
        <v>2.5</v>
      </c>
      <c r="H569">
        <v>4</v>
      </c>
      <c r="I569" t="s">
        <v>573</v>
      </c>
      <c r="J569">
        <v>29</v>
      </c>
      <c r="K569">
        <v>30</v>
      </c>
      <c r="L569">
        <v>29</v>
      </c>
      <c r="M569">
        <v>39.359299999999998</v>
      </c>
      <c r="N569">
        <v>40.617100000000001</v>
      </c>
      <c r="O569">
        <v>39.915500000000002</v>
      </c>
      <c r="P569">
        <v>28.7104</v>
      </c>
      <c r="Q569">
        <v>30.377600000000001</v>
      </c>
      <c r="R569">
        <v>29.4374</v>
      </c>
      <c r="T569" t="s">
        <v>168</v>
      </c>
      <c r="U569" t="s">
        <v>169</v>
      </c>
      <c r="V569" t="s">
        <v>275</v>
      </c>
      <c r="W569" t="s">
        <v>276</v>
      </c>
      <c r="Y569">
        <v>6</v>
      </c>
      <c r="Z569" t="s">
        <v>173</v>
      </c>
      <c r="AA569" t="s">
        <v>173</v>
      </c>
      <c r="AB569" t="s">
        <v>170</v>
      </c>
      <c r="AC569" t="s">
        <v>232</v>
      </c>
      <c r="AD569">
        <v>15</v>
      </c>
      <c r="AG569" t="s">
        <v>167</v>
      </c>
      <c r="AH569" t="s">
        <v>416</v>
      </c>
      <c r="AI569" t="s">
        <v>178</v>
      </c>
      <c r="AJ569" t="s">
        <v>179</v>
      </c>
      <c r="AK569" t="s">
        <v>664</v>
      </c>
      <c r="AL569" t="s">
        <v>665</v>
      </c>
      <c r="AS569">
        <v>1700</v>
      </c>
      <c r="AT569">
        <v>1700</v>
      </c>
      <c r="BN569" s="114" t="s">
        <v>492</v>
      </c>
      <c r="BO569">
        <v>2</v>
      </c>
      <c r="BP569">
        <v>2</v>
      </c>
      <c r="BQ569">
        <v>33</v>
      </c>
      <c r="BR569" t="s">
        <v>1062</v>
      </c>
      <c r="BT569" t="s">
        <v>218</v>
      </c>
      <c r="BU569" s="115">
        <v>45884</v>
      </c>
      <c r="BV569">
        <v>37354</v>
      </c>
      <c r="BW569" s="116"/>
      <c r="BX569" t="s">
        <v>173</v>
      </c>
      <c r="BY569" t="s">
        <v>173</v>
      </c>
      <c r="CB569" t="s">
        <v>173</v>
      </c>
      <c r="CC569" t="s">
        <v>173</v>
      </c>
      <c r="CE569" t="s">
        <v>173</v>
      </c>
      <c r="CG569" t="s">
        <v>172</v>
      </c>
      <c r="CH569" t="s">
        <v>1046</v>
      </c>
      <c r="CI569" t="s">
        <v>173</v>
      </c>
      <c r="CK569" t="s">
        <v>259</v>
      </c>
      <c r="CM569">
        <v>1</v>
      </c>
      <c r="CN569" t="s">
        <v>260</v>
      </c>
      <c r="CP569">
        <v>300</v>
      </c>
      <c r="CQ569">
        <v>5.5</v>
      </c>
      <c r="CR569">
        <v>44.7</v>
      </c>
      <c r="CS569" t="s">
        <v>261</v>
      </c>
      <c r="CV569" t="s">
        <v>262</v>
      </c>
      <c r="CX569" t="s">
        <v>493</v>
      </c>
      <c r="CY569" t="s">
        <v>172</v>
      </c>
      <c r="DD569">
        <v>2</v>
      </c>
      <c r="DE569" t="s">
        <v>307</v>
      </c>
      <c r="DF569" t="s">
        <v>330</v>
      </c>
      <c r="DG569" t="s">
        <v>1788</v>
      </c>
      <c r="DJ569" t="s">
        <v>201</v>
      </c>
      <c r="DK569" t="s">
        <v>202</v>
      </c>
      <c r="DL569" t="s">
        <v>173</v>
      </c>
      <c r="DM569" t="s">
        <v>173</v>
      </c>
      <c r="DN569" t="s">
        <v>173</v>
      </c>
      <c r="DO569" t="s">
        <v>827</v>
      </c>
      <c r="DP569" t="s">
        <v>172</v>
      </c>
      <c r="DQ569" t="s">
        <v>204</v>
      </c>
      <c r="EA569" s="117"/>
      <c r="EB569">
        <v>6</v>
      </c>
      <c r="EC569">
        <v>6</v>
      </c>
      <c r="EE569" t="s">
        <v>1047</v>
      </c>
      <c r="EF569">
        <v>6</v>
      </c>
      <c r="EU569">
        <v>0</v>
      </c>
      <c r="EW569">
        <v>307</v>
      </c>
      <c r="EX569">
        <v>291</v>
      </c>
      <c r="EY569">
        <v>300</v>
      </c>
    </row>
    <row r="570" spans="1:155" x14ac:dyDescent="0.35">
      <c r="A570">
        <v>2026</v>
      </c>
      <c r="B570" t="s">
        <v>400</v>
      </c>
      <c r="C570" s="112" t="s">
        <v>561</v>
      </c>
      <c r="D570" t="s">
        <v>1100</v>
      </c>
      <c r="E570" t="s">
        <v>403</v>
      </c>
      <c r="F570">
        <v>83</v>
      </c>
      <c r="G570" s="113">
        <v>3.5</v>
      </c>
      <c r="H570">
        <v>6</v>
      </c>
      <c r="I570" t="s">
        <v>195</v>
      </c>
      <c r="J570">
        <v>16</v>
      </c>
      <c r="K570">
        <v>22</v>
      </c>
      <c r="L570">
        <v>19</v>
      </c>
      <c r="M570">
        <v>20.399999999999999</v>
      </c>
      <c r="N570">
        <v>31.8</v>
      </c>
      <c r="O570">
        <v>24.324000000000002</v>
      </c>
      <c r="P570">
        <v>16.404599999999999</v>
      </c>
      <c r="Q570">
        <v>22.195</v>
      </c>
      <c r="R570">
        <v>18.586600000000001</v>
      </c>
      <c r="U570" t="s">
        <v>215</v>
      </c>
      <c r="V570" t="s">
        <v>196</v>
      </c>
      <c r="W570" t="s">
        <v>197</v>
      </c>
      <c r="Y570">
        <v>8</v>
      </c>
      <c r="Z570" t="s">
        <v>172</v>
      </c>
      <c r="AA570" t="s">
        <v>173</v>
      </c>
      <c r="AB570" t="s">
        <v>170</v>
      </c>
      <c r="AC570" t="s">
        <v>232</v>
      </c>
      <c r="AD570">
        <v>15</v>
      </c>
      <c r="AG570" t="s">
        <v>167</v>
      </c>
      <c r="AH570" t="s">
        <v>416</v>
      </c>
      <c r="AI570" t="s">
        <v>178</v>
      </c>
      <c r="AJ570" t="s">
        <v>179</v>
      </c>
      <c r="AK570" t="s">
        <v>664</v>
      </c>
      <c r="AL570" t="s">
        <v>665</v>
      </c>
      <c r="AS570">
        <v>2600</v>
      </c>
      <c r="AT570">
        <v>2600</v>
      </c>
      <c r="BN570" s="114" t="s">
        <v>247</v>
      </c>
      <c r="BO570">
        <v>2</v>
      </c>
      <c r="BP570">
        <v>2</v>
      </c>
      <c r="BQ570">
        <v>33</v>
      </c>
      <c r="BR570" t="s">
        <v>1062</v>
      </c>
      <c r="BT570" t="s">
        <v>613</v>
      </c>
      <c r="BU570" s="115">
        <v>45792</v>
      </c>
      <c r="BV570">
        <v>36650</v>
      </c>
      <c r="BW570" s="116"/>
      <c r="BX570" t="s">
        <v>172</v>
      </c>
      <c r="BY570" t="s">
        <v>173</v>
      </c>
      <c r="CB570" t="s">
        <v>173</v>
      </c>
      <c r="CC570" t="s">
        <v>173</v>
      </c>
      <c r="CE570" t="s">
        <v>173</v>
      </c>
      <c r="CG570" t="s">
        <v>172</v>
      </c>
      <c r="CH570" t="s">
        <v>582</v>
      </c>
      <c r="CI570" t="s">
        <v>173</v>
      </c>
      <c r="DJ570" t="s">
        <v>250</v>
      </c>
      <c r="DK570" t="s">
        <v>251</v>
      </c>
      <c r="DN570" t="s">
        <v>173</v>
      </c>
      <c r="DO570" t="s">
        <v>203</v>
      </c>
      <c r="DP570" t="s">
        <v>173</v>
      </c>
      <c r="DQ570" t="s">
        <v>189</v>
      </c>
      <c r="EA570" s="117"/>
      <c r="EB570">
        <v>4</v>
      </c>
      <c r="EC570">
        <v>4</v>
      </c>
      <c r="EE570" t="s">
        <v>1044</v>
      </c>
      <c r="EF570">
        <v>6</v>
      </c>
      <c r="EV570">
        <v>4500</v>
      </c>
      <c r="EW570">
        <v>542</v>
      </c>
      <c r="EX570">
        <v>402</v>
      </c>
      <c r="EY570">
        <v>479</v>
      </c>
    </row>
    <row r="571" spans="1:155" x14ac:dyDescent="0.35">
      <c r="A571">
        <v>2026</v>
      </c>
      <c r="B571" t="s">
        <v>862</v>
      </c>
      <c r="C571" s="112" t="s">
        <v>1048</v>
      </c>
      <c r="D571" t="s">
        <v>1101</v>
      </c>
      <c r="E571" t="s">
        <v>865</v>
      </c>
      <c r="F571">
        <v>223</v>
      </c>
      <c r="G571" s="113">
        <v>2</v>
      </c>
      <c r="H571">
        <v>4</v>
      </c>
      <c r="I571" t="s">
        <v>896</v>
      </c>
      <c r="J571">
        <v>22</v>
      </c>
      <c r="K571">
        <v>27</v>
      </c>
      <c r="L571">
        <v>24</v>
      </c>
      <c r="M571">
        <v>27.579699999999999</v>
      </c>
      <c r="N571">
        <v>38.301499999999997</v>
      </c>
      <c r="O571">
        <v>31.554600000000001</v>
      </c>
      <c r="P571">
        <v>21.6663</v>
      </c>
      <c r="Q571">
        <v>27.035299999999999</v>
      </c>
      <c r="R571">
        <v>23.7926</v>
      </c>
      <c r="T571" t="s">
        <v>168</v>
      </c>
      <c r="U571" t="s">
        <v>169</v>
      </c>
      <c r="V571" t="s">
        <v>196</v>
      </c>
      <c r="W571" t="s">
        <v>197</v>
      </c>
      <c r="Y571">
        <v>9</v>
      </c>
      <c r="Z571" t="s">
        <v>172</v>
      </c>
      <c r="AA571" t="s">
        <v>173</v>
      </c>
      <c r="AB571" t="s">
        <v>170</v>
      </c>
      <c r="AC571" t="s">
        <v>232</v>
      </c>
      <c r="AD571">
        <v>15</v>
      </c>
      <c r="AG571" t="s">
        <v>216</v>
      </c>
      <c r="AH571" t="s">
        <v>217</v>
      </c>
      <c r="AI571" t="s">
        <v>178</v>
      </c>
      <c r="AJ571" t="s">
        <v>179</v>
      </c>
      <c r="AK571" t="s">
        <v>664</v>
      </c>
      <c r="AL571" t="s">
        <v>665</v>
      </c>
      <c r="AS571">
        <v>2600</v>
      </c>
      <c r="AT571">
        <v>2600</v>
      </c>
      <c r="BN571" s="114" t="s">
        <v>247</v>
      </c>
      <c r="BO571">
        <v>2</v>
      </c>
      <c r="BP571">
        <v>2</v>
      </c>
      <c r="BQ571">
        <v>33</v>
      </c>
      <c r="BR571" t="s">
        <v>1062</v>
      </c>
      <c r="BT571" t="s">
        <v>183</v>
      </c>
      <c r="BU571" s="115">
        <v>45856</v>
      </c>
      <c r="BV571">
        <v>37263</v>
      </c>
      <c r="BW571" s="116"/>
      <c r="BX571" t="s">
        <v>173</v>
      </c>
      <c r="BY571" t="s">
        <v>173</v>
      </c>
      <c r="CB571" t="s">
        <v>173</v>
      </c>
      <c r="CC571" t="s">
        <v>173</v>
      </c>
      <c r="CD571" t="s">
        <v>1050</v>
      </c>
      <c r="CE571" t="s">
        <v>173</v>
      </c>
      <c r="CG571" t="s">
        <v>172</v>
      </c>
      <c r="CH571" t="s">
        <v>1051</v>
      </c>
      <c r="CI571" t="s">
        <v>173</v>
      </c>
      <c r="DJ571" t="s">
        <v>250</v>
      </c>
      <c r="DK571" t="s">
        <v>251</v>
      </c>
      <c r="DN571" t="s">
        <v>173</v>
      </c>
      <c r="DO571" t="s">
        <v>585</v>
      </c>
      <c r="DP571" t="s">
        <v>172</v>
      </c>
      <c r="DQ571" t="s">
        <v>204</v>
      </c>
      <c r="EA571" s="117"/>
      <c r="EB571">
        <v>5</v>
      </c>
      <c r="EC571">
        <v>5</v>
      </c>
      <c r="EE571" t="s">
        <v>1052</v>
      </c>
      <c r="EF571">
        <v>5</v>
      </c>
      <c r="EI571" t="s">
        <v>1053</v>
      </c>
      <c r="EJ571">
        <v>5</v>
      </c>
      <c r="EV571">
        <v>4500</v>
      </c>
      <c r="EW571">
        <v>411</v>
      </c>
      <c r="EX571">
        <v>330</v>
      </c>
      <c r="EY571">
        <v>374</v>
      </c>
    </row>
    <row r="572" spans="1:155" x14ac:dyDescent="0.35">
      <c r="A572">
        <v>2026</v>
      </c>
      <c r="B572" t="s">
        <v>862</v>
      </c>
      <c r="C572" s="112" t="s">
        <v>1048</v>
      </c>
      <c r="D572" t="s">
        <v>1102</v>
      </c>
      <c r="E572" t="s">
        <v>865</v>
      </c>
      <c r="F572">
        <v>891</v>
      </c>
      <c r="G572" s="113">
        <v>3.5</v>
      </c>
      <c r="H572">
        <v>6</v>
      </c>
      <c r="I572" t="s">
        <v>896</v>
      </c>
      <c r="J572">
        <v>16</v>
      </c>
      <c r="K572">
        <v>19</v>
      </c>
      <c r="L572">
        <v>17</v>
      </c>
      <c r="M572">
        <v>19.383099999999999</v>
      </c>
      <c r="N572">
        <v>29.5947</v>
      </c>
      <c r="O572">
        <v>22.946000000000002</v>
      </c>
      <c r="P572">
        <v>15.639099999999999</v>
      </c>
      <c r="Q572">
        <v>19.180599999999998</v>
      </c>
      <c r="R572">
        <v>17.0563</v>
      </c>
      <c r="T572" t="s">
        <v>168</v>
      </c>
      <c r="U572" t="s">
        <v>169</v>
      </c>
      <c r="V572" t="s">
        <v>196</v>
      </c>
      <c r="W572" t="s">
        <v>197</v>
      </c>
      <c r="Y572">
        <v>9</v>
      </c>
      <c r="Z572" t="s">
        <v>172</v>
      </c>
      <c r="AA572" t="s">
        <v>173</v>
      </c>
      <c r="AB572">
        <v>4</v>
      </c>
      <c r="AC572" t="s">
        <v>423</v>
      </c>
      <c r="AD572">
        <v>15</v>
      </c>
      <c r="AG572" t="s">
        <v>216</v>
      </c>
      <c r="AH572" t="s">
        <v>217</v>
      </c>
      <c r="AI572" t="s">
        <v>178</v>
      </c>
      <c r="AJ572" t="s">
        <v>179</v>
      </c>
      <c r="AK572" t="s">
        <v>664</v>
      </c>
      <c r="AL572" t="s">
        <v>665</v>
      </c>
      <c r="AS572">
        <v>3650</v>
      </c>
      <c r="AT572">
        <v>3650</v>
      </c>
      <c r="BN572" s="114" t="s">
        <v>198</v>
      </c>
      <c r="BO572">
        <v>2</v>
      </c>
      <c r="BP572">
        <v>2</v>
      </c>
      <c r="BQ572">
        <v>33</v>
      </c>
      <c r="BR572" t="s">
        <v>1062</v>
      </c>
      <c r="BT572" t="s">
        <v>613</v>
      </c>
      <c r="BU572" s="115">
        <v>45888</v>
      </c>
      <c r="BV572">
        <v>37061</v>
      </c>
      <c r="BW572" s="116"/>
      <c r="BX572" t="s">
        <v>173</v>
      </c>
      <c r="BY572" t="s">
        <v>173</v>
      </c>
      <c r="CB572" t="s">
        <v>173</v>
      </c>
      <c r="CC572" t="s">
        <v>173</v>
      </c>
      <c r="CD572" t="s">
        <v>1055</v>
      </c>
      <c r="CE572" t="s">
        <v>173</v>
      </c>
      <c r="CG572" t="s">
        <v>172</v>
      </c>
      <c r="CH572" t="s">
        <v>1056</v>
      </c>
      <c r="CI572" t="s">
        <v>173</v>
      </c>
      <c r="DJ572" t="s">
        <v>201</v>
      </c>
      <c r="DK572" t="s">
        <v>202</v>
      </c>
      <c r="DN572" t="s">
        <v>173</v>
      </c>
      <c r="DO572" t="s">
        <v>585</v>
      </c>
      <c r="DP572" t="s">
        <v>172</v>
      </c>
      <c r="DQ572" t="s">
        <v>204</v>
      </c>
      <c r="EA572" s="117"/>
      <c r="EB572">
        <v>3</v>
      </c>
      <c r="EC572">
        <v>3</v>
      </c>
      <c r="EE572" t="s">
        <v>1057</v>
      </c>
      <c r="EF572">
        <v>5</v>
      </c>
      <c r="EV572">
        <v>9750</v>
      </c>
      <c r="EW572">
        <v>569</v>
      </c>
      <c r="EX572">
        <v>464</v>
      </c>
      <c r="EY572">
        <v>522</v>
      </c>
    </row>
    <row r="573" spans="1:155" x14ac:dyDescent="0.35">
      <c r="A573">
        <v>2026</v>
      </c>
      <c r="B573" t="s">
        <v>934</v>
      </c>
      <c r="C573" s="112" t="s">
        <v>963</v>
      </c>
      <c r="D573" t="s">
        <v>1103</v>
      </c>
      <c r="E573" t="s">
        <v>937</v>
      </c>
      <c r="F573">
        <v>663</v>
      </c>
      <c r="G573" s="113">
        <v>2</v>
      </c>
      <c r="H573">
        <v>4</v>
      </c>
      <c r="I573" t="s">
        <v>195</v>
      </c>
      <c r="J573">
        <v>18</v>
      </c>
      <c r="K573">
        <v>22</v>
      </c>
      <c r="L573">
        <v>20</v>
      </c>
      <c r="M573">
        <v>22.486499999999999</v>
      </c>
      <c r="N573">
        <v>30.917400000000001</v>
      </c>
      <c r="O573">
        <v>25.631799999999998</v>
      </c>
      <c r="P573">
        <v>17.969100000000001</v>
      </c>
      <c r="Q573">
        <v>22.180700000000002</v>
      </c>
      <c r="R573">
        <v>19.6479</v>
      </c>
      <c r="T573" t="s">
        <v>168</v>
      </c>
      <c r="U573" t="s">
        <v>169</v>
      </c>
      <c r="V573" t="s">
        <v>196</v>
      </c>
      <c r="W573" t="s">
        <v>197</v>
      </c>
      <c r="Y573">
        <v>8</v>
      </c>
      <c r="Z573" t="s">
        <v>172</v>
      </c>
      <c r="AA573" t="s">
        <v>173</v>
      </c>
      <c r="AB573">
        <v>4</v>
      </c>
      <c r="AC573" t="s">
        <v>423</v>
      </c>
      <c r="AD573">
        <v>10</v>
      </c>
      <c r="AG573" t="s">
        <v>176</v>
      </c>
      <c r="AH573" t="s">
        <v>177</v>
      </c>
      <c r="AI573" t="s">
        <v>178</v>
      </c>
      <c r="AJ573" t="s">
        <v>179</v>
      </c>
      <c r="AK573" t="s">
        <v>664</v>
      </c>
      <c r="AL573" t="s">
        <v>665</v>
      </c>
      <c r="AS573">
        <v>3100</v>
      </c>
      <c r="AT573">
        <v>3100</v>
      </c>
      <c r="BN573" s="114" t="s">
        <v>198</v>
      </c>
      <c r="BO573">
        <v>2</v>
      </c>
      <c r="BP573">
        <v>2</v>
      </c>
      <c r="BQ573">
        <v>33</v>
      </c>
      <c r="BR573" t="s">
        <v>1062</v>
      </c>
      <c r="BT573" t="s">
        <v>613</v>
      </c>
      <c r="BU573" s="115">
        <v>45873</v>
      </c>
      <c r="BV573">
        <v>37135</v>
      </c>
      <c r="BW573" s="116"/>
      <c r="BX573" t="s">
        <v>172</v>
      </c>
      <c r="BY573" t="s">
        <v>173</v>
      </c>
      <c r="CB573" t="s">
        <v>173</v>
      </c>
      <c r="CC573" t="s">
        <v>173</v>
      </c>
      <c r="CE573" t="s">
        <v>173</v>
      </c>
      <c r="CG573" t="s">
        <v>172</v>
      </c>
      <c r="CH573" t="s">
        <v>942</v>
      </c>
      <c r="CI573" t="s">
        <v>172</v>
      </c>
      <c r="CJ573" t="s">
        <v>939</v>
      </c>
      <c r="DJ573" t="s">
        <v>201</v>
      </c>
      <c r="DK573" t="s">
        <v>202</v>
      </c>
      <c r="DL573" t="s">
        <v>173</v>
      </c>
      <c r="DM573" t="s">
        <v>173</v>
      </c>
      <c r="DN573" t="s">
        <v>173</v>
      </c>
      <c r="DO573" t="s">
        <v>203</v>
      </c>
      <c r="DP573" t="s">
        <v>172</v>
      </c>
      <c r="DQ573" t="s">
        <v>204</v>
      </c>
      <c r="DR573" t="s">
        <v>1103</v>
      </c>
      <c r="DY573">
        <v>25.8</v>
      </c>
      <c r="EA573" s="117"/>
      <c r="EB573">
        <v>4</v>
      </c>
      <c r="EC573">
        <v>4</v>
      </c>
      <c r="EE573" t="s">
        <v>1104</v>
      </c>
      <c r="EF573">
        <v>6</v>
      </c>
      <c r="EV573">
        <v>7000</v>
      </c>
      <c r="EW573">
        <v>494</v>
      </c>
      <c r="EX573">
        <v>400</v>
      </c>
      <c r="EY573">
        <v>452</v>
      </c>
    </row>
    <row r="574" spans="1:155" x14ac:dyDescent="0.35">
      <c r="A574">
        <v>2026</v>
      </c>
      <c r="B574" t="s">
        <v>934</v>
      </c>
      <c r="C574" s="112" t="s">
        <v>963</v>
      </c>
      <c r="D574" t="s">
        <v>1103</v>
      </c>
      <c r="E574" t="s">
        <v>937</v>
      </c>
      <c r="F574">
        <v>669</v>
      </c>
      <c r="G574" s="113">
        <v>5</v>
      </c>
      <c r="H574">
        <v>8</v>
      </c>
      <c r="I574" t="s">
        <v>195</v>
      </c>
      <c r="J574">
        <v>14</v>
      </c>
      <c r="K574">
        <v>18</v>
      </c>
      <c r="L574">
        <v>16</v>
      </c>
      <c r="M574">
        <v>17.074300000000001</v>
      </c>
      <c r="N574">
        <v>25.166699999999999</v>
      </c>
      <c r="O574">
        <v>19.962900000000001</v>
      </c>
      <c r="P574">
        <v>13.9018</v>
      </c>
      <c r="Q574">
        <v>18.328399999999998</v>
      </c>
      <c r="R574">
        <v>15.5969</v>
      </c>
      <c r="T574" t="s">
        <v>478</v>
      </c>
      <c r="U574" t="s">
        <v>479</v>
      </c>
      <c r="V574" t="s">
        <v>196</v>
      </c>
      <c r="W574" t="s">
        <v>197</v>
      </c>
      <c r="Y574">
        <v>8</v>
      </c>
      <c r="Z574" t="s">
        <v>172</v>
      </c>
      <c r="AA574" t="s">
        <v>173</v>
      </c>
      <c r="AB574">
        <v>4</v>
      </c>
      <c r="AC574" t="s">
        <v>423</v>
      </c>
      <c r="AD574">
        <v>10</v>
      </c>
      <c r="AG574" t="s">
        <v>176</v>
      </c>
      <c r="AH574" t="s">
        <v>177</v>
      </c>
      <c r="AI574" t="s">
        <v>178</v>
      </c>
      <c r="AJ574" t="s">
        <v>179</v>
      </c>
      <c r="AK574" t="s">
        <v>664</v>
      </c>
      <c r="AL574" t="s">
        <v>665</v>
      </c>
      <c r="AS574">
        <v>3900</v>
      </c>
      <c r="AT574">
        <v>3900</v>
      </c>
      <c r="BN574" s="114" t="s">
        <v>198</v>
      </c>
      <c r="BO574">
        <v>2</v>
      </c>
      <c r="BP574">
        <v>2</v>
      </c>
      <c r="BQ574">
        <v>33</v>
      </c>
      <c r="BR574" t="s">
        <v>1062</v>
      </c>
      <c r="BT574" t="s">
        <v>183</v>
      </c>
      <c r="BU574" s="115">
        <v>45859</v>
      </c>
      <c r="BV574">
        <v>36561</v>
      </c>
      <c r="BW574" s="116"/>
      <c r="BX574" t="s">
        <v>172</v>
      </c>
      <c r="BY574" t="s">
        <v>173</v>
      </c>
      <c r="CB574" t="s">
        <v>173</v>
      </c>
      <c r="CC574" t="s">
        <v>173</v>
      </c>
      <c r="CE574" t="s">
        <v>173</v>
      </c>
      <c r="CG574" t="s">
        <v>172</v>
      </c>
      <c r="CH574" t="s">
        <v>942</v>
      </c>
      <c r="CI574" t="s">
        <v>173</v>
      </c>
      <c r="DJ574" t="s">
        <v>201</v>
      </c>
      <c r="DK574" t="s">
        <v>202</v>
      </c>
      <c r="DL574" t="s">
        <v>173</v>
      </c>
      <c r="DM574" t="s">
        <v>173</v>
      </c>
      <c r="DN574" t="s">
        <v>173</v>
      </c>
      <c r="DO574" t="s">
        <v>203</v>
      </c>
      <c r="DP574" t="s">
        <v>172</v>
      </c>
      <c r="DQ574" t="s">
        <v>204</v>
      </c>
      <c r="DR574" t="s">
        <v>1103</v>
      </c>
      <c r="DY574">
        <v>20.100000000000001</v>
      </c>
      <c r="EA574" s="117"/>
      <c r="EB574">
        <v>3</v>
      </c>
      <c r="EC574">
        <v>3</v>
      </c>
      <c r="EE574" t="s">
        <v>1105</v>
      </c>
      <c r="EF574">
        <v>2</v>
      </c>
      <c r="EV574">
        <v>11000</v>
      </c>
      <c r="EW574">
        <v>644</v>
      </c>
      <c r="EX574">
        <v>489</v>
      </c>
      <c r="EY574">
        <v>574</v>
      </c>
    </row>
    <row r="575" spans="1:155" x14ac:dyDescent="0.35">
      <c r="A575">
        <v>2026</v>
      </c>
      <c r="B575" t="s">
        <v>934</v>
      </c>
      <c r="C575" s="112" t="s">
        <v>963</v>
      </c>
      <c r="D575" t="s">
        <v>1106</v>
      </c>
      <c r="E575" t="s">
        <v>937</v>
      </c>
      <c r="F575">
        <v>674</v>
      </c>
      <c r="G575" s="113">
        <v>4.4000000000000004</v>
      </c>
      <c r="H575">
        <v>8</v>
      </c>
      <c r="I575" t="s">
        <v>195</v>
      </c>
      <c r="J575">
        <v>15</v>
      </c>
      <c r="K575">
        <v>19</v>
      </c>
      <c r="L575">
        <v>17</v>
      </c>
      <c r="M575">
        <v>18.353999999999999</v>
      </c>
      <c r="N575">
        <v>26.687999999999999</v>
      </c>
      <c r="O575">
        <v>21.354900000000001</v>
      </c>
      <c r="P575">
        <v>14.894299999999999</v>
      </c>
      <c r="Q575">
        <v>19.352</v>
      </c>
      <c r="R575">
        <v>16.616700000000002</v>
      </c>
      <c r="T575" t="s">
        <v>168</v>
      </c>
      <c r="U575" t="s">
        <v>169</v>
      </c>
      <c r="V575" t="s">
        <v>196</v>
      </c>
      <c r="W575" t="s">
        <v>197</v>
      </c>
      <c r="Y575">
        <v>8</v>
      </c>
      <c r="Z575" t="s">
        <v>172</v>
      </c>
      <c r="AA575" t="s">
        <v>173</v>
      </c>
      <c r="AB575">
        <v>4</v>
      </c>
      <c r="AC575" t="s">
        <v>423</v>
      </c>
      <c r="AD575">
        <v>10</v>
      </c>
      <c r="AG575" t="s">
        <v>176</v>
      </c>
      <c r="AH575" t="s">
        <v>177</v>
      </c>
      <c r="AI575" t="s">
        <v>178</v>
      </c>
      <c r="AJ575" t="s">
        <v>179</v>
      </c>
      <c r="AK575" t="s">
        <v>664</v>
      </c>
      <c r="AL575" t="s">
        <v>665</v>
      </c>
      <c r="AS575">
        <v>3650</v>
      </c>
      <c r="AT575">
        <v>3650</v>
      </c>
      <c r="BN575" s="114" t="s">
        <v>256</v>
      </c>
      <c r="BO575">
        <v>2</v>
      </c>
      <c r="BP575">
        <v>2</v>
      </c>
      <c r="BQ575">
        <v>33</v>
      </c>
      <c r="BR575" t="s">
        <v>1062</v>
      </c>
      <c r="BT575" t="s">
        <v>183</v>
      </c>
      <c r="BU575" s="115">
        <v>45859</v>
      </c>
      <c r="BV575">
        <v>37056</v>
      </c>
      <c r="BW575" s="116"/>
      <c r="BX575" t="s">
        <v>172</v>
      </c>
      <c r="BY575" t="s">
        <v>173</v>
      </c>
      <c r="CB575" t="s">
        <v>173</v>
      </c>
      <c r="CC575" t="s">
        <v>173</v>
      </c>
      <c r="CE575" t="s">
        <v>173</v>
      </c>
      <c r="CG575" t="s">
        <v>172</v>
      </c>
      <c r="CH575" t="s">
        <v>938</v>
      </c>
      <c r="CI575" t="s">
        <v>173</v>
      </c>
      <c r="CK575" t="s">
        <v>259</v>
      </c>
      <c r="CM575">
        <v>1</v>
      </c>
      <c r="CN575" t="s">
        <v>260</v>
      </c>
      <c r="CP575">
        <v>48</v>
      </c>
      <c r="CQ575">
        <v>8</v>
      </c>
      <c r="CR575">
        <v>370</v>
      </c>
      <c r="CS575" t="s">
        <v>261</v>
      </c>
      <c r="CV575" t="s">
        <v>262</v>
      </c>
      <c r="CX575" t="s">
        <v>263</v>
      </c>
      <c r="CY575" t="s">
        <v>173</v>
      </c>
      <c r="DD575">
        <v>1</v>
      </c>
      <c r="DE575" t="s">
        <v>760</v>
      </c>
      <c r="DG575">
        <v>22</v>
      </c>
      <c r="DJ575" t="s">
        <v>201</v>
      </c>
      <c r="DK575" t="s">
        <v>202</v>
      </c>
      <c r="DL575" t="s">
        <v>173</v>
      </c>
      <c r="DM575" t="s">
        <v>173</v>
      </c>
      <c r="DN575" t="s">
        <v>173</v>
      </c>
      <c r="DO575" t="s">
        <v>203</v>
      </c>
      <c r="DP575" t="s">
        <v>172</v>
      </c>
      <c r="DQ575" t="s">
        <v>204</v>
      </c>
      <c r="DR575" t="s">
        <v>1106</v>
      </c>
      <c r="DY575">
        <v>21.5</v>
      </c>
      <c r="EA575" s="117"/>
      <c r="EB575">
        <v>3</v>
      </c>
      <c r="EC575">
        <v>3</v>
      </c>
      <c r="EE575" t="s">
        <v>1107</v>
      </c>
      <c r="EF575">
        <v>5</v>
      </c>
      <c r="EV575">
        <v>9750</v>
      </c>
      <c r="EW575">
        <v>597</v>
      </c>
      <c r="EX575">
        <v>458</v>
      </c>
      <c r="EY575">
        <v>534</v>
      </c>
    </row>
    <row r="576" spans="1:155" x14ac:dyDescent="0.35">
      <c r="A576">
        <v>2026</v>
      </c>
      <c r="B576" t="s">
        <v>934</v>
      </c>
      <c r="C576" s="112" t="s">
        <v>963</v>
      </c>
      <c r="D576" t="s">
        <v>1345</v>
      </c>
      <c r="E576" t="s">
        <v>937</v>
      </c>
      <c r="F576">
        <v>675</v>
      </c>
      <c r="G576" s="113">
        <v>3</v>
      </c>
      <c r="H576">
        <v>6</v>
      </c>
      <c r="I576" t="s">
        <v>195</v>
      </c>
      <c r="J576">
        <v>17</v>
      </c>
      <c r="K576">
        <v>18</v>
      </c>
      <c r="L576">
        <v>17</v>
      </c>
      <c r="M576">
        <v>21.060199999999998</v>
      </c>
      <c r="N576">
        <v>27.6328</v>
      </c>
      <c r="O576">
        <v>23.584599999999998</v>
      </c>
      <c r="P576">
        <v>16.898800000000001</v>
      </c>
      <c r="Q576">
        <v>17.746200000000002</v>
      </c>
      <c r="R576">
        <v>17.2699</v>
      </c>
      <c r="T576" t="s">
        <v>341</v>
      </c>
      <c r="U576" t="s">
        <v>342</v>
      </c>
      <c r="V576" t="s">
        <v>196</v>
      </c>
      <c r="W576" t="s">
        <v>197</v>
      </c>
      <c r="Y576">
        <v>8</v>
      </c>
      <c r="Z576" t="s">
        <v>172</v>
      </c>
      <c r="AA576" t="s">
        <v>173</v>
      </c>
      <c r="AB576">
        <v>4</v>
      </c>
      <c r="AC576" t="s">
        <v>423</v>
      </c>
      <c r="AD576">
        <v>10</v>
      </c>
      <c r="AG576" t="s">
        <v>176</v>
      </c>
      <c r="AH576" t="s">
        <v>177</v>
      </c>
      <c r="AI576" t="s">
        <v>178</v>
      </c>
      <c r="AJ576" t="s">
        <v>179</v>
      </c>
      <c r="AK576" t="s">
        <v>664</v>
      </c>
      <c r="AL576" t="s">
        <v>665</v>
      </c>
      <c r="AS576">
        <v>3650</v>
      </c>
      <c r="AT576">
        <v>3650</v>
      </c>
      <c r="BN576" s="114" t="s">
        <v>256</v>
      </c>
      <c r="BO576">
        <v>2</v>
      </c>
      <c r="BP576">
        <v>2</v>
      </c>
      <c r="BQ576">
        <v>33</v>
      </c>
      <c r="BR576" t="s">
        <v>1062</v>
      </c>
      <c r="BT576" t="s">
        <v>613</v>
      </c>
      <c r="BU576" s="115">
        <v>45919</v>
      </c>
      <c r="BV576">
        <v>37625</v>
      </c>
      <c r="BW576" s="116"/>
      <c r="BX576" t="s">
        <v>172</v>
      </c>
      <c r="BY576" t="s">
        <v>173</v>
      </c>
      <c r="CB576" t="s">
        <v>173</v>
      </c>
      <c r="CC576" t="s">
        <v>173</v>
      </c>
      <c r="CD576" t="s">
        <v>1346</v>
      </c>
      <c r="CE576" t="s">
        <v>173</v>
      </c>
      <c r="CG576" t="s">
        <v>172</v>
      </c>
      <c r="CH576" t="s">
        <v>942</v>
      </c>
      <c r="CI576" t="s">
        <v>173</v>
      </c>
      <c r="CK576" t="s">
        <v>259</v>
      </c>
      <c r="CM576">
        <v>1</v>
      </c>
      <c r="CN576" t="s">
        <v>260</v>
      </c>
      <c r="CP576">
        <v>48</v>
      </c>
      <c r="CQ576">
        <v>8</v>
      </c>
      <c r="CR576">
        <v>370</v>
      </c>
      <c r="CS576" t="s">
        <v>261</v>
      </c>
      <c r="CV576" t="s">
        <v>943</v>
      </c>
      <c r="DD576">
        <v>1</v>
      </c>
      <c r="DE576" t="s">
        <v>760</v>
      </c>
      <c r="DG576">
        <v>15</v>
      </c>
      <c r="DJ576" t="s">
        <v>201</v>
      </c>
      <c r="DK576" t="s">
        <v>202</v>
      </c>
      <c r="DL576" t="s">
        <v>173</v>
      </c>
      <c r="DM576" t="s">
        <v>173</v>
      </c>
      <c r="DN576" t="s">
        <v>173</v>
      </c>
      <c r="DO576" t="s">
        <v>203</v>
      </c>
      <c r="DP576" t="s">
        <v>172</v>
      </c>
      <c r="DQ576" t="s">
        <v>204</v>
      </c>
      <c r="DR576" t="s">
        <v>1347</v>
      </c>
      <c r="DY576">
        <v>23.7</v>
      </c>
      <c r="EA576" s="117"/>
      <c r="EB576">
        <v>3</v>
      </c>
      <c r="EC576">
        <v>3</v>
      </c>
      <c r="EE576" t="s">
        <v>1348</v>
      </c>
      <c r="EF576">
        <v>6</v>
      </c>
      <c r="EV576">
        <v>9750</v>
      </c>
      <c r="EW576">
        <v>524</v>
      </c>
      <c r="EX576">
        <v>497</v>
      </c>
      <c r="EY576">
        <v>512</v>
      </c>
    </row>
    <row r="577" spans="1:155" x14ac:dyDescent="0.35">
      <c r="A577">
        <v>2026</v>
      </c>
      <c r="B577" t="s">
        <v>934</v>
      </c>
      <c r="C577" s="112" t="s">
        <v>963</v>
      </c>
      <c r="D577" t="s">
        <v>1108</v>
      </c>
      <c r="E577" t="s">
        <v>937</v>
      </c>
      <c r="F577">
        <v>670</v>
      </c>
      <c r="G577" s="113">
        <v>5</v>
      </c>
      <c r="H577">
        <v>8</v>
      </c>
      <c r="I577" t="s">
        <v>195</v>
      </c>
      <c r="J577">
        <v>14</v>
      </c>
      <c r="K577">
        <v>19</v>
      </c>
      <c r="L577">
        <v>16</v>
      </c>
      <c r="M577">
        <v>17.044499999999999</v>
      </c>
      <c r="N577">
        <v>25.973500000000001</v>
      </c>
      <c r="O577">
        <v>20.163799999999998</v>
      </c>
      <c r="P577">
        <v>13.825100000000001</v>
      </c>
      <c r="Q577">
        <v>18.8752</v>
      </c>
      <c r="R577">
        <v>15.717499999999999</v>
      </c>
      <c r="T577" t="s">
        <v>478</v>
      </c>
      <c r="U577" t="s">
        <v>479</v>
      </c>
      <c r="V577" t="s">
        <v>196</v>
      </c>
      <c r="W577" t="s">
        <v>197</v>
      </c>
      <c r="Y577">
        <v>8</v>
      </c>
      <c r="Z577" t="s">
        <v>172</v>
      </c>
      <c r="AA577" t="s">
        <v>173</v>
      </c>
      <c r="AB577">
        <v>4</v>
      </c>
      <c r="AC577" t="s">
        <v>423</v>
      </c>
      <c r="AD577">
        <v>10</v>
      </c>
      <c r="AG577" t="s">
        <v>176</v>
      </c>
      <c r="AH577" t="s">
        <v>177</v>
      </c>
      <c r="AI577" t="s">
        <v>178</v>
      </c>
      <c r="AJ577" t="s">
        <v>179</v>
      </c>
      <c r="AK577" t="s">
        <v>664</v>
      </c>
      <c r="AL577" t="s">
        <v>665</v>
      </c>
      <c r="AS577">
        <v>3900</v>
      </c>
      <c r="AT577">
        <v>3900</v>
      </c>
      <c r="BN577" s="114" t="s">
        <v>198</v>
      </c>
      <c r="BO577">
        <v>2</v>
      </c>
      <c r="BP577">
        <v>2</v>
      </c>
      <c r="BQ577">
        <v>33</v>
      </c>
      <c r="BR577" t="s">
        <v>1062</v>
      </c>
      <c r="BT577" t="s">
        <v>183</v>
      </c>
      <c r="BU577" s="115">
        <v>45859</v>
      </c>
      <c r="BV577">
        <v>36563</v>
      </c>
      <c r="BW577" s="116"/>
      <c r="BX577" t="s">
        <v>172</v>
      </c>
      <c r="BY577" t="s">
        <v>173</v>
      </c>
      <c r="CB577" t="s">
        <v>173</v>
      </c>
      <c r="CC577" t="s">
        <v>173</v>
      </c>
      <c r="CE577" t="s">
        <v>173</v>
      </c>
      <c r="CG577" t="s">
        <v>172</v>
      </c>
      <c r="CH577" t="s">
        <v>942</v>
      </c>
      <c r="CI577" t="s">
        <v>173</v>
      </c>
      <c r="DJ577" t="s">
        <v>201</v>
      </c>
      <c r="DK577" t="s">
        <v>202</v>
      </c>
      <c r="DL577" t="s">
        <v>173</v>
      </c>
      <c r="DM577" t="s">
        <v>173</v>
      </c>
      <c r="DN577" t="s">
        <v>173</v>
      </c>
      <c r="DO577" t="s">
        <v>203</v>
      </c>
      <c r="DP577" t="s">
        <v>172</v>
      </c>
      <c r="DQ577" t="s">
        <v>204</v>
      </c>
      <c r="DR577" t="s">
        <v>1108</v>
      </c>
      <c r="DY577">
        <v>20.3</v>
      </c>
      <c r="EA577" s="117"/>
      <c r="EB577">
        <v>3</v>
      </c>
      <c r="EC577">
        <v>3</v>
      </c>
      <c r="EE577" t="s">
        <v>1105</v>
      </c>
      <c r="EF577">
        <v>2</v>
      </c>
      <c r="EV577">
        <v>11000</v>
      </c>
      <c r="EW577">
        <v>644</v>
      </c>
      <c r="EX577">
        <v>474</v>
      </c>
      <c r="EY577">
        <v>567</v>
      </c>
    </row>
    <row r="578" spans="1:155" x14ac:dyDescent="0.35">
      <c r="A578">
        <v>2026</v>
      </c>
      <c r="B578" t="s">
        <v>934</v>
      </c>
      <c r="C578" s="112" t="s">
        <v>963</v>
      </c>
      <c r="D578" t="s">
        <v>1349</v>
      </c>
      <c r="E578" t="s">
        <v>937</v>
      </c>
      <c r="F578">
        <v>673</v>
      </c>
      <c r="G578" s="113">
        <v>3</v>
      </c>
      <c r="H578">
        <v>6</v>
      </c>
      <c r="I578" t="s">
        <v>195</v>
      </c>
      <c r="J578">
        <v>17</v>
      </c>
      <c r="K578">
        <v>19</v>
      </c>
      <c r="L578">
        <v>18</v>
      </c>
      <c r="M578">
        <v>20.61</v>
      </c>
      <c r="N578">
        <v>29.2821</v>
      </c>
      <c r="O578">
        <v>23.779</v>
      </c>
      <c r="P578">
        <v>16.562000000000001</v>
      </c>
      <c r="Q578">
        <v>19.481000000000002</v>
      </c>
      <c r="R578">
        <v>17.759499999999999</v>
      </c>
      <c r="T578" t="s">
        <v>341</v>
      </c>
      <c r="U578" t="s">
        <v>342</v>
      </c>
      <c r="V578" t="s">
        <v>196</v>
      </c>
      <c r="W578" t="s">
        <v>197</v>
      </c>
      <c r="Y578">
        <v>8</v>
      </c>
      <c r="Z578" t="s">
        <v>172</v>
      </c>
      <c r="AA578" t="s">
        <v>173</v>
      </c>
      <c r="AB578">
        <v>4</v>
      </c>
      <c r="AC578" t="s">
        <v>423</v>
      </c>
      <c r="AD578">
        <v>10</v>
      </c>
      <c r="AG578" t="s">
        <v>176</v>
      </c>
      <c r="AH578" t="s">
        <v>177</v>
      </c>
      <c r="AI578" t="s">
        <v>178</v>
      </c>
      <c r="AJ578" t="s">
        <v>179</v>
      </c>
      <c r="AK578" t="s">
        <v>664</v>
      </c>
      <c r="AL578" t="s">
        <v>665</v>
      </c>
      <c r="AS578">
        <v>3450</v>
      </c>
      <c r="AT578">
        <v>3450</v>
      </c>
      <c r="BN578" s="114" t="s">
        <v>256</v>
      </c>
      <c r="BO578">
        <v>2</v>
      </c>
      <c r="BP578">
        <v>2</v>
      </c>
      <c r="BQ578">
        <v>33</v>
      </c>
      <c r="BR578" t="s">
        <v>1062</v>
      </c>
      <c r="BT578" t="s">
        <v>613</v>
      </c>
      <c r="BU578" s="115">
        <v>45919</v>
      </c>
      <c r="BV578">
        <v>37599</v>
      </c>
      <c r="BW578" s="116"/>
      <c r="BX578" t="s">
        <v>172</v>
      </c>
      <c r="BY578" t="s">
        <v>173</v>
      </c>
      <c r="CB578" t="s">
        <v>173</v>
      </c>
      <c r="CC578" t="s">
        <v>173</v>
      </c>
      <c r="CD578" t="s">
        <v>1346</v>
      </c>
      <c r="CE578" t="s">
        <v>173</v>
      </c>
      <c r="CG578" t="s">
        <v>172</v>
      </c>
      <c r="CH578" t="s">
        <v>942</v>
      </c>
      <c r="CI578" t="s">
        <v>173</v>
      </c>
      <c r="CK578" t="s">
        <v>259</v>
      </c>
      <c r="CM578">
        <v>1</v>
      </c>
      <c r="CN578" t="s">
        <v>260</v>
      </c>
      <c r="CP578">
        <v>48</v>
      </c>
      <c r="CQ578">
        <v>8</v>
      </c>
      <c r="CR578">
        <v>370</v>
      </c>
      <c r="CS578" t="s">
        <v>261</v>
      </c>
      <c r="CV578" t="s">
        <v>943</v>
      </c>
      <c r="DD578">
        <v>1</v>
      </c>
      <c r="DE578" t="s">
        <v>760</v>
      </c>
      <c r="DG578">
        <v>15</v>
      </c>
      <c r="DJ578" t="s">
        <v>201</v>
      </c>
      <c r="DK578" t="s">
        <v>202</v>
      </c>
      <c r="DL578" t="s">
        <v>173</v>
      </c>
      <c r="DM578" t="s">
        <v>173</v>
      </c>
      <c r="DN578" t="s">
        <v>173</v>
      </c>
      <c r="DO578" t="s">
        <v>203</v>
      </c>
      <c r="DP578" t="s">
        <v>172</v>
      </c>
      <c r="DQ578" t="s">
        <v>204</v>
      </c>
      <c r="DR578" t="s">
        <v>1350</v>
      </c>
      <c r="DY578">
        <v>23.9</v>
      </c>
      <c r="EA578" s="117"/>
      <c r="EB578">
        <v>3</v>
      </c>
      <c r="EC578">
        <v>3</v>
      </c>
      <c r="EE578" t="s">
        <v>1348</v>
      </c>
      <c r="EF578">
        <v>6</v>
      </c>
      <c r="EV578">
        <v>8750</v>
      </c>
      <c r="EW578">
        <v>538</v>
      </c>
      <c r="EX578">
        <v>453</v>
      </c>
      <c r="EY578">
        <v>500</v>
      </c>
    </row>
    <row r="579" spans="1:155" x14ac:dyDescent="0.35">
      <c r="A579">
        <v>2026</v>
      </c>
      <c r="B579" t="s">
        <v>934</v>
      </c>
      <c r="C579" s="112" t="s">
        <v>963</v>
      </c>
      <c r="D579" t="s">
        <v>1109</v>
      </c>
      <c r="E579" t="s">
        <v>937</v>
      </c>
      <c r="F579">
        <v>666</v>
      </c>
      <c r="G579" s="113">
        <v>2</v>
      </c>
      <c r="H579">
        <v>4</v>
      </c>
      <c r="I579" t="s">
        <v>195</v>
      </c>
      <c r="J579">
        <v>18</v>
      </c>
      <c r="K579">
        <v>21</v>
      </c>
      <c r="L579">
        <v>19</v>
      </c>
      <c r="M579">
        <v>22.544</v>
      </c>
      <c r="N579">
        <v>31.8779</v>
      </c>
      <c r="O579">
        <v>25.965199999999999</v>
      </c>
      <c r="P579">
        <v>18.0017</v>
      </c>
      <c r="Q579">
        <v>20.571899999999999</v>
      </c>
      <c r="R579">
        <v>19.074100000000001</v>
      </c>
      <c r="T579" t="s">
        <v>168</v>
      </c>
      <c r="U579" t="s">
        <v>169</v>
      </c>
      <c r="V579" t="s">
        <v>196</v>
      </c>
      <c r="W579" t="s">
        <v>197</v>
      </c>
      <c r="Y579">
        <v>8</v>
      </c>
      <c r="Z579" t="s">
        <v>172</v>
      </c>
      <c r="AA579" t="s">
        <v>173</v>
      </c>
      <c r="AB579">
        <v>4</v>
      </c>
      <c r="AC579" t="s">
        <v>423</v>
      </c>
      <c r="AD579">
        <v>10</v>
      </c>
      <c r="AG579" t="s">
        <v>176</v>
      </c>
      <c r="AH579" t="s">
        <v>177</v>
      </c>
      <c r="AI579" t="s">
        <v>178</v>
      </c>
      <c r="AJ579" t="s">
        <v>179</v>
      </c>
      <c r="AK579" t="s">
        <v>664</v>
      </c>
      <c r="AL579" t="s">
        <v>665</v>
      </c>
      <c r="AS579">
        <v>3300</v>
      </c>
      <c r="AT579">
        <v>3300</v>
      </c>
      <c r="BN579" s="114" t="s">
        <v>198</v>
      </c>
      <c r="BO579">
        <v>2</v>
      </c>
      <c r="BP579">
        <v>2</v>
      </c>
      <c r="BQ579">
        <v>33</v>
      </c>
      <c r="BR579" t="s">
        <v>1062</v>
      </c>
      <c r="BT579" t="s">
        <v>613</v>
      </c>
      <c r="BU579" s="115">
        <v>45873</v>
      </c>
      <c r="BV579">
        <v>37097</v>
      </c>
      <c r="BW579" s="116"/>
      <c r="BX579" t="s">
        <v>172</v>
      </c>
      <c r="BY579" t="s">
        <v>173</v>
      </c>
      <c r="CB579" t="s">
        <v>173</v>
      </c>
      <c r="CC579" t="s">
        <v>173</v>
      </c>
      <c r="CE579" t="s">
        <v>173</v>
      </c>
      <c r="CG579" t="s">
        <v>172</v>
      </c>
      <c r="CH579" t="s">
        <v>942</v>
      </c>
      <c r="CI579" t="s">
        <v>172</v>
      </c>
      <c r="CJ579" t="s">
        <v>939</v>
      </c>
      <c r="DJ579" t="s">
        <v>201</v>
      </c>
      <c r="DK579" t="s">
        <v>202</v>
      </c>
      <c r="DL579" t="s">
        <v>173</v>
      </c>
      <c r="DM579" t="s">
        <v>173</v>
      </c>
      <c r="DN579" t="s">
        <v>173</v>
      </c>
      <c r="DO579" t="s">
        <v>203</v>
      </c>
      <c r="DP579" t="s">
        <v>172</v>
      </c>
      <c r="DQ579" t="s">
        <v>204</v>
      </c>
      <c r="DR579" t="s">
        <v>1109</v>
      </c>
      <c r="DY579">
        <v>26.1</v>
      </c>
      <c r="EA579" s="117"/>
      <c r="EB579">
        <v>4</v>
      </c>
      <c r="EC579">
        <v>4</v>
      </c>
      <c r="EE579" t="s">
        <v>1104</v>
      </c>
      <c r="EF579">
        <v>6</v>
      </c>
      <c r="EV579">
        <v>8000</v>
      </c>
      <c r="EW579">
        <v>493</v>
      </c>
      <c r="EX579">
        <v>431</v>
      </c>
      <c r="EY579">
        <v>465</v>
      </c>
    </row>
    <row r="580" spans="1:155" x14ac:dyDescent="0.35">
      <c r="A580">
        <v>2026</v>
      </c>
      <c r="B580" t="s">
        <v>934</v>
      </c>
      <c r="C580" s="112" t="s">
        <v>963</v>
      </c>
      <c r="D580" t="s">
        <v>1109</v>
      </c>
      <c r="E580" t="s">
        <v>937</v>
      </c>
      <c r="F580">
        <v>668</v>
      </c>
      <c r="G580" s="113">
        <v>5</v>
      </c>
      <c r="H580">
        <v>8</v>
      </c>
      <c r="I580" t="s">
        <v>195</v>
      </c>
      <c r="J580">
        <v>15</v>
      </c>
      <c r="K580">
        <v>19</v>
      </c>
      <c r="L580">
        <v>16</v>
      </c>
      <c r="M580">
        <v>17.901</v>
      </c>
      <c r="N580">
        <v>26.1251</v>
      </c>
      <c r="O580">
        <v>20.8553</v>
      </c>
      <c r="P580">
        <v>14.5136</v>
      </c>
      <c r="Q580">
        <v>18.9434</v>
      </c>
      <c r="R580">
        <v>16.220500000000001</v>
      </c>
      <c r="T580" t="s">
        <v>478</v>
      </c>
      <c r="U580" t="s">
        <v>479</v>
      </c>
      <c r="V580" t="s">
        <v>196</v>
      </c>
      <c r="W580" t="s">
        <v>197</v>
      </c>
      <c r="Y580">
        <v>8</v>
      </c>
      <c r="Z580" t="s">
        <v>172</v>
      </c>
      <c r="AA580" t="s">
        <v>173</v>
      </c>
      <c r="AB580">
        <v>4</v>
      </c>
      <c r="AC580" t="s">
        <v>423</v>
      </c>
      <c r="AD580">
        <v>10</v>
      </c>
      <c r="AG580" t="s">
        <v>176</v>
      </c>
      <c r="AH580" t="s">
        <v>177</v>
      </c>
      <c r="AI580" t="s">
        <v>178</v>
      </c>
      <c r="AJ580" t="s">
        <v>179</v>
      </c>
      <c r="AK580" t="s">
        <v>664</v>
      </c>
      <c r="AL580" t="s">
        <v>665</v>
      </c>
      <c r="AS580">
        <v>3900</v>
      </c>
      <c r="AT580">
        <v>3900</v>
      </c>
      <c r="BN580" s="114" t="s">
        <v>198</v>
      </c>
      <c r="BO580">
        <v>2</v>
      </c>
      <c r="BP580">
        <v>2</v>
      </c>
      <c r="BQ580">
        <v>33</v>
      </c>
      <c r="BR580" t="s">
        <v>1062</v>
      </c>
      <c r="BT580" t="s">
        <v>183</v>
      </c>
      <c r="BU580" s="115">
        <v>45859</v>
      </c>
      <c r="BV580">
        <v>36560</v>
      </c>
      <c r="BW580" s="116"/>
      <c r="BX580" t="s">
        <v>172</v>
      </c>
      <c r="BY580" t="s">
        <v>173</v>
      </c>
      <c r="CB580" t="s">
        <v>173</v>
      </c>
      <c r="CC580" t="s">
        <v>173</v>
      </c>
      <c r="CE580" t="s">
        <v>173</v>
      </c>
      <c r="CG580" t="s">
        <v>172</v>
      </c>
      <c r="CH580" t="s">
        <v>942</v>
      </c>
      <c r="CI580" t="s">
        <v>173</v>
      </c>
      <c r="DJ580" t="s">
        <v>201</v>
      </c>
      <c r="DK580" t="s">
        <v>202</v>
      </c>
      <c r="DL580" t="s">
        <v>173</v>
      </c>
      <c r="DM580" t="s">
        <v>173</v>
      </c>
      <c r="DN580" t="s">
        <v>173</v>
      </c>
      <c r="DO580" t="s">
        <v>203</v>
      </c>
      <c r="DP580" t="s">
        <v>172</v>
      </c>
      <c r="DQ580" t="s">
        <v>204</v>
      </c>
      <c r="DR580" t="s">
        <v>1109</v>
      </c>
      <c r="DY580">
        <v>21</v>
      </c>
      <c r="EA580" s="117"/>
      <c r="EB580">
        <v>3</v>
      </c>
      <c r="EC580">
        <v>3</v>
      </c>
      <c r="EE580" t="s">
        <v>1105</v>
      </c>
      <c r="EF580">
        <v>2</v>
      </c>
      <c r="EV580">
        <v>11000</v>
      </c>
      <c r="EW580">
        <v>615</v>
      </c>
      <c r="EX580">
        <v>471</v>
      </c>
      <c r="EY580">
        <v>550</v>
      </c>
    </row>
    <row r="581" spans="1:155" x14ac:dyDescent="0.35">
      <c r="A581">
        <v>2026</v>
      </c>
      <c r="B581" t="s">
        <v>934</v>
      </c>
      <c r="C581" s="112" t="s">
        <v>963</v>
      </c>
      <c r="D581" t="s">
        <v>1351</v>
      </c>
      <c r="E581" t="s">
        <v>937</v>
      </c>
      <c r="F581">
        <v>436</v>
      </c>
      <c r="G581" s="113">
        <v>4.4000000000000004</v>
      </c>
      <c r="H581">
        <v>8</v>
      </c>
      <c r="I581" t="s">
        <v>195</v>
      </c>
      <c r="J581">
        <v>16</v>
      </c>
      <c r="K581">
        <v>22</v>
      </c>
      <c r="L581">
        <v>18</v>
      </c>
      <c r="M581">
        <v>19.226099999999999</v>
      </c>
      <c r="N581">
        <v>30.244399999999999</v>
      </c>
      <c r="O581">
        <v>22.995999999999999</v>
      </c>
      <c r="P581">
        <v>15.5008</v>
      </c>
      <c r="Q581">
        <v>21.713100000000001</v>
      </c>
      <c r="R581">
        <v>17.791399999999999</v>
      </c>
      <c r="T581" t="s">
        <v>168</v>
      </c>
      <c r="U581" t="s">
        <v>169</v>
      </c>
      <c r="V581" t="s">
        <v>196</v>
      </c>
      <c r="W581" t="s">
        <v>197</v>
      </c>
      <c r="Y581">
        <v>8</v>
      </c>
      <c r="Z581" t="s">
        <v>172</v>
      </c>
      <c r="AA581" t="s">
        <v>173</v>
      </c>
      <c r="AB581">
        <v>4</v>
      </c>
      <c r="AC581" t="s">
        <v>423</v>
      </c>
      <c r="AD581">
        <v>10</v>
      </c>
      <c r="AG581" t="s">
        <v>176</v>
      </c>
      <c r="AH581" t="s">
        <v>177</v>
      </c>
      <c r="AI581" t="s">
        <v>178</v>
      </c>
      <c r="AJ581" t="s">
        <v>179</v>
      </c>
      <c r="AK581" t="s">
        <v>664</v>
      </c>
      <c r="AL581" t="s">
        <v>665</v>
      </c>
      <c r="AS581">
        <v>3450</v>
      </c>
      <c r="AT581">
        <v>3450</v>
      </c>
      <c r="BN581" s="114" t="s">
        <v>256</v>
      </c>
      <c r="BO581">
        <v>2</v>
      </c>
      <c r="BP581">
        <v>2</v>
      </c>
      <c r="BQ581">
        <v>33</v>
      </c>
      <c r="BR581" t="s">
        <v>1062</v>
      </c>
      <c r="BT581" t="s">
        <v>183</v>
      </c>
      <c r="BU581" s="115">
        <v>45915</v>
      </c>
      <c r="BV581">
        <v>37051</v>
      </c>
      <c r="BW581" s="116"/>
      <c r="BX581" t="s">
        <v>172</v>
      </c>
      <c r="BY581" t="s">
        <v>173</v>
      </c>
      <c r="CB581" t="s">
        <v>173</v>
      </c>
      <c r="CC581" t="s">
        <v>173</v>
      </c>
      <c r="CE581" t="s">
        <v>173</v>
      </c>
      <c r="CG581" t="s">
        <v>172</v>
      </c>
      <c r="CH581" t="s">
        <v>938</v>
      </c>
      <c r="CI581" t="s">
        <v>173</v>
      </c>
      <c r="CK581" t="s">
        <v>259</v>
      </c>
      <c r="CM581">
        <v>1</v>
      </c>
      <c r="CN581" t="s">
        <v>260</v>
      </c>
      <c r="CP581">
        <v>48</v>
      </c>
      <c r="CQ581">
        <v>8</v>
      </c>
      <c r="CR581">
        <v>370</v>
      </c>
      <c r="CS581" t="s">
        <v>261</v>
      </c>
      <c r="CV581" t="s">
        <v>262</v>
      </c>
      <c r="CX581" t="s">
        <v>263</v>
      </c>
      <c r="CY581" t="s">
        <v>173</v>
      </c>
      <c r="DD581">
        <v>1</v>
      </c>
      <c r="DE581" t="s">
        <v>760</v>
      </c>
      <c r="DG581">
        <v>22</v>
      </c>
      <c r="DJ581" t="s">
        <v>201</v>
      </c>
      <c r="DK581" t="s">
        <v>202</v>
      </c>
      <c r="DL581" t="s">
        <v>173</v>
      </c>
      <c r="DM581" t="s">
        <v>173</v>
      </c>
      <c r="DN581" t="s">
        <v>173</v>
      </c>
      <c r="DO581" t="s">
        <v>203</v>
      </c>
      <c r="DP581" t="s">
        <v>172</v>
      </c>
      <c r="DQ581" t="s">
        <v>204</v>
      </c>
      <c r="DR581" t="s">
        <v>1352</v>
      </c>
      <c r="DY581">
        <v>23.1</v>
      </c>
      <c r="EA581" s="117"/>
      <c r="EB581">
        <v>3</v>
      </c>
      <c r="EC581">
        <v>3</v>
      </c>
      <c r="EE581" t="s">
        <v>1353</v>
      </c>
      <c r="EF581">
        <v>6</v>
      </c>
      <c r="EV581">
        <v>8750</v>
      </c>
      <c r="EW581">
        <v>574</v>
      </c>
      <c r="EX581">
        <v>411</v>
      </c>
      <c r="EY581">
        <v>501</v>
      </c>
    </row>
    <row r="582" spans="1:155" x14ac:dyDescent="0.35">
      <c r="A582">
        <v>2026</v>
      </c>
      <c r="B582" t="s">
        <v>934</v>
      </c>
      <c r="C582" s="112" t="s">
        <v>963</v>
      </c>
      <c r="D582" t="s">
        <v>1354</v>
      </c>
      <c r="E582" t="s">
        <v>937</v>
      </c>
      <c r="F582">
        <v>435</v>
      </c>
      <c r="G582" s="113">
        <v>4.4000000000000004</v>
      </c>
      <c r="H582">
        <v>8</v>
      </c>
      <c r="I582" t="s">
        <v>195</v>
      </c>
      <c r="J582">
        <v>16</v>
      </c>
      <c r="K582">
        <v>23</v>
      </c>
      <c r="L582">
        <v>19</v>
      </c>
      <c r="M582">
        <v>20.182200000000002</v>
      </c>
      <c r="N582">
        <v>32.102899999999998</v>
      </c>
      <c r="O582">
        <v>24.231200000000001</v>
      </c>
      <c r="P582">
        <v>16.2544</v>
      </c>
      <c r="Q582">
        <v>22.978899999999999</v>
      </c>
      <c r="R582">
        <v>18.7196</v>
      </c>
      <c r="T582" t="s">
        <v>168</v>
      </c>
      <c r="U582" t="s">
        <v>169</v>
      </c>
      <c r="V582" t="s">
        <v>196</v>
      </c>
      <c r="W582" t="s">
        <v>197</v>
      </c>
      <c r="Y582">
        <v>8</v>
      </c>
      <c r="Z582" t="s">
        <v>172</v>
      </c>
      <c r="AA582" t="s">
        <v>173</v>
      </c>
      <c r="AB582">
        <v>4</v>
      </c>
      <c r="AC582" t="s">
        <v>423</v>
      </c>
      <c r="AD582">
        <v>10</v>
      </c>
      <c r="AG582" t="s">
        <v>176</v>
      </c>
      <c r="AH582" t="s">
        <v>177</v>
      </c>
      <c r="AI582" t="s">
        <v>178</v>
      </c>
      <c r="AJ582" t="s">
        <v>179</v>
      </c>
      <c r="AK582" t="s">
        <v>664</v>
      </c>
      <c r="AL582" t="s">
        <v>665</v>
      </c>
      <c r="AS582">
        <v>3300</v>
      </c>
      <c r="AT582">
        <v>3300</v>
      </c>
      <c r="BN582" s="114" t="s">
        <v>256</v>
      </c>
      <c r="BO582">
        <v>2</v>
      </c>
      <c r="BP582">
        <v>2</v>
      </c>
      <c r="BQ582">
        <v>33</v>
      </c>
      <c r="BR582" t="s">
        <v>1062</v>
      </c>
      <c r="BT582" t="s">
        <v>183</v>
      </c>
      <c r="BU582" s="115">
        <v>45915</v>
      </c>
      <c r="BV582">
        <v>37052</v>
      </c>
      <c r="BW582" s="116"/>
      <c r="BX582" t="s">
        <v>172</v>
      </c>
      <c r="BY582" t="s">
        <v>173</v>
      </c>
      <c r="CB582" t="s">
        <v>173</v>
      </c>
      <c r="CC582" t="s">
        <v>173</v>
      </c>
      <c r="CE582" t="s">
        <v>173</v>
      </c>
      <c r="CG582" t="s">
        <v>172</v>
      </c>
      <c r="CH582" t="s">
        <v>938</v>
      </c>
      <c r="CI582" t="s">
        <v>173</v>
      </c>
      <c r="CK582" t="s">
        <v>259</v>
      </c>
      <c r="CM582">
        <v>1</v>
      </c>
      <c r="CN582" t="s">
        <v>260</v>
      </c>
      <c r="CP582">
        <v>48</v>
      </c>
      <c r="CQ582">
        <v>8</v>
      </c>
      <c r="CR582">
        <v>370</v>
      </c>
      <c r="CS582" t="s">
        <v>261</v>
      </c>
      <c r="CV582" t="s">
        <v>262</v>
      </c>
      <c r="CX582" t="s">
        <v>263</v>
      </c>
      <c r="CY582" t="s">
        <v>173</v>
      </c>
      <c r="DD582">
        <v>1</v>
      </c>
      <c r="DE582" t="s">
        <v>760</v>
      </c>
      <c r="DG582">
        <v>22</v>
      </c>
      <c r="DJ582" t="s">
        <v>201</v>
      </c>
      <c r="DK582" t="s">
        <v>202</v>
      </c>
      <c r="DL582" t="s">
        <v>173</v>
      </c>
      <c r="DM582" t="s">
        <v>173</v>
      </c>
      <c r="DN582" t="s">
        <v>173</v>
      </c>
      <c r="DO582" t="s">
        <v>203</v>
      </c>
      <c r="DP582" t="s">
        <v>172</v>
      </c>
      <c r="DQ582" t="s">
        <v>204</v>
      </c>
      <c r="DR582" t="s">
        <v>1354</v>
      </c>
      <c r="DY582">
        <v>24.4</v>
      </c>
      <c r="EA582" s="117"/>
      <c r="EB582">
        <v>4</v>
      </c>
      <c r="EC582">
        <v>4</v>
      </c>
      <c r="EE582" t="s">
        <v>1353</v>
      </c>
      <c r="EF582">
        <v>6</v>
      </c>
      <c r="EV582">
        <v>8000</v>
      </c>
      <c r="EW582">
        <v>549</v>
      </c>
      <c r="EX582">
        <v>389</v>
      </c>
      <c r="EY582">
        <v>477</v>
      </c>
    </row>
    <row r="583" spans="1:155" x14ac:dyDescent="0.35">
      <c r="A583">
        <v>2026</v>
      </c>
      <c r="B583" t="s">
        <v>934</v>
      </c>
      <c r="C583" s="112" t="s">
        <v>963</v>
      </c>
      <c r="D583" t="s">
        <v>1355</v>
      </c>
      <c r="E583" t="s">
        <v>937</v>
      </c>
      <c r="F583">
        <v>437</v>
      </c>
      <c r="G583" s="113">
        <v>4.4000000000000004</v>
      </c>
      <c r="H583">
        <v>8</v>
      </c>
      <c r="I583" t="s">
        <v>195</v>
      </c>
      <c r="J583">
        <v>16</v>
      </c>
      <c r="K583">
        <v>23</v>
      </c>
      <c r="L583">
        <v>19</v>
      </c>
      <c r="M583">
        <v>20.182200000000002</v>
      </c>
      <c r="N583">
        <v>32.102899999999998</v>
      </c>
      <c r="O583">
        <v>24.231200000000001</v>
      </c>
      <c r="P583">
        <v>16.2544</v>
      </c>
      <c r="Q583">
        <v>22.978899999999999</v>
      </c>
      <c r="R583">
        <v>18.7196</v>
      </c>
      <c r="T583" t="s">
        <v>168</v>
      </c>
      <c r="U583" t="s">
        <v>169</v>
      </c>
      <c r="V583" t="s">
        <v>196</v>
      </c>
      <c r="W583" t="s">
        <v>197</v>
      </c>
      <c r="Y583">
        <v>8</v>
      </c>
      <c r="Z583" t="s">
        <v>172</v>
      </c>
      <c r="AA583" t="s">
        <v>173</v>
      </c>
      <c r="AB583">
        <v>4</v>
      </c>
      <c r="AC583" t="s">
        <v>423</v>
      </c>
      <c r="AD583">
        <v>10</v>
      </c>
      <c r="AG583" t="s">
        <v>176</v>
      </c>
      <c r="AH583" t="s">
        <v>177</v>
      </c>
      <c r="AI583" t="s">
        <v>178</v>
      </c>
      <c r="AJ583" t="s">
        <v>179</v>
      </c>
      <c r="AK583" t="s">
        <v>664</v>
      </c>
      <c r="AL583" t="s">
        <v>665</v>
      </c>
      <c r="AS583">
        <v>3300</v>
      </c>
      <c r="AT583">
        <v>3300</v>
      </c>
      <c r="BN583" s="114" t="s">
        <v>256</v>
      </c>
      <c r="BO583">
        <v>2</v>
      </c>
      <c r="BP583">
        <v>2</v>
      </c>
      <c r="BQ583">
        <v>33</v>
      </c>
      <c r="BR583" t="s">
        <v>1062</v>
      </c>
      <c r="BT583" t="s">
        <v>183</v>
      </c>
      <c r="BU583" s="115">
        <v>45915</v>
      </c>
      <c r="BV583">
        <v>37330</v>
      </c>
      <c r="BW583" s="116"/>
      <c r="BX583" t="s">
        <v>172</v>
      </c>
      <c r="BY583" t="s">
        <v>173</v>
      </c>
      <c r="CB583" t="s">
        <v>173</v>
      </c>
      <c r="CC583" t="s">
        <v>173</v>
      </c>
      <c r="CE583" t="s">
        <v>173</v>
      </c>
      <c r="CG583" t="s">
        <v>172</v>
      </c>
      <c r="CH583" t="s">
        <v>938</v>
      </c>
      <c r="CI583" t="s">
        <v>173</v>
      </c>
      <c r="CK583" t="s">
        <v>259</v>
      </c>
      <c r="CM583">
        <v>1</v>
      </c>
      <c r="CN583" t="s">
        <v>260</v>
      </c>
      <c r="CP583">
        <v>48</v>
      </c>
      <c r="CQ583">
        <v>8</v>
      </c>
      <c r="CR583">
        <v>370</v>
      </c>
      <c r="CS583" t="s">
        <v>261</v>
      </c>
      <c r="CV583" t="s">
        <v>262</v>
      </c>
      <c r="CX583" t="s">
        <v>263</v>
      </c>
      <c r="CY583" t="s">
        <v>173</v>
      </c>
      <c r="DD583">
        <v>1</v>
      </c>
      <c r="DE583" t="s">
        <v>760</v>
      </c>
      <c r="DG583">
        <v>22</v>
      </c>
      <c r="DJ583" t="s">
        <v>201</v>
      </c>
      <c r="DK583" t="s">
        <v>202</v>
      </c>
      <c r="DL583" t="s">
        <v>173</v>
      </c>
      <c r="DM583" t="s">
        <v>173</v>
      </c>
      <c r="DN583" t="s">
        <v>173</v>
      </c>
      <c r="DO583" t="s">
        <v>203</v>
      </c>
      <c r="DP583" t="s">
        <v>172</v>
      </c>
      <c r="DQ583" t="s">
        <v>204</v>
      </c>
      <c r="DR583" t="s">
        <v>1355</v>
      </c>
      <c r="DY583">
        <v>24.4</v>
      </c>
      <c r="EA583" s="117"/>
      <c r="EB583">
        <v>4</v>
      </c>
      <c r="EC583">
        <v>4</v>
      </c>
      <c r="EE583" t="s">
        <v>1353</v>
      </c>
      <c r="EF583">
        <v>5</v>
      </c>
      <c r="EV583">
        <v>8000</v>
      </c>
      <c r="EW583">
        <v>549</v>
      </c>
      <c r="EX583">
        <v>389</v>
      </c>
      <c r="EY583">
        <v>477</v>
      </c>
    </row>
    <row r="584" spans="1:155" x14ac:dyDescent="0.35">
      <c r="A584">
        <v>2026</v>
      </c>
      <c r="B584" t="s">
        <v>934</v>
      </c>
      <c r="C584" s="112" t="s">
        <v>963</v>
      </c>
      <c r="D584" t="s">
        <v>1356</v>
      </c>
      <c r="E584" t="s">
        <v>937</v>
      </c>
      <c r="F584">
        <v>438</v>
      </c>
      <c r="G584" s="113">
        <v>4.4000000000000004</v>
      </c>
      <c r="H584">
        <v>8</v>
      </c>
      <c r="I584" t="s">
        <v>195</v>
      </c>
      <c r="J584">
        <v>16</v>
      </c>
      <c r="K584">
        <v>22</v>
      </c>
      <c r="L584">
        <v>18</v>
      </c>
      <c r="M584">
        <v>19.4788</v>
      </c>
      <c r="N584">
        <v>30.247599999999998</v>
      </c>
      <c r="O584">
        <v>23.194800000000001</v>
      </c>
      <c r="P584">
        <v>15.727399999999999</v>
      </c>
      <c r="Q584">
        <v>21.713100000000001</v>
      </c>
      <c r="R584">
        <v>17.954699999999999</v>
      </c>
      <c r="T584" t="s">
        <v>168</v>
      </c>
      <c r="U584" t="s">
        <v>169</v>
      </c>
      <c r="V584" t="s">
        <v>196</v>
      </c>
      <c r="W584" t="s">
        <v>197</v>
      </c>
      <c r="Y584">
        <v>8</v>
      </c>
      <c r="Z584" t="s">
        <v>172</v>
      </c>
      <c r="AA584" t="s">
        <v>173</v>
      </c>
      <c r="AB584">
        <v>4</v>
      </c>
      <c r="AC584" t="s">
        <v>423</v>
      </c>
      <c r="AD584">
        <v>10</v>
      </c>
      <c r="AG584" t="s">
        <v>176</v>
      </c>
      <c r="AH584" t="s">
        <v>177</v>
      </c>
      <c r="AI584" t="s">
        <v>178</v>
      </c>
      <c r="AJ584" t="s">
        <v>179</v>
      </c>
      <c r="AK584" t="s">
        <v>664</v>
      </c>
      <c r="AL584" t="s">
        <v>665</v>
      </c>
      <c r="AS584">
        <v>3450</v>
      </c>
      <c r="AT584">
        <v>3450</v>
      </c>
      <c r="BN584" s="114" t="s">
        <v>256</v>
      </c>
      <c r="BO584">
        <v>2</v>
      </c>
      <c r="BP584">
        <v>2</v>
      </c>
      <c r="BQ584">
        <v>33</v>
      </c>
      <c r="BR584" t="s">
        <v>1062</v>
      </c>
      <c r="BT584" t="s">
        <v>183</v>
      </c>
      <c r="BU584" s="115">
        <v>45915</v>
      </c>
      <c r="BV584">
        <v>37331</v>
      </c>
      <c r="BW584" s="116"/>
      <c r="BX584" t="s">
        <v>172</v>
      </c>
      <c r="BY584" t="s">
        <v>173</v>
      </c>
      <c r="CB584" t="s">
        <v>173</v>
      </c>
      <c r="CC584" t="s">
        <v>173</v>
      </c>
      <c r="CE584" t="s">
        <v>173</v>
      </c>
      <c r="CG584" t="s">
        <v>172</v>
      </c>
      <c r="CH584" t="s">
        <v>938</v>
      </c>
      <c r="CI584" t="s">
        <v>173</v>
      </c>
      <c r="CK584" t="s">
        <v>259</v>
      </c>
      <c r="CM584">
        <v>1</v>
      </c>
      <c r="CN584" t="s">
        <v>260</v>
      </c>
      <c r="CP584">
        <v>48</v>
      </c>
      <c r="CQ584">
        <v>8</v>
      </c>
      <c r="CR584">
        <v>370</v>
      </c>
      <c r="CS584" t="s">
        <v>261</v>
      </c>
      <c r="CV584" t="s">
        <v>262</v>
      </c>
      <c r="CX584" t="s">
        <v>263</v>
      </c>
      <c r="CY584" t="s">
        <v>173</v>
      </c>
      <c r="DD584">
        <v>1</v>
      </c>
      <c r="DE584" t="s">
        <v>760</v>
      </c>
      <c r="DG584">
        <v>22</v>
      </c>
      <c r="DJ584" t="s">
        <v>201</v>
      </c>
      <c r="DK584" t="s">
        <v>202</v>
      </c>
      <c r="DL584" t="s">
        <v>173</v>
      </c>
      <c r="DM584" t="s">
        <v>173</v>
      </c>
      <c r="DN584" t="s">
        <v>173</v>
      </c>
      <c r="DO584" t="s">
        <v>203</v>
      </c>
      <c r="DP584" t="s">
        <v>172</v>
      </c>
      <c r="DQ584" t="s">
        <v>204</v>
      </c>
      <c r="DR584" t="s">
        <v>1356</v>
      </c>
      <c r="DY584">
        <v>23.4</v>
      </c>
      <c r="EA584" s="117"/>
      <c r="EB584">
        <v>3</v>
      </c>
      <c r="EC584">
        <v>3</v>
      </c>
      <c r="EE584" t="s">
        <v>1353</v>
      </c>
      <c r="EF584">
        <v>5</v>
      </c>
      <c r="EV584">
        <v>8750</v>
      </c>
      <c r="EW584">
        <v>568</v>
      </c>
      <c r="EX584">
        <v>410</v>
      </c>
      <c r="EY584">
        <v>497</v>
      </c>
    </row>
    <row r="585" spans="1:155" x14ac:dyDescent="0.35">
      <c r="A585">
        <v>2026</v>
      </c>
      <c r="B585" t="s">
        <v>934</v>
      </c>
      <c r="C585" s="112" t="s">
        <v>963</v>
      </c>
      <c r="D585" t="s">
        <v>1357</v>
      </c>
      <c r="E585" t="s">
        <v>937</v>
      </c>
      <c r="F585">
        <v>430</v>
      </c>
      <c r="G585" s="113">
        <v>4.4000000000000004</v>
      </c>
      <c r="H585">
        <v>8</v>
      </c>
      <c r="I585" t="s">
        <v>195</v>
      </c>
      <c r="J585">
        <v>16</v>
      </c>
      <c r="K585">
        <v>22</v>
      </c>
      <c r="L585">
        <v>18</v>
      </c>
      <c r="M585">
        <v>19.226099999999999</v>
      </c>
      <c r="N585">
        <v>30.244399999999999</v>
      </c>
      <c r="O585">
        <v>22.995999999999999</v>
      </c>
      <c r="P585">
        <v>15.5008</v>
      </c>
      <c r="Q585">
        <v>21.713100000000001</v>
      </c>
      <c r="R585">
        <v>17.791399999999999</v>
      </c>
      <c r="T585" t="s">
        <v>168</v>
      </c>
      <c r="U585" t="s">
        <v>169</v>
      </c>
      <c r="V585" t="s">
        <v>196</v>
      </c>
      <c r="W585" t="s">
        <v>197</v>
      </c>
      <c r="Y585">
        <v>8</v>
      </c>
      <c r="Z585" t="s">
        <v>172</v>
      </c>
      <c r="AA585" t="s">
        <v>173</v>
      </c>
      <c r="AB585">
        <v>4</v>
      </c>
      <c r="AC585" t="s">
        <v>423</v>
      </c>
      <c r="AD585">
        <v>10</v>
      </c>
      <c r="AG585" t="s">
        <v>176</v>
      </c>
      <c r="AH585" t="s">
        <v>177</v>
      </c>
      <c r="AI585" t="s">
        <v>178</v>
      </c>
      <c r="AJ585" t="s">
        <v>179</v>
      </c>
      <c r="AK585" t="s">
        <v>664</v>
      </c>
      <c r="AL585" t="s">
        <v>665</v>
      </c>
      <c r="AS585">
        <v>3450</v>
      </c>
      <c r="AT585">
        <v>3450</v>
      </c>
      <c r="BN585" s="114" t="s">
        <v>256</v>
      </c>
      <c r="BO585">
        <v>2</v>
      </c>
      <c r="BP585">
        <v>2</v>
      </c>
      <c r="BQ585">
        <v>33</v>
      </c>
      <c r="BR585" t="s">
        <v>1062</v>
      </c>
      <c r="BT585" t="s">
        <v>183</v>
      </c>
      <c r="BU585" s="115">
        <v>45915</v>
      </c>
      <c r="BV585">
        <v>37332</v>
      </c>
      <c r="BW585" s="116"/>
      <c r="BX585" t="s">
        <v>172</v>
      </c>
      <c r="BY585" t="s">
        <v>173</v>
      </c>
      <c r="CB585" t="s">
        <v>173</v>
      </c>
      <c r="CC585" t="s">
        <v>173</v>
      </c>
      <c r="CE585" t="s">
        <v>173</v>
      </c>
      <c r="CG585" t="s">
        <v>172</v>
      </c>
      <c r="CH585" t="s">
        <v>938</v>
      </c>
      <c r="CI585" t="s">
        <v>173</v>
      </c>
      <c r="CK585" t="s">
        <v>259</v>
      </c>
      <c r="CM585">
        <v>1</v>
      </c>
      <c r="CN585" t="s">
        <v>260</v>
      </c>
      <c r="CP585">
        <v>48</v>
      </c>
      <c r="CQ585">
        <v>8</v>
      </c>
      <c r="CR585">
        <v>370</v>
      </c>
      <c r="CS585" t="s">
        <v>261</v>
      </c>
      <c r="CV585" t="s">
        <v>262</v>
      </c>
      <c r="CX585" t="s">
        <v>263</v>
      </c>
      <c r="CY585" t="s">
        <v>173</v>
      </c>
      <c r="DD585">
        <v>1</v>
      </c>
      <c r="DE585" t="s">
        <v>760</v>
      </c>
      <c r="DG585">
        <v>22</v>
      </c>
      <c r="DJ585" t="s">
        <v>201</v>
      </c>
      <c r="DK585" t="s">
        <v>202</v>
      </c>
      <c r="DL585" t="s">
        <v>173</v>
      </c>
      <c r="DM585" t="s">
        <v>173</v>
      </c>
      <c r="DN585" t="s">
        <v>173</v>
      </c>
      <c r="DO585" t="s">
        <v>203</v>
      </c>
      <c r="DP585" t="s">
        <v>172</v>
      </c>
      <c r="DQ585" t="s">
        <v>204</v>
      </c>
      <c r="DR585" t="s">
        <v>1358</v>
      </c>
      <c r="DY585">
        <v>23.1</v>
      </c>
      <c r="EA585" s="117"/>
      <c r="EB585">
        <v>3</v>
      </c>
      <c r="EC585">
        <v>3</v>
      </c>
      <c r="EE585" t="s">
        <v>1353</v>
      </c>
      <c r="EF585">
        <v>6</v>
      </c>
      <c r="EV585">
        <v>8750</v>
      </c>
      <c r="EW585">
        <v>574</v>
      </c>
      <c r="EX585">
        <v>411</v>
      </c>
      <c r="EY585">
        <v>501</v>
      </c>
    </row>
    <row r="586" spans="1:155" x14ac:dyDescent="0.35">
      <c r="A586">
        <v>2026</v>
      </c>
      <c r="B586" t="s">
        <v>934</v>
      </c>
      <c r="C586" s="112" t="s">
        <v>963</v>
      </c>
      <c r="D586" t="s">
        <v>1359</v>
      </c>
      <c r="E586" t="s">
        <v>937</v>
      </c>
      <c r="F586">
        <v>439</v>
      </c>
      <c r="G586" s="113">
        <v>4.4000000000000004</v>
      </c>
      <c r="H586">
        <v>8</v>
      </c>
      <c r="I586" t="s">
        <v>195</v>
      </c>
      <c r="J586">
        <v>16</v>
      </c>
      <c r="K586">
        <v>23</v>
      </c>
      <c r="L586">
        <v>18</v>
      </c>
      <c r="M586">
        <v>19.3992</v>
      </c>
      <c r="N586">
        <v>31.799600000000002</v>
      </c>
      <c r="O586">
        <v>23.527899999999999</v>
      </c>
      <c r="P586">
        <v>15.651899999999999</v>
      </c>
      <c r="Q586">
        <v>22.779800000000002</v>
      </c>
      <c r="R586">
        <v>18.216999999999999</v>
      </c>
      <c r="T586" t="s">
        <v>168</v>
      </c>
      <c r="U586" t="s">
        <v>169</v>
      </c>
      <c r="V586" t="s">
        <v>196</v>
      </c>
      <c r="W586" t="s">
        <v>197</v>
      </c>
      <c r="Y586">
        <v>8</v>
      </c>
      <c r="Z586" t="s">
        <v>172</v>
      </c>
      <c r="AA586" t="s">
        <v>173</v>
      </c>
      <c r="AB586">
        <v>4</v>
      </c>
      <c r="AC586" t="s">
        <v>423</v>
      </c>
      <c r="AD586">
        <v>10</v>
      </c>
      <c r="AG586" t="s">
        <v>176</v>
      </c>
      <c r="AH586" t="s">
        <v>177</v>
      </c>
      <c r="AI586" t="s">
        <v>178</v>
      </c>
      <c r="AJ586" t="s">
        <v>179</v>
      </c>
      <c r="AK586" t="s">
        <v>664</v>
      </c>
      <c r="AL586" t="s">
        <v>665</v>
      </c>
      <c r="AS586">
        <v>3450</v>
      </c>
      <c r="AT586">
        <v>3450</v>
      </c>
      <c r="BN586" s="114" t="s">
        <v>256</v>
      </c>
      <c r="BO586">
        <v>2</v>
      </c>
      <c r="BP586">
        <v>2</v>
      </c>
      <c r="BQ586">
        <v>33</v>
      </c>
      <c r="BR586" t="s">
        <v>1062</v>
      </c>
      <c r="BT586" t="s">
        <v>183</v>
      </c>
      <c r="BU586" s="115">
        <v>45915</v>
      </c>
      <c r="BV586">
        <v>37316</v>
      </c>
      <c r="BW586" s="116"/>
      <c r="BX586" t="s">
        <v>172</v>
      </c>
      <c r="BY586" t="s">
        <v>173</v>
      </c>
      <c r="CB586" t="s">
        <v>173</v>
      </c>
      <c r="CC586" t="s">
        <v>173</v>
      </c>
      <c r="CE586" t="s">
        <v>173</v>
      </c>
      <c r="CG586" t="s">
        <v>172</v>
      </c>
      <c r="CH586" t="s">
        <v>938</v>
      </c>
      <c r="CI586" t="s">
        <v>173</v>
      </c>
      <c r="CK586" t="s">
        <v>259</v>
      </c>
      <c r="CM586">
        <v>1</v>
      </c>
      <c r="CN586" t="s">
        <v>260</v>
      </c>
      <c r="CP586">
        <v>48</v>
      </c>
      <c r="CQ586">
        <v>8</v>
      </c>
      <c r="CR586">
        <v>370</v>
      </c>
      <c r="CS586" t="s">
        <v>261</v>
      </c>
      <c r="CV586" t="s">
        <v>262</v>
      </c>
      <c r="CX586" t="s">
        <v>263</v>
      </c>
      <c r="CY586" t="s">
        <v>173</v>
      </c>
      <c r="DD586">
        <v>1</v>
      </c>
      <c r="DE586" t="s">
        <v>760</v>
      </c>
      <c r="DG586">
        <v>22</v>
      </c>
      <c r="DJ586" t="s">
        <v>201</v>
      </c>
      <c r="DK586" t="s">
        <v>202</v>
      </c>
      <c r="DL586" t="s">
        <v>173</v>
      </c>
      <c r="DM586" t="s">
        <v>173</v>
      </c>
      <c r="DN586" t="s">
        <v>173</v>
      </c>
      <c r="DO586" t="s">
        <v>203</v>
      </c>
      <c r="DP586" t="s">
        <v>172</v>
      </c>
      <c r="DQ586" t="s">
        <v>204</v>
      </c>
      <c r="DR586" t="s">
        <v>1359</v>
      </c>
      <c r="DY586">
        <v>23.7</v>
      </c>
      <c r="EA586" s="117"/>
      <c r="EB586">
        <v>3</v>
      </c>
      <c r="EC586">
        <v>3</v>
      </c>
      <c r="EE586" t="s">
        <v>1353</v>
      </c>
      <c r="EF586">
        <v>5</v>
      </c>
      <c r="EV586">
        <v>8750</v>
      </c>
      <c r="EW586">
        <v>566</v>
      </c>
      <c r="EX586">
        <v>390</v>
      </c>
      <c r="EY586">
        <v>487</v>
      </c>
    </row>
    <row r="587" spans="1:155" x14ac:dyDescent="0.35">
      <c r="A587">
        <v>2026</v>
      </c>
      <c r="B587" t="s">
        <v>242</v>
      </c>
      <c r="C587" s="112" t="s">
        <v>243</v>
      </c>
      <c r="D587" t="s">
        <v>1360</v>
      </c>
      <c r="E587" t="s">
        <v>245</v>
      </c>
      <c r="F587">
        <v>111</v>
      </c>
      <c r="G587" s="113">
        <v>2.4</v>
      </c>
      <c r="H587">
        <v>4</v>
      </c>
      <c r="I587" t="s">
        <v>195</v>
      </c>
      <c r="J587">
        <v>20</v>
      </c>
      <c r="K587">
        <v>26</v>
      </c>
      <c r="L587">
        <v>23</v>
      </c>
      <c r="M587">
        <v>25.8</v>
      </c>
      <c r="N587">
        <v>37.438699999999997</v>
      </c>
      <c r="O587">
        <v>29.996300000000002</v>
      </c>
      <c r="P587">
        <v>20.384799999999998</v>
      </c>
      <c r="Q587">
        <v>26.477799999999998</v>
      </c>
      <c r="R587">
        <v>22.7395</v>
      </c>
      <c r="T587" t="s">
        <v>168</v>
      </c>
      <c r="U587" t="s">
        <v>169</v>
      </c>
      <c r="V587" t="s">
        <v>196</v>
      </c>
      <c r="W587" t="s">
        <v>197</v>
      </c>
      <c r="Y587">
        <v>8</v>
      </c>
      <c r="Z587" t="s">
        <v>172</v>
      </c>
      <c r="AA587" t="s">
        <v>173</v>
      </c>
      <c r="AB587" t="s">
        <v>170</v>
      </c>
      <c r="AC587" t="s">
        <v>232</v>
      </c>
      <c r="AD587">
        <v>15</v>
      </c>
      <c r="AG587" t="s">
        <v>216</v>
      </c>
      <c r="AH587" t="s">
        <v>217</v>
      </c>
      <c r="AI587" t="s">
        <v>178</v>
      </c>
      <c r="AJ587" t="s">
        <v>179</v>
      </c>
      <c r="AK587" t="s">
        <v>664</v>
      </c>
      <c r="AL587" t="s">
        <v>665</v>
      </c>
      <c r="AS587">
        <v>2700</v>
      </c>
      <c r="AT587">
        <v>2700</v>
      </c>
      <c r="BN587" s="114" t="s">
        <v>247</v>
      </c>
      <c r="BO587">
        <v>2</v>
      </c>
      <c r="BP587">
        <v>2</v>
      </c>
      <c r="BQ587">
        <v>33</v>
      </c>
      <c r="BR587" t="s">
        <v>1062</v>
      </c>
      <c r="BT587" t="s">
        <v>183</v>
      </c>
      <c r="BU587" s="115">
        <v>45903</v>
      </c>
      <c r="BV587">
        <v>37025</v>
      </c>
      <c r="BW587" s="116"/>
      <c r="BX587" t="s">
        <v>172</v>
      </c>
      <c r="BY587" t="s">
        <v>173</v>
      </c>
      <c r="CB587" t="s">
        <v>173</v>
      </c>
      <c r="CC587" t="s">
        <v>173</v>
      </c>
      <c r="CD587" t="s">
        <v>974</v>
      </c>
      <c r="CE587" t="s">
        <v>173</v>
      </c>
      <c r="CG587" t="s">
        <v>172</v>
      </c>
      <c r="CH587" t="s">
        <v>249</v>
      </c>
      <c r="CI587" t="s">
        <v>173</v>
      </c>
      <c r="DJ587" t="s">
        <v>250</v>
      </c>
      <c r="DK587" t="s">
        <v>251</v>
      </c>
      <c r="DN587" t="s">
        <v>173</v>
      </c>
      <c r="DO587" t="s">
        <v>284</v>
      </c>
      <c r="DP587" t="s">
        <v>172</v>
      </c>
      <c r="DQ587" t="s">
        <v>204</v>
      </c>
      <c r="EA587" s="117"/>
      <c r="EB587">
        <v>5</v>
      </c>
      <c r="EC587">
        <v>5</v>
      </c>
      <c r="EE587" t="s">
        <v>975</v>
      </c>
      <c r="EF587">
        <v>6</v>
      </c>
      <c r="EV587">
        <v>5000</v>
      </c>
      <c r="EW587">
        <v>432</v>
      </c>
      <c r="EX587">
        <v>333</v>
      </c>
      <c r="EY587">
        <v>387</v>
      </c>
    </row>
    <row r="588" spans="1:155" x14ac:dyDescent="0.35">
      <c r="A588">
        <v>2026</v>
      </c>
      <c r="B588" t="s">
        <v>242</v>
      </c>
      <c r="C588" s="112" t="s">
        <v>243</v>
      </c>
      <c r="D588" t="s">
        <v>1361</v>
      </c>
      <c r="E588" t="s">
        <v>245</v>
      </c>
      <c r="F588">
        <v>109</v>
      </c>
      <c r="G588" s="113">
        <v>2.4</v>
      </c>
      <c r="H588">
        <v>4</v>
      </c>
      <c r="I588" t="s">
        <v>415</v>
      </c>
      <c r="J588">
        <v>27</v>
      </c>
      <c r="K588">
        <v>28</v>
      </c>
      <c r="L588">
        <v>27</v>
      </c>
      <c r="M588">
        <v>35.1</v>
      </c>
      <c r="N588">
        <v>39.6</v>
      </c>
      <c r="O588">
        <v>36.991599999999998</v>
      </c>
      <c r="P588">
        <v>26.923500000000001</v>
      </c>
      <c r="Q588">
        <v>27.8704</v>
      </c>
      <c r="R588">
        <v>27.3415</v>
      </c>
      <c r="T588" t="s">
        <v>168</v>
      </c>
      <c r="U588" t="s">
        <v>169</v>
      </c>
      <c r="V588" t="s">
        <v>196</v>
      </c>
      <c r="W588" t="s">
        <v>197</v>
      </c>
      <c r="Y588">
        <v>6</v>
      </c>
      <c r="Z588" t="s">
        <v>173</v>
      </c>
      <c r="AA588" t="s">
        <v>173</v>
      </c>
      <c r="AB588" t="s">
        <v>170</v>
      </c>
      <c r="AC588" t="s">
        <v>232</v>
      </c>
      <c r="AD588">
        <v>15</v>
      </c>
      <c r="AG588" t="s">
        <v>216</v>
      </c>
      <c r="AH588" t="s">
        <v>217</v>
      </c>
      <c r="AI588" t="s">
        <v>178</v>
      </c>
      <c r="AJ588" t="s">
        <v>179</v>
      </c>
      <c r="AK588" t="s">
        <v>664</v>
      </c>
      <c r="AL588" t="s">
        <v>665</v>
      </c>
      <c r="AS588">
        <v>2300</v>
      </c>
      <c r="AT588">
        <v>2300</v>
      </c>
      <c r="BN588" s="114" t="s">
        <v>505</v>
      </c>
      <c r="BO588">
        <v>2</v>
      </c>
      <c r="BP588">
        <v>2</v>
      </c>
      <c r="BQ588">
        <v>33</v>
      </c>
      <c r="BR588" t="s">
        <v>1062</v>
      </c>
      <c r="BT588" t="s">
        <v>183</v>
      </c>
      <c r="BU588" s="115">
        <v>45903</v>
      </c>
      <c r="BV588">
        <v>37622</v>
      </c>
      <c r="BW588" s="116"/>
      <c r="BX588" t="s">
        <v>172</v>
      </c>
      <c r="BY588" t="s">
        <v>173</v>
      </c>
      <c r="CB588" t="s">
        <v>173</v>
      </c>
      <c r="CC588" t="s">
        <v>173</v>
      </c>
      <c r="CD588" t="s">
        <v>1292</v>
      </c>
      <c r="CE588" t="s">
        <v>173</v>
      </c>
      <c r="CG588" t="s">
        <v>172</v>
      </c>
      <c r="CH588" t="s">
        <v>249</v>
      </c>
      <c r="CI588" t="s">
        <v>173</v>
      </c>
      <c r="CK588" t="s">
        <v>259</v>
      </c>
      <c r="CM588">
        <v>1</v>
      </c>
      <c r="CN588" t="s">
        <v>515</v>
      </c>
      <c r="CP588">
        <v>288</v>
      </c>
      <c r="CQ588">
        <v>5</v>
      </c>
      <c r="CR588">
        <v>23</v>
      </c>
      <c r="CS588" t="s">
        <v>261</v>
      </c>
      <c r="CV588" t="s">
        <v>262</v>
      </c>
      <c r="CX588" t="s">
        <v>263</v>
      </c>
      <c r="CY588" t="s">
        <v>173</v>
      </c>
      <c r="DD588">
        <v>2</v>
      </c>
      <c r="DE588" t="s">
        <v>307</v>
      </c>
      <c r="DF588" t="s">
        <v>855</v>
      </c>
      <c r="DG588" t="s">
        <v>1293</v>
      </c>
      <c r="DJ588" t="s">
        <v>250</v>
      </c>
      <c r="DK588" t="s">
        <v>251</v>
      </c>
      <c r="DL588" t="s">
        <v>173</v>
      </c>
      <c r="DM588" t="s">
        <v>173</v>
      </c>
      <c r="DN588" t="s">
        <v>173</v>
      </c>
      <c r="DO588" t="s">
        <v>284</v>
      </c>
      <c r="DP588" t="s">
        <v>172</v>
      </c>
      <c r="DQ588" t="s">
        <v>204</v>
      </c>
      <c r="DR588" t="s">
        <v>509</v>
      </c>
      <c r="EA588" s="117"/>
      <c r="EB588">
        <v>5</v>
      </c>
      <c r="EC588">
        <v>5</v>
      </c>
      <c r="EE588" t="s">
        <v>1294</v>
      </c>
      <c r="EF588">
        <v>6</v>
      </c>
      <c r="EV588">
        <v>3000</v>
      </c>
      <c r="EW588">
        <v>326</v>
      </c>
      <c r="EX588">
        <v>316</v>
      </c>
      <c r="EY588">
        <v>322</v>
      </c>
    </row>
    <row r="589" spans="1:155" x14ac:dyDescent="0.35">
      <c r="A589">
        <v>2026</v>
      </c>
      <c r="B589" t="s">
        <v>978</v>
      </c>
      <c r="C589" s="112" t="s">
        <v>979</v>
      </c>
      <c r="D589" t="s">
        <v>2140</v>
      </c>
      <c r="E589" t="s">
        <v>981</v>
      </c>
      <c r="F589">
        <v>1</v>
      </c>
      <c r="G589" s="113">
        <v>3</v>
      </c>
      <c r="H589">
        <v>6</v>
      </c>
      <c r="I589" t="s">
        <v>246</v>
      </c>
      <c r="J589">
        <v>17</v>
      </c>
      <c r="K589">
        <v>25</v>
      </c>
      <c r="L589">
        <v>20</v>
      </c>
      <c r="M589">
        <v>21.279399999999999</v>
      </c>
      <c r="N589">
        <v>34.838099999999997</v>
      </c>
      <c r="O589">
        <v>25.797499999999999</v>
      </c>
      <c r="P589">
        <v>17.0624</v>
      </c>
      <c r="Q589">
        <v>24.783999999999999</v>
      </c>
      <c r="R589">
        <v>19.8446</v>
      </c>
      <c r="T589" t="s">
        <v>168</v>
      </c>
      <c r="U589" t="s">
        <v>169</v>
      </c>
      <c r="V589" t="s">
        <v>196</v>
      </c>
      <c r="W589" t="s">
        <v>197</v>
      </c>
      <c r="Y589">
        <v>10</v>
      </c>
      <c r="Z589" t="s">
        <v>172</v>
      </c>
      <c r="AA589" t="s">
        <v>173</v>
      </c>
      <c r="AB589" t="s">
        <v>769</v>
      </c>
      <c r="AC589" t="s">
        <v>770</v>
      </c>
      <c r="AD589">
        <v>10</v>
      </c>
      <c r="AG589" t="s">
        <v>167</v>
      </c>
      <c r="AH589" t="s">
        <v>416</v>
      </c>
      <c r="AI589" t="s">
        <v>178</v>
      </c>
      <c r="AJ589" t="s">
        <v>179</v>
      </c>
      <c r="AK589" t="s">
        <v>664</v>
      </c>
      <c r="AL589" t="s">
        <v>665</v>
      </c>
      <c r="AS589">
        <v>2500</v>
      </c>
      <c r="AT589">
        <v>2500</v>
      </c>
      <c r="BN589" s="114" t="s">
        <v>198</v>
      </c>
      <c r="BO589">
        <v>2</v>
      </c>
      <c r="BP589">
        <v>2</v>
      </c>
      <c r="BQ589">
        <v>33</v>
      </c>
      <c r="BR589" t="s">
        <v>1062</v>
      </c>
      <c r="BT589" t="s">
        <v>183</v>
      </c>
      <c r="BU589" s="115">
        <v>45922</v>
      </c>
      <c r="BV589">
        <v>37671</v>
      </c>
      <c r="BW589" s="116"/>
      <c r="BX589" t="s">
        <v>173</v>
      </c>
      <c r="BY589" t="s">
        <v>173</v>
      </c>
      <c r="CB589" t="s">
        <v>173</v>
      </c>
      <c r="CC589" t="s">
        <v>173</v>
      </c>
      <c r="CE589" t="s">
        <v>173</v>
      </c>
      <c r="CG589" t="s">
        <v>172</v>
      </c>
      <c r="CH589" t="s">
        <v>2134</v>
      </c>
      <c r="CI589" t="s">
        <v>173</v>
      </c>
      <c r="DJ589" t="s">
        <v>201</v>
      </c>
      <c r="DK589" t="s">
        <v>202</v>
      </c>
      <c r="DN589" t="s">
        <v>173</v>
      </c>
      <c r="DO589" t="s">
        <v>983</v>
      </c>
      <c r="DP589" t="s">
        <v>172</v>
      </c>
      <c r="DQ589" t="s">
        <v>204</v>
      </c>
      <c r="EA589" s="117"/>
      <c r="EB589">
        <v>4</v>
      </c>
      <c r="EC589">
        <v>4</v>
      </c>
      <c r="EE589" t="s">
        <v>2135</v>
      </c>
      <c r="EF589">
        <v>5</v>
      </c>
      <c r="EV589">
        <v>4000</v>
      </c>
      <c r="EW589">
        <v>521</v>
      </c>
      <c r="EX589">
        <v>358</v>
      </c>
      <c r="EY589">
        <v>447</v>
      </c>
    </row>
    <row r="590" spans="1:155" x14ac:dyDescent="0.35">
      <c r="A590">
        <v>2026</v>
      </c>
      <c r="B590" t="s">
        <v>412</v>
      </c>
      <c r="C590" s="112" t="s">
        <v>412</v>
      </c>
      <c r="D590" t="s">
        <v>1365</v>
      </c>
      <c r="E590" t="s">
        <v>414</v>
      </c>
      <c r="F590">
        <v>903</v>
      </c>
      <c r="G590" s="113">
        <v>3.3</v>
      </c>
      <c r="H590">
        <v>6</v>
      </c>
      <c r="I590" t="s">
        <v>195</v>
      </c>
      <c r="J590">
        <v>23</v>
      </c>
      <c r="K590">
        <v>28</v>
      </c>
      <c r="L590">
        <v>25</v>
      </c>
      <c r="M590">
        <v>29.5624</v>
      </c>
      <c r="N590">
        <v>39.123199999999997</v>
      </c>
      <c r="O590">
        <v>33.215000000000003</v>
      </c>
      <c r="P590">
        <v>23.076899999999998</v>
      </c>
      <c r="Q590">
        <v>27.564299999999999</v>
      </c>
      <c r="R590">
        <v>24.9011</v>
      </c>
      <c r="T590" t="s">
        <v>168</v>
      </c>
      <c r="U590" t="s">
        <v>169</v>
      </c>
      <c r="V590" t="s">
        <v>196</v>
      </c>
      <c r="W590" t="s">
        <v>197</v>
      </c>
      <c r="Y590">
        <v>8</v>
      </c>
      <c r="Z590" t="s">
        <v>173</v>
      </c>
      <c r="AA590" t="s">
        <v>172</v>
      </c>
      <c r="AB590">
        <v>4</v>
      </c>
      <c r="AC590" t="s">
        <v>423</v>
      </c>
      <c r="AD590">
        <v>10</v>
      </c>
      <c r="AG590" t="s">
        <v>167</v>
      </c>
      <c r="AH590" t="s">
        <v>416</v>
      </c>
      <c r="AI590" t="s">
        <v>178</v>
      </c>
      <c r="AJ590" t="s">
        <v>179</v>
      </c>
      <c r="AK590" t="s">
        <v>664</v>
      </c>
      <c r="AL590" t="s">
        <v>665</v>
      </c>
      <c r="AS590">
        <v>2000</v>
      </c>
      <c r="AT590">
        <v>2000</v>
      </c>
      <c r="BN590" s="114" t="s">
        <v>256</v>
      </c>
      <c r="BO590">
        <v>2</v>
      </c>
      <c r="BP590">
        <v>2</v>
      </c>
      <c r="BQ590">
        <v>33</v>
      </c>
      <c r="BR590" t="s">
        <v>1062</v>
      </c>
      <c r="BT590" t="s">
        <v>183</v>
      </c>
      <c r="BU590" s="115">
        <v>45908</v>
      </c>
      <c r="BV590">
        <v>36976</v>
      </c>
      <c r="BW590" s="116"/>
      <c r="BX590" t="s">
        <v>172</v>
      </c>
      <c r="BY590" t="s">
        <v>173</v>
      </c>
      <c r="CB590" t="s">
        <v>173</v>
      </c>
      <c r="CC590" t="s">
        <v>173</v>
      </c>
      <c r="CE590" t="s">
        <v>173</v>
      </c>
      <c r="CG590" t="s">
        <v>172</v>
      </c>
      <c r="CH590" t="s">
        <v>418</v>
      </c>
      <c r="CI590" t="s">
        <v>173</v>
      </c>
      <c r="CK590" t="s">
        <v>259</v>
      </c>
      <c r="CM590">
        <v>1</v>
      </c>
      <c r="CN590" t="s">
        <v>260</v>
      </c>
      <c r="CP590">
        <v>44</v>
      </c>
      <c r="CQ590">
        <v>8</v>
      </c>
      <c r="CR590">
        <v>21.8</v>
      </c>
      <c r="CS590" t="s">
        <v>261</v>
      </c>
      <c r="CV590" t="s">
        <v>262</v>
      </c>
      <c r="CX590" t="s">
        <v>263</v>
      </c>
      <c r="CY590" t="s">
        <v>173</v>
      </c>
      <c r="DD590">
        <v>1</v>
      </c>
      <c r="DE590" t="s">
        <v>307</v>
      </c>
      <c r="DF590" t="s">
        <v>1362</v>
      </c>
      <c r="DG590">
        <v>11</v>
      </c>
      <c r="DJ590" t="s">
        <v>201</v>
      </c>
      <c r="DK590" t="s">
        <v>202</v>
      </c>
      <c r="DL590" t="s">
        <v>173</v>
      </c>
      <c r="DM590" t="s">
        <v>173</v>
      </c>
      <c r="DN590" t="s">
        <v>173</v>
      </c>
      <c r="DO590" t="s">
        <v>419</v>
      </c>
      <c r="DP590" t="s">
        <v>172</v>
      </c>
      <c r="DQ590" t="s">
        <v>204</v>
      </c>
      <c r="EA590" s="117"/>
      <c r="EB590">
        <v>5</v>
      </c>
      <c r="EC590">
        <v>5</v>
      </c>
      <c r="EE590" t="s">
        <v>1363</v>
      </c>
      <c r="EF590">
        <v>5</v>
      </c>
      <c r="EV590">
        <v>1500</v>
      </c>
      <c r="EW590">
        <v>386</v>
      </c>
      <c r="EX590">
        <v>324</v>
      </c>
      <c r="EY590">
        <v>358</v>
      </c>
    </row>
    <row r="591" spans="1:155" x14ac:dyDescent="0.35">
      <c r="A591">
        <v>2026</v>
      </c>
      <c r="B591" t="s">
        <v>412</v>
      </c>
      <c r="C591" s="112" t="s">
        <v>412</v>
      </c>
      <c r="D591" t="s">
        <v>1365</v>
      </c>
      <c r="E591" t="s">
        <v>414</v>
      </c>
      <c r="F591">
        <v>904</v>
      </c>
      <c r="G591" s="113">
        <v>3.3</v>
      </c>
      <c r="H591">
        <v>6</v>
      </c>
      <c r="I591" t="s">
        <v>195</v>
      </c>
      <c r="J591">
        <v>23</v>
      </c>
      <c r="K591">
        <v>28</v>
      </c>
      <c r="L591">
        <v>25</v>
      </c>
      <c r="M591">
        <v>29.597000000000001</v>
      </c>
      <c r="N591">
        <v>40.299999999999997</v>
      </c>
      <c r="O591">
        <v>33.6143</v>
      </c>
      <c r="P591">
        <v>23.101299999999998</v>
      </c>
      <c r="Q591">
        <v>28.3185</v>
      </c>
      <c r="R591">
        <v>25.189699999999998</v>
      </c>
      <c r="T591" t="s">
        <v>168</v>
      </c>
      <c r="U591" t="s">
        <v>169</v>
      </c>
      <c r="V591" t="s">
        <v>196</v>
      </c>
      <c r="W591" t="s">
        <v>197</v>
      </c>
      <c r="Y591">
        <v>8</v>
      </c>
      <c r="Z591" t="s">
        <v>173</v>
      </c>
      <c r="AA591" t="s">
        <v>172</v>
      </c>
      <c r="AB591">
        <v>4</v>
      </c>
      <c r="AC591" t="s">
        <v>423</v>
      </c>
      <c r="AD591">
        <v>10</v>
      </c>
      <c r="AG591" t="s">
        <v>176</v>
      </c>
      <c r="AH591" t="s">
        <v>177</v>
      </c>
      <c r="AI591" t="s">
        <v>178</v>
      </c>
      <c r="AJ591" t="s">
        <v>179</v>
      </c>
      <c r="AK591" t="s">
        <v>664</v>
      </c>
      <c r="AL591" t="s">
        <v>665</v>
      </c>
      <c r="AS591">
        <v>2500</v>
      </c>
      <c r="AT591">
        <v>2500</v>
      </c>
      <c r="BN591" s="114" t="s">
        <v>256</v>
      </c>
      <c r="BO591">
        <v>2</v>
      </c>
      <c r="BP591">
        <v>2</v>
      </c>
      <c r="BQ591">
        <v>33</v>
      </c>
      <c r="BR591" t="s">
        <v>1062</v>
      </c>
      <c r="BT591" t="s">
        <v>183</v>
      </c>
      <c r="BU591" s="115">
        <v>45908</v>
      </c>
      <c r="BV591">
        <v>36975</v>
      </c>
      <c r="BW591" s="116"/>
      <c r="BX591" t="s">
        <v>172</v>
      </c>
      <c r="BY591" t="s">
        <v>173</v>
      </c>
      <c r="CB591" t="s">
        <v>173</v>
      </c>
      <c r="CC591" t="s">
        <v>173</v>
      </c>
      <c r="CE591" t="s">
        <v>173</v>
      </c>
      <c r="CG591" t="s">
        <v>172</v>
      </c>
      <c r="CH591" t="s">
        <v>418</v>
      </c>
      <c r="CI591" t="s">
        <v>173</v>
      </c>
      <c r="CK591" t="s">
        <v>259</v>
      </c>
      <c r="CM591">
        <v>1</v>
      </c>
      <c r="CN591" t="s">
        <v>260</v>
      </c>
      <c r="CP591">
        <v>44</v>
      </c>
      <c r="CQ591">
        <v>8</v>
      </c>
      <c r="CR591">
        <v>21.8</v>
      </c>
      <c r="CS591" t="s">
        <v>261</v>
      </c>
      <c r="CV591" t="s">
        <v>262</v>
      </c>
      <c r="CX591" t="s">
        <v>263</v>
      </c>
      <c r="CY591" t="s">
        <v>173</v>
      </c>
      <c r="DD591">
        <v>1</v>
      </c>
      <c r="DE591" t="s">
        <v>307</v>
      </c>
      <c r="DF591" t="s">
        <v>1362</v>
      </c>
      <c r="DG591">
        <v>11</v>
      </c>
      <c r="DJ591" t="s">
        <v>201</v>
      </c>
      <c r="DK591" t="s">
        <v>202</v>
      </c>
      <c r="DL591" t="s">
        <v>173</v>
      </c>
      <c r="DM591" t="s">
        <v>173</v>
      </c>
      <c r="DN591" t="s">
        <v>173</v>
      </c>
      <c r="DO591" t="s">
        <v>419</v>
      </c>
      <c r="DP591" t="s">
        <v>172</v>
      </c>
      <c r="DQ591" t="s">
        <v>204</v>
      </c>
      <c r="EA591" s="117"/>
      <c r="EB591">
        <v>5</v>
      </c>
      <c r="EC591">
        <v>5</v>
      </c>
      <c r="EE591" t="s">
        <v>1364</v>
      </c>
      <c r="EF591">
        <v>5</v>
      </c>
      <c r="EV591">
        <v>4000</v>
      </c>
      <c r="EW591">
        <v>386</v>
      </c>
      <c r="EX591">
        <v>314</v>
      </c>
      <c r="EY591">
        <v>354</v>
      </c>
    </row>
    <row r="592" spans="1:155" x14ac:dyDescent="0.35">
      <c r="A592">
        <v>2026</v>
      </c>
      <c r="B592" t="s">
        <v>228</v>
      </c>
      <c r="C592" s="112" t="s">
        <v>228</v>
      </c>
      <c r="D592" t="s">
        <v>1110</v>
      </c>
      <c r="E592" t="s">
        <v>230</v>
      </c>
      <c r="F592">
        <v>431</v>
      </c>
      <c r="G592" s="113">
        <v>3</v>
      </c>
      <c r="H592">
        <v>6</v>
      </c>
      <c r="I592" t="s">
        <v>231</v>
      </c>
      <c r="J592">
        <v>18</v>
      </c>
      <c r="K592">
        <v>23</v>
      </c>
      <c r="L592">
        <v>20</v>
      </c>
      <c r="M592">
        <v>22.9</v>
      </c>
      <c r="N592">
        <v>32.200000000000003</v>
      </c>
      <c r="O592">
        <v>26.320900000000002</v>
      </c>
      <c r="P592">
        <v>18.264700000000001</v>
      </c>
      <c r="Q592">
        <v>23.045300000000001</v>
      </c>
      <c r="R592">
        <v>20.145299999999999</v>
      </c>
      <c r="T592" t="s">
        <v>341</v>
      </c>
      <c r="U592" t="s">
        <v>342</v>
      </c>
      <c r="V592" t="s">
        <v>170</v>
      </c>
      <c r="W592" t="s">
        <v>171</v>
      </c>
      <c r="Y592">
        <v>9</v>
      </c>
      <c r="Z592" t="s">
        <v>172</v>
      </c>
      <c r="AA592" t="s">
        <v>173</v>
      </c>
      <c r="AB592" t="s">
        <v>170</v>
      </c>
      <c r="AC592" t="s">
        <v>232</v>
      </c>
      <c r="AD592">
        <v>10</v>
      </c>
      <c r="AG592" t="s">
        <v>216</v>
      </c>
      <c r="AH592" t="s">
        <v>217</v>
      </c>
      <c r="AI592" t="s">
        <v>178</v>
      </c>
      <c r="AJ592" t="s">
        <v>179</v>
      </c>
      <c r="AK592" t="s">
        <v>664</v>
      </c>
      <c r="AL592" t="s">
        <v>665</v>
      </c>
      <c r="AS592">
        <v>3100</v>
      </c>
      <c r="AT592">
        <v>3100</v>
      </c>
      <c r="BN592" s="114" t="s">
        <v>256</v>
      </c>
      <c r="BO592">
        <v>2</v>
      </c>
      <c r="BP592">
        <v>2</v>
      </c>
      <c r="BQ592">
        <v>33</v>
      </c>
      <c r="BR592" t="s">
        <v>1062</v>
      </c>
      <c r="BT592" t="s">
        <v>183</v>
      </c>
      <c r="BU592" s="115">
        <v>45812</v>
      </c>
      <c r="BV592">
        <v>36728</v>
      </c>
      <c r="BW592" s="116"/>
      <c r="BY592" t="s">
        <v>173</v>
      </c>
      <c r="CB592" t="s">
        <v>173</v>
      </c>
      <c r="CC592" t="s">
        <v>173</v>
      </c>
      <c r="CD592" t="s">
        <v>1111</v>
      </c>
      <c r="CE592" t="s">
        <v>173</v>
      </c>
      <c r="CG592" t="s">
        <v>172</v>
      </c>
      <c r="CH592" t="s">
        <v>234</v>
      </c>
      <c r="CI592" t="s">
        <v>172</v>
      </c>
      <c r="CJ592" t="s">
        <v>344</v>
      </c>
      <c r="CK592" t="s">
        <v>259</v>
      </c>
      <c r="CM592">
        <v>1</v>
      </c>
      <c r="CN592" t="s">
        <v>260</v>
      </c>
      <c r="CP592">
        <v>48</v>
      </c>
      <c r="CQ592">
        <v>20</v>
      </c>
      <c r="CR592">
        <v>80</v>
      </c>
      <c r="CS592" t="s">
        <v>261</v>
      </c>
      <c r="CV592" t="s">
        <v>262</v>
      </c>
      <c r="CX592" t="s">
        <v>263</v>
      </c>
      <c r="CY592" t="s">
        <v>173</v>
      </c>
      <c r="DC592" t="s">
        <v>345</v>
      </c>
      <c r="DD592">
        <v>1</v>
      </c>
      <c r="DE592" t="s">
        <v>307</v>
      </c>
      <c r="DF592" t="s">
        <v>346</v>
      </c>
      <c r="DG592">
        <v>15</v>
      </c>
      <c r="DJ592" t="s">
        <v>201</v>
      </c>
      <c r="DK592" t="s">
        <v>202</v>
      </c>
      <c r="DL592" t="s">
        <v>173</v>
      </c>
      <c r="DM592" t="s">
        <v>173</v>
      </c>
      <c r="DN592" t="s">
        <v>173</v>
      </c>
      <c r="DO592" t="s">
        <v>347</v>
      </c>
      <c r="DP592" t="s">
        <v>172</v>
      </c>
      <c r="DQ592" t="s">
        <v>204</v>
      </c>
      <c r="DR592" t="s">
        <v>1110</v>
      </c>
      <c r="DY592">
        <v>26.5</v>
      </c>
      <c r="EA592" s="117"/>
      <c r="EB592">
        <v>4</v>
      </c>
      <c r="EC592">
        <v>4</v>
      </c>
      <c r="EE592" t="s">
        <v>349</v>
      </c>
      <c r="EF592">
        <v>6</v>
      </c>
      <c r="EV592">
        <v>7000</v>
      </c>
      <c r="EW592">
        <v>484</v>
      </c>
      <c r="EX592">
        <v>384</v>
      </c>
      <c r="EY592">
        <v>439</v>
      </c>
    </row>
    <row r="593" spans="1:155" x14ac:dyDescent="0.35">
      <c r="A593">
        <v>2026</v>
      </c>
      <c r="B593" t="s">
        <v>228</v>
      </c>
      <c r="C593" s="112" t="s">
        <v>228</v>
      </c>
      <c r="D593" t="s">
        <v>1112</v>
      </c>
      <c r="E593" t="s">
        <v>230</v>
      </c>
      <c r="F593">
        <v>432</v>
      </c>
      <c r="G593" s="113">
        <v>3</v>
      </c>
      <c r="H593">
        <v>6</v>
      </c>
      <c r="I593" t="s">
        <v>231</v>
      </c>
      <c r="J593">
        <v>18</v>
      </c>
      <c r="K593">
        <v>22</v>
      </c>
      <c r="L593">
        <v>20</v>
      </c>
      <c r="M593">
        <v>22.3</v>
      </c>
      <c r="N593">
        <v>30.7</v>
      </c>
      <c r="O593">
        <v>25.4313</v>
      </c>
      <c r="P593">
        <v>17.821000000000002</v>
      </c>
      <c r="Q593">
        <v>22.0473</v>
      </c>
      <c r="R593">
        <v>19.503399999999999</v>
      </c>
      <c r="T593" t="s">
        <v>341</v>
      </c>
      <c r="U593" t="s">
        <v>342</v>
      </c>
      <c r="V593" t="s">
        <v>170</v>
      </c>
      <c r="W593" t="s">
        <v>171</v>
      </c>
      <c r="Y593">
        <v>9</v>
      </c>
      <c r="Z593" t="s">
        <v>172</v>
      </c>
      <c r="AA593" t="s">
        <v>173</v>
      </c>
      <c r="AB593" t="s">
        <v>170</v>
      </c>
      <c r="AC593" t="s">
        <v>232</v>
      </c>
      <c r="AD593">
        <v>10</v>
      </c>
      <c r="AG593" t="s">
        <v>216</v>
      </c>
      <c r="AH593" t="s">
        <v>217</v>
      </c>
      <c r="AI593" t="s">
        <v>178</v>
      </c>
      <c r="AJ593" t="s">
        <v>179</v>
      </c>
      <c r="AK593" t="s">
        <v>664</v>
      </c>
      <c r="AL593" t="s">
        <v>665</v>
      </c>
      <c r="AS593">
        <v>3100</v>
      </c>
      <c r="AT593">
        <v>3100</v>
      </c>
      <c r="BN593" s="114" t="s">
        <v>256</v>
      </c>
      <c r="BO593">
        <v>2</v>
      </c>
      <c r="BP593">
        <v>2</v>
      </c>
      <c r="BQ593">
        <v>33</v>
      </c>
      <c r="BR593" t="s">
        <v>1062</v>
      </c>
      <c r="BT593" t="s">
        <v>183</v>
      </c>
      <c r="BU593" s="115">
        <v>45812</v>
      </c>
      <c r="BV593">
        <v>36729</v>
      </c>
      <c r="BW593" s="116"/>
      <c r="BY593" t="s">
        <v>173</v>
      </c>
      <c r="CB593" t="s">
        <v>173</v>
      </c>
      <c r="CC593" t="s">
        <v>173</v>
      </c>
      <c r="CD593" t="s">
        <v>1111</v>
      </c>
      <c r="CE593" t="s">
        <v>173</v>
      </c>
      <c r="CG593" t="s">
        <v>172</v>
      </c>
      <c r="CH593" t="s">
        <v>234</v>
      </c>
      <c r="CI593" t="s">
        <v>172</v>
      </c>
      <c r="CJ593" t="s">
        <v>344</v>
      </c>
      <c r="CK593" t="s">
        <v>259</v>
      </c>
      <c r="CM593">
        <v>1</v>
      </c>
      <c r="CN593" t="s">
        <v>260</v>
      </c>
      <c r="CP593">
        <v>48</v>
      </c>
      <c r="CQ593">
        <v>20</v>
      </c>
      <c r="CR593">
        <v>80</v>
      </c>
      <c r="CS593" t="s">
        <v>261</v>
      </c>
      <c r="CV593" t="s">
        <v>262</v>
      </c>
      <c r="CX593" t="s">
        <v>263</v>
      </c>
      <c r="CY593" t="s">
        <v>173</v>
      </c>
      <c r="DC593" t="s">
        <v>345</v>
      </c>
      <c r="DD593">
        <v>1</v>
      </c>
      <c r="DE593" t="s">
        <v>307</v>
      </c>
      <c r="DF593" t="s">
        <v>346</v>
      </c>
      <c r="DG593">
        <v>15</v>
      </c>
      <c r="DJ593" t="s">
        <v>201</v>
      </c>
      <c r="DK593" t="s">
        <v>202</v>
      </c>
      <c r="DL593" t="s">
        <v>173</v>
      </c>
      <c r="DM593" t="s">
        <v>173</v>
      </c>
      <c r="DN593" t="s">
        <v>173</v>
      </c>
      <c r="DO593" t="s">
        <v>347</v>
      </c>
      <c r="DP593" t="s">
        <v>172</v>
      </c>
      <c r="DQ593" t="s">
        <v>204</v>
      </c>
      <c r="DR593" t="s">
        <v>1112</v>
      </c>
      <c r="DY593">
        <v>25.6</v>
      </c>
      <c r="EA593" s="117"/>
      <c r="EB593">
        <v>4</v>
      </c>
      <c r="EC593">
        <v>4</v>
      </c>
      <c r="EE593" t="s">
        <v>349</v>
      </c>
      <c r="EF593">
        <v>6</v>
      </c>
      <c r="EV593">
        <v>7000</v>
      </c>
      <c r="EW593">
        <v>497</v>
      </c>
      <c r="EX593">
        <v>401</v>
      </c>
      <c r="EY593">
        <v>454</v>
      </c>
    </row>
    <row r="594" spans="1:155" x14ac:dyDescent="0.35">
      <c r="A594">
        <v>2026</v>
      </c>
      <c r="B594" t="s">
        <v>228</v>
      </c>
      <c r="C594" s="112" t="s">
        <v>228</v>
      </c>
      <c r="D594" t="s">
        <v>1113</v>
      </c>
      <c r="E594" t="s">
        <v>230</v>
      </c>
      <c r="F594">
        <v>401</v>
      </c>
      <c r="G594" s="113">
        <v>4</v>
      </c>
      <c r="H594">
        <v>8</v>
      </c>
      <c r="I594" t="s">
        <v>231</v>
      </c>
      <c r="J594">
        <v>15</v>
      </c>
      <c r="K594">
        <v>20</v>
      </c>
      <c r="L594">
        <v>17</v>
      </c>
      <c r="M594">
        <v>18</v>
      </c>
      <c r="N594">
        <v>28.3</v>
      </c>
      <c r="O594">
        <v>21.525500000000001</v>
      </c>
      <c r="P594">
        <v>14.5898</v>
      </c>
      <c r="Q594">
        <v>20.4361</v>
      </c>
      <c r="R594">
        <v>16.7455</v>
      </c>
      <c r="T594" t="s">
        <v>168</v>
      </c>
      <c r="U594" t="s">
        <v>169</v>
      </c>
      <c r="V594" t="s">
        <v>170</v>
      </c>
      <c r="W594" t="s">
        <v>171</v>
      </c>
      <c r="Y594">
        <v>9</v>
      </c>
      <c r="Z594" t="s">
        <v>172</v>
      </c>
      <c r="AA594" t="s">
        <v>173</v>
      </c>
      <c r="AB594" t="s">
        <v>170</v>
      </c>
      <c r="AC594" t="s">
        <v>232</v>
      </c>
      <c r="AD594">
        <v>10</v>
      </c>
      <c r="AG594" t="s">
        <v>216</v>
      </c>
      <c r="AH594" t="s">
        <v>217</v>
      </c>
      <c r="AI594" t="s">
        <v>178</v>
      </c>
      <c r="AJ594" t="s">
        <v>179</v>
      </c>
      <c r="AK594" t="s">
        <v>664</v>
      </c>
      <c r="AL594" t="s">
        <v>665</v>
      </c>
      <c r="AS594">
        <v>3650</v>
      </c>
      <c r="AT594">
        <v>3650</v>
      </c>
      <c r="BN594" s="114" t="s">
        <v>256</v>
      </c>
      <c r="BO594">
        <v>2</v>
      </c>
      <c r="BP594">
        <v>2</v>
      </c>
      <c r="BQ594">
        <v>33</v>
      </c>
      <c r="BR594" t="s">
        <v>1062</v>
      </c>
      <c r="BT594" t="s">
        <v>183</v>
      </c>
      <c r="BU594" s="115">
        <v>45833</v>
      </c>
      <c r="BV594">
        <v>36893</v>
      </c>
      <c r="BW594" s="116"/>
      <c r="BY594" t="s">
        <v>173</v>
      </c>
      <c r="CB594" t="s">
        <v>173</v>
      </c>
      <c r="CC594" t="s">
        <v>173</v>
      </c>
      <c r="CD594" t="s">
        <v>1114</v>
      </c>
      <c r="CE594" t="s">
        <v>172</v>
      </c>
      <c r="CF594" t="s">
        <v>1115</v>
      </c>
      <c r="CG594" t="s">
        <v>172</v>
      </c>
      <c r="CH594" t="s">
        <v>234</v>
      </c>
      <c r="CI594" t="s">
        <v>173</v>
      </c>
      <c r="CK594" t="s">
        <v>259</v>
      </c>
      <c r="CM594">
        <v>1</v>
      </c>
      <c r="CN594" t="s">
        <v>260</v>
      </c>
      <c r="CP594">
        <v>48</v>
      </c>
      <c r="CQ594">
        <v>20</v>
      </c>
      <c r="CR594">
        <v>80</v>
      </c>
      <c r="CS594" t="s">
        <v>261</v>
      </c>
      <c r="CV594" t="s">
        <v>262</v>
      </c>
      <c r="CX594" t="s">
        <v>263</v>
      </c>
      <c r="CY594" t="s">
        <v>173</v>
      </c>
      <c r="DC594" t="s">
        <v>591</v>
      </c>
      <c r="DD594">
        <v>1</v>
      </c>
      <c r="DE594" t="s">
        <v>307</v>
      </c>
      <c r="DF594" t="s">
        <v>592</v>
      </c>
      <c r="DG594">
        <v>16</v>
      </c>
      <c r="DJ594" t="s">
        <v>201</v>
      </c>
      <c r="DK594" t="s">
        <v>202</v>
      </c>
      <c r="DL594" t="s">
        <v>173</v>
      </c>
      <c r="DM594" t="s">
        <v>173</v>
      </c>
      <c r="DN594" t="s">
        <v>173</v>
      </c>
      <c r="DO594" t="s">
        <v>203</v>
      </c>
      <c r="DP594" t="s">
        <v>172</v>
      </c>
      <c r="DQ594" t="s">
        <v>204</v>
      </c>
      <c r="DY594">
        <v>21.7</v>
      </c>
      <c r="EA594" s="117"/>
      <c r="EB594">
        <v>3</v>
      </c>
      <c r="EC594">
        <v>3</v>
      </c>
      <c r="EE594" t="s">
        <v>1116</v>
      </c>
      <c r="EF594">
        <v>4</v>
      </c>
      <c r="EV594">
        <v>9750</v>
      </c>
      <c r="EW594">
        <v>606</v>
      </c>
      <c r="EX594">
        <v>434</v>
      </c>
      <c r="EY594">
        <v>528</v>
      </c>
    </row>
    <row r="595" spans="1:155" x14ac:dyDescent="0.35">
      <c r="A595">
        <v>2026</v>
      </c>
      <c r="B595" t="s">
        <v>228</v>
      </c>
      <c r="C595" s="112" t="s">
        <v>228</v>
      </c>
      <c r="D595" t="s">
        <v>1366</v>
      </c>
      <c r="E595" t="s">
        <v>230</v>
      </c>
      <c r="F595">
        <v>400</v>
      </c>
      <c r="G595" s="113">
        <v>4</v>
      </c>
      <c r="H595">
        <v>8</v>
      </c>
      <c r="I595" t="s">
        <v>231</v>
      </c>
      <c r="J595">
        <v>15</v>
      </c>
      <c r="K595">
        <v>21</v>
      </c>
      <c r="L595">
        <v>17</v>
      </c>
      <c r="M595">
        <v>18.399999999999999</v>
      </c>
      <c r="N595">
        <v>28.6</v>
      </c>
      <c r="O595">
        <v>21.9175</v>
      </c>
      <c r="P595">
        <v>14.894299999999999</v>
      </c>
      <c r="Q595">
        <v>20.638500000000001</v>
      </c>
      <c r="R595">
        <v>17.026800000000001</v>
      </c>
      <c r="T595" t="s">
        <v>168</v>
      </c>
      <c r="U595" t="s">
        <v>169</v>
      </c>
      <c r="V595" t="s">
        <v>170</v>
      </c>
      <c r="W595" t="s">
        <v>171</v>
      </c>
      <c r="Y595">
        <v>9</v>
      </c>
      <c r="Z595" t="s">
        <v>172</v>
      </c>
      <c r="AA595" t="s">
        <v>173</v>
      </c>
      <c r="AB595" t="s">
        <v>170</v>
      </c>
      <c r="AC595" t="s">
        <v>232</v>
      </c>
      <c r="AD595">
        <v>10</v>
      </c>
      <c r="AG595" t="s">
        <v>216</v>
      </c>
      <c r="AH595" t="s">
        <v>217</v>
      </c>
      <c r="AI595" t="s">
        <v>178</v>
      </c>
      <c r="AJ595" t="s">
        <v>179</v>
      </c>
      <c r="AK595" t="s">
        <v>664</v>
      </c>
      <c r="AL595" t="s">
        <v>665</v>
      </c>
      <c r="AS595">
        <v>3650</v>
      </c>
      <c r="AT595">
        <v>3650</v>
      </c>
      <c r="BN595" s="114" t="s">
        <v>256</v>
      </c>
      <c r="BO595">
        <v>2</v>
      </c>
      <c r="BP595">
        <v>2</v>
      </c>
      <c r="BQ595">
        <v>33</v>
      </c>
      <c r="BR595" t="s">
        <v>1062</v>
      </c>
      <c r="BT595" t="s">
        <v>183</v>
      </c>
      <c r="BU595" s="115">
        <v>45833</v>
      </c>
      <c r="BV595">
        <v>37408</v>
      </c>
      <c r="BW595" s="116"/>
      <c r="BY595" t="s">
        <v>173</v>
      </c>
      <c r="CB595" t="s">
        <v>173</v>
      </c>
      <c r="CC595" t="s">
        <v>173</v>
      </c>
      <c r="CD595" t="s">
        <v>1114</v>
      </c>
      <c r="CE595" t="s">
        <v>172</v>
      </c>
      <c r="CF595" t="s">
        <v>1115</v>
      </c>
      <c r="CG595" t="s">
        <v>172</v>
      </c>
      <c r="CH595" t="s">
        <v>234</v>
      </c>
      <c r="CI595" t="s">
        <v>173</v>
      </c>
      <c r="CK595" t="s">
        <v>259</v>
      </c>
      <c r="CM595">
        <v>1</v>
      </c>
      <c r="CN595" t="s">
        <v>260</v>
      </c>
      <c r="CP595">
        <v>48</v>
      </c>
      <c r="CQ595">
        <v>20</v>
      </c>
      <c r="CR595">
        <v>80</v>
      </c>
      <c r="CS595" t="s">
        <v>261</v>
      </c>
      <c r="CV595" t="s">
        <v>262</v>
      </c>
      <c r="CX595" t="s">
        <v>263</v>
      </c>
      <c r="CY595" t="s">
        <v>173</v>
      </c>
      <c r="DC595" t="s">
        <v>591</v>
      </c>
      <c r="DD595">
        <v>1</v>
      </c>
      <c r="DE595" t="s">
        <v>307</v>
      </c>
      <c r="DF595" t="s">
        <v>592</v>
      </c>
      <c r="DG595">
        <v>16</v>
      </c>
      <c r="DJ595" t="s">
        <v>201</v>
      </c>
      <c r="DK595" t="s">
        <v>202</v>
      </c>
      <c r="DL595" t="s">
        <v>173</v>
      </c>
      <c r="DM595" t="s">
        <v>173</v>
      </c>
      <c r="DN595" t="s">
        <v>173</v>
      </c>
      <c r="DO595" t="s">
        <v>203</v>
      </c>
      <c r="DP595" t="s">
        <v>172</v>
      </c>
      <c r="DQ595" t="s">
        <v>204</v>
      </c>
      <c r="DY595">
        <v>22.1</v>
      </c>
      <c r="EA595" s="117"/>
      <c r="EB595">
        <v>3</v>
      </c>
      <c r="EC595">
        <v>3</v>
      </c>
      <c r="EE595" t="s">
        <v>1116</v>
      </c>
      <c r="EF595">
        <v>4</v>
      </c>
      <c r="EV595">
        <v>9750</v>
      </c>
      <c r="EW595">
        <v>598</v>
      </c>
      <c r="EX595">
        <v>432</v>
      </c>
      <c r="EY595">
        <v>523</v>
      </c>
    </row>
    <row r="596" spans="1:155" x14ac:dyDescent="0.35">
      <c r="A596">
        <v>2026</v>
      </c>
      <c r="B596" t="s">
        <v>228</v>
      </c>
      <c r="C596" s="112" t="s">
        <v>228</v>
      </c>
      <c r="D596" t="s">
        <v>1117</v>
      </c>
      <c r="E596" t="s">
        <v>230</v>
      </c>
      <c r="F596">
        <v>403</v>
      </c>
      <c r="G596" s="113">
        <v>4</v>
      </c>
      <c r="H596">
        <v>8</v>
      </c>
      <c r="I596" t="s">
        <v>231</v>
      </c>
      <c r="J596">
        <v>15</v>
      </c>
      <c r="K596">
        <v>20</v>
      </c>
      <c r="L596">
        <v>17</v>
      </c>
      <c r="M596">
        <v>17.899999999999999</v>
      </c>
      <c r="N596">
        <v>27.7</v>
      </c>
      <c r="O596">
        <v>21.289400000000001</v>
      </c>
      <c r="P596">
        <v>14.5136</v>
      </c>
      <c r="Q596">
        <v>20.0305</v>
      </c>
      <c r="R596">
        <v>16.5669</v>
      </c>
      <c r="T596" t="s">
        <v>168</v>
      </c>
      <c r="U596" t="s">
        <v>169</v>
      </c>
      <c r="V596" t="s">
        <v>170</v>
      </c>
      <c r="W596" t="s">
        <v>171</v>
      </c>
      <c r="Y596">
        <v>9</v>
      </c>
      <c r="Z596" t="s">
        <v>172</v>
      </c>
      <c r="AA596" t="s">
        <v>173</v>
      </c>
      <c r="AB596" t="s">
        <v>170</v>
      </c>
      <c r="AC596" t="s">
        <v>232</v>
      </c>
      <c r="AD596">
        <v>10</v>
      </c>
      <c r="AG596" t="s">
        <v>216</v>
      </c>
      <c r="AH596" t="s">
        <v>217</v>
      </c>
      <c r="AI596" t="s">
        <v>178</v>
      </c>
      <c r="AJ596" t="s">
        <v>179</v>
      </c>
      <c r="AK596" t="s">
        <v>664</v>
      </c>
      <c r="AL596" t="s">
        <v>665</v>
      </c>
      <c r="AS596">
        <v>3650</v>
      </c>
      <c r="AT596">
        <v>3650</v>
      </c>
      <c r="BN596" s="114" t="s">
        <v>256</v>
      </c>
      <c r="BO596">
        <v>2</v>
      </c>
      <c r="BP596">
        <v>2</v>
      </c>
      <c r="BQ596">
        <v>33</v>
      </c>
      <c r="BR596" t="s">
        <v>1062</v>
      </c>
      <c r="BT596" t="s">
        <v>183</v>
      </c>
      <c r="BU596" s="115">
        <v>45833</v>
      </c>
      <c r="BV596">
        <v>36892</v>
      </c>
      <c r="BW596" s="116"/>
      <c r="BY596" t="s">
        <v>173</v>
      </c>
      <c r="CB596" t="s">
        <v>173</v>
      </c>
      <c r="CC596" t="s">
        <v>173</v>
      </c>
      <c r="CD596" t="s">
        <v>1114</v>
      </c>
      <c r="CE596" t="s">
        <v>172</v>
      </c>
      <c r="CF596" t="s">
        <v>1115</v>
      </c>
      <c r="CG596" t="s">
        <v>172</v>
      </c>
      <c r="CH596" t="s">
        <v>234</v>
      </c>
      <c r="CI596" t="s">
        <v>173</v>
      </c>
      <c r="CK596" t="s">
        <v>259</v>
      </c>
      <c r="CM596">
        <v>1</v>
      </c>
      <c r="CN596" t="s">
        <v>260</v>
      </c>
      <c r="CP596">
        <v>48</v>
      </c>
      <c r="CQ596">
        <v>20</v>
      </c>
      <c r="CR596">
        <v>80</v>
      </c>
      <c r="CS596" t="s">
        <v>261</v>
      </c>
      <c r="CV596" t="s">
        <v>262</v>
      </c>
      <c r="CX596" t="s">
        <v>263</v>
      </c>
      <c r="CY596" t="s">
        <v>173</v>
      </c>
      <c r="DC596" t="s">
        <v>591</v>
      </c>
      <c r="DD596">
        <v>1</v>
      </c>
      <c r="DE596" t="s">
        <v>307</v>
      </c>
      <c r="DF596" t="s">
        <v>592</v>
      </c>
      <c r="DG596">
        <v>16</v>
      </c>
      <c r="DJ596" t="s">
        <v>201</v>
      </c>
      <c r="DK596" t="s">
        <v>202</v>
      </c>
      <c r="DL596" t="s">
        <v>173</v>
      </c>
      <c r="DM596" t="s">
        <v>173</v>
      </c>
      <c r="DN596" t="s">
        <v>173</v>
      </c>
      <c r="DO596" t="s">
        <v>203</v>
      </c>
      <c r="DP596" t="s">
        <v>172</v>
      </c>
      <c r="DQ596" t="s">
        <v>204</v>
      </c>
      <c r="DY596">
        <v>21.4</v>
      </c>
      <c r="EA596" s="117"/>
      <c r="EB596">
        <v>3</v>
      </c>
      <c r="EC596">
        <v>3</v>
      </c>
      <c r="EE596" t="s">
        <v>1116</v>
      </c>
      <c r="EF596">
        <v>4</v>
      </c>
      <c r="EV596">
        <v>9750</v>
      </c>
      <c r="EW596">
        <v>614</v>
      </c>
      <c r="EX596">
        <v>445</v>
      </c>
      <c r="EY596">
        <v>538</v>
      </c>
    </row>
    <row r="597" spans="1:155" x14ac:dyDescent="0.35">
      <c r="A597">
        <v>2026</v>
      </c>
      <c r="B597" t="s">
        <v>228</v>
      </c>
      <c r="C597" s="112" t="s">
        <v>228</v>
      </c>
      <c r="D597" t="s">
        <v>1367</v>
      </c>
      <c r="E597" t="s">
        <v>230</v>
      </c>
      <c r="F597">
        <v>435</v>
      </c>
      <c r="G597" s="113">
        <v>3</v>
      </c>
      <c r="H597">
        <v>6</v>
      </c>
      <c r="I597" t="s">
        <v>231</v>
      </c>
      <c r="J597">
        <v>17</v>
      </c>
      <c r="K597">
        <v>19</v>
      </c>
      <c r="L597">
        <v>18</v>
      </c>
      <c r="M597">
        <v>22.6</v>
      </c>
      <c r="N597">
        <v>29.5</v>
      </c>
      <c r="O597">
        <v>25.258600000000001</v>
      </c>
      <c r="P597">
        <v>17.321100000000001</v>
      </c>
      <c r="Q597">
        <v>18.950600000000001</v>
      </c>
      <c r="R597">
        <v>18.0183</v>
      </c>
      <c r="T597" t="s">
        <v>341</v>
      </c>
      <c r="U597" t="s">
        <v>342</v>
      </c>
      <c r="V597" t="s">
        <v>170</v>
      </c>
      <c r="W597" t="s">
        <v>171</v>
      </c>
      <c r="Y597">
        <v>9</v>
      </c>
      <c r="Z597" t="s">
        <v>172</v>
      </c>
      <c r="AA597" t="s">
        <v>173</v>
      </c>
      <c r="AB597">
        <v>4</v>
      </c>
      <c r="AC597" t="s">
        <v>423</v>
      </c>
      <c r="AD597">
        <v>10</v>
      </c>
      <c r="AG597" t="s">
        <v>216</v>
      </c>
      <c r="AH597" t="s">
        <v>217</v>
      </c>
      <c r="AI597" t="s">
        <v>178</v>
      </c>
      <c r="AJ597" t="s">
        <v>179</v>
      </c>
      <c r="AK597" t="s">
        <v>664</v>
      </c>
      <c r="AL597" t="s">
        <v>665</v>
      </c>
      <c r="AS597">
        <v>3450</v>
      </c>
      <c r="AT597">
        <v>3450</v>
      </c>
      <c r="BN597" s="114" t="s">
        <v>1255</v>
      </c>
      <c r="BO597">
        <v>2</v>
      </c>
      <c r="BP597">
        <v>2</v>
      </c>
      <c r="BQ597">
        <v>33</v>
      </c>
      <c r="BR597" t="s">
        <v>1062</v>
      </c>
      <c r="BT597" t="s">
        <v>218</v>
      </c>
      <c r="BU597" s="115">
        <v>45870</v>
      </c>
      <c r="BV597">
        <v>37410</v>
      </c>
      <c r="BW597" s="116"/>
      <c r="BY597" t="s">
        <v>172</v>
      </c>
      <c r="BZ597" t="s">
        <v>1256</v>
      </c>
      <c r="CA597" t="s">
        <v>1257</v>
      </c>
      <c r="CB597" t="s">
        <v>173</v>
      </c>
      <c r="CC597" t="s">
        <v>173</v>
      </c>
      <c r="CD597" t="s">
        <v>1368</v>
      </c>
      <c r="CE597" t="s">
        <v>173</v>
      </c>
      <c r="CG597" t="s">
        <v>172</v>
      </c>
      <c r="CH597" t="s">
        <v>362</v>
      </c>
      <c r="CI597" t="s">
        <v>172</v>
      </c>
      <c r="CJ597" t="s">
        <v>344</v>
      </c>
      <c r="CK597" t="s">
        <v>259</v>
      </c>
      <c r="CM597">
        <v>1</v>
      </c>
      <c r="CN597" t="s">
        <v>260</v>
      </c>
      <c r="CP597">
        <v>48</v>
      </c>
      <c r="CQ597">
        <v>20</v>
      </c>
      <c r="CR597">
        <v>80</v>
      </c>
      <c r="CS597" t="s">
        <v>261</v>
      </c>
      <c r="CV597" t="s">
        <v>262</v>
      </c>
      <c r="CX597" t="s">
        <v>263</v>
      </c>
      <c r="CY597" t="s">
        <v>173</v>
      </c>
      <c r="DC597" t="s">
        <v>364</v>
      </c>
      <c r="DD597">
        <v>1</v>
      </c>
      <c r="DE597" t="s">
        <v>307</v>
      </c>
      <c r="DF597" t="s">
        <v>356</v>
      </c>
      <c r="DG597">
        <v>15</v>
      </c>
      <c r="DJ597" t="s">
        <v>201</v>
      </c>
      <c r="DK597" t="s">
        <v>202</v>
      </c>
      <c r="DL597" t="s">
        <v>173</v>
      </c>
      <c r="DM597" t="s">
        <v>173</v>
      </c>
      <c r="DN597" t="s">
        <v>173</v>
      </c>
      <c r="DO597" t="s">
        <v>347</v>
      </c>
      <c r="DP597" t="s">
        <v>172</v>
      </c>
      <c r="DQ597" t="s">
        <v>204</v>
      </c>
      <c r="DR597" t="s">
        <v>1367</v>
      </c>
      <c r="DY597">
        <v>25.4</v>
      </c>
      <c r="EA597" s="117"/>
      <c r="EB597">
        <v>3</v>
      </c>
      <c r="EC597">
        <v>3</v>
      </c>
      <c r="EE597" t="s">
        <v>1369</v>
      </c>
      <c r="EF597">
        <v>6</v>
      </c>
      <c r="EV597">
        <v>8750</v>
      </c>
      <c r="EW597">
        <v>510</v>
      </c>
      <c r="EX597">
        <v>465</v>
      </c>
      <c r="EY597">
        <v>490</v>
      </c>
    </row>
    <row r="598" spans="1:155" x14ac:dyDescent="0.35">
      <c r="A598">
        <v>2026</v>
      </c>
      <c r="B598" t="s">
        <v>228</v>
      </c>
      <c r="C598" s="112" t="s">
        <v>228</v>
      </c>
      <c r="D598" t="s">
        <v>1118</v>
      </c>
      <c r="E598" t="s">
        <v>230</v>
      </c>
      <c r="F598">
        <v>408</v>
      </c>
      <c r="G598" s="113">
        <v>3</v>
      </c>
      <c r="H598">
        <v>6</v>
      </c>
      <c r="I598" t="s">
        <v>231</v>
      </c>
      <c r="J598">
        <v>19</v>
      </c>
      <c r="K598">
        <v>25</v>
      </c>
      <c r="L598">
        <v>21</v>
      </c>
      <c r="M598">
        <v>23.647400000000001</v>
      </c>
      <c r="N598">
        <v>34.446399999999997</v>
      </c>
      <c r="O598">
        <v>27.531400000000001</v>
      </c>
      <c r="P598">
        <v>18.814900000000002</v>
      </c>
      <c r="Q598">
        <v>24.527200000000001</v>
      </c>
      <c r="R598">
        <v>21.017600000000002</v>
      </c>
      <c r="T598" t="s">
        <v>341</v>
      </c>
      <c r="U598" t="s">
        <v>342</v>
      </c>
      <c r="V598" t="s">
        <v>170</v>
      </c>
      <c r="W598" t="s">
        <v>171</v>
      </c>
      <c r="Y598">
        <v>9</v>
      </c>
      <c r="Z598" t="s">
        <v>172</v>
      </c>
      <c r="AA598" t="s">
        <v>173</v>
      </c>
      <c r="AB598" t="s">
        <v>170</v>
      </c>
      <c r="AC598" t="s">
        <v>232</v>
      </c>
      <c r="AD598">
        <v>10</v>
      </c>
      <c r="AG598" t="s">
        <v>216</v>
      </c>
      <c r="AH598" t="s">
        <v>217</v>
      </c>
      <c r="AI598" t="s">
        <v>178</v>
      </c>
      <c r="AJ598" t="s">
        <v>179</v>
      </c>
      <c r="AK598" t="s">
        <v>664</v>
      </c>
      <c r="AL598" t="s">
        <v>665</v>
      </c>
      <c r="AS598">
        <v>2950</v>
      </c>
      <c r="AT598">
        <v>2950</v>
      </c>
      <c r="BN598" s="114" t="s">
        <v>256</v>
      </c>
      <c r="BO598">
        <v>2</v>
      </c>
      <c r="BP598">
        <v>2</v>
      </c>
      <c r="BQ598">
        <v>33</v>
      </c>
      <c r="BR598" t="s">
        <v>1062</v>
      </c>
      <c r="BT598" t="s">
        <v>183</v>
      </c>
      <c r="BU598" s="115">
        <v>45812</v>
      </c>
      <c r="BV598">
        <v>36740</v>
      </c>
      <c r="BW598" s="116"/>
      <c r="BY598" t="s">
        <v>173</v>
      </c>
      <c r="CB598" t="s">
        <v>173</v>
      </c>
      <c r="CC598" t="s">
        <v>173</v>
      </c>
      <c r="CD598" t="s">
        <v>1111</v>
      </c>
      <c r="CE598" t="s">
        <v>173</v>
      </c>
      <c r="CG598" t="s">
        <v>172</v>
      </c>
      <c r="CH598" t="s">
        <v>234</v>
      </c>
      <c r="CI598" t="s">
        <v>172</v>
      </c>
      <c r="CJ598" t="s">
        <v>344</v>
      </c>
      <c r="CK598" t="s">
        <v>259</v>
      </c>
      <c r="CM598">
        <v>1</v>
      </c>
      <c r="CN598" t="s">
        <v>260</v>
      </c>
      <c r="CP598">
        <v>48</v>
      </c>
      <c r="CQ598">
        <v>20</v>
      </c>
      <c r="CR598">
        <v>80</v>
      </c>
      <c r="CS598" t="s">
        <v>261</v>
      </c>
      <c r="CV598" t="s">
        <v>262</v>
      </c>
      <c r="CX598" t="s">
        <v>263</v>
      </c>
      <c r="CY598" t="s">
        <v>173</v>
      </c>
      <c r="DC598" t="s">
        <v>345</v>
      </c>
      <c r="DD598">
        <v>1</v>
      </c>
      <c r="DE598" t="s">
        <v>307</v>
      </c>
      <c r="DF598" t="s">
        <v>346</v>
      </c>
      <c r="DG598">
        <v>15</v>
      </c>
      <c r="DJ598" t="s">
        <v>201</v>
      </c>
      <c r="DK598" t="s">
        <v>202</v>
      </c>
      <c r="DL598" t="s">
        <v>173</v>
      </c>
      <c r="DM598" t="s">
        <v>173</v>
      </c>
      <c r="DN598" t="s">
        <v>173</v>
      </c>
      <c r="DO598" t="s">
        <v>347</v>
      </c>
      <c r="DP598" t="s">
        <v>172</v>
      </c>
      <c r="DQ598" t="s">
        <v>204</v>
      </c>
      <c r="DR598" t="s">
        <v>1118</v>
      </c>
      <c r="DY598">
        <v>27.7</v>
      </c>
      <c r="EA598" s="117"/>
      <c r="EB598">
        <v>4</v>
      </c>
      <c r="EC598">
        <v>4</v>
      </c>
      <c r="EE598" t="s">
        <v>349</v>
      </c>
      <c r="EF598">
        <v>6</v>
      </c>
      <c r="EV598">
        <v>6250</v>
      </c>
      <c r="EW598">
        <v>474</v>
      </c>
      <c r="EX598">
        <v>363</v>
      </c>
      <c r="EY598">
        <v>424</v>
      </c>
    </row>
    <row r="599" spans="1:155" x14ac:dyDescent="0.35">
      <c r="A599">
        <v>2026</v>
      </c>
      <c r="B599" t="s">
        <v>228</v>
      </c>
      <c r="C599" s="112" t="s">
        <v>228</v>
      </c>
      <c r="D599" t="s">
        <v>1119</v>
      </c>
      <c r="E599" t="s">
        <v>230</v>
      </c>
      <c r="F599">
        <v>409</v>
      </c>
      <c r="G599" s="113">
        <v>3</v>
      </c>
      <c r="H599">
        <v>6</v>
      </c>
      <c r="I599" t="s">
        <v>231</v>
      </c>
      <c r="J599">
        <v>19</v>
      </c>
      <c r="K599">
        <v>25</v>
      </c>
      <c r="L599">
        <v>21</v>
      </c>
      <c r="M599">
        <v>23.647400000000001</v>
      </c>
      <c r="N599">
        <v>34.446399999999997</v>
      </c>
      <c r="O599">
        <v>27.531400000000001</v>
      </c>
      <c r="P599">
        <v>18.814900000000002</v>
      </c>
      <c r="Q599">
        <v>24.527200000000001</v>
      </c>
      <c r="R599">
        <v>21.017600000000002</v>
      </c>
      <c r="T599" t="s">
        <v>341</v>
      </c>
      <c r="U599" t="s">
        <v>342</v>
      </c>
      <c r="V599" t="s">
        <v>170</v>
      </c>
      <c r="W599" t="s">
        <v>171</v>
      </c>
      <c r="Y599">
        <v>9</v>
      </c>
      <c r="Z599" t="s">
        <v>172</v>
      </c>
      <c r="AA599" t="s">
        <v>173</v>
      </c>
      <c r="AB599" t="s">
        <v>170</v>
      </c>
      <c r="AC599" t="s">
        <v>232</v>
      </c>
      <c r="AD599">
        <v>10</v>
      </c>
      <c r="AG599" t="s">
        <v>216</v>
      </c>
      <c r="AH599" t="s">
        <v>217</v>
      </c>
      <c r="AI599" t="s">
        <v>178</v>
      </c>
      <c r="AJ599" t="s">
        <v>179</v>
      </c>
      <c r="AK599" t="s">
        <v>664</v>
      </c>
      <c r="AL599" t="s">
        <v>665</v>
      </c>
      <c r="AS599">
        <v>2950</v>
      </c>
      <c r="AT599">
        <v>2950</v>
      </c>
      <c r="BN599" s="114" t="s">
        <v>256</v>
      </c>
      <c r="BO599">
        <v>2</v>
      </c>
      <c r="BP599">
        <v>2</v>
      </c>
      <c r="BQ599">
        <v>33</v>
      </c>
      <c r="BR599" t="s">
        <v>1062</v>
      </c>
      <c r="BT599" t="s">
        <v>183</v>
      </c>
      <c r="BU599" s="115">
        <v>45812</v>
      </c>
      <c r="BV599">
        <v>36741</v>
      </c>
      <c r="BW599" s="116"/>
      <c r="BY599" t="s">
        <v>173</v>
      </c>
      <c r="CB599" t="s">
        <v>173</v>
      </c>
      <c r="CC599" t="s">
        <v>173</v>
      </c>
      <c r="CD599" t="s">
        <v>1111</v>
      </c>
      <c r="CE599" t="s">
        <v>173</v>
      </c>
      <c r="CG599" t="s">
        <v>172</v>
      </c>
      <c r="CH599" t="s">
        <v>234</v>
      </c>
      <c r="CI599" t="s">
        <v>172</v>
      </c>
      <c r="CJ599" t="s">
        <v>344</v>
      </c>
      <c r="CK599" t="s">
        <v>259</v>
      </c>
      <c r="CM599">
        <v>1</v>
      </c>
      <c r="CN599" t="s">
        <v>260</v>
      </c>
      <c r="CP599">
        <v>48</v>
      </c>
      <c r="CQ599">
        <v>20</v>
      </c>
      <c r="CR599">
        <v>80</v>
      </c>
      <c r="CS599" t="s">
        <v>261</v>
      </c>
      <c r="CV599" t="s">
        <v>262</v>
      </c>
      <c r="CX599" t="s">
        <v>263</v>
      </c>
      <c r="CY599" t="s">
        <v>173</v>
      </c>
      <c r="DC599" t="s">
        <v>345</v>
      </c>
      <c r="DD599">
        <v>1</v>
      </c>
      <c r="DE599" t="s">
        <v>307</v>
      </c>
      <c r="DF599" t="s">
        <v>346</v>
      </c>
      <c r="DG599">
        <v>15</v>
      </c>
      <c r="DJ599" t="s">
        <v>201</v>
      </c>
      <c r="DK599" t="s">
        <v>202</v>
      </c>
      <c r="DL599" t="s">
        <v>173</v>
      </c>
      <c r="DM599" t="s">
        <v>173</v>
      </c>
      <c r="DN599" t="s">
        <v>173</v>
      </c>
      <c r="DO599" t="s">
        <v>347</v>
      </c>
      <c r="DP599" t="s">
        <v>172</v>
      </c>
      <c r="DQ599" t="s">
        <v>204</v>
      </c>
      <c r="DR599" t="s">
        <v>1119</v>
      </c>
      <c r="DY599">
        <v>27.7</v>
      </c>
      <c r="EA599" s="117"/>
      <c r="EB599">
        <v>4</v>
      </c>
      <c r="EC599">
        <v>4</v>
      </c>
      <c r="EE599" t="s">
        <v>349</v>
      </c>
      <c r="EF599">
        <v>6</v>
      </c>
      <c r="EV599">
        <v>6250</v>
      </c>
      <c r="EW599">
        <v>474</v>
      </c>
      <c r="EX599">
        <v>363</v>
      </c>
      <c r="EY599">
        <v>424</v>
      </c>
    </row>
    <row r="600" spans="1:155" x14ac:dyDescent="0.35">
      <c r="A600">
        <v>2026</v>
      </c>
      <c r="B600" t="s">
        <v>228</v>
      </c>
      <c r="C600" s="112" t="s">
        <v>228</v>
      </c>
      <c r="D600" t="s">
        <v>1120</v>
      </c>
      <c r="E600" t="s">
        <v>230</v>
      </c>
      <c r="F600">
        <v>405</v>
      </c>
      <c r="G600" s="113">
        <v>4</v>
      </c>
      <c r="H600">
        <v>8</v>
      </c>
      <c r="I600" t="s">
        <v>231</v>
      </c>
      <c r="J600">
        <v>15</v>
      </c>
      <c r="K600">
        <v>21</v>
      </c>
      <c r="L600">
        <v>18</v>
      </c>
      <c r="M600">
        <v>19.100000000000001</v>
      </c>
      <c r="N600">
        <v>29.2</v>
      </c>
      <c r="O600">
        <v>22.620999999999999</v>
      </c>
      <c r="P600">
        <v>15.4251</v>
      </c>
      <c r="Q600">
        <v>21.042400000000001</v>
      </c>
      <c r="R600">
        <v>17.531099999999999</v>
      </c>
      <c r="T600" t="s">
        <v>168</v>
      </c>
      <c r="U600" t="s">
        <v>169</v>
      </c>
      <c r="V600" t="s">
        <v>170</v>
      </c>
      <c r="W600" t="s">
        <v>171</v>
      </c>
      <c r="Y600">
        <v>9</v>
      </c>
      <c r="Z600" t="s">
        <v>172</v>
      </c>
      <c r="AA600" t="s">
        <v>173</v>
      </c>
      <c r="AB600" t="s">
        <v>170</v>
      </c>
      <c r="AC600" t="s">
        <v>232</v>
      </c>
      <c r="AD600">
        <v>10</v>
      </c>
      <c r="AG600" t="s">
        <v>216</v>
      </c>
      <c r="AH600" t="s">
        <v>217</v>
      </c>
      <c r="AI600" t="s">
        <v>178</v>
      </c>
      <c r="AJ600" t="s">
        <v>179</v>
      </c>
      <c r="AK600" t="s">
        <v>664</v>
      </c>
      <c r="AL600" t="s">
        <v>665</v>
      </c>
      <c r="AS600">
        <v>3450</v>
      </c>
      <c r="AT600">
        <v>3450</v>
      </c>
      <c r="BN600" s="114" t="s">
        <v>256</v>
      </c>
      <c r="BO600">
        <v>2</v>
      </c>
      <c r="BP600">
        <v>2</v>
      </c>
      <c r="BQ600">
        <v>33</v>
      </c>
      <c r="BR600" t="s">
        <v>1062</v>
      </c>
      <c r="BT600" t="s">
        <v>183</v>
      </c>
      <c r="BU600" s="115">
        <v>45833</v>
      </c>
      <c r="BV600">
        <v>36940</v>
      </c>
      <c r="BW600" s="116"/>
      <c r="BY600" t="s">
        <v>173</v>
      </c>
      <c r="CB600" t="s">
        <v>173</v>
      </c>
      <c r="CC600" t="s">
        <v>173</v>
      </c>
      <c r="CD600" t="s">
        <v>1121</v>
      </c>
      <c r="CE600" t="s">
        <v>172</v>
      </c>
      <c r="CF600" t="s">
        <v>1115</v>
      </c>
      <c r="CG600" t="s">
        <v>172</v>
      </c>
      <c r="CH600" t="s">
        <v>234</v>
      </c>
      <c r="CI600" t="s">
        <v>173</v>
      </c>
      <c r="CK600" t="s">
        <v>259</v>
      </c>
      <c r="CM600">
        <v>1</v>
      </c>
      <c r="CN600" t="s">
        <v>260</v>
      </c>
      <c r="CP600">
        <v>48</v>
      </c>
      <c r="CQ600">
        <v>20</v>
      </c>
      <c r="CR600">
        <v>80</v>
      </c>
      <c r="CS600" t="s">
        <v>261</v>
      </c>
      <c r="CV600" t="s">
        <v>262</v>
      </c>
      <c r="CX600" t="s">
        <v>263</v>
      </c>
      <c r="CY600" t="s">
        <v>173</v>
      </c>
      <c r="DC600" t="s">
        <v>591</v>
      </c>
      <c r="DD600">
        <v>1</v>
      </c>
      <c r="DE600" t="s">
        <v>307</v>
      </c>
      <c r="DF600" t="s">
        <v>592</v>
      </c>
      <c r="DG600">
        <v>16</v>
      </c>
      <c r="DJ600" t="s">
        <v>201</v>
      </c>
      <c r="DK600" t="s">
        <v>202</v>
      </c>
      <c r="DL600" t="s">
        <v>173</v>
      </c>
      <c r="DM600" t="s">
        <v>173</v>
      </c>
      <c r="DN600" t="s">
        <v>173</v>
      </c>
      <c r="DO600" t="s">
        <v>203</v>
      </c>
      <c r="DP600" t="s">
        <v>172</v>
      </c>
      <c r="DQ600" t="s">
        <v>204</v>
      </c>
      <c r="DR600" t="s">
        <v>1120</v>
      </c>
      <c r="DY600">
        <v>22.8</v>
      </c>
      <c r="EA600" s="117"/>
      <c r="EB600">
        <v>3</v>
      </c>
      <c r="EC600">
        <v>3</v>
      </c>
      <c r="EE600" t="s">
        <v>1116</v>
      </c>
      <c r="EF600">
        <v>4</v>
      </c>
      <c r="EV600">
        <v>8750</v>
      </c>
      <c r="EW600">
        <v>575</v>
      </c>
      <c r="EX600">
        <v>422</v>
      </c>
      <c r="EY600">
        <v>506</v>
      </c>
    </row>
    <row r="601" spans="1:155" x14ac:dyDescent="0.35">
      <c r="A601">
        <v>2026</v>
      </c>
      <c r="B601" t="s">
        <v>228</v>
      </c>
      <c r="C601" s="112" t="s">
        <v>228</v>
      </c>
      <c r="D601" t="s">
        <v>1122</v>
      </c>
      <c r="E601" t="s">
        <v>230</v>
      </c>
      <c r="F601">
        <v>421</v>
      </c>
      <c r="G601" s="113">
        <v>3</v>
      </c>
      <c r="H601">
        <v>6</v>
      </c>
      <c r="I601" t="s">
        <v>231</v>
      </c>
      <c r="J601">
        <v>19</v>
      </c>
      <c r="K601">
        <v>24</v>
      </c>
      <c r="L601">
        <v>21</v>
      </c>
      <c r="M601">
        <v>23.3</v>
      </c>
      <c r="N601">
        <v>34.4</v>
      </c>
      <c r="O601">
        <v>27.257899999999999</v>
      </c>
      <c r="P601">
        <v>18.5595</v>
      </c>
      <c r="Q601">
        <v>24.496700000000001</v>
      </c>
      <c r="R601">
        <v>20.831499999999998</v>
      </c>
      <c r="T601" t="s">
        <v>341</v>
      </c>
      <c r="U601" t="s">
        <v>342</v>
      </c>
      <c r="V601" t="s">
        <v>170</v>
      </c>
      <c r="W601" t="s">
        <v>171</v>
      </c>
      <c r="Y601">
        <v>9</v>
      </c>
      <c r="Z601" t="s">
        <v>172</v>
      </c>
      <c r="AA601" t="s">
        <v>173</v>
      </c>
      <c r="AB601" t="s">
        <v>170</v>
      </c>
      <c r="AC601" t="s">
        <v>232</v>
      </c>
      <c r="AD601">
        <v>10</v>
      </c>
      <c r="AG601" t="s">
        <v>216</v>
      </c>
      <c r="AH601" t="s">
        <v>217</v>
      </c>
      <c r="AI601" t="s">
        <v>178</v>
      </c>
      <c r="AJ601" t="s">
        <v>179</v>
      </c>
      <c r="AK601" t="s">
        <v>664</v>
      </c>
      <c r="AL601" t="s">
        <v>665</v>
      </c>
      <c r="AS601">
        <v>2950</v>
      </c>
      <c r="AT601">
        <v>2950</v>
      </c>
      <c r="BN601" s="114" t="s">
        <v>256</v>
      </c>
      <c r="BO601">
        <v>2</v>
      </c>
      <c r="BP601">
        <v>2</v>
      </c>
      <c r="BQ601">
        <v>33</v>
      </c>
      <c r="BR601" t="s">
        <v>1062</v>
      </c>
      <c r="BT601" t="s">
        <v>183</v>
      </c>
      <c r="BU601" s="115">
        <v>45812</v>
      </c>
      <c r="BV601">
        <v>36739</v>
      </c>
      <c r="BW601" s="116"/>
      <c r="BY601" t="s">
        <v>173</v>
      </c>
      <c r="CB601" t="s">
        <v>173</v>
      </c>
      <c r="CC601" t="s">
        <v>173</v>
      </c>
      <c r="CD601" t="s">
        <v>1111</v>
      </c>
      <c r="CE601" t="s">
        <v>173</v>
      </c>
      <c r="CG601" t="s">
        <v>172</v>
      </c>
      <c r="CH601" t="s">
        <v>234</v>
      </c>
      <c r="CI601" t="s">
        <v>172</v>
      </c>
      <c r="CJ601" t="s">
        <v>344</v>
      </c>
      <c r="CK601" t="s">
        <v>259</v>
      </c>
      <c r="CM601">
        <v>1</v>
      </c>
      <c r="CN601" t="s">
        <v>260</v>
      </c>
      <c r="CP601">
        <v>48</v>
      </c>
      <c r="CQ601">
        <v>20</v>
      </c>
      <c r="CR601">
        <v>80</v>
      </c>
      <c r="CS601" t="s">
        <v>261</v>
      </c>
      <c r="CV601" t="s">
        <v>262</v>
      </c>
      <c r="CX601" t="s">
        <v>263</v>
      </c>
      <c r="CY601" t="s">
        <v>173</v>
      </c>
      <c r="DC601" t="s">
        <v>345</v>
      </c>
      <c r="DD601">
        <v>1</v>
      </c>
      <c r="DE601" t="s">
        <v>307</v>
      </c>
      <c r="DF601" t="s">
        <v>346</v>
      </c>
      <c r="DG601">
        <v>15</v>
      </c>
      <c r="DJ601" t="s">
        <v>201</v>
      </c>
      <c r="DK601" t="s">
        <v>202</v>
      </c>
      <c r="DL601" t="s">
        <v>173</v>
      </c>
      <c r="DM601" t="s">
        <v>173</v>
      </c>
      <c r="DN601" t="s">
        <v>173</v>
      </c>
      <c r="DO601" t="s">
        <v>347</v>
      </c>
      <c r="DP601" t="s">
        <v>172</v>
      </c>
      <c r="DQ601" t="s">
        <v>204</v>
      </c>
      <c r="DR601" t="s">
        <v>1122</v>
      </c>
      <c r="DY601">
        <v>27.4</v>
      </c>
      <c r="EA601" s="117"/>
      <c r="EB601">
        <v>4</v>
      </c>
      <c r="EC601">
        <v>4</v>
      </c>
      <c r="EE601" t="s">
        <v>349</v>
      </c>
      <c r="EF601">
        <v>6</v>
      </c>
      <c r="EV601">
        <v>6250</v>
      </c>
      <c r="EW601">
        <v>481</v>
      </c>
      <c r="EX601">
        <v>364</v>
      </c>
      <c r="EY601">
        <v>428</v>
      </c>
    </row>
    <row r="602" spans="1:155" x14ac:dyDescent="0.35">
      <c r="A602">
        <v>2026</v>
      </c>
      <c r="B602" t="s">
        <v>228</v>
      </c>
      <c r="C602" s="112" t="s">
        <v>228</v>
      </c>
      <c r="D602" t="s">
        <v>1123</v>
      </c>
      <c r="E602" t="s">
        <v>230</v>
      </c>
      <c r="F602">
        <v>406</v>
      </c>
      <c r="G602" s="113">
        <v>4</v>
      </c>
      <c r="H602">
        <v>8</v>
      </c>
      <c r="I602" t="s">
        <v>231</v>
      </c>
      <c r="J602">
        <v>14</v>
      </c>
      <c r="K602">
        <v>20</v>
      </c>
      <c r="L602">
        <v>16</v>
      </c>
      <c r="M602">
        <v>17.5</v>
      </c>
      <c r="N602">
        <v>28.2</v>
      </c>
      <c r="O602">
        <v>21.103300000000001</v>
      </c>
      <c r="P602">
        <v>14.2081</v>
      </c>
      <c r="Q602">
        <v>20.368600000000001</v>
      </c>
      <c r="R602">
        <v>16.4465</v>
      </c>
      <c r="T602" t="s">
        <v>168</v>
      </c>
      <c r="U602" t="s">
        <v>169</v>
      </c>
      <c r="V602" t="s">
        <v>170</v>
      </c>
      <c r="W602" t="s">
        <v>171</v>
      </c>
      <c r="Y602">
        <v>9</v>
      </c>
      <c r="Z602" t="s">
        <v>172</v>
      </c>
      <c r="AA602" t="s">
        <v>173</v>
      </c>
      <c r="AB602" t="s">
        <v>170</v>
      </c>
      <c r="AC602" t="s">
        <v>232</v>
      </c>
      <c r="AD602">
        <v>10</v>
      </c>
      <c r="AG602" t="s">
        <v>216</v>
      </c>
      <c r="AH602" t="s">
        <v>217</v>
      </c>
      <c r="AI602" t="s">
        <v>178</v>
      </c>
      <c r="AJ602" t="s">
        <v>179</v>
      </c>
      <c r="AK602" t="s">
        <v>664</v>
      </c>
      <c r="AL602" t="s">
        <v>665</v>
      </c>
      <c r="AS602">
        <v>3900</v>
      </c>
      <c r="AT602">
        <v>3900</v>
      </c>
      <c r="BN602" s="114" t="s">
        <v>256</v>
      </c>
      <c r="BO602">
        <v>2</v>
      </c>
      <c r="BP602">
        <v>2</v>
      </c>
      <c r="BQ602">
        <v>33</v>
      </c>
      <c r="BR602" t="s">
        <v>1062</v>
      </c>
      <c r="BT602" t="s">
        <v>183</v>
      </c>
      <c r="BU602" s="115">
        <v>45834</v>
      </c>
      <c r="BV602">
        <v>36919</v>
      </c>
      <c r="BW602" s="116"/>
      <c r="CB602" t="s">
        <v>173</v>
      </c>
      <c r="CC602" t="s">
        <v>173</v>
      </c>
      <c r="CD602" t="s">
        <v>1121</v>
      </c>
      <c r="CE602" t="s">
        <v>172</v>
      </c>
      <c r="CF602" t="s">
        <v>1115</v>
      </c>
      <c r="CG602" t="s">
        <v>172</v>
      </c>
      <c r="CH602" t="s">
        <v>234</v>
      </c>
      <c r="CI602" t="s">
        <v>173</v>
      </c>
      <c r="CK602" t="s">
        <v>259</v>
      </c>
      <c r="CM602">
        <v>1</v>
      </c>
      <c r="CN602" t="s">
        <v>260</v>
      </c>
      <c r="CP602">
        <v>48</v>
      </c>
      <c r="CQ602">
        <v>20</v>
      </c>
      <c r="CR602">
        <v>80</v>
      </c>
      <c r="CS602" t="s">
        <v>261</v>
      </c>
      <c r="CV602" t="s">
        <v>262</v>
      </c>
      <c r="CX602" t="s">
        <v>263</v>
      </c>
      <c r="CY602" t="s">
        <v>173</v>
      </c>
      <c r="DC602" t="s">
        <v>591</v>
      </c>
      <c r="DD602">
        <v>1</v>
      </c>
      <c r="DE602" t="s">
        <v>307</v>
      </c>
      <c r="DF602" t="s">
        <v>592</v>
      </c>
      <c r="DG602">
        <v>16</v>
      </c>
      <c r="DJ602" t="s">
        <v>201</v>
      </c>
      <c r="DK602" t="s">
        <v>202</v>
      </c>
      <c r="DL602" t="s">
        <v>173</v>
      </c>
      <c r="DM602" t="s">
        <v>173</v>
      </c>
      <c r="DN602" t="s">
        <v>173</v>
      </c>
      <c r="DO602" t="s">
        <v>203</v>
      </c>
      <c r="DP602" t="s">
        <v>172</v>
      </c>
      <c r="DQ602" t="s">
        <v>204</v>
      </c>
      <c r="DR602" t="s">
        <v>1123</v>
      </c>
      <c r="DY602">
        <v>21.3</v>
      </c>
      <c r="EA602" s="117"/>
      <c r="EB602">
        <v>3</v>
      </c>
      <c r="EC602">
        <v>3</v>
      </c>
      <c r="EE602" t="s">
        <v>1116</v>
      </c>
      <c r="EF602">
        <v>4</v>
      </c>
      <c r="EV602">
        <v>11000</v>
      </c>
      <c r="EW602">
        <v>623</v>
      </c>
      <c r="EX602">
        <v>435</v>
      </c>
      <c r="EY602">
        <v>539</v>
      </c>
    </row>
    <row r="603" spans="1:155" x14ac:dyDescent="0.35">
      <c r="A603">
        <v>2026</v>
      </c>
      <c r="B603" t="s">
        <v>228</v>
      </c>
      <c r="C603" s="112" t="s">
        <v>228</v>
      </c>
      <c r="D603" t="s">
        <v>1124</v>
      </c>
      <c r="E603" t="s">
        <v>230</v>
      </c>
      <c r="F603">
        <v>404</v>
      </c>
      <c r="G603" s="113">
        <v>4</v>
      </c>
      <c r="H603">
        <v>8</v>
      </c>
      <c r="I603" t="s">
        <v>231</v>
      </c>
      <c r="J603">
        <v>13</v>
      </c>
      <c r="K603">
        <v>18</v>
      </c>
      <c r="L603">
        <v>15</v>
      </c>
      <c r="M603">
        <v>16.3</v>
      </c>
      <c r="N603">
        <v>25</v>
      </c>
      <c r="O603">
        <v>19.326499999999999</v>
      </c>
      <c r="P603">
        <v>13.286799999999999</v>
      </c>
      <c r="Q603">
        <v>18.191400000000002</v>
      </c>
      <c r="R603">
        <v>15.1214</v>
      </c>
      <c r="T603" t="s">
        <v>168</v>
      </c>
      <c r="U603" t="s">
        <v>169</v>
      </c>
      <c r="V603" t="s">
        <v>170</v>
      </c>
      <c r="W603" t="s">
        <v>171</v>
      </c>
      <c r="Y603">
        <v>9</v>
      </c>
      <c r="Z603" t="s">
        <v>172</v>
      </c>
      <c r="AA603" t="s">
        <v>173</v>
      </c>
      <c r="AB603" t="s">
        <v>170</v>
      </c>
      <c r="AC603" t="s">
        <v>232</v>
      </c>
      <c r="AD603">
        <v>10</v>
      </c>
      <c r="AG603" t="s">
        <v>216</v>
      </c>
      <c r="AH603" t="s">
        <v>217</v>
      </c>
      <c r="AI603" t="s">
        <v>178</v>
      </c>
      <c r="AJ603" t="s">
        <v>179</v>
      </c>
      <c r="AK603" t="s">
        <v>664</v>
      </c>
      <c r="AL603" t="s">
        <v>665</v>
      </c>
      <c r="AS603">
        <v>4150</v>
      </c>
      <c r="AT603">
        <v>4150</v>
      </c>
      <c r="BN603" s="114" t="s">
        <v>256</v>
      </c>
      <c r="BO603">
        <v>2</v>
      </c>
      <c r="BP603">
        <v>2</v>
      </c>
      <c r="BQ603">
        <v>33</v>
      </c>
      <c r="BR603" t="s">
        <v>1062</v>
      </c>
      <c r="BT603" t="s">
        <v>183</v>
      </c>
      <c r="BU603" s="115">
        <v>45790</v>
      </c>
      <c r="BV603">
        <v>36536</v>
      </c>
      <c r="BW603" s="116"/>
      <c r="CB603" t="s">
        <v>173</v>
      </c>
      <c r="CC603" t="s">
        <v>173</v>
      </c>
      <c r="CD603" t="s">
        <v>1114</v>
      </c>
      <c r="CE603" t="s">
        <v>172</v>
      </c>
      <c r="CF603" t="s">
        <v>1115</v>
      </c>
      <c r="CG603" t="s">
        <v>172</v>
      </c>
      <c r="CH603" t="s">
        <v>234</v>
      </c>
      <c r="CI603" t="s">
        <v>173</v>
      </c>
      <c r="CK603" t="s">
        <v>259</v>
      </c>
      <c r="CM603">
        <v>1</v>
      </c>
      <c r="CN603" t="s">
        <v>260</v>
      </c>
      <c r="CP603">
        <v>48</v>
      </c>
      <c r="CQ603">
        <v>20</v>
      </c>
      <c r="CR603">
        <v>80</v>
      </c>
      <c r="CS603" t="s">
        <v>261</v>
      </c>
      <c r="CV603" t="s">
        <v>262</v>
      </c>
      <c r="CX603" t="s">
        <v>263</v>
      </c>
      <c r="CY603" t="s">
        <v>173</v>
      </c>
      <c r="DC603" t="s">
        <v>591</v>
      </c>
      <c r="DD603">
        <v>1</v>
      </c>
      <c r="DE603" t="s">
        <v>307</v>
      </c>
      <c r="DF603" t="s">
        <v>592</v>
      </c>
      <c r="DG603">
        <v>16</v>
      </c>
      <c r="DJ603" t="s">
        <v>201</v>
      </c>
      <c r="DK603" t="s">
        <v>202</v>
      </c>
      <c r="DL603" t="s">
        <v>173</v>
      </c>
      <c r="DM603" t="s">
        <v>173</v>
      </c>
      <c r="DN603" t="s">
        <v>173</v>
      </c>
      <c r="DO603" t="s">
        <v>203</v>
      </c>
      <c r="DP603" t="s">
        <v>172</v>
      </c>
      <c r="DQ603" t="s">
        <v>204</v>
      </c>
      <c r="DY603">
        <v>19.5</v>
      </c>
      <c r="EA603" s="117"/>
      <c r="EB603">
        <v>2</v>
      </c>
      <c r="EC603">
        <v>2</v>
      </c>
      <c r="EE603" t="s">
        <v>1116</v>
      </c>
      <c r="EF603">
        <v>4</v>
      </c>
      <c r="EV603">
        <v>12250</v>
      </c>
      <c r="EW603">
        <v>666</v>
      </c>
      <c r="EX603">
        <v>487</v>
      </c>
      <c r="EY603">
        <v>585</v>
      </c>
    </row>
    <row r="604" spans="1:155" x14ac:dyDescent="0.35">
      <c r="A604">
        <v>2026</v>
      </c>
      <c r="B604" t="s">
        <v>862</v>
      </c>
      <c r="C604" s="112" t="s">
        <v>863</v>
      </c>
      <c r="D604" t="s">
        <v>1125</v>
      </c>
      <c r="E604" t="s">
        <v>865</v>
      </c>
      <c r="F604">
        <v>283</v>
      </c>
      <c r="G604" s="113">
        <v>3.5</v>
      </c>
      <c r="H604">
        <v>6</v>
      </c>
      <c r="I604" t="s">
        <v>896</v>
      </c>
      <c r="J604">
        <v>16</v>
      </c>
      <c r="K604">
        <v>19</v>
      </c>
      <c r="L604">
        <v>17</v>
      </c>
      <c r="M604">
        <v>20.7913</v>
      </c>
      <c r="N604">
        <v>30.2012</v>
      </c>
      <c r="O604">
        <v>24.181799999999999</v>
      </c>
      <c r="P604">
        <v>16</v>
      </c>
      <c r="Q604">
        <v>19</v>
      </c>
      <c r="R604">
        <v>17</v>
      </c>
      <c r="T604" t="s">
        <v>168</v>
      </c>
      <c r="U604" t="s">
        <v>169</v>
      </c>
      <c r="V604" t="s">
        <v>196</v>
      </c>
      <c r="W604" t="s">
        <v>197</v>
      </c>
      <c r="Y604">
        <v>9</v>
      </c>
      <c r="Z604" t="s">
        <v>172</v>
      </c>
      <c r="AA604" t="s">
        <v>173</v>
      </c>
      <c r="AB604">
        <v>4</v>
      </c>
      <c r="AC604" t="s">
        <v>423</v>
      </c>
      <c r="AD604">
        <v>15</v>
      </c>
      <c r="AG604" t="s">
        <v>176</v>
      </c>
      <c r="AH604" t="s">
        <v>177</v>
      </c>
      <c r="AI604" t="s">
        <v>178</v>
      </c>
      <c r="AJ604" t="s">
        <v>179</v>
      </c>
      <c r="AK604" t="s">
        <v>664</v>
      </c>
      <c r="AL604" t="s">
        <v>665</v>
      </c>
      <c r="AS604">
        <v>3650</v>
      </c>
      <c r="AT604">
        <v>3650</v>
      </c>
      <c r="BN604" s="114" t="s">
        <v>198</v>
      </c>
      <c r="BO604">
        <v>2</v>
      </c>
      <c r="BP604">
        <v>2</v>
      </c>
      <c r="BQ604">
        <v>33</v>
      </c>
      <c r="BR604" t="s">
        <v>1062</v>
      </c>
      <c r="BT604" t="s">
        <v>613</v>
      </c>
      <c r="BU604" s="115">
        <v>45881</v>
      </c>
      <c r="BV604">
        <v>36807</v>
      </c>
      <c r="BW604" s="116"/>
      <c r="BX604" t="s">
        <v>173</v>
      </c>
      <c r="CB604" t="s">
        <v>173</v>
      </c>
      <c r="CC604" t="s">
        <v>173</v>
      </c>
      <c r="CD604" t="s">
        <v>1059</v>
      </c>
      <c r="CE604" t="s">
        <v>173</v>
      </c>
      <c r="CG604" t="s">
        <v>172</v>
      </c>
      <c r="CH604" t="s">
        <v>1056</v>
      </c>
      <c r="CI604" t="s">
        <v>173</v>
      </c>
      <c r="DJ604" t="s">
        <v>201</v>
      </c>
      <c r="DK604" t="s">
        <v>202</v>
      </c>
      <c r="DN604" t="s">
        <v>173</v>
      </c>
      <c r="DO604" t="s">
        <v>585</v>
      </c>
      <c r="DP604" t="s">
        <v>172</v>
      </c>
      <c r="DQ604" t="s">
        <v>204</v>
      </c>
      <c r="EA604" s="117"/>
      <c r="EB604">
        <v>3</v>
      </c>
      <c r="EC604">
        <v>3</v>
      </c>
      <c r="EE604" t="s">
        <v>1057</v>
      </c>
      <c r="EF604">
        <v>5</v>
      </c>
      <c r="EV604">
        <v>9750</v>
      </c>
      <c r="EW604">
        <v>557</v>
      </c>
      <c r="EX604">
        <v>469</v>
      </c>
      <c r="EY604">
        <v>524</v>
      </c>
    </row>
    <row r="605" spans="1:155" x14ac:dyDescent="0.35">
      <c r="A605">
        <v>2026</v>
      </c>
      <c r="B605" t="s">
        <v>862</v>
      </c>
      <c r="C605" s="112" t="s">
        <v>863</v>
      </c>
      <c r="D605" t="s">
        <v>1126</v>
      </c>
      <c r="E605" t="s">
        <v>865</v>
      </c>
      <c r="F605">
        <v>284</v>
      </c>
      <c r="G605" s="113">
        <v>3.5</v>
      </c>
      <c r="H605">
        <v>6</v>
      </c>
      <c r="I605" t="s">
        <v>896</v>
      </c>
      <c r="J605">
        <v>15</v>
      </c>
      <c r="K605">
        <v>18</v>
      </c>
      <c r="L605">
        <v>16</v>
      </c>
      <c r="M605">
        <v>19.999500000000001</v>
      </c>
      <c r="N605">
        <v>27.499600000000001</v>
      </c>
      <c r="O605">
        <v>22.7974</v>
      </c>
      <c r="P605">
        <v>15</v>
      </c>
      <c r="Q605">
        <v>18.221499999999999</v>
      </c>
      <c r="R605">
        <v>16</v>
      </c>
      <c r="T605" t="s">
        <v>168</v>
      </c>
      <c r="U605" t="s">
        <v>169</v>
      </c>
      <c r="V605" t="s">
        <v>196</v>
      </c>
      <c r="W605" t="s">
        <v>197</v>
      </c>
      <c r="Y605">
        <v>9</v>
      </c>
      <c r="Z605" t="s">
        <v>172</v>
      </c>
      <c r="AA605" t="s">
        <v>173</v>
      </c>
      <c r="AB605">
        <v>4</v>
      </c>
      <c r="AC605" t="s">
        <v>423</v>
      </c>
      <c r="AD605">
        <v>15</v>
      </c>
      <c r="AG605" t="s">
        <v>176</v>
      </c>
      <c r="AH605" t="s">
        <v>177</v>
      </c>
      <c r="AI605" t="s">
        <v>178</v>
      </c>
      <c r="AJ605" t="s">
        <v>179</v>
      </c>
      <c r="AK605" t="s">
        <v>664</v>
      </c>
      <c r="AL605" t="s">
        <v>665</v>
      </c>
      <c r="AS605">
        <v>3900</v>
      </c>
      <c r="AT605">
        <v>3900</v>
      </c>
      <c r="BN605" s="114" t="s">
        <v>198</v>
      </c>
      <c r="BO605">
        <v>2</v>
      </c>
      <c r="BP605">
        <v>2</v>
      </c>
      <c r="BQ605">
        <v>33</v>
      </c>
      <c r="BR605" t="s">
        <v>1062</v>
      </c>
      <c r="BT605" t="s">
        <v>613</v>
      </c>
      <c r="BU605" s="115">
        <v>45881</v>
      </c>
      <c r="BV605">
        <v>36806</v>
      </c>
      <c r="BW605" s="116"/>
      <c r="BX605" t="s">
        <v>172</v>
      </c>
      <c r="CB605" t="s">
        <v>173</v>
      </c>
      <c r="CC605" t="s">
        <v>173</v>
      </c>
      <c r="CD605" t="s">
        <v>1059</v>
      </c>
      <c r="CE605" t="s">
        <v>173</v>
      </c>
      <c r="CG605" t="s">
        <v>172</v>
      </c>
      <c r="CH605" t="s">
        <v>1056</v>
      </c>
      <c r="CI605" t="s">
        <v>173</v>
      </c>
      <c r="DJ605" t="s">
        <v>201</v>
      </c>
      <c r="DK605" t="s">
        <v>202</v>
      </c>
      <c r="DN605" t="s">
        <v>173</v>
      </c>
      <c r="DO605" t="s">
        <v>585</v>
      </c>
      <c r="DP605" t="s">
        <v>172</v>
      </c>
      <c r="DQ605" t="s">
        <v>204</v>
      </c>
      <c r="EA605" s="117"/>
      <c r="EB605">
        <v>3</v>
      </c>
      <c r="EC605">
        <v>3</v>
      </c>
      <c r="EE605" t="s">
        <v>1057</v>
      </c>
      <c r="EF605">
        <v>5</v>
      </c>
      <c r="EV605">
        <v>11000</v>
      </c>
      <c r="EW605">
        <v>594</v>
      </c>
      <c r="EX605">
        <v>488</v>
      </c>
      <c r="EY605">
        <v>556</v>
      </c>
    </row>
    <row r="606" spans="1:155" x14ac:dyDescent="0.35">
      <c r="A606">
        <v>2026</v>
      </c>
      <c r="B606" t="s">
        <v>286</v>
      </c>
      <c r="C606" s="112" t="s">
        <v>286</v>
      </c>
      <c r="D606" t="s">
        <v>1127</v>
      </c>
      <c r="E606" t="s">
        <v>288</v>
      </c>
      <c r="F606">
        <v>401</v>
      </c>
      <c r="G606" s="113">
        <v>3</v>
      </c>
      <c r="H606">
        <v>6</v>
      </c>
      <c r="I606" t="s">
        <v>195</v>
      </c>
      <c r="J606">
        <v>17</v>
      </c>
      <c r="K606">
        <v>23</v>
      </c>
      <c r="L606">
        <v>19</v>
      </c>
      <c r="M606">
        <v>21.9</v>
      </c>
      <c r="N606">
        <v>33.299999999999997</v>
      </c>
      <c r="O606">
        <v>25.888200000000001</v>
      </c>
      <c r="P606">
        <v>17</v>
      </c>
      <c r="Q606">
        <v>23</v>
      </c>
      <c r="R606">
        <v>19</v>
      </c>
      <c r="T606" t="s">
        <v>168</v>
      </c>
      <c r="U606" t="s">
        <v>169</v>
      </c>
      <c r="V606" t="s">
        <v>196</v>
      </c>
      <c r="W606" t="s">
        <v>197</v>
      </c>
      <c r="Y606">
        <v>8</v>
      </c>
      <c r="Z606" t="s">
        <v>172</v>
      </c>
      <c r="AA606" t="s">
        <v>173</v>
      </c>
      <c r="AB606" t="s">
        <v>170</v>
      </c>
      <c r="AC606" t="s">
        <v>232</v>
      </c>
      <c r="AD606">
        <v>10</v>
      </c>
      <c r="AG606" t="s">
        <v>216</v>
      </c>
      <c r="AH606" t="s">
        <v>217</v>
      </c>
      <c r="AI606" t="s">
        <v>178</v>
      </c>
      <c r="AJ606" t="s">
        <v>179</v>
      </c>
      <c r="AK606" t="s">
        <v>664</v>
      </c>
      <c r="AL606" t="s">
        <v>665</v>
      </c>
      <c r="AS606">
        <v>3300</v>
      </c>
      <c r="AT606">
        <v>3300</v>
      </c>
      <c r="BN606" s="114" t="s">
        <v>198</v>
      </c>
      <c r="BO606">
        <v>2</v>
      </c>
      <c r="BP606">
        <v>2</v>
      </c>
      <c r="BQ606">
        <v>33</v>
      </c>
      <c r="BR606" t="s">
        <v>1062</v>
      </c>
      <c r="BT606" t="s">
        <v>183</v>
      </c>
      <c r="BU606" s="115">
        <v>45870</v>
      </c>
      <c r="BV606">
        <v>37266</v>
      </c>
      <c r="BW606" s="116"/>
      <c r="BY606" t="s">
        <v>173</v>
      </c>
      <c r="CB606" t="s">
        <v>173</v>
      </c>
      <c r="CC606" t="s">
        <v>173</v>
      </c>
      <c r="CD606" t="s">
        <v>1128</v>
      </c>
      <c r="CE606" t="s">
        <v>173</v>
      </c>
      <c r="CG606" t="s">
        <v>172</v>
      </c>
      <c r="CH606" t="s">
        <v>1006</v>
      </c>
      <c r="CI606" t="s">
        <v>172</v>
      </c>
      <c r="CJ606" t="s">
        <v>291</v>
      </c>
      <c r="DJ606" t="s">
        <v>201</v>
      </c>
      <c r="DK606" t="s">
        <v>202</v>
      </c>
      <c r="DN606" t="s">
        <v>173</v>
      </c>
      <c r="DO606" t="s">
        <v>188</v>
      </c>
      <c r="DP606" t="s">
        <v>172</v>
      </c>
      <c r="DQ606" t="s">
        <v>204</v>
      </c>
      <c r="EA606" s="117"/>
      <c r="EB606">
        <v>4</v>
      </c>
      <c r="EC606">
        <v>4</v>
      </c>
      <c r="EE606" t="s">
        <v>1007</v>
      </c>
      <c r="EF606">
        <v>4</v>
      </c>
      <c r="EV606">
        <v>8000</v>
      </c>
      <c r="EW606">
        <v>524</v>
      </c>
      <c r="EX606">
        <v>388</v>
      </c>
      <c r="EY606">
        <v>469</v>
      </c>
    </row>
    <row r="607" spans="1:155" x14ac:dyDescent="0.35">
      <c r="A607">
        <v>2026</v>
      </c>
      <c r="B607" t="s">
        <v>286</v>
      </c>
      <c r="C607" s="112" t="s">
        <v>286</v>
      </c>
      <c r="D607" t="s">
        <v>1129</v>
      </c>
      <c r="E607" t="s">
        <v>288</v>
      </c>
      <c r="F607">
        <v>402</v>
      </c>
      <c r="G607" s="113">
        <v>3</v>
      </c>
      <c r="H607">
        <v>6</v>
      </c>
      <c r="I607" t="s">
        <v>195</v>
      </c>
      <c r="J607">
        <v>17</v>
      </c>
      <c r="K607">
        <v>23</v>
      </c>
      <c r="L607">
        <v>19</v>
      </c>
      <c r="M607">
        <v>23</v>
      </c>
      <c r="N607">
        <v>32.200000000000003</v>
      </c>
      <c r="O607">
        <v>26.3934</v>
      </c>
      <c r="P607">
        <v>17</v>
      </c>
      <c r="Q607">
        <v>23.045300000000001</v>
      </c>
      <c r="R607">
        <v>19</v>
      </c>
      <c r="T607" t="s">
        <v>168</v>
      </c>
      <c r="U607" t="s">
        <v>169</v>
      </c>
      <c r="V607" t="s">
        <v>196</v>
      </c>
      <c r="W607" t="s">
        <v>197</v>
      </c>
      <c r="Y607">
        <v>8</v>
      </c>
      <c r="Z607" t="s">
        <v>172</v>
      </c>
      <c r="AA607" t="s">
        <v>173</v>
      </c>
      <c r="AB607" t="s">
        <v>170</v>
      </c>
      <c r="AC607" t="s">
        <v>232</v>
      </c>
      <c r="AD607">
        <v>10</v>
      </c>
      <c r="AG607" t="s">
        <v>216</v>
      </c>
      <c r="AH607" t="s">
        <v>217</v>
      </c>
      <c r="AI607" t="s">
        <v>178</v>
      </c>
      <c r="AJ607" t="s">
        <v>179</v>
      </c>
      <c r="AK607" t="s">
        <v>664</v>
      </c>
      <c r="AL607" t="s">
        <v>665</v>
      </c>
      <c r="AS607">
        <v>3300</v>
      </c>
      <c r="AT607">
        <v>3300</v>
      </c>
      <c r="BN607" s="114" t="s">
        <v>198</v>
      </c>
      <c r="BO607">
        <v>2</v>
      </c>
      <c r="BP607">
        <v>2</v>
      </c>
      <c r="BQ607">
        <v>33</v>
      </c>
      <c r="BR607" t="s">
        <v>1062</v>
      </c>
      <c r="BT607" t="s">
        <v>183</v>
      </c>
      <c r="BU607" s="115">
        <v>45870</v>
      </c>
      <c r="BV607">
        <v>37267</v>
      </c>
      <c r="BW607" s="116"/>
      <c r="BY607" t="s">
        <v>173</v>
      </c>
      <c r="CB607" t="s">
        <v>173</v>
      </c>
      <c r="CC607" t="s">
        <v>173</v>
      </c>
      <c r="CD607" t="s">
        <v>1128</v>
      </c>
      <c r="CE607" t="s">
        <v>173</v>
      </c>
      <c r="CG607" t="s">
        <v>172</v>
      </c>
      <c r="CH607" t="s">
        <v>1006</v>
      </c>
      <c r="CI607" t="s">
        <v>172</v>
      </c>
      <c r="CJ607" t="s">
        <v>291</v>
      </c>
      <c r="DJ607" t="s">
        <v>201</v>
      </c>
      <c r="DK607" t="s">
        <v>202</v>
      </c>
      <c r="DN607" t="s">
        <v>173</v>
      </c>
      <c r="DO607" t="s">
        <v>188</v>
      </c>
      <c r="DP607" t="s">
        <v>172</v>
      </c>
      <c r="DQ607" t="s">
        <v>204</v>
      </c>
      <c r="EA607" s="117"/>
      <c r="EB607">
        <v>4</v>
      </c>
      <c r="EC607">
        <v>4</v>
      </c>
      <c r="EE607" t="s">
        <v>1007</v>
      </c>
      <c r="EF607">
        <v>4</v>
      </c>
      <c r="EV607">
        <v>8000</v>
      </c>
      <c r="EW607">
        <v>524</v>
      </c>
      <c r="EX607">
        <v>386</v>
      </c>
      <c r="EY607">
        <v>469</v>
      </c>
    </row>
    <row r="608" spans="1:155" x14ac:dyDescent="0.35">
      <c r="A608">
        <v>2026</v>
      </c>
      <c r="B608" t="s">
        <v>286</v>
      </c>
      <c r="C608" s="112" t="s">
        <v>286</v>
      </c>
      <c r="D608" t="s">
        <v>1370</v>
      </c>
      <c r="E608" t="s">
        <v>288</v>
      </c>
      <c r="F608">
        <v>470</v>
      </c>
      <c r="G608" s="113">
        <v>4</v>
      </c>
      <c r="H608">
        <v>8</v>
      </c>
      <c r="I608" t="s">
        <v>195</v>
      </c>
      <c r="J608">
        <v>15</v>
      </c>
      <c r="K608">
        <v>22</v>
      </c>
      <c r="L608">
        <v>18</v>
      </c>
      <c r="M608">
        <v>19.399999999999999</v>
      </c>
      <c r="N608">
        <v>30.2</v>
      </c>
      <c r="O608">
        <v>23.120799999999999</v>
      </c>
      <c r="P608">
        <v>15</v>
      </c>
      <c r="Q608">
        <v>21.713100000000001</v>
      </c>
      <c r="R608">
        <v>17.900500000000001</v>
      </c>
      <c r="T608" t="s">
        <v>168</v>
      </c>
      <c r="U608" t="s">
        <v>169</v>
      </c>
      <c r="V608" t="s">
        <v>196</v>
      </c>
      <c r="W608" t="s">
        <v>197</v>
      </c>
      <c r="Y608">
        <v>8</v>
      </c>
      <c r="Z608" t="s">
        <v>172</v>
      </c>
      <c r="AA608" t="s">
        <v>173</v>
      </c>
      <c r="AB608" t="s">
        <v>170</v>
      </c>
      <c r="AC608" t="s">
        <v>232</v>
      </c>
      <c r="AD608">
        <v>10</v>
      </c>
      <c r="AG608" t="s">
        <v>216</v>
      </c>
      <c r="AH608" t="s">
        <v>217</v>
      </c>
      <c r="AI608" t="s">
        <v>178</v>
      </c>
      <c r="AJ608" t="s">
        <v>179</v>
      </c>
      <c r="AK608" t="s">
        <v>664</v>
      </c>
      <c r="AL608" t="s">
        <v>665</v>
      </c>
      <c r="AS608">
        <v>3450</v>
      </c>
      <c r="AT608">
        <v>3450</v>
      </c>
      <c r="BN608" s="114" t="s">
        <v>198</v>
      </c>
      <c r="BO608">
        <v>2</v>
      </c>
      <c r="BP608">
        <v>2</v>
      </c>
      <c r="BQ608">
        <v>33</v>
      </c>
      <c r="BR608" t="s">
        <v>1062</v>
      </c>
      <c r="BT608" t="s">
        <v>183</v>
      </c>
      <c r="BU608" s="115">
        <v>45915</v>
      </c>
      <c r="BV608">
        <v>37575</v>
      </c>
      <c r="BW608" s="116"/>
      <c r="BY608" t="s">
        <v>173</v>
      </c>
      <c r="CB608" t="s">
        <v>173</v>
      </c>
      <c r="CC608" t="s">
        <v>173</v>
      </c>
      <c r="CD608" t="s">
        <v>1371</v>
      </c>
      <c r="CE608" t="s">
        <v>173</v>
      </c>
      <c r="CG608" t="s">
        <v>172</v>
      </c>
      <c r="CH608" t="s">
        <v>1006</v>
      </c>
      <c r="CI608" t="s">
        <v>172</v>
      </c>
      <c r="CJ608" t="s">
        <v>291</v>
      </c>
      <c r="DJ608" t="s">
        <v>201</v>
      </c>
      <c r="DK608" t="s">
        <v>202</v>
      </c>
      <c r="DN608" t="s">
        <v>173</v>
      </c>
      <c r="DO608" t="s">
        <v>188</v>
      </c>
      <c r="DP608" t="s">
        <v>172</v>
      </c>
      <c r="DQ608" t="s">
        <v>204</v>
      </c>
      <c r="EA608" s="117"/>
      <c r="EB608">
        <v>3</v>
      </c>
      <c r="EC608">
        <v>3</v>
      </c>
      <c r="EE608" t="s">
        <v>1372</v>
      </c>
      <c r="EF608">
        <v>4</v>
      </c>
      <c r="EV608">
        <v>8750</v>
      </c>
      <c r="EW608">
        <v>595</v>
      </c>
      <c r="EX608">
        <v>410</v>
      </c>
      <c r="EY608">
        <v>512</v>
      </c>
    </row>
    <row r="609" spans="1:155" x14ac:dyDescent="0.35">
      <c r="A609">
        <v>2026</v>
      </c>
      <c r="B609" t="s">
        <v>286</v>
      </c>
      <c r="C609" s="112" t="s">
        <v>286</v>
      </c>
      <c r="D609" t="s">
        <v>1373</v>
      </c>
      <c r="E609" t="s">
        <v>288</v>
      </c>
      <c r="F609">
        <v>471</v>
      </c>
      <c r="G609" s="113">
        <v>4</v>
      </c>
      <c r="H609">
        <v>8</v>
      </c>
      <c r="I609" t="s">
        <v>195</v>
      </c>
      <c r="J609">
        <v>16</v>
      </c>
      <c r="K609">
        <v>22</v>
      </c>
      <c r="L609">
        <v>18</v>
      </c>
      <c r="M609">
        <v>19.899999999999999</v>
      </c>
      <c r="N609">
        <v>31.6</v>
      </c>
      <c r="O609">
        <v>23.878499999999999</v>
      </c>
      <c r="P609">
        <v>16.0289</v>
      </c>
      <c r="Q609">
        <v>22</v>
      </c>
      <c r="R609">
        <v>18.4559</v>
      </c>
      <c r="T609" t="s">
        <v>168</v>
      </c>
      <c r="U609" t="s">
        <v>169</v>
      </c>
      <c r="V609" t="s">
        <v>196</v>
      </c>
      <c r="W609" t="s">
        <v>197</v>
      </c>
      <c r="Y609">
        <v>8</v>
      </c>
      <c r="Z609" t="s">
        <v>172</v>
      </c>
      <c r="AA609" t="s">
        <v>173</v>
      </c>
      <c r="AB609" t="s">
        <v>170</v>
      </c>
      <c r="AC609" t="s">
        <v>232</v>
      </c>
      <c r="AD609">
        <v>10</v>
      </c>
      <c r="AG609" t="s">
        <v>216</v>
      </c>
      <c r="AH609" t="s">
        <v>217</v>
      </c>
      <c r="AI609" t="s">
        <v>178</v>
      </c>
      <c r="AJ609" t="s">
        <v>179</v>
      </c>
      <c r="AK609" t="s">
        <v>664</v>
      </c>
      <c r="AL609" t="s">
        <v>665</v>
      </c>
      <c r="AS609">
        <v>3450</v>
      </c>
      <c r="AT609">
        <v>3450</v>
      </c>
      <c r="BN609" s="114" t="s">
        <v>198</v>
      </c>
      <c r="BO609">
        <v>2</v>
      </c>
      <c r="BP609">
        <v>2</v>
      </c>
      <c r="BQ609">
        <v>33</v>
      </c>
      <c r="BR609" t="s">
        <v>1062</v>
      </c>
      <c r="BT609" t="s">
        <v>183</v>
      </c>
      <c r="BU609" s="115">
        <v>45915</v>
      </c>
      <c r="BV609">
        <v>37576</v>
      </c>
      <c r="BW609" s="116"/>
      <c r="BY609" t="s">
        <v>173</v>
      </c>
      <c r="CB609" t="s">
        <v>173</v>
      </c>
      <c r="CC609" t="s">
        <v>173</v>
      </c>
      <c r="CD609" t="s">
        <v>1371</v>
      </c>
      <c r="CE609" t="s">
        <v>173</v>
      </c>
      <c r="CG609" t="s">
        <v>172</v>
      </c>
      <c r="CH609" t="s">
        <v>1006</v>
      </c>
      <c r="CI609" t="s">
        <v>172</v>
      </c>
      <c r="CJ609" t="s">
        <v>291</v>
      </c>
      <c r="DJ609" t="s">
        <v>201</v>
      </c>
      <c r="DK609" t="s">
        <v>202</v>
      </c>
      <c r="DN609" t="s">
        <v>173</v>
      </c>
      <c r="DO609" t="s">
        <v>188</v>
      </c>
      <c r="DP609" t="s">
        <v>172</v>
      </c>
      <c r="DQ609" t="s">
        <v>204</v>
      </c>
      <c r="EA609" s="117"/>
      <c r="EB609">
        <v>3</v>
      </c>
      <c r="EC609">
        <v>3</v>
      </c>
      <c r="EE609" t="s">
        <v>1372</v>
      </c>
      <c r="EF609">
        <v>4</v>
      </c>
      <c r="EV609">
        <v>8750</v>
      </c>
      <c r="EW609">
        <v>557</v>
      </c>
      <c r="EX609">
        <v>405</v>
      </c>
      <c r="EY609">
        <v>489</v>
      </c>
    </row>
    <row r="610" spans="1:155" x14ac:dyDescent="0.35">
      <c r="A610">
        <v>2026</v>
      </c>
      <c r="B610" t="s">
        <v>286</v>
      </c>
      <c r="C610" s="112" t="s">
        <v>286</v>
      </c>
      <c r="D610" t="s">
        <v>1374</v>
      </c>
      <c r="E610" t="s">
        <v>288</v>
      </c>
      <c r="F610">
        <v>410</v>
      </c>
      <c r="G610" s="113">
        <v>4</v>
      </c>
      <c r="H610">
        <v>8</v>
      </c>
      <c r="I610" t="s">
        <v>195</v>
      </c>
      <c r="J610">
        <v>16</v>
      </c>
      <c r="K610">
        <v>21</v>
      </c>
      <c r="L610">
        <v>18</v>
      </c>
      <c r="M610">
        <v>20.100000000000001</v>
      </c>
      <c r="N610">
        <v>30.6</v>
      </c>
      <c r="O610">
        <v>23.770399999999999</v>
      </c>
      <c r="P610">
        <v>16.179300000000001</v>
      </c>
      <c r="Q610">
        <v>21</v>
      </c>
      <c r="R610">
        <v>18.3598</v>
      </c>
      <c r="T610" t="s">
        <v>168</v>
      </c>
      <c r="U610" t="s">
        <v>169</v>
      </c>
      <c r="V610" t="s">
        <v>196</v>
      </c>
      <c r="W610" t="s">
        <v>197</v>
      </c>
      <c r="Y610">
        <v>8</v>
      </c>
      <c r="Z610" t="s">
        <v>172</v>
      </c>
      <c r="AA610" t="s">
        <v>173</v>
      </c>
      <c r="AB610" t="s">
        <v>170</v>
      </c>
      <c r="AC610" t="s">
        <v>232</v>
      </c>
      <c r="AD610">
        <v>10</v>
      </c>
      <c r="AG610" t="s">
        <v>216</v>
      </c>
      <c r="AH610" t="s">
        <v>217</v>
      </c>
      <c r="AI610" t="s">
        <v>178</v>
      </c>
      <c r="AJ610" t="s">
        <v>179</v>
      </c>
      <c r="AK610" t="s">
        <v>664</v>
      </c>
      <c r="AL610" t="s">
        <v>665</v>
      </c>
      <c r="AS610">
        <v>3450</v>
      </c>
      <c r="AT610">
        <v>3450</v>
      </c>
      <c r="BN610" s="114" t="s">
        <v>198</v>
      </c>
      <c r="BO610">
        <v>2</v>
      </c>
      <c r="BP610">
        <v>2</v>
      </c>
      <c r="BQ610">
        <v>33</v>
      </c>
      <c r="BR610" t="s">
        <v>1062</v>
      </c>
      <c r="BT610" t="s">
        <v>183</v>
      </c>
      <c r="BU610" s="115">
        <v>45915</v>
      </c>
      <c r="BV610">
        <v>37573</v>
      </c>
      <c r="BW610" s="116"/>
      <c r="BY610" t="s">
        <v>173</v>
      </c>
      <c r="CB610" t="s">
        <v>173</v>
      </c>
      <c r="CC610" t="s">
        <v>173</v>
      </c>
      <c r="CD610" t="s">
        <v>1371</v>
      </c>
      <c r="CE610" t="s">
        <v>173</v>
      </c>
      <c r="CG610" t="s">
        <v>172</v>
      </c>
      <c r="CH610" t="s">
        <v>1006</v>
      </c>
      <c r="CI610" t="s">
        <v>172</v>
      </c>
      <c r="CJ610" t="s">
        <v>291</v>
      </c>
      <c r="DJ610" t="s">
        <v>201</v>
      </c>
      <c r="DK610" t="s">
        <v>202</v>
      </c>
      <c r="DN610" t="s">
        <v>173</v>
      </c>
      <c r="DO610" t="s">
        <v>188</v>
      </c>
      <c r="DP610" t="s">
        <v>172</v>
      </c>
      <c r="DQ610" t="s">
        <v>204</v>
      </c>
      <c r="EA610" s="117"/>
      <c r="EB610">
        <v>3</v>
      </c>
      <c r="EC610">
        <v>3</v>
      </c>
      <c r="EE610" t="s">
        <v>1372</v>
      </c>
      <c r="EF610">
        <v>4</v>
      </c>
      <c r="EV610">
        <v>8750</v>
      </c>
      <c r="EW610">
        <v>549</v>
      </c>
      <c r="EX610">
        <v>423</v>
      </c>
      <c r="EY610">
        <v>492</v>
      </c>
    </row>
    <row r="611" spans="1:155" x14ac:dyDescent="0.35">
      <c r="A611">
        <v>2026</v>
      </c>
      <c r="B611" t="s">
        <v>286</v>
      </c>
      <c r="C611" s="112" t="s">
        <v>286</v>
      </c>
      <c r="D611" t="s">
        <v>1375</v>
      </c>
      <c r="E611" t="s">
        <v>288</v>
      </c>
      <c r="F611">
        <v>411</v>
      </c>
      <c r="G611" s="113">
        <v>4</v>
      </c>
      <c r="H611">
        <v>8</v>
      </c>
      <c r="I611" t="s">
        <v>195</v>
      </c>
      <c r="J611">
        <v>16</v>
      </c>
      <c r="K611">
        <v>21</v>
      </c>
      <c r="L611">
        <v>18</v>
      </c>
      <c r="M611">
        <v>20.100000000000001</v>
      </c>
      <c r="N611">
        <v>30.5</v>
      </c>
      <c r="O611">
        <v>23.743200000000002</v>
      </c>
      <c r="P611">
        <v>16.179300000000001</v>
      </c>
      <c r="Q611">
        <v>21</v>
      </c>
      <c r="R611">
        <v>18.338799999999999</v>
      </c>
      <c r="T611" t="s">
        <v>168</v>
      </c>
      <c r="U611" t="s">
        <v>169</v>
      </c>
      <c r="V611" t="s">
        <v>196</v>
      </c>
      <c r="W611" t="s">
        <v>197</v>
      </c>
      <c r="Y611">
        <v>8</v>
      </c>
      <c r="Z611" t="s">
        <v>172</v>
      </c>
      <c r="AA611" t="s">
        <v>173</v>
      </c>
      <c r="AB611" t="s">
        <v>170</v>
      </c>
      <c r="AC611" t="s">
        <v>232</v>
      </c>
      <c r="AD611">
        <v>10</v>
      </c>
      <c r="AG611" t="s">
        <v>216</v>
      </c>
      <c r="AH611" t="s">
        <v>217</v>
      </c>
      <c r="AI611" t="s">
        <v>178</v>
      </c>
      <c r="AJ611" t="s">
        <v>179</v>
      </c>
      <c r="AK611" t="s">
        <v>664</v>
      </c>
      <c r="AL611" t="s">
        <v>665</v>
      </c>
      <c r="AS611">
        <v>3450</v>
      </c>
      <c r="AT611">
        <v>3450</v>
      </c>
      <c r="BN611" s="114" t="s">
        <v>198</v>
      </c>
      <c r="BO611">
        <v>2</v>
      </c>
      <c r="BP611">
        <v>2</v>
      </c>
      <c r="BQ611">
        <v>33</v>
      </c>
      <c r="BR611" t="s">
        <v>1062</v>
      </c>
      <c r="BT611" t="s">
        <v>183</v>
      </c>
      <c r="BU611" s="115">
        <v>45915</v>
      </c>
      <c r="BV611">
        <v>37574</v>
      </c>
      <c r="BW611" s="116"/>
      <c r="BY611" t="s">
        <v>173</v>
      </c>
      <c r="CB611" t="s">
        <v>173</v>
      </c>
      <c r="CC611" t="s">
        <v>173</v>
      </c>
      <c r="CD611" t="s">
        <v>1371</v>
      </c>
      <c r="CE611" t="s">
        <v>173</v>
      </c>
      <c r="CG611" t="s">
        <v>172</v>
      </c>
      <c r="CH611" t="s">
        <v>1006</v>
      </c>
      <c r="CI611" t="s">
        <v>172</v>
      </c>
      <c r="CJ611" t="s">
        <v>291</v>
      </c>
      <c r="DJ611" t="s">
        <v>201</v>
      </c>
      <c r="DK611" t="s">
        <v>202</v>
      </c>
      <c r="DN611" t="s">
        <v>173</v>
      </c>
      <c r="DO611" t="s">
        <v>188</v>
      </c>
      <c r="DP611" t="s">
        <v>172</v>
      </c>
      <c r="DQ611" t="s">
        <v>204</v>
      </c>
      <c r="EA611" s="117"/>
      <c r="EB611">
        <v>3</v>
      </c>
      <c r="EC611">
        <v>3</v>
      </c>
      <c r="EE611" t="s">
        <v>1372</v>
      </c>
      <c r="EF611">
        <v>4</v>
      </c>
      <c r="EV611">
        <v>8750</v>
      </c>
      <c r="EW611">
        <v>549</v>
      </c>
      <c r="EX611">
        <v>423</v>
      </c>
      <c r="EY611">
        <v>492</v>
      </c>
    </row>
    <row r="612" spans="1:155" x14ac:dyDescent="0.35">
      <c r="A612">
        <v>2026</v>
      </c>
      <c r="B612" t="s">
        <v>286</v>
      </c>
      <c r="C612" s="112" t="s">
        <v>286</v>
      </c>
      <c r="D612" t="s">
        <v>1376</v>
      </c>
      <c r="E612" t="s">
        <v>288</v>
      </c>
      <c r="F612">
        <v>442</v>
      </c>
      <c r="G612" s="113">
        <v>4</v>
      </c>
      <c r="H612">
        <v>8</v>
      </c>
      <c r="I612" t="s">
        <v>195</v>
      </c>
      <c r="J612">
        <v>15</v>
      </c>
      <c r="K612">
        <v>20</v>
      </c>
      <c r="L612">
        <v>17</v>
      </c>
      <c r="M612">
        <v>18.8</v>
      </c>
      <c r="N612">
        <v>29</v>
      </c>
      <c r="O612">
        <v>22.335100000000001</v>
      </c>
      <c r="P612">
        <v>15.197900000000001</v>
      </c>
      <c r="Q612">
        <v>20</v>
      </c>
      <c r="R612">
        <v>17.327300000000001</v>
      </c>
      <c r="T612" t="s">
        <v>168</v>
      </c>
      <c r="U612" t="s">
        <v>169</v>
      </c>
      <c r="V612" t="s">
        <v>196</v>
      </c>
      <c r="W612" t="s">
        <v>197</v>
      </c>
      <c r="Y612">
        <v>8</v>
      </c>
      <c r="Z612" t="s">
        <v>172</v>
      </c>
      <c r="AA612" t="s">
        <v>173</v>
      </c>
      <c r="AB612" t="s">
        <v>170</v>
      </c>
      <c r="AC612" t="s">
        <v>232</v>
      </c>
      <c r="AD612">
        <v>10</v>
      </c>
      <c r="AG612" t="s">
        <v>216</v>
      </c>
      <c r="AH612" t="s">
        <v>217</v>
      </c>
      <c r="AI612" t="s">
        <v>178</v>
      </c>
      <c r="AJ612" t="s">
        <v>179</v>
      </c>
      <c r="AK612" t="s">
        <v>664</v>
      </c>
      <c r="AL612" t="s">
        <v>665</v>
      </c>
      <c r="AS612">
        <v>3650</v>
      </c>
      <c r="AT612">
        <v>3650</v>
      </c>
      <c r="BN612" s="114" t="s">
        <v>198</v>
      </c>
      <c r="BO612">
        <v>2</v>
      </c>
      <c r="BP612">
        <v>2</v>
      </c>
      <c r="BQ612">
        <v>33</v>
      </c>
      <c r="BR612" t="s">
        <v>1062</v>
      </c>
      <c r="BT612" t="s">
        <v>183</v>
      </c>
      <c r="BU612" s="115">
        <v>45915</v>
      </c>
      <c r="BV612">
        <v>37572</v>
      </c>
      <c r="BW612" s="116"/>
      <c r="BY612" t="s">
        <v>173</v>
      </c>
      <c r="CB612" t="s">
        <v>173</v>
      </c>
      <c r="CC612" t="s">
        <v>173</v>
      </c>
      <c r="CD612" t="s">
        <v>1377</v>
      </c>
      <c r="CE612" t="s">
        <v>172</v>
      </c>
      <c r="CF612" t="s">
        <v>1378</v>
      </c>
      <c r="CG612" t="s">
        <v>172</v>
      </c>
      <c r="CH612" t="s">
        <v>291</v>
      </c>
      <c r="CI612" t="s">
        <v>172</v>
      </c>
      <c r="CJ612" t="s">
        <v>291</v>
      </c>
      <c r="DJ612" t="s">
        <v>201</v>
      </c>
      <c r="DK612" t="s">
        <v>202</v>
      </c>
      <c r="DN612" t="s">
        <v>173</v>
      </c>
      <c r="DO612" t="s">
        <v>188</v>
      </c>
      <c r="DP612" t="s">
        <v>172</v>
      </c>
      <c r="DQ612" t="s">
        <v>204</v>
      </c>
      <c r="EA612" s="117"/>
      <c r="EB612">
        <v>3</v>
      </c>
      <c r="EC612">
        <v>3</v>
      </c>
      <c r="EE612" t="s">
        <v>1379</v>
      </c>
      <c r="EF612">
        <v>2</v>
      </c>
      <c r="EV612">
        <v>9750</v>
      </c>
      <c r="EW612">
        <v>583</v>
      </c>
      <c r="EX612">
        <v>444</v>
      </c>
      <c r="EY612">
        <v>521</v>
      </c>
    </row>
    <row r="613" spans="1:155" x14ac:dyDescent="0.35">
      <c r="A613">
        <v>2026</v>
      </c>
      <c r="B613" t="s">
        <v>598</v>
      </c>
      <c r="C613" s="112" t="s">
        <v>599</v>
      </c>
      <c r="D613" t="s">
        <v>1130</v>
      </c>
      <c r="E613" t="s">
        <v>601</v>
      </c>
      <c r="F613">
        <v>11</v>
      </c>
      <c r="G613" s="113">
        <v>6.7</v>
      </c>
      <c r="H613">
        <v>12</v>
      </c>
      <c r="I613" t="s">
        <v>195</v>
      </c>
      <c r="J613">
        <v>12</v>
      </c>
      <c r="K613">
        <v>19</v>
      </c>
      <c r="L613">
        <v>14</v>
      </c>
      <c r="M613">
        <v>14.6</v>
      </c>
      <c r="N613">
        <v>26.2</v>
      </c>
      <c r="O613">
        <v>18.232600000000001</v>
      </c>
      <c r="P613">
        <v>11.9689</v>
      </c>
      <c r="Q613">
        <v>19.011600000000001</v>
      </c>
      <c r="R613">
        <v>14.363200000000001</v>
      </c>
      <c r="T613" t="s">
        <v>168</v>
      </c>
      <c r="U613" t="s">
        <v>169</v>
      </c>
      <c r="V613" t="s">
        <v>196</v>
      </c>
      <c r="W613" t="s">
        <v>197</v>
      </c>
      <c r="Y613">
        <v>8</v>
      </c>
      <c r="Z613" t="s">
        <v>172</v>
      </c>
      <c r="AA613" t="s">
        <v>173</v>
      </c>
      <c r="AB613" t="s">
        <v>170</v>
      </c>
      <c r="AC613" t="s">
        <v>232</v>
      </c>
      <c r="AD613">
        <v>10</v>
      </c>
      <c r="AG613" t="s">
        <v>176</v>
      </c>
      <c r="AH613" t="s">
        <v>177</v>
      </c>
      <c r="AI613" t="s">
        <v>178</v>
      </c>
      <c r="AJ613" t="s">
        <v>179</v>
      </c>
      <c r="AK613" t="s">
        <v>664</v>
      </c>
      <c r="AL613" t="s">
        <v>665</v>
      </c>
      <c r="AS613">
        <v>4450</v>
      </c>
      <c r="AT613">
        <v>4450</v>
      </c>
      <c r="BN613" s="114" t="s">
        <v>198</v>
      </c>
      <c r="BO613">
        <v>2</v>
      </c>
      <c r="BP613">
        <v>2</v>
      </c>
      <c r="BQ613">
        <v>33</v>
      </c>
      <c r="BR613" t="s">
        <v>1062</v>
      </c>
      <c r="BT613" t="s">
        <v>183</v>
      </c>
      <c r="BU613" s="115">
        <v>45870</v>
      </c>
      <c r="BV613">
        <v>37146</v>
      </c>
      <c r="BW613" s="116"/>
      <c r="BX613" t="s">
        <v>173</v>
      </c>
      <c r="BY613" t="s">
        <v>173</v>
      </c>
      <c r="CB613" t="s">
        <v>173</v>
      </c>
      <c r="CC613" t="s">
        <v>173</v>
      </c>
      <c r="CD613" t="s">
        <v>602</v>
      </c>
      <c r="CE613" t="s">
        <v>173</v>
      </c>
      <c r="CG613" t="s">
        <v>172</v>
      </c>
      <c r="CH613" t="s">
        <v>199</v>
      </c>
      <c r="CI613" t="s">
        <v>173</v>
      </c>
      <c r="DJ613" t="s">
        <v>201</v>
      </c>
      <c r="DK613" t="s">
        <v>202</v>
      </c>
      <c r="DN613" t="s">
        <v>173</v>
      </c>
      <c r="DO613" t="s">
        <v>266</v>
      </c>
      <c r="DP613" t="s">
        <v>173</v>
      </c>
      <c r="DQ613" t="s">
        <v>189</v>
      </c>
      <c r="DY613">
        <v>18.399999999999999</v>
      </c>
      <c r="EA613" s="117"/>
      <c r="EB613">
        <v>2</v>
      </c>
      <c r="EC613">
        <v>2</v>
      </c>
      <c r="EE613" t="s">
        <v>603</v>
      </c>
      <c r="EF613">
        <v>2</v>
      </c>
      <c r="EV613">
        <v>13750</v>
      </c>
      <c r="EW613">
        <v>732</v>
      </c>
      <c r="EX613">
        <v>459</v>
      </c>
      <c r="EY613">
        <v>609</v>
      </c>
    </row>
    <row r="614" spans="1:155" x14ac:dyDescent="0.35">
      <c r="A614">
        <v>2026</v>
      </c>
      <c r="B614" t="s">
        <v>598</v>
      </c>
      <c r="C614" s="112" t="s">
        <v>599</v>
      </c>
      <c r="D614" t="s">
        <v>1131</v>
      </c>
      <c r="E614" t="s">
        <v>601</v>
      </c>
      <c r="F614">
        <v>10</v>
      </c>
      <c r="G614" s="113">
        <v>6.7</v>
      </c>
      <c r="H614">
        <v>12</v>
      </c>
      <c r="I614" t="s">
        <v>195</v>
      </c>
      <c r="J614">
        <v>12</v>
      </c>
      <c r="K614">
        <v>19</v>
      </c>
      <c r="L614">
        <v>14</v>
      </c>
      <c r="M614">
        <v>14.6</v>
      </c>
      <c r="N614">
        <v>26.2</v>
      </c>
      <c r="O614">
        <v>18.232600000000001</v>
      </c>
      <c r="P614">
        <v>11.9689</v>
      </c>
      <c r="Q614">
        <v>19.011600000000001</v>
      </c>
      <c r="R614">
        <v>14.363200000000001</v>
      </c>
      <c r="T614" t="s">
        <v>168</v>
      </c>
      <c r="U614" t="s">
        <v>169</v>
      </c>
      <c r="V614" t="s">
        <v>196</v>
      </c>
      <c r="W614" t="s">
        <v>197</v>
      </c>
      <c r="Y614">
        <v>8</v>
      </c>
      <c r="Z614" t="s">
        <v>172</v>
      </c>
      <c r="AA614" t="s">
        <v>173</v>
      </c>
      <c r="AB614" t="s">
        <v>170</v>
      </c>
      <c r="AC614" t="s">
        <v>232</v>
      </c>
      <c r="AD614">
        <v>10</v>
      </c>
      <c r="AG614" t="s">
        <v>176</v>
      </c>
      <c r="AH614" t="s">
        <v>177</v>
      </c>
      <c r="AI614" t="s">
        <v>178</v>
      </c>
      <c r="AJ614" t="s">
        <v>179</v>
      </c>
      <c r="AK614" t="s">
        <v>664</v>
      </c>
      <c r="AL614" t="s">
        <v>665</v>
      </c>
      <c r="AS614">
        <v>4450</v>
      </c>
      <c r="AT614">
        <v>4450</v>
      </c>
      <c r="BN614" s="114" t="s">
        <v>198</v>
      </c>
      <c r="BO614">
        <v>2</v>
      </c>
      <c r="BP614">
        <v>2</v>
      </c>
      <c r="BQ614">
        <v>33</v>
      </c>
      <c r="BR614" t="s">
        <v>1062</v>
      </c>
      <c r="BT614" t="s">
        <v>183</v>
      </c>
      <c r="BU614" s="115">
        <v>45870</v>
      </c>
      <c r="BV614">
        <v>37145</v>
      </c>
      <c r="BW614" s="116"/>
      <c r="BX614" t="s">
        <v>173</v>
      </c>
      <c r="BY614" t="s">
        <v>173</v>
      </c>
      <c r="CB614" t="s">
        <v>173</v>
      </c>
      <c r="CC614" t="s">
        <v>173</v>
      </c>
      <c r="CD614" t="s">
        <v>605</v>
      </c>
      <c r="CE614" t="s">
        <v>173</v>
      </c>
      <c r="CG614" t="s">
        <v>172</v>
      </c>
      <c r="CH614" t="s">
        <v>199</v>
      </c>
      <c r="CI614" t="s">
        <v>173</v>
      </c>
      <c r="DJ614" t="s">
        <v>201</v>
      </c>
      <c r="DK614" t="s">
        <v>202</v>
      </c>
      <c r="DN614" t="s">
        <v>173</v>
      </c>
      <c r="DO614" t="s">
        <v>266</v>
      </c>
      <c r="DP614" t="s">
        <v>173</v>
      </c>
      <c r="DQ614" t="s">
        <v>189</v>
      </c>
      <c r="DY614">
        <v>18.399999999999999</v>
      </c>
      <c r="EA614" s="117"/>
      <c r="EB614">
        <v>2</v>
      </c>
      <c r="EC614">
        <v>2</v>
      </c>
      <c r="EE614" t="s">
        <v>603</v>
      </c>
      <c r="EF614">
        <v>2</v>
      </c>
      <c r="EV614">
        <v>13750</v>
      </c>
      <c r="EW614">
        <v>732</v>
      </c>
      <c r="EX614">
        <v>459</v>
      </c>
      <c r="EY614">
        <v>609</v>
      </c>
    </row>
    <row r="615" spans="1:155" x14ac:dyDescent="0.35">
      <c r="A615">
        <v>2026</v>
      </c>
      <c r="B615" t="s">
        <v>242</v>
      </c>
      <c r="C615" s="112" t="s">
        <v>239</v>
      </c>
      <c r="D615" t="s">
        <v>1380</v>
      </c>
      <c r="E615" t="s">
        <v>245</v>
      </c>
      <c r="F615">
        <v>81</v>
      </c>
      <c r="G615" s="113">
        <v>2.4</v>
      </c>
      <c r="H615">
        <v>4</v>
      </c>
      <c r="I615" t="s">
        <v>195</v>
      </c>
      <c r="J615">
        <v>21</v>
      </c>
      <c r="K615">
        <v>27</v>
      </c>
      <c r="L615">
        <v>23</v>
      </c>
      <c r="M615">
        <v>26.6</v>
      </c>
      <c r="N615">
        <v>38.700000000000003</v>
      </c>
      <c r="O615">
        <v>30.955300000000001</v>
      </c>
      <c r="P615">
        <v>20.962700000000002</v>
      </c>
      <c r="Q615">
        <v>27.292100000000001</v>
      </c>
      <c r="R615">
        <v>23.4053</v>
      </c>
      <c r="T615" t="s">
        <v>168</v>
      </c>
      <c r="U615" t="s">
        <v>169</v>
      </c>
      <c r="V615" t="s">
        <v>196</v>
      </c>
      <c r="W615" t="s">
        <v>197</v>
      </c>
      <c r="Y615">
        <v>8</v>
      </c>
      <c r="Z615" t="s">
        <v>172</v>
      </c>
      <c r="AA615" t="s">
        <v>173</v>
      </c>
      <c r="AB615" t="s">
        <v>170</v>
      </c>
      <c r="AC615" t="s">
        <v>232</v>
      </c>
      <c r="AD615">
        <v>15</v>
      </c>
      <c r="AG615" t="s">
        <v>167</v>
      </c>
      <c r="AH615" t="s">
        <v>416</v>
      </c>
      <c r="AI615" t="s">
        <v>178</v>
      </c>
      <c r="AJ615" t="s">
        <v>179</v>
      </c>
      <c r="AK615" t="s">
        <v>664</v>
      </c>
      <c r="AL615" t="s">
        <v>665</v>
      </c>
      <c r="AS615">
        <v>2150</v>
      </c>
      <c r="AT615">
        <v>2150</v>
      </c>
      <c r="BN615" s="114" t="s">
        <v>247</v>
      </c>
      <c r="BO615">
        <v>2</v>
      </c>
      <c r="BP615">
        <v>2</v>
      </c>
      <c r="BQ615">
        <v>33</v>
      </c>
      <c r="BR615" t="s">
        <v>1062</v>
      </c>
      <c r="BT615" t="s">
        <v>183</v>
      </c>
      <c r="BU615" s="115">
        <v>45903</v>
      </c>
      <c r="BV615">
        <v>37018</v>
      </c>
      <c r="BW615" s="116"/>
      <c r="BX615" t="s">
        <v>172</v>
      </c>
      <c r="BY615" t="s">
        <v>173</v>
      </c>
      <c r="CB615" t="s">
        <v>173</v>
      </c>
      <c r="CC615" t="s">
        <v>173</v>
      </c>
      <c r="CD615" t="s">
        <v>1320</v>
      </c>
      <c r="CE615" t="s">
        <v>173</v>
      </c>
      <c r="CG615" t="s">
        <v>172</v>
      </c>
      <c r="CH615" t="s">
        <v>249</v>
      </c>
      <c r="CI615" t="s">
        <v>173</v>
      </c>
      <c r="DJ615" t="s">
        <v>250</v>
      </c>
      <c r="DK615" t="s">
        <v>251</v>
      </c>
      <c r="DN615" t="s">
        <v>173</v>
      </c>
      <c r="DO615" t="s">
        <v>284</v>
      </c>
      <c r="DP615" t="s">
        <v>172</v>
      </c>
      <c r="DQ615" t="s">
        <v>204</v>
      </c>
      <c r="EA615" s="117"/>
      <c r="EB615">
        <v>5</v>
      </c>
      <c r="EC615">
        <v>5</v>
      </c>
      <c r="EE615" t="s">
        <v>975</v>
      </c>
      <c r="EF615">
        <v>6</v>
      </c>
      <c r="EV615">
        <v>2250</v>
      </c>
      <c r="EW615">
        <v>424</v>
      </c>
      <c r="EX615">
        <v>325</v>
      </c>
      <c r="EY615">
        <v>379</v>
      </c>
    </row>
    <row r="616" spans="1:155" x14ac:dyDescent="0.35">
      <c r="A616">
        <v>2026</v>
      </c>
      <c r="B616" t="s">
        <v>242</v>
      </c>
      <c r="C616" s="112" t="s">
        <v>239</v>
      </c>
      <c r="D616" t="s">
        <v>1381</v>
      </c>
      <c r="E616" t="s">
        <v>245</v>
      </c>
      <c r="F616">
        <v>83</v>
      </c>
      <c r="G616" s="113">
        <v>2.4</v>
      </c>
      <c r="H616">
        <v>4</v>
      </c>
      <c r="I616" t="s">
        <v>195</v>
      </c>
      <c r="J616">
        <v>20</v>
      </c>
      <c r="K616">
        <v>26</v>
      </c>
      <c r="L616">
        <v>22</v>
      </c>
      <c r="M616">
        <v>25.7</v>
      </c>
      <c r="N616">
        <v>36.799999999999997</v>
      </c>
      <c r="O616">
        <v>29.7362</v>
      </c>
      <c r="P616">
        <v>20.3124</v>
      </c>
      <c r="Q616">
        <v>26.063600000000001</v>
      </c>
      <c r="R616">
        <v>22</v>
      </c>
      <c r="T616" t="s">
        <v>168</v>
      </c>
      <c r="U616" t="s">
        <v>169</v>
      </c>
      <c r="V616" t="s">
        <v>196</v>
      </c>
      <c r="W616" t="s">
        <v>197</v>
      </c>
      <c r="Y616">
        <v>8</v>
      </c>
      <c r="Z616" t="s">
        <v>172</v>
      </c>
      <c r="AA616" t="s">
        <v>173</v>
      </c>
      <c r="AB616" t="s">
        <v>170</v>
      </c>
      <c r="AC616" t="s">
        <v>232</v>
      </c>
      <c r="AD616">
        <v>15</v>
      </c>
      <c r="AG616" t="s">
        <v>167</v>
      </c>
      <c r="AH616" t="s">
        <v>416</v>
      </c>
      <c r="AI616" t="s">
        <v>178</v>
      </c>
      <c r="AJ616" t="s">
        <v>179</v>
      </c>
      <c r="AK616" t="s">
        <v>664</v>
      </c>
      <c r="AL616" t="s">
        <v>665</v>
      </c>
      <c r="AS616">
        <v>2250</v>
      </c>
      <c r="AT616">
        <v>2250</v>
      </c>
      <c r="BN616" s="114" t="s">
        <v>247</v>
      </c>
      <c r="BO616">
        <v>2</v>
      </c>
      <c r="BP616">
        <v>2</v>
      </c>
      <c r="BQ616">
        <v>33</v>
      </c>
      <c r="BR616" t="s">
        <v>1062</v>
      </c>
      <c r="BT616" t="s">
        <v>183</v>
      </c>
      <c r="BU616" s="115">
        <v>45903</v>
      </c>
      <c r="BV616">
        <v>37020</v>
      </c>
      <c r="BW616" s="116"/>
      <c r="BX616" t="s">
        <v>172</v>
      </c>
      <c r="BY616" t="s">
        <v>173</v>
      </c>
      <c r="CB616" t="s">
        <v>173</v>
      </c>
      <c r="CC616" t="s">
        <v>173</v>
      </c>
      <c r="CD616" t="s">
        <v>1320</v>
      </c>
      <c r="CE616" t="s">
        <v>173</v>
      </c>
      <c r="CG616" t="s">
        <v>172</v>
      </c>
      <c r="CH616" t="s">
        <v>249</v>
      </c>
      <c r="CI616" t="s">
        <v>173</v>
      </c>
      <c r="DJ616" t="s">
        <v>250</v>
      </c>
      <c r="DK616" t="s">
        <v>251</v>
      </c>
      <c r="DN616" t="s">
        <v>173</v>
      </c>
      <c r="DO616" t="s">
        <v>284</v>
      </c>
      <c r="DP616" t="s">
        <v>172</v>
      </c>
      <c r="DQ616" t="s">
        <v>204</v>
      </c>
      <c r="EA616" s="117"/>
      <c r="EB616">
        <v>4</v>
      </c>
      <c r="EC616">
        <v>4</v>
      </c>
      <c r="EE616" t="s">
        <v>975</v>
      </c>
      <c r="EF616">
        <v>6</v>
      </c>
      <c r="EV616">
        <v>2750</v>
      </c>
      <c r="EW616">
        <v>433</v>
      </c>
      <c r="EX616">
        <v>338</v>
      </c>
      <c r="EY616">
        <v>400</v>
      </c>
    </row>
    <row r="617" spans="1:155" x14ac:dyDescent="0.35">
      <c r="A617">
        <v>2026</v>
      </c>
      <c r="B617" t="s">
        <v>242</v>
      </c>
      <c r="C617" s="112" t="s">
        <v>239</v>
      </c>
      <c r="D617" t="s">
        <v>1382</v>
      </c>
      <c r="E617" t="s">
        <v>245</v>
      </c>
      <c r="F617">
        <v>35</v>
      </c>
      <c r="G617" s="113">
        <v>2.5</v>
      </c>
      <c r="H617">
        <v>4</v>
      </c>
      <c r="I617" t="s">
        <v>852</v>
      </c>
      <c r="J617">
        <v>36</v>
      </c>
      <c r="K617">
        <v>32</v>
      </c>
      <c r="L617">
        <v>34</v>
      </c>
      <c r="M617">
        <v>47.981099999999998</v>
      </c>
      <c r="N617">
        <v>46.789099999999998</v>
      </c>
      <c r="O617">
        <v>47.4373</v>
      </c>
      <c r="P617">
        <v>35.611800000000002</v>
      </c>
      <c r="Q617">
        <v>31.762599999999999</v>
      </c>
      <c r="R617">
        <v>33.770200000000003</v>
      </c>
      <c r="U617" t="s">
        <v>215</v>
      </c>
      <c r="V617" t="s">
        <v>497</v>
      </c>
      <c r="W617" t="s">
        <v>498</v>
      </c>
      <c r="Y617">
        <v>6</v>
      </c>
      <c r="Z617" t="s">
        <v>173</v>
      </c>
      <c r="AA617" t="s">
        <v>173</v>
      </c>
      <c r="AB617" t="s">
        <v>170</v>
      </c>
      <c r="AC617" t="s">
        <v>232</v>
      </c>
      <c r="AD617">
        <v>15</v>
      </c>
      <c r="AG617" t="s">
        <v>167</v>
      </c>
      <c r="AH617" t="s">
        <v>416</v>
      </c>
      <c r="AI617" t="s">
        <v>178</v>
      </c>
      <c r="AJ617" t="s">
        <v>179</v>
      </c>
      <c r="AK617" t="s">
        <v>664</v>
      </c>
      <c r="AL617" t="s">
        <v>665</v>
      </c>
      <c r="AS617">
        <v>1450</v>
      </c>
      <c r="AT617">
        <v>1450</v>
      </c>
      <c r="BN617" s="114" t="s">
        <v>505</v>
      </c>
      <c r="BO617">
        <v>2</v>
      </c>
      <c r="BP617">
        <v>2</v>
      </c>
      <c r="BQ617">
        <v>33</v>
      </c>
      <c r="BR617" t="s">
        <v>1062</v>
      </c>
      <c r="BT617" t="s">
        <v>218</v>
      </c>
      <c r="BU617" s="115">
        <v>45903</v>
      </c>
      <c r="BV617">
        <v>37017</v>
      </c>
      <c r="BW617" s="116"/>
      <c r="BX617" t="s">
        <v>173</v>
      </c>
      <c r="BY617" t="s">
        <v>173</v>
      </c>
      <c r="CB617" t="s">
        <v>173</v>
      </c>
      <c r="CC617" t="s">
        <v>173</v>
      </c>
      <c r="CD617" t="s">
        <v>1290</v>
      </c>
      <c r="CE617" t="s">
        <v>173</v>
      </c>
      <c r="CG617" t="s">
        <v>172</v>
      </c>
      <c r="CH617" t="s">
        <v>249</v>
      </c>
      <c r="CI617" t="s">
        <v>173</v>
      </c>
      <c r="CK617" t="s">
        <v>259</v>
      </c>
      <c r="CM617">
        <v>1</v>
      </c>
      <c r="CN617" t="s">
        <v>260</v>
      </c>
      <c r="CP617">
        <v>259</v>
      </c>
      <c r="CQ617">
        <v>4.3</v>
      </c>
      <c r="CR617">
        <v>35</v>
      </c>
      <c r="CS617" t="s">
        <v>261</v>
      </c>
      <c r="CV617" t="s">
        <v>262</v>
      </c>
      <c r="CX617" t="s">
        <v>263</v>
      </c>
      <c r="CY617" t="s">
        <v>173</v>
      </c>
      <c r="DC617" t="s">
        <v>854</v>
      </c>
      <c r="DD617">
        <v>2</v>
      </c>
      <c r="DE617" t="s">
        <v>307</v>
      </c>
      <c r="DF617" t="s">
        <v>855</v>
      </c>
      <c r="DG617" t="s">
        <v>1258</v>
      </c>
      <c r="DJ617" t="s">
        <v>250</v>
      </c>
      <c r="DK617" t="s">
        <v>251</v>
      </c>
      <c r="DL617" t="s">
        <v>173</v>
      </c>
      <c r="DM617" t="s">
        <v>173</v>
      </c>
      <c r="DN617" t="s">
        <v>173</v>
      </c>
      <c r="DO617" t="s">
        <v>856</v>
      </c>
      <c r="DP617" t="s">
        <v>172</v>
      </c>
      <c r="DQ617" t="s">
        <v>204</v>
      </c>
      <c r="DR617" t="s">
        <v>509</v>
      </c>
      <c r="EA617" s="117"/>
      <c r="EB617">
        <v>6</v>
      </c>
      <c r="EC617">
        <v>6</v>
      </c>
      <c r="EE617" t="s">
        <v>857</v>
      </c>
      <c r="EF617">
        <v>6</v>
      </c>
      <c r="EU617">
        <v>1250</v>
      </c>
      <c r="EW617">
        <v>246</v>
      </c>
      <c r="EX617">
        <v>276</v>
      </c>
      <c r="EY617">
        <v>260</v>
      </c>
    </row>
    <row r="618" spans="1:155" x14ac:dyDescent="0.35">
      <c r="A618">
        <v>2026</v>
      </c>
      <c r="B618" t="s">
        <v>242</v>
      </c>
      <c r="C618" s="112" t="s">
        <v>239</v>
      </c>
      <c r="D618" t="s">
        <v>1382</v>
      </c>
      <c r="E618" t="s">
        <v>245</v>
      </c>
      <c r="F618">
        <v>78</v>
      </c>
      <c r="G618" s="113">
        <v>2.4</v>
      </c>
      <c r="H618">
        <v>4</v>
      </c>
      <c r="I618" t="s">
        <v>415</v>
      </c>
      <c r="J618">
        <v>26</v>
      </c>
      <c r="K618">
        <v>27</v>
      </c>
      <c r="L618">
        <v>27</v>
      </c>
      <c r="M618">
        <v>34.1</v>
      </c>
      <c r="N618">
        <v>38.700000000000003</v>
      </c>
      <c r="O618">
        <v>36.027000000000001</v>
      </c>
      <c r="P618">
        <v>26.238800000000001</v>
      </c>
      <c r="Q618">
        <v>27.292100000000001</v>
      </c>
      <c r="R618">
        <v>26.702500000000001</v>
      </c>
      <c r="T618" t="s">
        <v>168</v>
      </c>
      <c r="U618" t="s">
        <v>169</v>
      </c>
      <c r="V618" t="s">
        <v>196</v>
      </c>
      <c r="W618" t="s">
        <v>197</v>
      </c>
      <c r="Y618">
        <v>6</v>
      </c>
      <c r="Z618" t="s">
        <v>173</v>
      </c>
      <c r="AA618" t="s">
        <v>173</v>
      </c>
      <c r="AB618" t="s">
        <v>170</v>
      </c>
      <c r="AC618" t="s">
        <v>232</v>
      </c>
      <c r="AD618">
        <v>15</v>
      </c>
      <c r="AG618" t="s">
        <v>167</v>
      </c>
      <c r="AH618" t="s">
        <v>416</v>
      </c>
      <c r="AI618" t="s">
        <v>178</v>
      </c>
      <c r="AJ618" t="s">
        <v>179</v>
      </c>
      <c r="AK618" t="s">
        <v>664</v>
      </c>
      <c r="AL618" t="s">
        <v>665</v>
      </c>
      <c r="AS618">
        <v>1850</v>
      </c>
      <c r="AT618">
        <v>1850</v>
      </c>
      <c r="BN618" s="114" t="s">
        <v>505</v>
      </c>
      <c r="BO618">
        <v>2</v>
      </c>
      <c r="BP618">
        <v>2</v>
      </c>
      <c r="BQ618">
        <v>33</v>
      </c>
      <c r="BR618" t="s">
        <v>1062</v>
      </c>
      <c r="BT618" t="s">
        <v>183</v>
      </c>
      <c r="BU618" s="115">
        <v>45903</v>
      </c>
      <c r="BV618">
        <v>37621</v>
      </c>
      <c r="BW618" s="116"/>
      <c r="BX618" t="s">
        <v>173</v>
      </c>
      <c r="BY618" t="s">
        <v>173</v>
      </c>
      <c r="CB618" t="s">
        <v>173</v>
      </c>
      <c r="CC618" t="s">
        <v>173</v>
      </c>
      <c r="CD618" t="s">
        <v>1383</v>
      </c>
      <c r="CE618" t="s">
        <v>173</v>
      </c>
      <c r="CG618" t="s">
        <v>172</v>
      </c>
      <c r="CH618" t="s">
        <v>249</v>
      </c>
      <c r="CI618" t="s">
        <v>173</v>
      </c>
      <c r="CK618" t="s">
        <v>259</v>
      </c>
      <c r="CM618">
        <v>1</v>
      </c>
      <c r="CN618" t="s">
        <v>515</v>
      </c>
      <c r="CP618">
        <v>288</v>
      </c>
      <c r="CQ618">
        <v>5</v>
      </c>
      <c r="CR618">
        <v>23</v>
      </c>
      <c r="CS618" t="s">
        <v>261</v>
      </c>
      <c r="CV618" t="s">
        <v>262</v>
      </c>
      <c r="CX618" t="s">
        <v>263</v>
      </c>
      <c r="CY618" t="s">
        <v>173</v>
      </c>
      <c r="DD618">
        <v>2</v>
      </c>
      <c r="DE618" t="s">
        <v>307</v>
      </c>
      <c r="DF618" t="s">
        <v>855</v>
      </c>
      <c r="DG618" t="s">
        <v>1384</v>
      </c>
      <c r="DJ618" t="s">
        <v>250</v>
      </c>
      <c r="DK618" t="s">
        <v>251</v>
      </c>
      <c r="DL618" t="s">
        <v>173</v>
      </c>
      <c r="DM618" t="s">
        <v>173</v>
      </c>
      <c r="DN618" t="s">
        <v>173</v>
      </c>
      <c r="DO618" t="s">
        <v>284</v>
      </c>
      <c r="DP618" t="s">
        <v>172</v>
      </c>
      <c r="DQ618" t="s">
        <v>204</v>
      </c>
      <c r="DR618" t="s">
        <v>509</v>
      </c>
      <c r="EA618" s="117"/>
      <c r="EB618">
        <v>5</v>
      </c>
      <c r="EC618">
        <v>5</v>
      </c>
      <c r="EE618" t="s">
        <v>1294</v>
      </c>
      <c r="EF618">
        <v>6</v>
      </c>
      <c r="EV618">
        <v>750</v>
      </c>
      <c r="EW618">
        <v>338</v>
      </c>
      <c r="EX618">
        <v>325</v>
      </c>
      <c r="EY618">
        <v>332</v>
      </c>
    </row>
    <row r="619" spans="1:155" x14ac:dyDescent="0.35">
      <c r="A619">
        <v>2026</v>
      </c>
      <c r="B619" t="s">
        <v>242</v>
      </c>
      <c r="C619" s="112" t="s">
        <v>239</v>
      </c>
      <c r="D619" t="s">
        <v>1385</v>
      </c>
      <c r="E619" t="s">
        <v>245</v>
      </c>
      <c r="F619">
        <v>76</v>
      </c>
      <c r="G619" s="113">
        <v>2.4</v>
      </c>
      <c r="H619">
        <v>4</v>
      </c>
      <c r="I619" t="s">
        <v>195</v>
      </c>
      <c r="J619">
        <v>22</v>
      </c>
      <c r="K619">
        <v>25</v>
      </c>
      <c r="L619">
        <v>23</v>
      </c>
      <c r="M619">
        <v>28.295400000000001</v>
      </c>
      <c r="N619">
        <v>34.962299999999999</v>
      </c>
      <c r="O619">
        <v>30.9513</v>
      </c>
      <c r="P619">
        <v>22.177600000000002</v>
      </c>
      <c r="Q619">
        <v>24.865400000000001</v>
      </c>
      <c r="R619">
        <v>23.311499999999999</v>
      </c>
      <c r="T619" t="s">
        <v>168</v>
      </c>
      <c r="U619" t="s">
        <v>169</v>
      </c>
      <c r="V619" t="s">
        <v>196</v>
      </c>
      <c r="W619" t="s">
        <v>197</v>
      </c>
      <c r="Y619">
        <v>8</v>
      </c>
      <c r="Z619" t="s">
        <v>172</v>
      </c>
      <c r="AA619" t="s">
        <v>173</v>
      </c>
      <c r="AB619">
        <v>4</v>
      </c>
      <c r="AC619" t="s">
        <v>423</v>
      </c>
      <c r="AD619">
        <v>15</v>
      </c>
      <c r="AG619" t="s">
        <v>216</v>
      </c>
      <c r="AH619" t="s">
        <v>217</v>
      </c>
      <c r="AI619" t="s">
        <v>178</v>
      </c>
      <c r="AJ619" t="s">
        <v>179</v>
      </c>
      <c r="AK619" t="s">
        <v>664</v>
      </c>
      <c r="AL619" t="s">
        <v>665</v>
      </c>
      <c r="AS619">
        <v>2700</v>
      </c>
      <c r="AT619">
        <v>2700</v>
      </c>
      <c r="BN619" s="114" t="s">
        <v>505</v>
      </c>
      <c r="BO619">
        <v>2</v>
      </c>
      <c r="BP619">
        <v>2</v>
      </c>
      <c r="BQ619">
        <v>33</v>
      </c>
      <c r="BR619" t="s">
        <v>1062</v>
      </c>
      <c r="BT619" t="s">
        <v>183</v>
      </c>
      <c r="BU619" s="115">
        <v>45917</v>
      </c>
      <c r="BV619">
        <v>37512</v>
      </c>
      <c r="BW619" s="116"/>
      <c r="BX619" t="s">
        <v>172</v>
      </c>
      <c r="BY619" t="s">
        <v>173</v>
      </c>
      <c r="CB619" t="s">
        <v>173</v>
      </c>
      <c r="CC619" t="s">
        <v>173</v>
      </c>
      <c r="CE619" t="s">
        <v>173</v>
      </c>
      <c r="CG619" t="s">
        <v>172</v>
      </c>
      <c r="CH619" t="s">
        <v>249</v>
      </c>
      <c r="CI619" t="s">
        <v>173</v>
      </c>
      <c r="CK619" t="s">
        <v>259</v>
      </c>
      <c r="CM619">
        <v>1</v>
      </c>
      <c r="CN619" t="s">
        <v>515</v>
      </c>
      <c r="CP619">
        <v>288</v>
      </c>
      <c r="CQ619">
        <v>6.5</v>
      </c>
      <c r="CR619">
        <v>33</v>
      </c>
      <c r="CS619" t="s">
        <v>261</v>
      </c>
      <c r="CV619" t="s">
        <v>262</v>
      </c>
      <c r="CX619" t="s">
        <v>263</v>
      </c>
      <c r="CY619" t="s">
        <v>173</v>
      </c>
      <c r="DD619">
        <v>1</v>
      </c>
      <c r="DE619" t="s">
        <v>307</v>
      </c>
      <c r="DF619" t="s">
        <v>507</v>
      </c>
      <c r="DG619">
        <v>36</v>
      </c>
      <c r="DJ619" t="s">
        <v>250</v>
      </c>
      <c r="DK619" t="s">
        <v>251</v>
      </c>
      <c r="DL619" t="s">
        <v>173</v>
      </c>
      <c r="DM619" t="s">
        <v>173</v>
      </c>
      <c r="DN619" t="s">
        <v>173</v>
      </c>
      <c r="DO619" t="s">
        <v>284</v>
      </c>
      <c r="DP619" t="s">
        <v>172</v>
      </c>
      <c r="DQ619" t="s">
        <v>204</v>
      </c>
      <c r="DR619" t="s">
        <v>509</v>
      </c>
      <c r="EA619" s="117"/>
      <c r="EB619">
        <v>5</v>
      </c>
      <c r="EC619">
        <v>5</v>
      </c>
      <c r="EE619" t="s">
        <v>1386</v>
      </c>
      <c r="EF619">
        <v>5</v>
      </c>
      <c r="EV619">
        <v>5000</v>
      </c>
      <c r="EW619">
        <v>398</v>
      </c>
      <c r="EX619">
        <v>355</v>
      </c>
      <c r="EY619">
        <v>379</v>
      </c>
    </row>
    <row r="620" spans="1:155" x14ac:dyDescent="0.35">
      <c r="A620">
        <v>2026</v>
      </c>
      <c r="B620" t="s">
        <v>242</v>
      </c>
      <c r="C620" s="112" t="s">
        <v>239</v>
      </c>
      <c r="D620" t="s">
        <v>1132</v>
      </c>
      <c r="E620" t="s">
        <v>245</v>
      </c>
      <c r="F620">
        <v>22</v>
      </c>
      <c r="G620" s="113">
        <v>3.4</v>
      </c>
      <c r="H620">
        <v>6</v>
      </c>
      <c r="I620" t="s">
        <v>246</v>
      </c>
      <c r="J620">
        <v>19</v>
      </c>
      <c r="K620">
        <v>22</v>
      </c>
      <c r="L620">
        <v>20</v>
      </c>
      <c r="M620">
        <v>23.510200000000001</v>
      </c>
      <c r="N620">
        <v>31.1526</v>
      </c>
      <c r="O620">
        <v>26.427700000000002</v>
      </c>
      <c r="P620">
        <v>18.714099999999998</v>
      </c>
      <c r="Q620">
        <v>22.3491</v>
      </c>
      <c r="R620">
        <v>20.192</v>
      </c>
      <c r="T620" t="s">
        <v>168</v>
      </c>
      <c r="U620" t="s">
        <v>169</v>
      </c>
      <c r="V620" t="s">
        <v>196</v>
      </c>
      <c r="W620" t="s">
        <v>197</v>
      </c>
      <c r="Y620">
        <v>10</v>
      </c>
      <c r="Z620" t="s">
        <v>172</v>
      </c>
      <c r="AA620" t="s">
        <v>173</v>
      </c>
      <c r="AB620" t="s">
        <v>769</v>
      </c>
      <c r="AC620" t="s">
        <v>770</v>
      </c>
      <c r="AD620">
        <v>15</v>
      </c>
      <c r="AG620" t="s">
        <v>167</v>
      </c>
      <c r="AH620" t="s">
        <v>416</v>
      </c>
      <c r="AI620" t="s">
        <v>178</v>
      </c>
      <c r="AJ620" t="s">
        <v>179</v>
      </c>
      <c r="AK620" t="s">
        <v>664</v>
      </c>
      <c r="AL620" t="s">
        <v>665</v>
      </c>
      <c r="AS620">
        <v>2500</v>
      </c>
      <c r="AT620">
        <v>2500</v>
      </c>
      <c r="BN620" s="114" t="s">
        <v>505</v>
      </c>
      <c r="BO620">
        <v>2</v>
      </c>
      <c r="BP620">
        <v>2</v>
      </c>
      <c r="BQ620">
        <v>33</v>
      </c>
      <c r="BR620" t="s">
        <v>1062</v>
      </c>
      <c r="BT620" t="s">
        <v>183</v>
      </c>
      <c r="BU620" s="115">
        <v>45875</v>
      </c>
      <c r="BV620">
        <v>36983</v>
      </c>
      <c r="BW620" s="116"/>
      <c r="BX620" t="s">
        <v>173</v>
      </c>
      <c r="BY620" t="s">
        <v>173</v>
      </c>
      <c r="CB620" t="s">
        <v>173</v>
      </c>
      <c r="CC620" t="s">
        <v>173</v>
      </c>
      <c r="CD620" t="s">
        <v>701</v>
      </c>
      <c r="CE620" t="s">
        <v>173</v>
      </c>
      <c r="CG620" t="s">
        <v>172</v>
      </c>
      <c r="CH620" t="s">
        <v>249</v>
      </c>
      <c r="CI620" t="s">
        <v>173</v>
      </c>
      <c r="CK620" t="s">
        <v>259</v>
      </c>
      <c r="CM620">
        <v>1</v>
      </c>
      <c r="CN620" t="s">
        <v>515</v>
      </c>
      <c r="CP620">
        <v>288</v>
      </c>
      <c r="CQ620">
        <v>6.5</v>
      </c>
      <c r="CR620">
        <v>33</v>
      </c>
      <c r="CS620" t="s">
        <v>261</v>
      </c>
      <c r="CV620" t="s">
        <v>262</v>
      </c>
      <c r="CX620" t="s">
        <v>702</v>
      </c>
      <c r="CY620" t="s">
        <v>173</v>
      </c>
      <c r="DC620" t="s">
        <v>703</v>
      </c>
      <c r="DD620">
        <v>1</v>
      </c>
      <c r="DE620" t="s">
        <v>307</v>
      </c>
      <c r="DF620" t="s">
        <v>507</v>
      </c>
      <c r="DG620">
        <v>36</v>
      </c>
      <c r="DJ620" t="s">
        <v>250</v>
      </c>
      <c r="DK620" t="s">
        <v>251</v>
      </c>
      <c r="DL620" t="s">
        <v>173</v>
      </c>
      <c r="DM620" t="s">
        <v>173</v>
      </c>
      <c r="DN620" t="s">
        <v>173</v>
      </c>
      <c r="DO620" t="s">
        <v>284</v>
      </c>
      <c r="DP620" t="s">
        <v>172</v>
      </c>
      <c r="DQ620" t="s">
        <v>204</v>
      </c>
      <c r="DR620" t="s">
        <v>509</v>
      </c>
      <c r="EA620" s="117"/>
      <c r="EB620">
        <v>4</v>
      </c>
      <c r="EC620">
        <v>4</v>
      </c>
      <c r="EE620" t="s">
        <v>704</v>
      </c>
      <c r="EF620">
        <v>4</v>
      </c>
      <c r="EV620">
        <v>4000</v>
      </c>
      <c r="EW620">
        <v>473</v>
      </c>
      <c r="EX620">
        <v>397</v>
      </c>
      <c r="EY620">
        <v>439</v>
      </c>
    </row>
    <row r="621" spans="1:155" x14ac:dyDescent="0.35">
      <c r="A621">
        <v>2026</v>
      </c>
      <c r="B621" t="s">
        <v>242</v>
      </c>
      <c r="C621" s="112" t="s">
        <v>239</v>
      </c>
      <c r="D621" t="s">
        <v>1132</v>
      </c>
      <c r="E621" t="s">
        <v>245</v>
      </c>
      <c r="F621">
        <v>209</v>
      </c>
      <c r="G621" s="113">
        <v>3.4</v>
      </c>
      <c r="H621">
        <v>6</v>
      </c>
      <c r="I621" t="s">
        <v>246</v>
      </c>
      <c r="J621">
        <v>19</v>
      </c>
      <c r="K621">
        <v>22</v>
      </c>
      <c r="L621">
        <v>20</v>
      </c>
      <c r="M621">
        <v>23.510200000000001</v>
      </c>
      <c r="N621">
        <v>31.1526</v>
      </c>
      <c r="O621">
        <v>26.427700000000002</v>
      </c>
      <c r="P621">
        <v>18.714099999999998</v>
      </c>
      <c r="Q621">
        <v>22.3491</v>
      </c>
      <c r="R621">
        <v>20.192</v>
      </c>
      <c r="T621" t="s">
        <v>168</v>
      </c>
      <c r="U621" t="s">
        <v>169</v>
      </c>
      <c r="V621" t="s">
        <v>196</v>
      </c>
      <c r="W621" t="s">
        <v>197</v>
      </c>
      <c r="Y621">
        <v>10</v>
      </c>
      <c r="Z621" t="s">
        <v>172</v>
      </c>
      <c r="AA621" t="s">
        <v>173</v>
      </c>
      <c r="AB621" t="s">
        <v>769</v>
      </c>
      <c r="AC621" t="s">
        <v>770</v>
      </c>
      <c r="AD621">
        <v>15</v>
      </c>
      <c r="AG621" t="s">
        <v>216</v>
      </c>
      <c r="AH621" t="s">
        <v>217</v>
      </c>
      <c r="AI621" t="s">
        <v>178</v>
      </c>
      <c r="AJ621" t="s">
        <v>179</v>
      </c>
      <c r="AK621" t="s">
        <v>664</v>
      </c>
      <c r="AL621" t="s">
        <v>665</v>
      </c>
      <c r="AS621">
        <v>3100</v>
      </c>
      <c r="AT621">
        <v>3100</v>
      </c>
      <c r="BN621" s="114" t="s">
        <v>505</v>
      </c>
      <c r="BO621">
        <v>2</v>
      </c>
      <c r="BP621">
        <v>2</v>
      </c>
      <c r="BQ621">
        <v>33</v>
      </c>
      <c r="BR621" t="s">
        <v>1062</v>
      </c>
      <c r="BT621" t="s">
        <v>183</v>
      </c>
      <c r="BU621" s="115">
        <v>45875</v>
      </c>
      <c r="BV621">
        <v>37031</v>
      </c>
      <c r="BW621" s="116"/>
      <c r="BX621" t="s">
        <v>173</v>
      </c>
      <c r="BY621" t="s">
        <v>173</v>
      </c>
      <c r="CB621" t="s">
        <v>173</v>
      </c>
      <c r="CC621" t="s">
        <v>173</v>
      </c>
      <c r="CD621" t="s">
        <v>706</v>
      </c>
      <c r="CE621" t="s">
        <v>173</v>
      </c>
      <c r="CG621" t="s">
        <v>172</v>
      </c>
      <c r="CH621" t="s">
        <v>249</v>
      </c>
      <c r="CI621" t="s">
        <v>173</v>
      </c>
      <c r="CK621" t="s">
        <v>259</v>
      </c>
      <c r="CM621">
        <v>1</v>
      </c>
      <c r="CN621" t="s">
        <v>515</v>
      </c>
      <c r="CP621">
        <v>288</v>
      </c>
      <c r="CQ621">
        <v>6.5</v>
      </c>
      <c r="CR621">
        <v>33</v>
      </c>
      <c r="CS621" t="s">
        <v>261</v>
      </c>
      <c r="CV621" t="s">
        <v>262</v>
      </c>
      <c r="CX621" t="s">
        <v>702</v>
      </c>
      <c r="CY621" t="s">
        <v>173</v>
      </c>
      <c r="DC621" t="s">
        <v>703</v>
      </c>
      <c r="DD621">
        <v>1</v>
      </c>
      <c r="DE621" t="s">
        <v>307</v>
      </c>
      <c r="DF621" t="s">
        <v>507</v>
      </c>
      <c r="DG621">
        <v>36</v>
      </c>
      <c r="DJ621" t="s">
        <v>250</v>
      </c>
      <c r="DK621" t="s">
        <v>251</v>
      </c>
      <c r="DL621" t="s">
        <v>173</v>
      </c>
      <c r="DM621" t="s">
        <v>173</v>
      </c>
      <c r="DN621" t="s">
        <v>173</v>
      </c>
      <c r="DO621" t="s">
        <v>284</v>
      </c>
      <c r="DP621" t="s">
        <v>172</v>
      </c>
      <c r="DQ621" t="s">
        <v>204</v>
      </c>
      <c r="DR621" t="s">
        <v>707</v>
      </c>
      <c r="EA621" s="117"/>
      <c r="EB621">
        <v>4</v>
      </c>
      <c r="EC621">
        <v>4</v>
      </c>
      <c r="EE621" t="s">
        <v>704</v>
      </c>
      <c r="EF621">
        <v>4</v>
      </c>
      <c r="EV621">
        <v>7000</v>
      </c>
      <c r="EW621">
        <v>473</v>
      </c>
      <c r="EX621">
        <v>397</v>
      </c>
      <c r="EY621">
        <v>439</v>
      </c>
    </row>
    <row r="622" spans="1:155" x14ac:dyDescent="0.35">
      <c r="A622">
        <v>2026</v>
      </c>
      <c r="B622" t="s">
        <v>524</v>
      </c>
      <c r="C622" s="112" t="s">
        <v>525</v>
      </c>
      <c r="D622" t="s">
        <v>1133</v>
      </c>
      <c r="E622" t="s">
        <v>527</v>
      </c>
      <c r="F622">
        <v>259</v>
      </c>
      <c r="G622" s="113">
        <v>2</v>
      </c>
      <c r="H622">
        <v>4</v>
      </c>
      <c r="I622" t="s">
        <v>195</v>
      </c>
      <c r="J622">
        <v>22</v>
      </c>
      <c r="K622">
        <v>27</v>
      </c>
      <c r="L622">
        <v>24</v>
      </c>
      <c r="M622">
        <v>27.9</v>
      </c>
      <c r="N622">
        <v>38.849899999999998</v>
      </c>
      <c r="O622">
        <v>31.9527</v>
      </c>
      <c r="P622">
        <v>21.895399999999999</v>
      </c>
      <c r="Q622">
        <v>27.3886</v>
      </c>
      <c r="R622">
        <v>24.067599999999999</v>
      </c>
      <c r="T622" t="s">
        <v>168</v>
      </c>
      <c r="U622" t="s">
        <v>169</v>
      </c>
      <c r="V622" t="s">
        <v>196</v>
      </c>
      <c r="W622" t="s">
        <v>197</v>
      </c>
      <c r="Y622">
        <v>8</v>
      </c>
      <c r="Z622" t="s">
        <v>172</v>
      </c>
      <c r="AA622" t="s">
        <v>173</v>
      </c>
      <c r="AB622" t="s">
        <v>170</v>
      </c>
      <c r="AC622" t="s">
        <v>232</v>
      </c>
      <c r="AD622">
        <v>10</v>
      </c>
      <c r="AG622" t="s">
        <v>216</v>
      </c>
      <c r="AH622" t="s">
        <v>217</v>
      </c>
      <c r="AI622" t="s">
        <v>178</v>
      </c>
      <c r="AJ622" t="s">
        <v>179</v>
      </c>
      <c r="AK622" t="s">
        <v>664</v>
      </c>
      <c r="AL622" t="s">
        <v>665</v>
      </c>
      <c r="AS622">
        <v>2600</v>
      </c>
      <c r="AT622">
        <v>2600</v>
      </c>
      <c r="BN622" s="114" t="s">
        <v>256</v>
      </c>
      <c r="BO622">
        <v>2</v>
      </c>
      <c r="BP622">
        <v>2</v>
      </c>
      <c r="BQ622">
        <v>33</v>
      </c>
      <c r="BR622" t="s">
        <v>1062</v>
      </c>
      <c r="BT622" t="s">
        <v>183</v>
      </c>
      <c r="BU622" s="115">
        <v>45800</v>
      </c>
      <c r="BV622">
        <v>36438</v>
      </c>
      <c r="BW622" s="116"/>
      <c r="BY622" t="s">
        <v>173</v>
      </c>
      <c r="CB622" t="s">
        <v>173</v>
      </c>
      <c r="CC622" t="s">
        <v>173</v>
      </c>
      <c r="CD622" t="s">
        <v>660</v>
      </c>
      <c r="CE622" t="s">
        <v>173</v>
      </c>
      <c r="CG622" t="s">
        <v>172</v>
      </c>
      <c r="CH622" t="s">
        <v>529</v>
      </c>
      <c r="CI622" t="s">
        <v>173</v>
      </c>
      <c r="CK622" t="s">
        <v>259</v>
      </c>
      <c r="CM622">
        <v>1</v>
      </c>
      <c r="CN622" t="s">
        <v>260</v>
      </c>
      <c r="CP622">
        <v>44</v>
      </c>
      <c r="CQ622">
        <v>8.4</v>
      </c>
      <c r="CR622">
        <v>56</v>
      </c>
      <c r="CS622" t="s">
        <v>261</v>
      </c>
      <c r="CV622" t="s">
        <v>262</v>
      </c>
      <c r="CX622" t="s">
        <v>263</v>
      </c>
      <c r="CY622" t="s">
        <v>173</v>
      </c>
      <c r="DD622">
        <v>1</v>
      </c>
      <c r="DE622" t="s">
        <v>530</v>
      </c>
      <c r="DG622">
        <v>10</v>
      </c>
      <c r="DJ622" t="s">
        <v>201</v>
      </c>
      <c r="DK622" t="s">
        <v>202</v>
      </c>
      <c r="DL622" t="s">
        <v>173</v>
      </c>
      <c r="DM622" t="s">
        <v>173</v>
      </c>
      <c r="DN622" t="s">
        <v>173</v>
      </c>
      <c r="DO622" t="s">
        <v>661</v>
      </c>
      <c r="DP622" t="s">
        <v>172</v>
      </c>
      <c r="DQ622" t="s">
        <v>204</v>
      </c>
      <c r="DR622" t="s">
        <v>532</v>
      </c>
      <c r="EA622" s="117"/>
      <c r="EB622">
        <v>5</v>
      </c>
      <c r="EC622">
        <v>5</v>
      </c>
      <c r="EE622" t="s">
        <v>1033</v>
      </c>
      <c r="EF622">
        <v>6</v>
      </c>
      <c r="EV622">
        <v>4500</v>
      </c>
      <c r="EW622">
        <v>405</v>
      </c>
      <c r="EX622">
        <v>325</v>
      </c>
      <c r="EY622">
        <v>369</v>
      </c>
    </row>
    <row r="623" spans="1:155" x14ac:dyDescent="0.35">
      <c r="A623">
        <v>2026</v>
      </c>
      <c r="B623" t="s">
        <v>524</v>
      </c>
      <c r="C623" s="112" t="s">
        <v>525</v>
      </c>
      <c r="D623" t="s">
        <v>1134</v>
      </c>
      <c r="E623" t="s">
        <v>527</v>
      </c>
      <c r="F623">
        <v>243</v>
      </c>
      <c r="G623" s="113">
        <v>2</v>
      </c>
      <c r="H623">
        <v>4</v>
      </c>
      <c r="I623" t="s">
        <v>195</v>
      </c>
      <c r="J623">
        <v>20</v>
      </c>
      <c r="K623">
        <v>26</v>
      </c>
      <c r="L623">
        <v>23</v>
      </c>
      <c r="M623">
        <v>25.9</v>
      </c>
      <c r="N623">
        <v>36.799999999999997</v>
      </c>
      <c r="O623">
        <v>29.883099999999999</v>
      </c>
      <c r="P623">
        <v>20.4572</v>
      </c>
      <c r="Q623">
        <v>26.063600000000001</v>
      </c>
      <c r="R623">
        <v>22.6496</v>
      </c>
      <c r="T623" t="s">
        <v>341</v>
      </c>
      <c r="U623" t="s">
        <v>342</v>
      </c>
      <c r="V623" t="s">
        <v>196</v>
      </c>
      <c r="W623" t="s">
        <v>197</v>
      </c>
      <c r="Y623">
        <v>8</v>
      </c>
      <c r="Z623" t="s">
        <v>172</v>
      </c>
      <c r="AA623" t="s">
        <v>173</v>
      </c>
      <c r="AB623" t="s">
        <v>170</v>
      </c>
      <c r="AC623" t="s">
        <v>232</v>
      </c>
      <c r="AD623">
        <v>10</v>
      </c>
      <c r="AG623" t="s">
        <v>216</v>
      </c>
      <c r="AH623" t="s">
        <v>217</v>
      </c>
      <c r="AI623" t="s">
        <v>178</v>
      </c>
      <c r="AJ623" t="s">
        <v>179</v>
      </c>
      <c r="AK623" t="s">
        <v>664</v>
      </c>
      <c r="AL623" t="s">
        <v>665</v>
      </c>
      <c r="AS623">
        <v>2700</v>
      </c>
      <c r="AT623">
        <v>2700</v>
      </c>
      <c r="BN623" s="114" t="s">
        <v>256</v>
      </c>
      <c r="BO623">
        <v>2</v>
      </c>
      <c r="BP623">
        <v>2</v>
      </c>
      <c r="BQ623">
        <v>33</v>
      </c>
      <c r="BR623" t="s">
        <v>1062</v>
      </c>
      <c r="BT623" t="s">
        <v>183</v>
      </c>
      <c r="BU623" s="115">
        <v>45800</v>
      </c>
      <c r="BV623">
        <v>36337</v>
      </c>
      <c r="BW623" s="116"/>
      <c r="BY623" t="s">
        <v>173</v>
      </c>
      <c r="CB623" t="s">
        <v>173</v>
      </c>
      <c r="CC623" t="s">
        <v>173</v>
      </c>
      <c r="CD623" t="s">
        <v>660</v>
      </c>
      <c r="CE623" t="s">
        <v>173</v>
      </c>
      <c r="CG623" t="s">
        <v>172</v>
      </c>
      <c r="CH623" t="s">
        <v>529</v>
      </c>
      <c r="CI623" t="s">
        <v>173</v>
      </c>
      <c r="CK623" t="s">
        <v>259</v>
      </c>
      <c r="CM623">
        <v>1</v>
      </c>
      <c r="CN623" t="s">
        <v>260</v>
      </c>
      <c r="CP623">
        <v>44</v>
      </c>
      <c r="CQ623">
        <v>8.4</v>
      </c>
      <c r="CR623">
        <v>56</v>
      </c>
      <c r="CS623" t="s">
        <v>261</v>
      </c>
      <c r="CV623" t="s">
        <v>262</v>
      </c>
      <c r="CX623" t="s">
        <v>263</v>
      </c>
      <c r="CY623" t="s">
        <v>173</v>
      </c>
      <c r="DD623">
        <v>1</v>
      </c>
      <c r="DE623" t="s">
        <v>530</v>
      </c>
      <c r="DG623">
        <v>10</v>
      </c>
      <c r="DJ623" t="s">
        <v>201</v>
      </c>
      <c r="DK623" t="s">
        <v>202</v>
      </c>
      <c r="DL623" t="s">
        <v>173</v>
      </c>
      <c r="DM623" t="s">
        <v>173</v>
      </c>
      <c r="DN623" t="s">
        <v>173</v>
      </c>
      <c r="DO623" t="s">
        <v>661</v>
      </c>
      <c r="DP623" t="s">
        <v>172</v>
      </c>
      <c r="DQ623" t="s">
        <v>204</v>
      </c>
      <c r="DR623" t="s">
        <v>532</v>
      </c>
      <c r="EA623" s="117"/>
      <c r="EB623">
        <v>5</v>
      </c>
      <c r="EC623">
        <v>5</v>
      </c>
      <c r="EE623" t="s">
        <v>662</v>
      </c>
      <c r="EF623">
        <v>6</v>
      </c>
      <c r="EV623">
        <v>5000</v>
      </c>
      <c r="EW623">
        <v>435</v>
      </c>
      <c r="EX623">
        <v>342</v>
      </c>
      <c r="EY623">
        <v>393</v>
      </c>
    </row>
  </sheetData>
  <autoFilter ref="A1:FF623"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FI578"/>
  <sheetViews>
    <sheetView zoomScaleNormal="100" workbookViewId="0">
      <pane ySplit="1" topLeftCell="A74" activePane="bottomLeft" state="frozen"/>
      <selection activeCell="AM1" sqref="AM1"/>
      <selection pane="bottomLeft"/>
    </sheetView>
  </sheetViews>
  <sheetFormatPr defaultRowHeight="14.5" x14ac:dyDescent="0.35"/>
  <cols>
    <col min="4" max="4" width="36" customWidth="1"/>
    <col min="46" max="46" width="8.81640625"/>
    <col min="73" max="73" width="15.1796875" customWidth="1"/>
  </cols>
  <sheetData>
    <row r="1" spans="1:165" s="17" customFormat="1" x14ac:dyDescent="0.35">
      <c r="A1" s="1" t="s">
        <v>0</v>
      </c>
      <c r="B1" s="1" t="s">
        <v>1</v>
      </c>
      <c r="C1" s="1" t="s">
        <v>2</v>
      </c>
      <c r="D1" s="1" t="s">
        <v>3</v>
      </c>
      <c r="E1" s="1" t="s">
        <v>4</v>
      </c>
      <c r="F1" s="1" t="s">
        <v>5</v>
      </c>
      <c r="G1" s="1" t="s">
        <v>6</v>
      </c>
      <c r="H1" s="1" t="s">
        <v>7</v>
      </c>
      <c r="I1" s="2" t="s">
        <v>8</v>
      </c>
      <c r="J1" s="3" t="s">
        <v>9</v>
      </c>
      <c r="K1" s="3" t="s">
        <v>10</v>
      </c>
      <c r="L1" s="3" t="s">
        <v>11</v>
      </c>
      <c r="M1" s="3" t="s">
        <v>12</v>
      </c>
      <c r="N1" s="3" t="s">
        <v>13</v>
      </c>
      <c r="O1" s="3" t="s">
        <v>14</v>
      </c>
      <c r="P1" s="3" t="s">
        <v>15</v>
      </c>
      <c r="Q1" s="3" t="s">
        <v>16</v>
      </c>
      <c r="R1" s="3" t="s">
        <v>17</v>
      </c>
      <c r="S1" s="2" t="s">
        <v>18</v>
      </c>
      <c r="T1" s="1" t="s">
        <v>19</v>
      </c>
      <c r="U1" s="1" t="s">
        <v>20</v>
      </c>
      <c r="V1" s="1" t="s">
        <v>21</v>
      </c>
      <c r="W1" s="1" t="s">
        <v>22</v>
      </c>
      <c r="X1" s="1" t="s">
        <v>23</v>
      </c>
      <c r="Y1" s="1" t="s">
        <v>24</v>
      </c>
      <c r="Z1" s="1" t="s">
        <v>25</v>
      </c>
      <c r="AA1" s="1" t="s">
        <v>26</v>
      </c>
      <c r="AB1" s="1" t="s">
        <v>27</v>
      </c>
      <c r="AC1" s="1" t="s">
        <v>28</v>
      </c>
      <c r="AD1" s="1" t="s">
        <v>29</v>
      </c>
      <c r="AE1" s="1" t="s">
        <v>30</v>
      </c>
      <c r="AF1" s="3" t="s">
        <v>31</v>
      </c>
      <c r="AG1" s="3" t="s">
        <v>32</v>
      </c>
      <c r="AH1" s="3" t="s">
        <v>33</v>
      </c>
      <c r="AI1" s="3" t="s">
        <v>34</v>
      </c>
      <c r="AJ1" s="3" t="s">
        <v>35</v>
      </c>
      <c r="AK1" s="1" t="s">
        <v>36</v>
      </c>
      <c r="AL1" s="1" t="s">
        <v>37</v>
      </c>
      <c r="AM1" s="1" t="s">
        <v>38</v>
      </c>
      <c r="AN1" s="1" t="s">
        <v>39</v>
      </c>
      <c r="AO1" s="1" t="s">
        <v>40</v>
      </c>
      <c r="AP1" s="1" t="s">
        <v>41</v>
      </c>
      <c r="AQ1" s="1" t="s">
        <v>42</v>
      </c>
      <c r="AR1" s="1" t="s">
        <v>43</v>
      </c>
      <c r="AS1" s="3" t="s">
        <v>44</v>
      </c>
      <c r="AT1" s="140" t="s">
        <v>45</v>
      </c>
      <c r="AU1" s="4" t="s">
        <v>46</v>
      </c>
      <c r="AV1" s="4" t="s">
        <v>47</v>
      </c>
      <c r="AW1" s="4" t="s">
        <v>48</v>
      </c>
      <c r="AX1" s="4" t="s">
        <v>49</v>
      </c>
      <c r="AY1" s="4" t="s">
        <v>50</v>
      </c>
      <c r="AZ1" s="4" t="s">
        <v>51</v>
      </c>
      <c r="BA1" s="4" t="s">
        <v>52</v>
      </c>
      <c r="BB1" s="4" t="s">
        <v>53</v>
      </c>
      <c r="BC1" s="4" t="s">
        <v>54</v>
      </c>
      <c r="BD1" s="4" t="s">
        <v>55</v>
      </c>
      <c r="BE1" s="4" t="s">
        <v>1789</v>
      </c>
      <c r="BF1" s="4" t="s">
        <v>1790</v>
      </c>
      <c r="BG1" s="4" t="s">
        <v>58</v>
      </c>
      <c r="BH1" s="4" t="s">
        <v>59</v>
      </c>
      <c r="BI1" s="4" t="s">
        <v>60</v>
      </c>
      <c r="BJ1" s="4" t="s">
        <v>61</v>
      </c>
      <c r="BK1" s="4" t="s">
        <v>62</v>
      </c>
      <c r="BL1" s="4" t="s">
        <v>63</v>
      </c>
      <c r="BM1" s="5" t="s">
        <v>64</v>
      </c>
      <c r="BN1" s="6" t="s">
        <v>65</v>
      </c>
      <c r="BO1" s="1" t="s">
        <v>66</v>
      </c>
      <c r="BP1" s="1" t="s">
        <v>67</v>
      </c>
      <c r="BQ1" s="1" t="s">
        <v>68</v>
      </c>
      <c r="BR1" s="1" t="s">
        <v>69</v>
      </c>
      <c r="BS1" s="1" t="s">
        <v>70</v>
      </c>
      <c r="BT1" s="1" t="s">
        <v>71</v>
      </c>
      <c r="BU1" s="1" t="s">
        <v>72</v>
      </c>
      <c r="BV1" s="1" t="s">
        <v>73</v>
      </c>
      <c r="BW1" s="1" t="s">
        <v>1791</v>
      </c>
      <c r="BX1" s="7" t="s">
        <v>75</v>
      </c>
      <c r="BY1" s="1" t="s">
        <v>76</v>
      </c>
      <c r="BZ1" s="8" t="s">
        <v>77</v>
      </c>
      <c r="CA1" s="1" t="s">
        <v>78</v>
      </c>
      <c r="CB1" s="1" t="s">
        <v>79</v>
      </c>
      <c r="CC1" s="1" t="s">
        <v>80</v>
      </c>
      <c r="CD1" s="1" t="s">
        <v>81</v>
      </c>
      <c r="CE1" s="1" t="s">
        <v>82</v>
      </c>
      <c r="CF1" s="8" t="s">
        <v>83</v>
      </c>
      <c r="CG1" s="1" t="s">
        <v>84</v>
      </c>
      <c r="CH1" s="1" t="s">
        <v>85</v>
      </c>
      <c r="CI1" s="1" t="s">
        <v>86</v>
      </c>
      <c r="CJ1" s="1" t="s">
        <v>87</v>
      </c>
      <c r="CK1" s="2" t="s">
        <v>88</v>
      </c>
      <c r="CL1" s="2" t="s">
        <v>89</v>
      </c>
      <c r="CM1" s="2" t="s">
        <v>90</v>
      </c>
      <c r="CN1" s="2" t="s">
        <v>91</v>
      </c>
      <c r="CO1" s="2" t="s">
        <v>92</v>
      </c>
      <c r="CP1" s="2" t="s">
        <v>93</v>
      </c>
      <c r="CQ1" s="2" t="s">
        <v>94</v>
      </c>
      <c r="CR1" s="2" t="s">
        <v>95</v>
      </c>
      <c r="CS1" s="2" t="s">
        <v>96</v>
      </c>
      <c r="CT1" s="2" t="s">
        <v>97</v>
      </c>
      <c r="CU1" s="2" t="s">
        <v>98</v>
      </c>
      <c r="CV1" s="2" t="s">
        <v>99</v>
      </c>
      <c r="CW1" s="2" t="s">
        <v>100</v>
      </c>
      <c r="CX1" s="2" t="s">
        <v>101</v>
      </c>
      <c r="CY1" s="2" t="s">
        <v>102</v>
      </c>
      <c r="CZ1" s="9" t="s">
        <v>103</v>
      </c>
      <c r="DA1" s="9" t="s">
        <v>104</v>
      </c>
      <c r="DB1" s="9" t="s">
        <v>105</v>
      </c>
      <c r="DC1" s="2" t="s">
        <v>106</v>
      </c>
      <c r="DD1" s="2" t="s">
        <v>107</v>
      </c>
      <c r="DE1" s="2" t="s">
        <v>108</v>
      </c>
      <c r="DF1" s="2" t="s">
        <v>109</v>
      </c>
      <c r="DG1" s="2" t="s">
        <v>110</v>
      </c>
      <c r="DH1" s="1" t="s">
        <v>111</v>
      </c>
      <c r="DI1" s="1" t="s">
        <v>112</v>
      </c>
      <c r="DJ1" s="10" t="s">
        <v>113</v>
      </c>
      <c r="DK1" s="10" t="s">
        <v>114</v>
      </c>
      <c r="DL1" s="11" t="s">
        <v>115</v>
      </c>
      <c r="DM1" s="10" t="s">
        <v>116</v>
      </c>
      <c r="DN1" s="10" t="s">
        <v>117</v>
      </c>
      <c r="DO1" s="10" t="s">
        <v>118</v>
      </c>
      <c r="DP1" s="10" t="s">
        <v>119</v>
      </c>
      <c r="DQ1" s="10" t="s">
        <v>120</v>
      </c>
      <c r="DR1" s="10" t="s">
        <v>121</v>
      </c>
      <c r="DS1" s="11" t="s">
        <v>122</v>
      </c>
      <c r="DT1" s="11" t="s">
        <v>123</v>
      </c>
      <c r="DU1" s="11" t="s">
        <v>124</v>
      </c>
      <c r="DV1" s="11" t="s">
        <v>125</v>
      </c>
      <c r="DW1" s="10" t="s">
        <v>126</v>
      </c>
      <c r="DX1" s="10" t="s">
        <v>127</v>
      </c>
      <c r="DY1" s="11" t="s">
        <v>128</v>
      </c>
      <c r="DZ1" s="10" t="s">
        <v>129</v>
      </c>
      <c r="EA1" s="10" t="s">
        <v>1792</v>
      </c>
      <c r="EB1" s="11" t="s">
        <v>131</v>
      </c>
      <c r="EC1" s="11" t="s">
        <v>132</v>
      </c>
      <c r="ED1" s="11" t="s">
        <v>133</v>
      </c>
      <c r="EE1" s="12" t="s">
        <v>134</v>
      </c>
      <c r="EF1" s="12" t="s">
        <v>135</v>
      </c>
      <c r="EG1" s="12" t="s">
        <v>136</v>
      </c>
      <c r="EH1" s="12" t="s">
        <v>137</v>
      </c>
      <c r="EI1" s="13" t="s">
        <v>138</v>
      </c>
      <c r="EJ1" s="12" t="s">
        <v>139</v>
      </c>
      <c r="EK1" s="12" t="s">
        <v>140</v>
      </c>
      <c r="EL1" s="12" t="s">
        <v>141</v>
      </c>
      <c r="EM1" s="13" t="s">
        <v>142</v>
      </c>
      <c r="EN1" s="12" t="s">
        <v>143</v>
      </c>
      <c r="EO1" s="12" t="s">
        <v>144</v>
      </c>
      <c r="EP1" s="12" t="s">
        <v>145</v>
      </c>
      <c r="EQ1" s="13" t="s">
        <v>146</v>
      </c>
      <c r="ER1" s="12" t="s">
        <v>147</v>
      </c>
      <c r="ES1" s="12" t="s">
        <v>148</v>
      </c>
      <c r="ET1" s="12" t="s">
        <v>149</v>
      </c>
      <c r="EU1" s="14" t="s">
        <v>150</v>
      </c>
      <c r="EV1" s="14" t="s">
        <v>151</v>
      </c>
      <c r="EW1" s="15" t="s">
        <v>152</v>
      </c>
      <c r="EX1" s="15" t="s">
        <v>153</v>
      </c>
      <c r="EY1" s="16" t="s">
        <v>154</v>
      </c>
      <c r="EZ1" s="15" t="s">
        <v>155</v>
      </c>
      <c r="FA1" s="16" t="s">
        <v>156</v>
      </c>
      <c r="FB1" s="16" t="s">
        <v>157</v>
      </c>
      <c r="FC1" s="16" t="s">
        <v>158</v>
      </c>
      <c r="FD1" s="16" t="s">
        <v>159</v>
      </c>
      <c r="FE1" s="16" t="s">
        <v>160</v>
      </c>
      <c r="FF1" s="16" t="s">
        <v>161</v>
      </c>
      <c r="FG1" s="58" t="s">
        <v>1387</v>
      </c>
      <c r="FH1" s="59" t="s">
        <v>1388</v>
      </c>
      <c r="FI1" s="60" t="s">
        <v>1389</v>
      </c>
    </row>
    <row r="2" spans="1:165" s="66" customFormat="1" x14ac:dyDescent="0.35">
      <c r="A2" s="19"/>
      <c r="B2" s="19"/>
      <c r="C2" s="19"/>
      <c r="D2" s="19"/>
      <c r="E2" s="19"/>
      <c r="F2" s="128"/>
      <c r="G2" s="19"/>
      <c r="H2" s="19"/>
      <c r="I2" s="19"/>
      <c r="J2" s="19"/>
      <c r="K2" s="19" t="str">
        <f>_xlfn.CONCAT(A3," ",C3," ",D3)</f>
        <v>2026 Audi Q4 45 e-tron</v>
      </c>
      <c r="L2" s="19"/>
      <c r="M2" s="19"/>
      <c r="N2" s="19"/>
      <c r="O2" s="19"/>
      <c r="P2" s="19"/>
      <c r="Q2" s="19"/>
      <c r="R2" s="19"/>
      <c r="S2" s="19"/>
      <c r="T2" s="19"/>
      <c r="U2" s="19"/>
      <c r="V2" s="19"/>
      <c r="W2" s="19"/>
      <c r="X2" s="19"/>
      <c r="Y2" s="19"/>
      <c r="Z2" s="19"/>
      <c r="AA2" s="19"/>
      <c r="AB2" s="19" t="str">
        <f>$K2</f>
        <v>2026 Audi Q4 45 e-tron</v>
      </c>
      <c r="AC2" s="19"/>
      <c r="AD2" s="19"/>
      <c r="AE2" s="19"/>
      <c r="AF2" s="19"/>
      <c r="AG2" s="19"/>
      <c r="AH2" s="19"/>
      <c r="AI2" s="19"/>
      <c r="AJ2" s="19"/>
      <c r="AK2" s="19"/>
      <c r="AL2" s="19"/>
      <c r="AM2" s="19"/>
      <c r="AN2" s="19"/>
      <c r="AO2" s="19"/>
      <c r="AP2" s="19"/>
      <c r="AQ2" s="19"/>
      <c r="AR2" s="19" t="str">
        <f>$K2</f>
        <v>2026 Audi Q4 45 e-tron</v>
      </c>
      <c r="AS2" s="19"/>
      <c r="AT2" s="19"/>
      <c r="AU2" s="19"/>
      <c r="AV2" s="19"/>
      <c r="AW2" s="19"/>
      <c r="AX2" s="19"/>
      <c r="AY2" s="19"/>
      <c r="AZ2" s="19"/>
      <c r="BA2" s="19"/>
      <c r="BB2" s="19"/>
      <c r="BC2" s="19"/>
      <c r="BD2" s="19"/>
      <c r="BE2" s="19"/>
      <c r="BF2" s="19"/>
      <c r="BG2" s="19" t="str">
        <f>$K2</f>
        <v>2026 Audi Q4 45 e-tron</v>
      </c>
      <c r="BH2" s="19"/>
      <c r="BI2" s="19"/>
      <c r="BJ2" s="19"/>
      <c r="BK2" s="19"/>
      <c r="BL2" s="19"/>
      <c r="BM2" s="129"/>
      <c r="BN2" s="19"/>
      <c r="BO2" s="19"/>
      <c r="BP2" s="19"/>
      <c r="BQ2" s="19"/>
      <c r="BR2" s="19"/>
      <c r="BS2" s="19"/>
      <c r="BT2" s="130"/>
      <c r="BU2" s="19"/>
      <c r="BV2" s="19"/>
      <c r="BW2" s="116"/>
      <c r="BX2" s="19"/>
      <c r="BY2" s="19"/>
      <c r="BZ2" s="19"/>
      <c r="CA2" s="19"/>
      <c r="CB2" s="19"/>
      <c r="CC2" s="19"/>
      <c r="CD2" s="19"/>
      <c r="CE2" s="19"/>
      <c r="CF2" s="19"/>
      <c r="CG2" s="19"/>
      <c r="CH2" s="19"/>
      <c r="CI2" s="19"/>
      <c r="CJ2" s="19"/>
      <c r="CK2" s="19"/>
      <c r="CL2" s="19"/>
      <c r="CM2" s="19" t="str">
        <f>$K2</f>
        <v>2026 Audi Q4 45 e-tron</v>
      </c>
      <c r="CN2" s="19"/>
      <c r="CO2" s="19"/>
      <c r="CP2" s="19"/>
      <c r="CQ2" s="19"/>
      <c r="CR2" s="19"/>
      <c r="CS2" s="19"/>
      <c r="CT2" s="19"/>
      <c r="CU2" s="19"/>
      <c r="CV2" s="19"/>
      <c r="CW2" s="19"/>
      <c r="CX2" s="19"/>
      <c r="CY2" s="19"/>
      <c r="CZ2" s="19"/>
      <c r="DA2" s="19"/>
      <c r="DB2" s="19"/>
      <c r="DC2" s="19"/>
      <c r="DD2" s="19" t="str">
        <f>$K2</f>
        <v>2026 Audi Q4 45 e-tron</v>
      </c>
      <c r="DE2" s="19"/>
      <c r="DF2" s="19"/>
      <c r="DG2" s="19"/>
      <c r="DH2" s="19"/>
      <c r="DI2" s="19"/>
      <c r="DJ2" s="19"/>
      <c r="DK2" s="19"/>
      <c r="DL2" s="19"/>
      <c r="DM2" s="19"/>
      <c r="DN2" s="19"/>
      <c r="DO2" s="19"/>
      <c r="DP2" s="19"/>
      <c r="DQ2" s="19"/>
      <c r="DR2" s="19"/>
      <c r="DS2" s="19"/>
      <c r="DT2" s="19"/>
      <c r="DU2" s="19" t="str">
        <f>$K2</f>
        <v>2026 Audi Q4 45 e-tron</v>
      </c>
      <c r="DV2" s="19"/>
      <c r="DW2" s="19"/>
      <c r="DX2" s="19"/>
      <c r="DY2" s="19"/>
      <c r="DZ2" s="19"/>
      <c r="EA2" s="117"/>
      <c r="EB2" s="19"/>
      <c r="EC2" s="19"/>
      <c r="ED2" s="19"/>
      <c r="EE2" s="19"/>
      <c r="EF2" s="19"/>
      <c r="EG2" s="19"/>
      <c r="EH2" s="19"/>
      <c r="EI2" s="19" t="s">
        <v>1802</v>
      </c>
      <c r="EJ2" s="19"/>
      <c r="EK2" s="19"/>
      <c r="EL2" s="19"/>
      <c r="EM2" s="19"/>
      <c r="EN2" s="19"/>
      <c r="EO2" s="19"/>
      <c r="EP2" s="19"/>
      <c r="EQ2" s="19"/>
      <c r="ER2" s="19"/>
      <c r="ES2" s="19"/>
      <c r="ET2" s="19"/>
      <c r="EU2" s="19"/>
      <c r="EV2" s="19"/>
      <c r="EW2" s="19"/>
      <c r="EX2" s="19" t="str">
        <f>$K2</f>
        <v>2026 Audi Q4 45 e-tron</v>
      </c>
      <c r="EY2" s="19"/>
      <c r="EZ2"/>
      <c r="FA2"/>
      <c r="FB2"/>
      <c r="FC2"/>
      <c r="FD2"/>
      <c r="FE2"/>
      <c r="FF2"/>
      <c r="FG2"/>
      <c r="FH2"/>
      <c r="FI2"/>
    </row>
    <row r="3" spans="1:165" s="66" customFormat="1" x14ac:dyDescent="0.35">
      <c r="A3">
        <v>2026</v>
      </c>
      <c r="B3" t="s">
        <v>444</v>
      </c>
      <c r="C3" s="112" t="s">
        <v>458</v>
      </c>
      <c r="D3" t="s">
        <v>1390</v>
      </c>
      <c r="E3" t="s">
        <v>447</v>
      </c>
      <c r="F3">
        <v>361</v>
      </c>
      <c r="G3" s="113">
        <v>0</v>
      </c>
      <c r="H3"/>
      <c r="I3" t="s">
        <v>1391</v>
      </c>
      <c r="J3">
        <v>125</v>
      </c>
      <c r="K3">
        <v>104</v>
      </c>
      <c r="L3">
        <v>115</v>
      </c>
      <c r="M3">
        <v>178.2</v>
      </c>
      <c r="N3">
        <v>149</v>
      </c>
      <c r="O3">
        <v>163.7585</v>
      </c>
      <c r="P3">
        <v>124.74</v>
      </c>
      <c r="Q3">
        <v>104.3</v>
      </c>
      <c r="R3">
        <v>114.631</v>
      </c>
      <c r="S3"/>
      <c r="T3"/>
      <c r="U3"/>
      <c r="V3" t="s">
        <v>170</v>
      </c>
      <c r="W3" t="s">
        <v>171</v>
      </c>
      <c r="X3"/>
      <c r="Y3">
        <v>1</v>
      </c>
      <c r="Z3" t="s">
        <v>173</v>
      </c>
      <c r="AA3" t="s">
        <v>173</v>
      </c>
      <c r="AB3" t="s">
        <v>174</v>
      </c>
      <c r="AC3" t="s">
        <v>175</v>
      </c>
      <c r="AD3"/>
      <c r="AE3"/>
      <c r="AF3">
        <v>288</v>
      </c>
      <c r="AG3" t="s">
        <v>1392</v>
      </c>
      <c r="AH3" t="s">
        <v>1393</v>
      </c>
      <c r="AI3" t="s">
        <v>178</v>
      </c>
      <c r="AJ3" t="s">
        <v>179</v>
      </c>
      <c r="AK3">
        <v>4</v>
      </c>
      <c r="AL3" t="s">
        <v>1394</v>
      </c>
      <c r="AM3"/>
      <c r="AN3"/>
      <c r="AO3">
        <v>96</v>
      </c>
      <c r="AP3">
        <v>26</v>
      </c>
      <c r="AQ3"/>
      <c r="AR3"/>
      <c r="AS3">
        <v>750</v>
      </c>
      <c r="AT3">
        <v>750</v>
      </c>
      <c r="AU3"/>
      <c r="AV3"/>
      <c r="AW3"/>
      <c r="AX3"/>
      <c r="AY3"/>
      <c r="AZ3"/>
      <c r="BA3"/>
      <c r="BB3"/>
      <c r="BC3"/>
      <c r="BD3"/>
      <c r="BE3"/>
      <c r="BF3"/>
      <c r="BG3"/>
      <c r="BH3"/>
      <c r="BI3"/>
      <c r="BJ3"/>
      <c r="BK3"/>
      <c r="BL3"/>
      <c r="BM3"/>
      <c r="BN3" s="114"/>
      <c r="BO3"/>
      <c r="BP3"/>
      <c r="BQ3">
        <v>32</v>
      </c>
      <c r="BR3" t="s">
        <v>1035</v>
      </c>
      <c r="BS3"/>
      <c r="BT3" t="s">
        <v>1395</v>
      </c>
      <c r="BU3" s="115">
        <v>45828</v>
      </c>
      <c r="BV3">
        <v>36798</v>
      </c>
      <c r="BW3" s="116"/>
      <c r="BX3" t="s">
        <v>173</v>
      </c>
      <c r="BY3" t="s">
        <v>173</v>
      </c>
      <c r="BZ3"/>
      <c r="CA3"/>
      <c r="CB3" t="s">
        <v>173</v>
      </c>
      <c r="CC3" t="s">
        <v>173</v>
      </c>
      <c r="CD3"/>
      <c r="CE3"/>
      <c r="CF3"/>
      <c r="CG3"/>
      <c r="CH3"/>
      <c r="CI3"/>
      <c r="CJ3"/>
      <c r="CK3" t="s">
        <v>259</v>
      </c>
      <c r="CL3"/>
      <c r="CM3">
        <v>12</v>
      </c>
      <c r="CN3" t="s">
        <v>260</v>
      </c>
      <c r="CO3"/>
      <c r="CP3">
        <v>350</v>
      </c>
      <c r="CQ3">
        <v>233</v>
      </c>
      <c r="CR3">
        <v>163</v>
      </c>
      <c r="CS3" t="s">
        <v>1396</v>
      </c>
      <c r="CT3"/>
      <c r="CU3"/>
      <c r="CV3" t="s">
        <v>262</v>
      </c>
      <c r="CW3"/>
      <c r="CX3" t="s">
        <v>702</v>
      </c>
      <c r="CY3" t="s">
        <v>172</v>
      </c>
      <c r="CZ3"/>
      <c r="DA3"/>
      <c r="DB3"/>
      <c r="DC3"/>
      <c r="DD3">
        <v>1</v>
      </c>
      <c r="DE3" t="s">
        <v>307</v>
      </c>
      <c r="DF3" t="s">
        <v>1397</v>
      </c>
      <c r="DG3">
        <v>210</v>
      </c>
      <c r="DH3"/>
      <c r="DI3"/>
      <c r="DJ3"/>
      <c r="DK3"/>
      <c r="DL3" t="s">
        <v>173</v>
      </c>
      <c r="DM3" t="s">
        <v>172</v>
      </c>
      <c r="DN3"/>
      <c r="DO3"/>
      <c r="DP3" t="s">
        <v>173</v>
      </c>
      <c r="DQ3" t="s">
        <v>189</v>
      </c>
      <c r="DR3"/>
      <c r="DS3"/>
      <c r="DT3"/>
      <c r="DU3"/>
      <c r="DV3"/>
      <c r="DW3"/>
      <c r="DX3"/>
      <c r="DY3"/>
      <c r="DZ3"/>
      <c r="EA3" s="117"/>
      <c r="EB3">
        <v>9</v>
      </c>
      <c r="EC3">
        <v>10</v>
      </c>
      <c r="ED3"/>
      <c r="EE3" t="s">
        <v>1398</v>
      </c>
      <c r="EF3">
        <v>10</v>
      </c>
      <c r="EG3"/>
      <c r="EH3"/>
      <c r="EI3"/>
      <c r="EJ3"/>
      <c r="EK3"/>
      <c r="EL3"/>
      <c r="EM3"/>
      <c r="EN3"/>
      <c r="EO3"/>
      <c r="EP3"/>
      <c r="EQ3"/>
      <c r="ER3"/>
      <c r="ES3"/>
      <c r="ET3"/>
      <c r="EU3">
        <v>4750</v>
      </c>
      <c r="EV3"/>
      <c r="EW3">
        <v>0</v>
      </c>
      <c r="EX3">
        <v>0</v>
      </c>
      <c r="EY3">
        <v>0</v>
      </c>
      <c r="EZ3"/>
      <c r="FA3">
        <v>12</v>
      </c>
      <c r="FB3"/>
      <c r="FC3"/>
      <c r="FD3"/>
      <c r="FE3"/>
      <c r="FF3"/>
      <c r="FG3" s="94">
        <v>311</v>
      </c>
      <c r="FH3" s="94">
        <v>260</v>
      </c>
      <c r="FI3" s="94">
        <v>288</v>
      </c>
    </row>
    <row r="4" spans="1:165" s="66" customFormat="1" x14ac:dyDescent="0.35">
      <c r="A4">
        <v>2026</v>
      </c>
      <c r="B4" t="s">
        <v>444</v>
      </c>
      <c r="C4" s="112" t="s">
        <v>458</v>
      </c>
      <c r="D4" t="s">
        <v>1390</v>
      </c>
      <c r="E4" t="s">
        <v>447</v>
      </c>
      <c r="F4">
        <v>361</v>
      </c>
      <c r="G4" s="113">
        <v>0</v>
      </c>
      <c r="H4"/>
      <c r="I4" t="s">
        <v>1391</v>
      </c>
      <c r="J4">
        <v>27</v>
      </c>
      <c r="K4">
        <v>32</v>
      </c>
      <c r="L4">
        <v>29</v>
      </c>
      <c r="M4">
        <v>18.913799999999998</v>
      </c>
      <c r="N4">
        <v>22.6188</v>
      </c>
      <c r="O4">
        <v>20.581099999999999</v>
      </c>
      <c r="P4">
        <v>27.020199999999999</v>
      </c>
      <c r="Q4">
        <v>32.315399999999997</v>
      </c>
      <c r="R4">
        <v>29.403099999999998</v>
      </c>
      <c r="S4"/>
      <c r="T4"/>
      <c r="U4"/>
      <c r="V4" t="s">
        <v>170</v>
      </c>
      <c r="W4" t="s">
        <v>171</v>
      </c>
      <c r="X4"/>
      <c r="Y4">
        <v>1</v>
      </c>
      <c r="Z4" t="s">
        <v>173</v>
      </c>
      <c r="AA4" t="s">
        <v>173</v>
      </c>
      <c r="AB4" t="s">
        <v>174</v>
      </c>
      <c r="AC4" t="s">
        <v>175</v>
      </c>
      <c r="AD4"/>
      <c r="AE4"/>
      <c r="AF4">
        <v>288</v>
      </c>
      <c r="AG4" t="s">
        <v>1392</v>
      </c>
      <c r="AH4" t="s">
        <v>1393</v>
      </c>
      <c r="AI4" t="s">
        <v>1399</v>
      </c>
      <c r="AJ4" t="s">
        <v>1400</v>
      </c>
      <c r="AK4">
        <v>4</v>
      </c>
      <c r="AL4" t="s">
        <v>1394</v>
      </c>
      <c r="AM4"/>
      <c r="AN4"/>
      <c r="AO4">
        <v>96</v>
      </c>
      <c r="AP4">
        <v>26</v>
      </c>
      <c r="AQ4"/>
      <c r="AR4"/>
      <c r="AS4">
        <v>750</v>
      </c>
      <c r="AT4">
        <v>750</v>
      </c>
      <c r="AU4"/>
      <c r="AV4"/>
      <c r="AW4"/>
      <c r="AX4"/>
      <c r="AY4"/>
      <c r="AZ4"/>
      <c r="BA4"/>
      <c r="BB4"/>
      <c r="BC4"/>
      <c r="BD4"/>
      <c r="BE4"/>
      <c r="BF4"/>
      <c r="BG4"/>
      <c r="BH4"/>
      <c r="BI4"/>
      <c r="BJ4"/>
      <c r="BK4"/>
      <c r="BL4"/>
      <c r="BM4"/>
      <c r="BN4" s="114"/>
      <c r="BO4"/>
      <c r="BP4"/>
      <c r="BQ4">
        <v>32</v>
      </c>
      <c r="BR4" t="s">
        <v>1035</v>
      </c>
      <c r="BS4"/>
      <c r="BT4" t="s">
        <v>1395</v>
      </c>
      <c r="BU4" s="115">
        <v>45828</v>
      </c>
      <c r="BV4">
        <v>36798</v>
      </c>
      <c r="BW4" s="116"/>
      <c r="BX4" t="s">
        <v>173</v>
      </c>
      <c r="BY4" t="s">
        <v>173</v>
      </c>
      <c r="BZ4"/>
      <c r="CA4"/>
      <c r="CB4" t="s">
        <v>173</v>
      </c>
      <c r="CC4" t="s">
        <v>173</v>
      </c>
      <c r="CD4"/>
      <c r="CE4"/>
      <c r="CF4"/>
      <c r="CG4"/>
      <c r="CH4"/>
      <c r="CI4"/>
      <c r="CJ4"/>
      <c r="CK4" t="s">
        <v>259</v>
      </c>
      <c r="CL4"/>
      <c r="CM4">
        <v>12</v>
      </c>
      <c r="CN4" t="s">
        <v>260</v>
      </c>
      <c r="CO4"/>
      <c r="CP4">
        <v>350</v>
      </c>
      <c r="CQ4">
        <v>233</v>
      </c>
      <c r="CR4">
        <v>163</v>
      </c>
      <c r="CS4" t="s">
        <v>1396</v>
      </c>
      <c r="CT4"/>
      <c r="CU4"/>
      <c r="CV4" t="s">
        <v>262</v>
      </c>
      <c r="CW4"/>
      <c r="CX4" t="s">
        <v>702</v>
      </c>
      <c r="CY4" t="s">
        <v>172</v>
      </c>
      <c r="CZ4"/>
      <c r="DA4"/>
      <c r="DB4"/>
      <c r="DC4"/>
      <c r="DD4">
        <v>1</v>
      </c>
      <c r="DE4" t="s">
        <v>307</v>
      </c>
      <c r="DF4" t="s">
        <v>1397</v>
      </c>
      <c r="DG4">
        <v>210</v>
      </c>
      <c r="DH4"/>
      <c r="DI4"/>
      <c r="DJ4"/>
      <c r="DK4"/>
      <c r="DL4" t="s">
        <v>173</v>
      </c>
      <c r="DM4" t="s">
        <v>172</v>
      </c>
      <c r="DN4"/>
      <c r="DO4"/>
      <c r="DP4" t="s">
        <v>173</v>
      </c>
      <c r="DQ4" t="s">
        <v>189</v>
      </c>
      <c r="DR4"/>
      <c r="DS4"/>
      <c r="DT4"/>
      <c r="DU4"/>
      <c r="DV4"/>
      <c r="DW4"/>
      <c r="DX4"/>
      <c r="DY4"/>
      <c r="DZ4"/>
      <c r="EA4" s="117"/>
      <c r="EB4">
        <v>9</v>
      </c>
      <c r="EC4">
        <v>10</v>
      </c>
      <c r="ED4"/>
      <c r="EE4" t="s">
        <v>1398</v>
      </c>
      <c r="EF4">
        <v>10</v>
      </c>
      <c r="EG4"/>
      <c r="EH4"/>
      <c r="EI4"/>
      <c r="EJ4"/>
      <c r="EK4"/>
      <c r="EL4"/>
      <c r="EM4"/>
      <c r="EN4"/>
      <c r="EO4"/>
      <c r="EP4"/>
      <c r="EQ4"/>
      <c r="ER4"/>
      <c r="ES4"/>
      <c r="ET4"/>
      <c r="EU4">
        <v>4750</v>
      </c>
      <c r="EV4"/>
      <c r="EW4">
        <v>0</v>
      </c>
      <c r="EX4">
        <v>0</v>
      </c>
      <c r="EY4">
        <v>0</v>
      </c>
      <c r="EZ4"/>
      <c r="FA4">
        <v>12</v>
      </c>
      <c r="FB4"/>
      <c r="FC4"/>
      <c r="FD4"/>
      <c r="FE4"/>
      <c r="FF4"/>
      <c r="FG4" s="94">
        <v>311</v>
      </c>
      <c r="FH4" s="94">
        <v>260</v>
      </c>
      <c r="FI4" s="94">
        <v>288</v>
      </c>
    </row>
    <row r="5" spans="1:165" s="66" customFormat="1" x14ac:dyDescent="0.35">
      <c r="A5" s="19"/>
      <c r="B5" s="19"/>
      <c r="C5" s="19"/>
      <c r="D5" s="19"/>
      <c r="E5" s="19"/>
      <c r="F5" s="128"/>
      <c r="G5" s="19"/>
      <c r="H5" s="19"/>
      <c r="I5" s="19"/>
      <c r="J5" s="19"/>
      <c r="K5" s="19" t="str">
        <f>_xlfn.CONCAT(A6," ",C6," ",D6)</f>
        <v>2026 BMW i5 eDrive40 Sedan (19'' Wheels)</v>
      </c>
      <c r="L5" s="19"/>
      <c r="M5" s="19"/>
      <c r="N5" s="19"/>
      <c r="O5" s="19"/>
      <c r="P5" s="19"/>
      <c r="Q5" s="19"/>
      <c r="R5" s="19"/>
      <c r="S5" s="19"/>
      <c r="T5" s="19"/>
      <c r="U5" s="19"/>
      <c r="V5" s="19"/>
      <c r="W5" s="19"/>
      <c r="X5" s="19"/>
      <c r="Y5" s="19"/>
      <c r="Z5" s="19"/>
      <c r="AA5" s="19"/>
      <c r="AB5" s="19" t="str">
        <f>$K5</f>
        <v>2026 BMW i5 eDrive40 Sedan (19'' Wheels)</v>
      </c>
      <c r="AC5" s="19"/>
      <c r="AD5" s="19"/>
      <c r="AE5" s="19"/>
      <c r="AF5" s="19"/>
      <c r="AG5" s="19"/>
      <c r="AH5" s="19"/>
      <c r="AI5" s="19"/>
      <c r="AJ5" s="19"/>
      <c r="AK5" s="19"/>
      <c r="AL5" s="19"/>
      <c r="AM5" s="19"/>
      <c r="AN5" s="19"/>
      <c r="AO5" s="19"/>
      <c r="AP5" s="19"/>
      <c r="AQ5" s="19"/>
      <c r="AR5" s="19" t="str">
        <f>$K5</f>
        <v>2026 BMW i5 eDrive40 Sedan (19'' Wheels)</v>
      </c>
      <c r="AS5" s="19"/>
      <c r="AT5" s="19"/>
      <c r="AU5" s="19"/>
      <c r="AV5" s="19"/>
      <c r="AW5" s="19"/>
      <c r="AX5" s="19"/>
      <c r="AY5" s="19"/>
      <c r="AZ5" s="19"/>
      <c r="BA5" s="19"/>
      <c r="BB5" s="19"/>
      <c r="BC5" s="19"/>
      <c r="BD5" s="19"/>
      <c r="BE5" s="19"/>
      <c r="BF5" s="19"/>
      <c r="BG5" s="19" t="str">
        <f>$K5</f>
        <v>2026 BMW i5 eDrive40 Sedan (19'' Wheels)</v>
      </c>
      <c r="BH5" s="19"/>
      <c r="BI5" s="19"/>
      <c r="BJ5" s="19"/>
      <c r="BK5" s="19"/>
      <c r="BL5" s="19"/>
      <c r="BM5" s="129"/>
      <c r="BN5" s="19"/>
      <c r="BO5" s="19"/>
      <c r="BP5" s="19"/>
      <c r="BQ5" s="19"/>
      <c r="BR5" s="19"/>
      <c r="BS5" s="19"/>
      <c r="BT5" s="130"/>
      <c r="BU5" s="19"/>
      <c r="BV5" s="19"/>
      <c r="BW5" s="116"/>
      <c r="BX5" s="19"/>
      <c r="BY5" s="19"/>
      <c r="BZ5" s="19"/>
      <c r="CA5" s="19"/>
      <c r="CB5" s="19"/>
      <c r="CC5" s="19"/>
      <c r="CD5" s="19"/>
      <c r="CE5" s="19"/>
      <c r="CF5" s="19"/>
      <c r="CG5" s="19"/>
      <c r="CH5" s="19"/>
      <c r="CI5" s="19"/>
      <c r="CJ5" s="19"/>
      <c r="CK5" s="19"/>
      <c r="CL5" s="19"/>
      <c r="CM5" s="19" t="str">
        <f>$K5</f>
        <v>2026 BMW i5 eDrive40 Sedan (19'' Wheels)</v>
      </c>
      <c r="CN5" s="19"/>
      <c r="CO5" s="19"/>
      <c r="CP5" s="19"/>
      <c r="CQ5" s="19"/>
      <c r="CR5" s="19"/>
      <c r="CS5" s="19"/>
      <c r="CT5" s="19"/>
      <c r="CU5" s="19"/>
      <c r="CV5" s="19"/>
      <c r="CW5" s="19"/>
      <c r="CX5" s="19"/>
      <c r="CY5" s="19"/>
      <c r="CZ5" s="19"/>
      <c r="DA5" s="19"/>
      <c r="DB5" s="19"/>
      <c r="DC5" s="19"/>
      <c r="DD5" s="19" t="str">
        <f>$K5</f>
        <v>2026 BMW i5 eDrive40 Sedan (19'' Wheels)</v>
      </c>
      <c r="DE5" s="19"/>
      <c r="DF5" s="19"/>
      <c r="DG5" s="19"/>
      <c r="DH5" s="19"/>
      <c r="DI5" s="19"/>
      <c r="DJ5" s="19"/>
      <c r="DK5" s="19"/>
      <c r="DL5" s="19"/>
      <c r="DM5" s="19"/>
      <c r="DN5" s="19"/>
      <c r="DO5" s="19"/>
      <c r="DP5" s="19"/>
      <c r="DQ5" s="19"/>
      <c r="DR5" s="19"/>
      <c r="DS5" s="19"/>
      <c r="DT5" s="19"/>
      <c r="DU5" s="19" t="str">
        <f>$K5</f>
        <v>2026 BMW i5 eDrive40 Sedan (19'' Wheels)</v>
      </c>
      <c r="DV5" s="19"/>
      <c r="DW5" s="19"/>
      <c r="DX5" s="19"/>
      <c r="DY5" s="19"/>
      <c r="DZ5" s="19"/>
      <c r="EA5" s="117"/>
      <c r="EB5" s="19"/>
      <c r="EC5" s="19"/>
      <c r="ED5" s="19"/>
      <c r="EE5" s="19"/>
      <c r="EF5" s="19"/>
      <c r="EG5" s="19"/>
      <c r="EH5" s="19"/>
      <c r="EI5" s="19" t="s">
        <v>1802</v>
      </c>
      <c r="EJ5" s="19"/>
      <c r="EK5" s="19"/>
      <c r="EL5" s="19"/>
      <c r="EM5" s="19"/>
      <c r="EN5" s="19"/>
      <c r="EO5" s="19"/>
      <c r="EP5" s="19"/>
      <c r="EQ5" s="19"/>
      <c r="ER5" s="19"/>
      <c r="ES5" s="19"/>
      <c r="ET5" s="19"/>
      <c r="EU5" s="19"/>
      <c r="EV5" s="19"/>
      <c r="EW5" s="19"/>
      <c r="EX5" s="19" t="str">
        <f>$K5</f>
        <v>2026 BMW i5 eDrive40 Sedan (19'' Wheels)</v>
      </c>
      <c r="EZ5"/>
      <c r="FA5"/>
      <c r="FB5"/>
      <c r="FC5"/>
      <c r="FD5"/>
      <c r="FE5"/>
      <c r="FF5"/>
      <c r="FG5"/>
      <c r="FH5"/>
      <c r="FI5"/>
    </row>
    <row r="6" spans="1:165" s="66" customFormat="1" x14ac:dyDescent="0.35">
      <c r="A6">
        <v>2026</v>
      </c>
      <c r="B6" t="s">
        <v>192</v>
      </c>
      <c r="C6" s="112" t="s">
        <v>192</v>
      </c>
      <c r="D6" t="s">
        <v>1401</v>
      </c>
      <c r="E6" t="s">
        <v>194</v>
      </c>
      <c r="F6">
        <v>509</v>
      </c>
      <c r="G6" s="113">
        <v>0</v>
      </c>
      <c r="H6"/>
      <c r="I6" t="s">
        <v>1391</v>
      </c>
      <c r="J6">
        <v>114</v>
      </c>
      <c r="K6">
        <v>106</v>
      </c>
      <c r="L6">
        <v>110</v>
      </c>
      <c r="M6">
        <v>162.30000000000001</v>
      </c>
      <c r="N6">
        <v>151.6</v>
      </c>
      <c r="O6">
        <v>157.3038</v>
      </c>
      <c r="P6">
        <v>113.61</v>
      </c>
      <c r="Q6">
        <v>106.12</v>
      </c>
      <c r="R6">
        <v>110.1127</v>
      </c>
      <c r="S6"/>
      <c r="T6"/>
      <c r="U6"/>
      <c r="V6" t="s">
        <v>170</v>
      </c>
      <c r="W6" t="s">
        <v>171</v>
      </c>
      <c r="X6"/>
      <c r="Y6">
        <v>1</v>
      </c>
      <c r="Z6" t="s">
        <v>173</v>
      </c>
      <c r="AA6" t="s">
        <v>173</v>
      </c>
      <c r="AB6" t="s">
        <v>174</v>
      </c>
      <c r="AC6" t="s">
        <v>175</v>
      </c>
      <c r="AD6"/>
      <c r="AE6"/>
      <c r="AF6">
        <v>310</v>
      </c>
      <c r="AG6" t="s">
        <v>1392</v>
      </c>
      <c r="AH6" t="s">
        <v>1393</v>
      </c>
      <c r="AI6" t="s">
        <v>178</v>
      </c>
      <c r="AJ6" t="s">
        <v>179</v>
      </c>
      <c r="AK6" t="s">
        <v>173</v>
      </c>
      <c r="AL6" t="s">
        <v>180</v>
      </c>
      <c r="AM6"/>
      <c r="AN6"/>
      <c r="AO6">
        <v>98</v>
      </c>
      <c r="AP6">
        <v>11</v>
      </c>
      <c r="AQ6"/>
      <c r="AR6"/>
      <c r="AS6">
        <v>800</v>
      </c>
      <c r="AT6">
        <v>800</v>
      </c>
      <c r="AU6"/>
      <c r="AV6"/>
      <c r="AW6"/>
      <c r="AX6"/>
      <c r="AY6"/>
      <c r="AZ6"/>
      <c r="BA6"/>
      <c r="BB6"/>
      <c r="BC6"/>
      <c r="BD6"/>
      <c r="BE6"/>
      <c r="BF6"/>
      <c r="BG6"/>
      <c r="BH6"/>
      <c r="BI6"/>
      <c r="BJ6"/>
      <c r="BK6"/>
      <c r="BL6"/>
      <c r="BM6"/>
      <c r="BN6" s="114"/>
      <c r="BO6"/>
      <c r="BP6"/>
      <c r="BQ6">
        <v>4</v>
      </c>
      <c r="BR6" t="s">
        <v>373</v>
      </c>
      <c r="BS6" t="s">
        <v>182</v>
      </c>
      <c r="BT6" t="s">
        <v>1402</v>
      </c>
      <c r="BU6" s="115">
        <v>45748</v>
      </c>
      <c r="BV6">
        <v>36340</v>
      </c>
      <c r="BW6" s="116"/>
      <c r="BX6" t="s">
        <v>172</v>
      </c>
      <c r="BY6" t="s">
        <v>173</v>
      </c>
      <c r="BZ6"/>
      <c r="CA6"/>
      <c r="CB6" t="s">
        <v>173</v>
      </c>
      <c r="CC6" t="s">
        <v>173</v>
      </c>
      <c r="CD6"/>
      <c r="CE6"/>
      <c r="CF6"/>
      <c r="CG6"/>
      <c r="CH6"/>
      <c r="CI6"/>
      <c r="CJ6"/>
      <c r="CK6" t="s">
        <v>259</v>
      </c>
      <c r="CL6"/>
      <c r="CM6">
        <v>1</v>
      </c>
      <c r="CN6" t="s">
        <v>260</v>
      </c>
      <c r="CO6"/>
      <c r="CP6">
        <v>399</v>
      </c>
      <c r="CQ6">
        <v>210.6</v>
      </c>
      <c r="CR6">
        <v>152</v>
      </c>
      <c r="CS6" t="s">
        <v>261</v>
      </c>
      <c r="CT6"/>
      <c r="CU6"/>
      <c r="CV6" t="s">
        <v>262</v>
      </c>
      <c r="CW6"/>
      <c r="CX6" t="s">
        <v>263</v>
      </c>
      <c r="CY6" t="s">
        <v>172</v>
      </c>
      <c r="CZ6"/>
      <c r="DA6"/>
      <c r="DB6"/>
      <c r="DC6"/>
      <c r="DD6">
        <v>1</v>
      </c>
      <c r="DE6" t="s">
        <v>307</v>
      </c>
      <c r="DF6" t="s">
        <v>308</v>
      </c>
      <c r="DG6">
        <v>250</v>
      </c>
      <c r="DH6"/>
      <c r="DI6"/>
      <c r="DJ6"/>
      <c r="DK6"/>
      <c r="DL6" t="s">
        <v>173</v>
      </c>
      <c r="DM6" t="s">
        <v>172</v>
      </c>
      <c r="DN6"/>
      <c r="DO6"/>
      <c r="DP6" t="s">
        <v>173</v>
      </c>
      <c r="DQ6" t="s">
        <v>189</v>
      </c>
      <c r="DR6"/>
      <c r="DS6"/>
      <c r="DT6"/>
      <c r="DU6"/>
      <c r="DV6"/>
      <c r="DW6"/>
      <c r="DX6"/>
      <c r="DY6"/>
      <c r="DZ6"/>
      <c r="EA6" s="117"/>
      <c r="EB6">
        <v>9</v>
      </c>
      <c r="EC6">
        <v>10</v>
      </c>
      <c r="ED6"/>
      <c r="EE6" t="s">
        <v>1403</v>
      </c>
      <c r="EF6">
        <v>10</v>
      </c>
      <c r="EG6"/>
      <c r="EH6"/>
      <c r="EI6"/>
      <c r="EJ6"/>
      <c r="EK6"/>
      <c r="EL6"/>
      <c r="EM6"/>
      <c r="EN6"/>
      <c r="EO6"/>
      <c r="EP6"/>
      <c r="EQ6"/>
      <c r="ER6"/>
      <c r="ES6"/>
      <c r="ET6"/>
      <c r="EU6">
        <v>4500</v>
      </c>
      <c r="EV6"/>
      <c r="EW6">
        <v>0</v>
      </c>
      <c r="EX6">
        <v>0</v>
      </c>
      <c r="EY6">
        <v>0</v>
      </c>
      <c r="EZ6"/>
      <c r="FA6">
        <v>8</v>
      </c>
      <c r="FB6"/>
      <c r="FC6"/>
      <c r="FD6"/>
      <c r="FE6"/>
      <c r="FF6"/>
      <c r="FG6" s="94">
        <v>319</v>
      </c>
      <c r="FH6" s="94">
        <v>298</v>
      </c>
      <c r="FI6" s="94">
        <v>310</v>
      </c>
    </row>
    <row r="7" spans="1:165" s="66" customFormat="1" x14ac:dyDescent="0.35">
      <c r="A7">
        <v>2026</v>
      </c>
      <c r="B7" t="s">
        <v>192</v>
      </c>
      <c r="C7" s="112" t="s">
        <v>192</v>
      </c>
      <c r="D7" t="s">
        <v>1401</v>
      </c>
      <c r="E7" t="s">
        <v>194</v>
      </c>
      <c r="F7">
        <v>509</v>
      </c>
      <c r="G7" s="113">
        <v>0</v>
      </c>
      <c r="H7"/>
      <c r="I7" t="s">
        <v>1391</v>
      </c>
      <c r="J7">
        <v>30</v>
      </c>
      <c r="K7">
        <v>32</v>
      </c>
      <c r="L7">
        <v>31</v>
      </c>
      <c r="M7">
        <v>20.762699999999999</v>
      </c>
      <c r="N7">
        <v>22.2395</v>
      </c>
      <c r="O7">
        <v>21.427199999999999</v>
      </c>
      <c r="P7">
        <v>29.667300000000001</v>
      </c>
      <c r="Q7">
        <v>31.761199999999999</v>
      </c>
      <c r="R7">
        <v>30.6096</v>
      </c>
      <c r="S7"/>
      <c r="T7"/>
      <c r="U7"/>
      <c r="V7" t="s">
        <v>170</v>
      </c>
      <c r="W7" t="s">
        <v>171</v>
      </c>
      <c r="X7"/>
      <c r="Y7">
        <v>1</v>
      </c>
      <c r="Z7" t="s">
        <v>173</v>
      </c>
      <c r="AA7" t="s">
        <v>173</v>
      </c>
      <c r="AB7" t="s">
        <v>174</v>
      </c>
      <c r="AC7" t="s">
        <v>175</v>
      </c>
      <c r="AD7"/>
      <c r="AE7"/>
      <c r="AF7">
        <v>310</v>
      </c>
      <c r="AG7" t="s">
        <v>1392</v>
      </c>
      <c r="AH7" t="s">
        <v>1393</v>
      </c>
      <c r="AI7" t="s">
        <v>1399</v>
      </c>
      <c r="AJ7" t="s">
        <v>1400</v>
      </c>
      <c r="AK7" t="s">
        <v>173</v>
      </c>
      <c r="AL7" t="s">
        <v>180</v>
      </c>
      <c r="AM7"/>
      <c r="AN7"/>
      <c r="AO7">
        <v>98</v>
      </c>
      <c r="AP7">
        <v>11</v>
      </c>
      <c r="AQ7"/>
      <c r="AR7"/>
      <c r="AS7">
        <v>800</v>
      </c>
      <c r="AT7">
        <v>800</v>
      </c>
      <c r="AU7"/>
      <c r="AV7"/>
      <c r="AW7"/>
      <c r="AX7"/>
      <c r="AY7"/>
      <c r="AZ7"/>
      <c r="BA7"/>
      <c r="BB7"/>
      <c r="BC7"/>
      <c r="BD7"/>
      <c r="BE7"/>
      <c r="BF7"/>
      <c r="BG7"/>
      <c r="BH7"/>
      <c r="BI7"/>
      <c r="BJ7"/>
      <c r="BK7"/>
      <c r="BL7"/>
      <c r="BM7"/>
      <c r="BN7" s="114"/>
      <c r="BO7"/>
      <c r="BP7"/>
      <c r="BQ7">
        <v>4</v>
      </c>
      <c r="BR7" t="s">
        <v>373</v>
      </c>
      <c r="BS7" t="s">
        <v>182</v>
      </c>
      <c r="BT7" t="s">
        <v>1402</v>
      </c>
      <c r="BU7" s="115">
        <v>45748</v>
      </c>
      <c r="BV7">
        <v>36340</v>
      </c>
      <c r="BW7" s="116"/>
      <c r="BX7" t="s">
        <v>172</v>
      </c>
      <c r="BY7" t="s">
        <v>173</v>
      </c>
      <c r="BZ7"/>
      <c r="CA7"/>
      <c r="CB7" t="s">
        <v>173</v>
      </c>
      <c r="CC7" t="s">
        <v>173</v>
      </c>
      <c r="CD7"/>
      <c r="CE7"/>
      <c r="CF7"/>
      <c r="CG7"/>
      <c r="CH7"/>
      <c r="CI7"/>
      <c r="CJ7"/>
      <c r="CK7" t="s">
        <v>259</v>
      </c>
      <c r="CL7"/>
      <c r="CM7">
        <v>1</v>
      </c>
      <c r="CN7" t="s">
        <v>260</v>
      </c>
      <c r="CO7"/>
      <c r="CP7">
        <v>399</v>
      </c>
      <c r="CQ7">
        <v>210.6</v>
      </c>
      <c r="CR7">
        <v>152</v>
      </c>
      <c r="CS7" t="s">
        <v>261</v>
      </c>
      <c r="CT7"/>
      <c r="CU7"/>
      <c r="CV7" t="s">
        <v>262</v>
      </c>
      <c r="CW7"/>
      <c r="CX7" t="s">
        <v>263</v>
      </c>
      <c r="CY7" t="s">
        <v>172</v>
      </c>
      <c r="CZ7"/>
      <c r="DA7"/>
      <c r="DB7"/>
      <c r="DC7"/>
      <c r="DD7">
        <v>1</v>
      </c>
      <c r="DE7" t="s">
        <v>307</v>
      </c>
      <c r="DF7" t="s">
        <v>308</v>
      </c>
      <c r="DG7">
        <v>250</v>
      </c>
      <c r="DH7"/>
      <c r="DI7"/>
      <c r="DJ7"/>
      <c r="DK7"/>
      <c r="DL7" t="s">
        <v>173</v>
      </c>
      <c r="DM7" t="s">
        <v>172</v>
      </c>
      <c r="DN7"/>
      <c r="DO7"/>
      <c r="DP7" t="s">
        <v>173</v>
      </c>
      <c r="DQ7" t="s">
        <v>189</v>
      </c>
      <c r="DR7"/>
      <c r="DS7"/>
      <c r="DT7"/>
      <c r="DU7"/>
      <c r="DV7"/>
      <c r="DW7"/>
      <c r="DX7"/>
      <c r="DY7"/>
      <c r="DZ7"/>
      <c r="EA7" s="117"/>
      <c r="EB7">
        <v>9</v>
      </c>
      <c r="EC7">
        <v>10</v>
      </c>
      <c r="ED7"/>
      <c r="EE7" t="s">
        <v>1403</v>
      </c>
      <c r="EF7">
        <v>10</v>
      </c>
      <c r="EG7"/>
      <c r="EH7"/>
      <c r="EI7"/>
      <c r="EJ7"/>
      <c r="EK7"/>
      <c r="EL7"/>
      <c r="EM7"/>
      <c r="EN7"/>
      <c r="EO7"/>
      <c r="EP7"/>
      <c r="EQ7"/>
      <c r="ER7"/>
      <c r="ES7"/>
      <c r="ET7"/>
      <c r="EU7">
        <v>4500</v>
      </c>
      <c r="EV7"/>
      <c r="EW7">
        <v>0</v>
      </c>
      <c r="EX7">
        <v>0</v>
      </c>
      <c r="EY7">
        <v>0</v>
      </c>
      <c r="EZ7"/>
      <c r="FA7">
        <v>8</v>
      </c>
      <c r="FB7"/>
      <c r="FC7"/>
      <c r="FD7"/>
      <c r="FE7"/>
      <c r="FF7"/>
      <c r="FG7" s="94">
        <v>319</v>
      </c>
      <c r="FH7" s="94">
        <v>298</v>
      </c>
      <c r="FI7" s="94">
        <v>310</v>
      </c>
    </row>
    <row r="8" spans="1:165" s="66" customFormat="1" x14ac:dyDescent="0.35">
      <c r="A8" s="19"/>
      <c r="B8" s="19"/>
      <c r="C8" s="19"/>
      <c r="D8" s="19"/>
      <c r="E8" s="19"/>
      <c r="F8" s="128"/>
      <c r="G8" s="19"/>
      <c r="H8" s="19"/>
      <c r="I8" s="19"/>
      <c r="J8" s="19"/>
      <c r="K8" s="19" t="str">
        <f>_xlfn.CONCAT(A9," ",C9," ",D9)</f>
        <v>2026 BMW i5 eDrive40 Sedan (20'' Wheels)</v>
      </c>
      <c r="L8" s="19"/>
      <c r="M8" s="19"/>
      <c r="N8" s="19"/>
      <c r="O8" s="19"/>
      <c r="P8" s="19"/>
      <c r="Q8" s="19"/>
      <c r="R8" s="19"/>
      <c r="S8" s="19"/>
      <c r="T8" s="19"/>
      <c r="U8" s="19"/>
      <c r="V8" s="19"/>
      <c r="W8" s="19"/>
      <c r="X8" s="19"/>
      <c r="Y8" s="19"/>
      <c r="Z8" s="19"/>
      <c r="AA8" s="19"/>
      <c r="AB8" s="19" t="str">
        <f>$K8</f>
        <v>2026 BMW i5 eDrive40 Sedan (20'' Wheels)</v>
      </c>
      <c r="AC8" s="19"/>
      <c r="AD8" s="19"/>
      <c r="AE8" s="19"/>
      <c r="AF8" s="19"/>
      <c r="AG8" s="19"/>
      <c r="AH8" s="19"/>
      <c r="AI8" s="19"/>
      <c r="AJ8" s="19"/>
      <c r="AK8" s="19"/>
      <c r="AL8" s="19"/>
      <c r="AM8" s="19"/>
      <c r="AN8" s="19"/>
      <c r="AO8" s="19"/>
      <c r="AP8" s="19"/>
      <c r="AQ8" s="19"/>
      <c r="AR8" s="19" t="str">
        <f>$K8</f>
        <v>2026 BMW i5 eDrive40 Sedan (20'' Wheels)</v>
      </c>
      <c r="AS8" s="19"/>
      <c r="AT8" s="19"/>
      <c r="AU8" s="19"/>
      <c r="AV8" s="19"/>
      <c r="AW8" s="19"/>
      <c r="AX8" s="19"/>
      <c r="AY8" s="19"/>
      <c r="AZ8" s="19"/>
      <c r="BA8" s="19"/>
      <c r="BB8" s="19"/>
      <c r="BC8" s="19"/>
      <c r="BD8" s="19"/>
      <c r="BE8" s="19"/>
      <c r="BF8" s="19"/>
      <c r="BG8" s="19" t="str">
        <f>$K8</f>
        <v>2026 BMW i5 eDrive40 Sedan (20'' Wheels)</v>
      </c>
      <c r="BH8" s="19"/>
      <c r="BI8" s="19"/>
      <c r="BJ8" s="19"/>
      <c r="BK8" s="19"/>
      <c r="BL8" s="19"/>
      <c r="BM8" s="129"/>
      <c r="BN8" s="19"/>
      <c r="BO8" s="19"/>
      <c r="BP8" s="19"/>
      <c r="BQ8" s="19"/>
      <c r="BR8" s="19"/>
      <c r="BS8" s="19"/>
      <c r="BT8" s="130"/>
      <c r="BU8" s="19"/>
      <c r="BV8" s="19"/>
      <c r="BW8" s="116"/>
      <c r="BX8" s="19"/>
      <c r="BY8" s="19"/>
      <c r="BZ8" s="19"/>
      <c r="CA8" s="19"/>
      <c r="CB8" s="19"/>
      <c r="CC8" s="19"/>
      <c r="CD8" s="19"/>
      <c r="CE8" s="19"/>
      <c r="CF8" s="19"/>
      <c r="CG8" s="19"/>
      <c r="CH8" s="19"/>
      <c r="CI8" s="19"/>
      <c r="CJ8" s="19"/>
      <c r="CK8" s="19"/>
      <c r="CL8" s="19"/>
      <c r="CM8" s="19" t="str">
        <f>$K8</f>
        <v>2026 BMW i5 eDrive40 Sedan (20'' Wheels)</v>
      </c>
      <c r="CN8" s="19"/>
      <c r="CO8" s="19"/>
      <c r="CP8" s="19"/>
      <c r="CQ8" s="19"/>
      <c r="CR8" s="19"/>
      <c r="CS8" s="19"/>
      <c r="CT8" s="19"/>
      <c r="CU8" s="19"/>
      <c r="CV8" s="19"/>
      <c r="CW8" s="19"/>
      <c r="CX8" s="19"/>
      <c r="CY8" s="19"/>
      <c r="CZ8" s="19"/>
      <c r="DA8" s="19"/>
      <c r="DB8" s="19"/>
      <c r="DC8" s="19"/>
      <c r="DD8" s="19" t="str">
        <f>$K8</f>
        <v>2026 BMW i5 eDrive40 Sedan (20'' Wheels)</v>
      </c>
      <c r="DE8" s="19"/>
      <c r="DF8" s="19"/>
      <c r="DG8" s="19"/>
      <c r="DH8" s="19"/>
      <c r="DI8" s="19"/>
      <c r="DJ8" s="19"/>
      <c r="DK8" s="19"/>
      <c r="DL8" s="19"/>
      <c r="DM8" s="19"/>
      <c r="DN8" s="19"/>
      <c r="DO8" s="19"/>
      <c r="DP8" s="19"/>
      <c r="DQ8" s="19"/>
      <c r="DR8" s="19"/>
      <c r="DS8" s="19"/>
      <c r="DT8" s="19"/>
      <c r="DU8" s="19" t="str">
        <f>$K8</f>
        <v>2026 BMW i5 eDrive40 Sedan (20'' Wheels)</v>
      </c>
      <c r="DV8" s="19"/>
      <c r="DW8" s="19"/>
      <c r="DX8" s="19"/>
      <c r="DY8" s="19"/>
      <c r="DZ8" s="19"/>
      <c r="EA8" s="117"/>
      <c r="EB8" s="19"/>
      <c r="EC8" s="19"/>
      <c r="ED8" s="19"/>
      <c r="EE8" s="19"/>
      <c r="EF8" s="19"/>
      <c r="EG8"/>
      <c r="EH8"/>
      <c r="EI8"/>
      <c r="EJ8"/>
      <c r="EK8"/>
      <c r="EL8"/>
      <c r="EM8"/>
      <c r="EN8"/>
      <c r="EO8"/>
      <c r="EP8"/>
      <c r="EQ8"/>
      <c r="ER8"/>
      <c r="ES8"/>
      <c r="ET8"/>
      <c r="EU8"/>
      <c r="EV8"/>
      <c r="EW8"/>
      <c r="EX8" s="19" t="s">
        <v>1934</v>
      </c>
      <c r="EY8"/>
      <c r="EZ8"/>
      <c r="FA8"/>
      <c r="FB8"/>
      <c r="FC8"/>
      <c r="FD8"/>
      <c r="FE8"/>
      <c r="FF8"/>
      <c r="FG8"/>
      <c r="FH8"/>
      <c r="FI8"/>
    </row>
    <row r="9" spans="1:165" s="66" customFormat="1" x14ac:dyDescent="0.35">
      <c r="A9">
        <v>2026</v>
      </c>
      <c r="B9" t="s">
        <v>192</v>
      </c>
      <c r="C9" s="112" t="s">
        <v>192</v>
      </c>
      <c r="D9" t="s">
        <v>1404</v>
      </c>
      <c r="E9" t="s">
        <v>194</v>
      </c>
      <c r="F9">
        <v>510</v>
      </c>
      <c r="G9" s="113">
        <v>0</v>
      </c>
      <c r="H9"/>
      <c r="I9" t="s">
        <v>1391</v>
      </c>
      <c r="J9">
        <v>110</v>
      </c>
      <c r="K9">
        <v>102</v>
      </c>
      <c r="L9">
        <v>106</v>
      </c>
      <c r="M9">
        <v>157.19999999999999</v>
      </c>
      <c r="N9">
        <v>145.5</v>
      </c>
      <c r="O9">
        <v>151.71029999999999</v>
      </c>
      <c r="P9">
        <v>110.04</v>
      </c>
      <c r="Q9">
        <v>101.85</v>
      </c>
      <c r="R9">
        <v>106.1972</v>
      </c>
      <c r="S9"/>
      <c r="T9"/>
      <c r="U9"/>
      <c r="V9" t="s">
        <v>170</v>
      </c>
      <c r="W9" t="s">
        <v>171</v>
      </c>
      <c r="X9"/>
      <c r="Y9">
        <v>1</v>
      </c>
      <c r="Z9" t="s">
        <v>173</v>
      </c>
      <c r="AA9" t="s">
        <v>173</v>
      </c>
      <c r="AB9" t="s">
        <v>174</v>
      </c>
      <c r="AC9" t="s">
        <v>175</v>
      </c>
      <c r="AD9"/>
      <c r="AE9"/>
      <c r="AF9">
        <v>300</v>
      </c>
      <c r="AG9" t="s">
        <v>1392</v>
      </c>
      <c r="AH9" t="s">
        <v>1393</v>
      </c>
      <c r="AI9" t="s">
        <v>178</v>
      </c>
      <c r="AJ9" t="s">
        <v>179</v>
      </c>
      <c r="AK9" t="s">
        <v>173</v>
      </c>
      <c r="AL9" t="s">
        <v>180</v>
      </c>
      <c r="AM9"/>
      <c r="AN9"/>
      <c r="AO9">
        <v>98</v>
      </c>
      <c r="AP9">
        <v>11</v>
      </c>
      <c r="AQ9"/>
      <c r="AR9"/>
      <c r="AS9">
        <v>800</v>
      </c>
      <c r="AT9">
        <v>800</v>
      </c>
      <c r="AU9"/>
      <c r="AV9"/>
      <c r="AW9"/>
      <c r="AX9"/>
      <c r="AY9"/>
      <c r="AZ9"/>
      <c r="BA9"/>
      <c r="BB9"/>
      <c r="BC9"/>
      <c r="BD9"/>
      <c r="BE9"/>
      <c r="BF9"/>
      <c r="BG9"/>
      <c r="BH9"/>
      <c r="BI9"/>
      <c r="BJ9"/>
      <c r="BK9"/>
      <c r="BL9"/>
      <c r="BM9"/>
      <c r="BN9" s="114"/>
      <c r="BO9"/>
      <c r="BP9"/>
      <c r="BQ9">
        <v>4</v>
      </c>
      <c r="BR9" t="s">
        <v>373</v>
      </c>
      <c r="BS9" t="s">
        <v>182</v>
      </c>
      <c r="BT9" t="s">
        <v>1402</v>
      </c>
      <c r="BU9" s="115">
        <v>45748</v>
      </c>
      <c r="BV9">
        <v>36341</v>
      </c>
      <c r="BW9" s="116"/>
      <c r="BX9" t="s">
        <v>172</v>
      </c>
      <c r="BY9" t="s">
        <v>173</v>
      </c>
      <c r="BZ9"/>
      <c r="CA9"/>
      <c r="CB9" t="s">
        <v>173</v>
      </c>
      <c r="CC9" t="s">
        <v>173</v>
      </c>
      <c r="CD9"/>
      <c r="CE9"/>
      <c r="CF9"/>
      <c r="CG9"/>
      <c r="CH9"/>
      <c r="CI9"/>
      <c r="CJ9"/>
      <c r="CK9" t="s">
        <v>259</v>
      </c>
      <c r="CL9"/>
      <c r="CM9">
        <v>1</v>
      </c>
      <c r="CN9" t="s">
        <v>260</v>
      </c>
      <c r="CO9"/>
      <c r="CP9">
        <v>399</v>
      </c>
      <c r="CQ9">
        <v>210.6</v>
      </c>
      <c r="CR9">
        <v>152</v>
      </c>
      <c r="CS9" t="s">
        <v>261</v>
      </c>
      <c r="CT9"/>
      <c r="CU9"/>
      <c r="CV9" t="s">
        <v>262</v>
      </c>
      <c r="CW9"/>
      <c r="CX9" t="s">
        <v>263</v>
      </c>
      <c r="CY9" t="s">
        <v>172</v>
      </c>
      <c r="CZ9"/>
      <c r="DA9"/>
      <c r="DB9"/>
      <c r="DC9"/>
      <c r="DD9">
        <v>1</v>
      </c>
      <c r="DE9" t="s">
        <v>307</v>
      </c>
      <c r="DF9" t="s">
        <v>308</v>
      </c>
      <c r="DG9">
        <v>250</v>
      </c>
      <c r="DH9"/>
      <c r="DI9"/>
      <c r="DJ9"/>
      <c r="DK9"/>
      <c r="DL9" t="s">
        <v>173</v>
      </c>
      <c r="DM9" t="s">
        <v>172</v>
      </c>
      <c r="DN9"/>
      <c r="DO9"/>
      <c r="DP9" t="s">
        <v>173</v>
      </c>
      <c r="DQ9" t="s">
        <v>189</v>
      </c>
      <c r="DR9"/>
      <c r="DS9"/>
      <c r="DT9"/>
      <c r="DU9"/>
      <c r="DV9"/>
      <c r="DW9"/>
      <c r="DX9"/>
      <c r="DY9"/>
      <c r="DZ9"/>
      <c r="EA9" s="117"/>
      <c r="EB9">
        <v>9</v>
      </c>
      <c r="EC9">
        <v>10</v>
      </c>
      <c r="ED9"/>
      <c r="EE9" t="s">
        <v>1403</v>
      </c>
      <c r="EF9">
        <v>10</v>
      </c>
      <c r="EG9"/>
      <c r="EH9"/>
      <c r="EI9"/>
      <c r="EJ9"/>
      <c r="EK9"/>
      <c r="EL9"/>
      <c r="EM9"/>
      <c r="EN9"/>
      <c r="EO9"/>
      <c r="EP9"/>
      <c r="EQ9"/>
      <c r="ER9"/>
      <c r="ES9"/>
      <c r="ET9"/>
      <c r="EU9">
        <v>4500</v>
      </c>
      <c r="EV9"/>
      <c r="EW9">
        <v>0</v>
      </c>
      <c r="EX9">
        <v>0</v>
      </c>
      <c r="EY9">
        <v>0</v>
      </c>
      <c r="EZ9"/>
      <c r="FA9">
        <v>8</v>
      </c>
      <c r="FB9"/>
      <c r="FC9"/>
      <c r="FD9"/>
      <c r="FE9"/>
      <c r="FF9"/>
      <c r="FG9" s="94">
        <v>310</v>
      </c>
      <c r="FH9" s="94">
        <v>287</v>
      </c>
      <c r="FI9" s="94">
        <v>300</v>
      </c>
    </row>
    <row r="10" spans="1:165" s="66" customFormat="1" x14ac:dyDescent="0.35">
      <c r="A10">
        <v>2026</v>
      </c>
      <c r="B10" t="s">
        <v>192</v>
      </c>
      <c r="C10" s="112" t="s">
        <v>192</v>
      </c>
      <c r="D10" t="s">
        <v>1404</v>
      </c>
      <c r="E10" t="s">
        <v>194</v>
      </c>
      <c r="F10">
        <v>510</v>
      </c>
      <c r="G10" s="113">
        <v>0</v>
      </c>
      <c r="H10"/>
      <c r="I10" t="s">
        <v>1391</v>
      </c>
      <c r="J10">
        <v>31</v>
      </c>
      <c r="K10">
        <v>33</v>
      </c>
      <c r="L10">
        <v>32</v>
      </c>
      <c r="M10">
        <v>21.441199999999998</v>
      </c>
      <c r="N10">
        <v>23.165199999999999</v>
      </c>
      <c r="O10">
        <v>22.216999999999999</v>
      </c>
      <c r="P10">
        <v>30.629799999999999</v>
      </c>
      <c r="Q10">
        <v>33.092799999999997</v>
      </c>
      <c r="R10">
        <v>31.738099999999999</v>
      </c>
      <c r="S10"/>
      <c r="T10"/>
      <c r="U10"/>
      <c r="V10" t="s">
        <v>170</v>
      </c>
      <c r="W10" t="s">
        <v>171</v>
      </c>
      <c r="X10"/>
      <c r="Y10">
        <v>1</v>
      </c>
      <c r="Z10" t="s">
        <v>173</v>
      </c>
      <c r="AA10" t="s">
        <v>173</v>
      </c>
      <c r="AB10" t="s">
        <v>174</v>
      </c>
      <c r="AC10" t="s">
        <v>175</v>
      </c>
      <c r="AD10"/>
      <c r="AE10"/>
      <c r="AF10">
        <v>300</v>
      </c>
      <c r="AG10" t="s">
        <v>1392</v>
      </c>
      <c r="AH10" t="s">
        <v>1393</v>
      </c>
      <c r="AI10" t="s">
        <v>1399</v>
      </c>
      <c r="AJ10" t="s">
        <v>1400</v>
      </c>
      <c r="AK10" t="s">
        <v>173</v>
      </c>
      <c r="AL10" t="s">
        <v>180</v>
      </c>
      <c r="AM10"/>
      <c r="AN10"/>
      <c r="AO10">
        <v>98</v>
      </c>
      <c r="AP10">
        <v>11</v>
      </c>
      <c r="AQ10"/>
      <c r="AR10"/>
      <c r="AS10">
        <v>800</v>
      </c>
      <c r="AT10">
        <v>800</v>
      </c>
      <c r="AU10"/>
      <c r="AV10"/>
      <c r="AW10"/>
      <c r="AX10"/>
      <c r="AY10"/>
      <c r="AZ10"/>
      <c r="BA10"/>
      <c r="BB10"/>
      <c r="BC10"/>
      <c r="BD10"/>
      <c r="BE10"/>
      <c r="BF10"/>
      <c r="BG10"/>
      <c r="BH10"/>
      <c r="BI10"/>
      <c r="BJ10"/>
      <c r="BK10"/>
      <c r="BL10"/>
      <c r="BM10"/>
      <c r="BN10" s="114"/>
      <c r="BO10"/>
      <c r="BP10"/>
      <c r="BQ10">
        <v>4</v>
      </c>
      <c r="BR10" t="s">
        <v>373</v>
      </c>
      <c r="BS10" t="s">
        <v>182</v>
      </c>
      <c r="BT10" t="s">
        <v>1402</v>
      </c>
      <c r="BU10" s="115">
        <v>45748</v>
      </c>
      <c r="BV10">
        <v>36341</v>
      </c>
      <c r="BW10" s="116"/>
      <c r="BX10" t="s">
        <v>172</v>
      </c>
      <c r="BY10" t="s">
        <v>173</v>
      </c>
      <c r="BZ10"/>
      <c r="CA10"/>
      <c r="CB10" t="s">
        <v>173</v>
      </c>
      <c r="CC10" t="s">
        <v>173</v>
      </c>
      <c r="CD10"/>
      <c r="CE10"/>
      <c r="CF10"/>
      <c r="CG10"/>
      <c r="CH10"/>
      <c r="CI10"/>
      <c r="CJ10"/>
      <c r="CK10" t="s">
        <v>259</v>
      </c>
      <c r="CL10"/>
      <c r="CM10">
        <v>1</v>
      </c>
      <c r="CN10" t="s">
        <v>260</v>
      </c>
      <c r="CO10"/>
      <c r="CP10">
        <v>399</v>
      </c>
      <c r="CQ10">
        <v>210.6</v>
      </c>
      <c r="CR10">
        <v>152</v>
      </c>
      <c r="CS10" t="s">
        <v>261</v>
      </c>
      <c r="CT10"/>
      <c r="CU10"/>
      <c r="CV10" t="s">
        <v>262</v>
      </c>
      <c r="CW10"/>
      <c r="CX10" t="s">
        <v>263</v>
      </c>
      <c r="CY10" t="s">
        <v>172</v>
      </c>
      <c r="CZ10"/>
      <c r="DA10"/>
      <c r="DB10"/>
      <c r="DC10"/>
      <c r="DD10">
        <v>1</v>
      </c>
      <c r="DE10" t="s">
        <v>307</v>
      </c>
      <c r="DF10" t="s">
        <v>308</v>
      </c>
      <c r="DG10">
        <v>250</v>
      </c>
      <c r="DH10"/>
      <c r="DI10"/>
      <c r="DJ10"/>
      <c r="DK10"/>
      <c r="DL10" t="s">
        <v>173</v>
      </c>
      <c r="DM10" t="s">
        <v>172</v>
      </c>
      <c r="DN10"/>
      <c r="DO10"/>
      <c r="DP10" t="s">
        <v>173</v>
      </c>
      <c r="DQ10" t="s">
        <v>189</v>
      </c>
      <c r="DR10"/>
      <c r="DS10"/>
      <c r="DT10"/>
      <c r="DU10"/>
      <c r="DV10"/>
      <c r="DW10"/>
      <c r="DX10"/>
      <c r="DY10"/>
      <c r="DZ10"/>
      <c r="EA10" s="117"/>
      <c r="EB10">
        <v>9</v>
      </c>
      <c r="EC10">
        <v>10</v>
      </c>
      <c r="ED10"/>
      <c r="EE10" t="s">
        <v>1403</v>
      </c>
      <c r="EF10">
        <v>10</v>
      </c>
      <c r="EG10"/>
      <c r="EH10"/>
      <c r="EI10"/>
      <c r="EJ10"/>
      <c r="EK10"/>
      <c r="EL10"/>
      <c r="EM10"/>
      <c r="EN10"/>
      <c r="EO10"/>
      <c r="EP10"/>
      <c r="EQ10"/>
      <c r="ER10"/>
      <c r="ES10"/>
      <c r="ET10"/>
      <c r="EU10">
        <v>4500</v>
      </c>
      <c r="EV10"/>
      <c r="EW10">
        <v>0</v>
      </c>
      <c r="EX10">
        <v>0</v>
      </c>
      <c r="EY10">
        <v>0</v>
      </c>
      <c r="EZ10"/>
      <c r="FA10">
        <v>8</v>
      </c>
      <c r="FB10"/>
      <c r="FC10"/>
      <c r="FD10"/>
      <c r="FE10"/>
      <c r="FF10"/>
      <c r="FG10" s="94">
        <v>310</v>
      </c>
      <c r="FH10" s="94">
        <v>287</v>
      </c>
      <c r="FI10" s="94">
        <v>300</v>
      </c>
    </row>
    <row r="11" spans="1:165" s="66" customFormat="1" x14ac:dyDescent="0.35">
      <c r="A11" s="19"/>
      <c r="B11" s="19"/>
      <c r="C11" s="19"/>
      <c r="D11" s="19"/>
      <c r="E11" s="19"/>
      <c r="F11" s="128"/>
      <c r="G11" s="19"/>
      <c r="H11" s="19"/>
      <c r="I11" s="19"/>
      <c r="J11" s="19"/>
      <c r="K11" s="19" t="str">
        <f>_xlfn.CONCAT(A12," ",C12," ",D12)</f>
        <v>2026 BMW i5 eDrive40 Sedan (21'' Wheels)</v>
      </c>
      <c r="L11" s="19"/>
      <c r="M11" s="19"/>
      <c r="N11" s="19"/>
      <c r="O11" s="19"/>
      <c r="P11" s="19"/>
      <c r="Q11" s="19"/>
      <c r="R11" s="19"/>
      <c r="S11" s="19"/>
      <c r="T11" s="19"/>
      <c r="U11" s="19"/>
      <c r="V11" s="19"/>
      <c r="W11" s="19"/>
      <c r="X11" s="19"/>
      <c r="Y11" s="19"/>
      <c r="Z11" s="19"/>
      <c r="AA11" s="19"/>
      <c r="AB11" s="19" t="str">
        <f>$K11</f>
        <v>2026 BMW i5 eDrive40 Sedan (21'' Wheels)</v>
      </c>
      <c r="AC11" s="19"/>
      <c r="AD11" s="19"/>
      <c r="AE11" s="19"/>
      <c r="AF11" s="19"/>
      <c r="AG11" s="19"/>
      <c r="AH11" s="19"/>
      <c r="AI11" s="19"/>
      <c r="AJ11" s="19"/>
      <c r="AK11" s="19"/>
      <c r="AL11" s="19"/>
      <c r="AM11" s="19"/>
      <c r="AN11" s="19"/>
      <c r="AO11" s="19"/>
      <c r="AP11" s="19"/>
      <c r="AQ11" s="19"/>
      <c r="AR11" s="19" t="str">
        <f>$K11</f>
        <v>2026 BMW i5 eDrive40 Sedan (21'' Wheels)</v>
      </c>
      <c r="AS11" s="19"/>
      <c r="AT11" s="19"/>
      <c r="AU11" s="19"/>
      <c r="AV11" s="19"/>
      <c r="AW11" s="19"/>
      <c r="AX11" s="19"/>
      <c r="AY11" s="19"/>
      <c r="AZ11" s="19"/>
      <c r="BA11" s="19"/>
      <c r="BB11" s="19"/>
      <c r="BC11" s="19"/>
      <c r="BD11" s="19"/>
      <c r="BE11" s="19"/>
      <c r="BF11" s="19"/>
      <c r="BG11" s="19" t="str">
        <f>$K11</f>
        <v>2026 BMW i5 eDrive40 Sedan (21'' Wheels)</v>
      </c>
      <c r="BH11" s="19"/>
      <c r="BI11" s="19"/>
      <c r="BJ11" s="19"/>
      <c r="BK11" s="19"/>
      <c r="BL11" s="19"/>
      <c r="BM11" s="129"/>
      <c r="BN11" s="19"/>
      <c r="BO11" s="19"/>
      <c r="BP11" s="19"/>
      <c r="BQ11" s="19"/>
      <c r="BR11" s="19"/>
      <c r="BS11" s="19"/>
      <c r="BT11" s="130"/>
      <c r="BU11" s="19"/>
      <c r="BV11" s="19"/>
      <c r="BW11" s="116"/>
      <c r="BX11" s="19"/>
      <c r="BY11" s="19"/>
      <c r="BZ11" s="19"/>
      <c r="CA11" s="19"/>
      <c r="CB11" s="19"/>
      <c r="CC11" s="19"/>
      <c r="CD11" s="19"/>
      <c r="CE11" s="19"/>
      <c r="CF11" s="19"/>
      <c r="CG11" s="19"/>
      <c r="CH11" s="19"/>
      <c r="CI11" s="19"/>
      <c r="CJ11" s="19"/>
      <c r="CK11" s="19"/>
      <c r="CL11" s="19"/>
      <c r="CM11" s="19" t="str">
        <f>$K11</f>
        <v>2026 BMW i5 eDrive40 Sedan (21'' Wheels)</v>
      </c>
      <c r="CN11" s="19"/>
      <c r="CO11" s="19"/>
      <c r="CP11" s="19"/>
      <c r="CQ11" s="19"/>
      <c r="CR11" s="19"/>
      <c r="CS11" s="19"/>
      <c r="CT11" s="19"/>
      <c r="CU11" s="19"/>
      <c r="CV11" s="19"/>
      <c r="CW11" s="19"/>
      <c r="CX11" s="19"/>
      <c r="CY11" s="19"/>
      <c r="CZ11" s="19"/>
      <c r="DA11" s="19"/>
      <c r="DB11" s="19"/>
      <c r="DC11" s="19"/>
      <c r="DD11" s="19" t="str">
        <f>$K11</f>
        <v>2026 BMW i5 eDrive40 Sedan (21'' Wheels)</v>
      </c>
      <c r="DE11" s="19"/>
      <c r="DF11" s="19"/>
      <c r="DG11" s="19"/>
      <c r="DH11" s="19"/>
      <c r="DI11" s="19"/>
      <c r="DJ11" s="19"/>
      <c r="DK11" s="19"/>
      <c r="DL11" s="19"/>
      <c r="DM11" s="19"/>
      <c r="DN11" s="19"/>
      <c r="DO11" s="19"/>
      <c r="DP11" s="19"/>
      <c r="DQ11" s="19"/>
      <c r="DR11" s="19"/>
      <c r="DS11" s="19"/>
      <c r="DT11" s="19"/>
      <c r="DU11" s="19" t="str">
        <f>$K11</f>
        <v>2026 BMW i5 eDrive40 Sedan (21'' Wheels)</v>
      </c>
      <c r="DV11" s="19"/>
      <c r="DW11" s="19"/>
      <c r="DX11" s="19"/>
      <c r="DY11" s="19"/>
      <c r="DZ11" s="19"/>
      <c r="EA11" s="117"/>
      <c r="EB11" s="19"/>
      <c r="EC11" s="19"/>
      <c r="ED11" s="19"/>
      <c r="EE11" s="19"/>
      <c r="EF11" s="19"/>
      <c r="EG11"/>
      <c r="EH11"/>
      <c r="EI11"/>
      <c r="EJ11"/>
      <c r="EK11"/>
      <c r="EL11"/>
      <c r="EM11"/>
      <c r="EN11"/>
      <c r="EO11"/>
      <c r="EP11"/>
      <c r="EQ11"/>
      <c r="ER11"/>
      <c r="ES11"/>
      <c r="ET11"/>
      <c r="EU11"/>
      <c r="EV11"/>
      <c r="EW11"/>
      <c r="EX11" s="19" t="s">
        <v>1935</v>
      </c>
      <c r="EY11"/>
      <c r="EZ11"/>
      <c r="FA11"/>
      <c r="FB11"/>
      <c r="FC11"/>
      <c r="FD11"/>
      <c r="FE11"/>
      <c r="FF11"/>
      <c r="FG11"/>
      <c r="FH11"/>
      <c r="FI11"/>
    </row>
    <row r="12" spans="1:165" s="66" customFormat="1" x14ac:dyDescent="0.35">
      <c r="A12">
        <v>2026</v>
      </c>
      <c r="B12" t="s">
        <v>192</v>
      </c>
      <c r="C12" s="112" t="s">
        <v>192</v>
      </c>
      <c r="D12" t="s">
        <v>1405</v>
      </c>
      <c r="E12" t="s">
        <v>194</v>
      </c>
      <c r="F12">
        <v>511</v>
      </c>
      <c r="G12" s="113">
        <v>0</v>
      </c>
      <c r="H12"/>
      <c r="I12" t="s">
        <v>1391</v>
      </c>
      <c r="J12">
        <v>102</v>
      </c>
      <c r="K12">
        <v>93</v>
      </c>
      <c r="L12">
        <v>98</v>
      </c>
      <c r="M12">
        <v>145.1</v>
      </c>
      <c r="N12">
        <v>133.5</v>
      </c>
      <c r="O12">
        <v>139.63990000000001</v>
      </c>
      <c r="P12">
        <v>101.57</v>
      </c>
      <c r="Q12">
        <v>93.45</v>
      </c>
      <c r="R12">
        <v>97.747900000000001</v>
      </c>
      <c r="S12"/>
      <c r="T12"/>
      <c r="U12"/>
      <c r="V12" t="s">
        <v>170</v>
      </c>
      <c r="W12" t="s">
        <v>171</v>
      </c>
      <c r="X12"/>
      <c r="Y12">
        <v>1</v>
      </c>
      <c r="Z12" t="s">
        <v>173</v>
      </c>
      <c r="AA12" t="s">
        <v>173</v>
      </c>
      <c r="AB12" t="s">
        <v>174</v>
      </c>
      <c r="AC12" t="s">
        <v>175</v>
      </c>
      <c r="AD12"/>
      <c r="AE12"/>
      <c r="AF12">
        <v>278</v>
      </c>
      <c r="AG12" t="s">
        <v>1392</v>
      </c>
      <c r="AH12" t="s">
        <v>1393</v>
      </c>
      <c r="AI12" t="s">
        <v>178</v>
      </c>
      <c r="AJ12" t="s">
        <v>179</v>
      </c>
      <c r="AK12" t="s">
        <v>173</v>
      </c>
      <c r="AL12" t="s">
        <v>180</v>
      </c>
      <c r="AM12"/>
      <c r="AN12"/>
      <c r="AO12">
        <v>98</v>
      </c>
      <c r="AP12">
        <v>11</v>
      </c>
      <c r="AQ12"/>
      <c r="AR12"/>
      <c r="AS12">
        <v>900</v>
      </c>
      <c r="AT12">
        <v>900</v>
      </c>
      <c r="AU12"/>
      <c r="AV12"/>
      <c r="AW12"/>
      <c r="AX12"/>
      <c r="AY12"/>
      <c r="AZ12"/>
      <c r="BA12"/>
      <c r="BB12"/>
      <c r="BC12"/>
      <c r="BD12"/>
      <c r="BE12"/>
      <c r="BF12"/>
      <c r="BG12"/>
      <c r="BH12"/>
      <c r="BI12"/>
      <c r="BJ12"/>
      <c r="BK12"/>
      <c r="BL12"/>
      <c r="BM12"/>
      <c r="BN12" s="114"/>
      <c r="BO12"/>
      <c r="BP12"/>
      <c r="BQ12">
        <v>4</v>
      </c>
      <c r="BR12" t="s">
        <v>373</v>
      </c>
      <c r="BS12" t="s">
        <v>182</v>
      </c>
      <c r="BT12" t="s">
        <v>1402</v>
      </c>
      <c r="BU12" s="115">
        <v>45748</v>
      </c>
      <c r="BV12">
        <v>36339</v>
      </c>
      <c r="BW12" s="116"/>
      <c r="BX12" t="s">
        <v>172</v>
      </c>
      <c r="BY12" t="s">
        <v>173</v>
      </c>
      <c r="BZ12"/>
      <c r="CA12"/>
      <c r="CB12" t="s">
        <v>173</v>
      </c>
      <c r="CC12" t="s">
        <v>173</v>
      </c>
      <c r="CD12"/>
      <c r="CE12"/>
      <c r="CF12"/>
      <c r="CG12"/>
      <c r="CH12"/>
      <c r="CI12"/>
      <c r="CJ12"/>
      <c r="CK12" t="s">
        <v>259</v>
      </c>
      <c r="CL12"/>
      <c r="CM12">
        <v>1</v>
      </c>
      <c r="CN12" t="s">
        <v>260</v>
      </c>
      <c r="CO12"/>
      <c r="CP12">
        <v>399</v>
      </c>
      <c r="CQ12">
        <v>210.6</v>
      </c>
      <c r="CR12">
        <v>152</v>
      </c>
      <c r="CS12" t="s">
        <v>261</v>
      </c>
      <c r="CT12"/>
      <c r="CU12"/>
      <c r="CV12" t="s">
        <v>262</v>
      </c>
      <c r="CW12"/>
      <c r="CX12" t="s">
        <v>263</v>
      </c>
      <c r="CY12" t="s">
        <v>172</v>
      </c>
      <c r="CZ12"/>
      <c r="DA12"/>
      <c r="DB12"/>
      <c r="DC12"/>
      <c r="DD12">
        <v>1</v>
      </c>
      <c r="DE12" t="s">
        <v>307</v>
      </c>
      <c r="DF12" t="s">
        <v>308</v>
      </c>
      <c r="DG12">
        <v>250</v>
      </c>
      <c r="DH12"/>
      <c r="DI12"/>
      <c r="DJ12"/>
      <c r="DK12"/>
      <c r="DL12" t="s">
        <v>173</v>
      </c>
      <c r="DM12" t="s">
        <v>172</v>
      </c>
      <c r="DN12"/>
      <c r="DO12"/>
      <c r="DP12" t="s">
        <v>173</v>
      </c>
      <c r="DQ12" t="s">
        <v>189</v>
      </c>
      <c r="DR12"/>
      <c r="DS12"/>
      <c r="DT12"/>
      <c r="DU12"/>
      <c r="DV12"/>
      <c r="DW12"/>
      <c r="DX12"/>
      <c r="DY12"/>
      <c r="DZ12"/>
      <c r="EA12" s="117"/>
      <c r="EB12">
        <v>9</v>
      </c>
      <c r="EC12">
        <v>10</v>
      </c>
      <c r="ED12"/>
      <c r="EE12" t="s">
        <v>1403</v>
      </c>
      <c r="EF12">
        <v>10</v>
      </c>
      <c r="EG12"/>
      <c r="EH12"/>
      <c r="EI12"/>
      <c r="EJ12"/>
      <c r="EK12"/>
      <c r="EL12"/>
      <c r="EM12"/>
      <c r="EN12"/>
      <c r="EO12"/>
      <c r="EP12"/>
      <c r="EQ12"/>
      <c r="ER12"/>
      <c r="ES12"/>
      <c r="ET12"/>
      <c r="EU12">
        <v>4000</v>
      </c>
      <c r="EV12"/>
      <c r="EW12">
        <v>0</v>
      </c>
      <c r="EX12">
        <v>0</v>
      </c>
      <c r="EY12">
        <v>0</v>
      </c>
      <c r="EZ12"/>
      <c r="FA12">
        <v>8</v>
      </c>
      <c r="FB12"/>
      <c r="FC12"/>
      <c r="FD12"/>
      <c r="FE12"/>
      <c r="FF12"/>
      <c r="FG12" s="94">
        <v>288</v>
      </c>
      <c r="FH12" s="94">
        <v>265</v>
      </c>
      <c r="FI12" s="94">
        <v>278</v>
      </c>
    </row>
    <row r="13" spans="1:165" s="66" customFormat="1" x14ac:dyDescent="0.35">
      <c r="A13">
        <v>2026</v>
      </c>
      <c r="B13" t="s">
        <v>192</v>
      </c>
      <c r="C13" s="112" t="s">
        <v>192</v>
      </c>
      <c r="D13" t="s">
        <v>1405</v>
      </c>
      <c r="E13" t="s">
        <v>194</v>
      </c>
      <c r="F13">
        <v>511</v>
      </c>
      <c r="G13" s="113">
        <v>0</v>
      </c>
      <c r="H13"/>
      <c r="I13" t="s">
        <v>1391</v>
      </c>
      <c r="J13">
        <v>33</v>
      </c>
      <c r="K13">
        <v>36</v>
      </c>
      <c r="L13">
        <v>34</v>
      </c>
      <c r="M13">
        <v>23.2332</v>
      </c>
      <c r="N13">
        <v>25.242000000000001</v>
      </c>
      <c r="O13">
        <v>24.1372</v>
      </c>
      <c r="P13">
        <v>33.183999999999997</v>
      </c>
      <c r="Q13">
        <v>36.067399999999999</v>
      </c>
      <c r="R13">
        <v>34.481499999999997</v>
      </c>
      <c r="S13"/>
      <c r="T13"/>
      <c r="U13"/>
      <c r="V13" t="s">
        <v>170</v>
      </c>
      <c r="W13" t="s">
        <v>171</v>
      </c>
      <c r="X13"/>
      <c r="Y13">
        <v>1</v>
      </c>
      <c r="Z13" t="s">
        <v>173</v>
      </c>
      <c r="AA13" t="s">
        <v>173</v>
      </c>
      <c r="AB13" t="s">
        <v>174</v>
      </c>
      <c r="AC13" t="s">
        <v>175</v>
      </c>
      <c r="AD13"/>
      <c r="AE13"/>
      <c r="AF13">
        <v>278</v>
      </c>
      <c r="AG13" t="s">
        <v>1392</v>
      </c>
      <c r="AH13" t="s">
        <v>1393</v>
      </c>
      <c r="AI13" t="s">
        <v>1399</v>
      </c>
      <c r="AJ13" t="s">
        <v>1400</v>
      </c>
      <c r="AK13" t="s">
        <v>173</v>
      </c>
      <c r="AL13" t="s">
        <v>180</v>
      </c>
      <c r="AM13"/>
      <c r="AN13"/>
      <c r="AO13">
        <v>98</v>
      </c>
      <c r="AP13">
        <v>11</v>
      </c>
      <c r="AQ13"/>
      <c r="AR13"/>
      <c r="AS13">
        <v>900</v>
      </c>
      <c r="AT13">
        <v>900</v>
      </c>
      <c r="AU13"/>
      <c r="AV13"/>
      <c r="AW13"/>
      <c r="AX13"/>
      <c r="AY13"/>
      <c r="AZ13"/>
      <c r="BA13"/>
      <c r="BB13"/>
      <c r="BC13"/>
      <c r="BD13"/>
      <c r="BE13"/>
      <c r="BF13"/>
      <c r="BG13"/>
      <c r="BH13"/>
      <c r="BI13"/>
      <c r="BJ13"/>
      <c r="BK13"/>
      <c r="BL13"/>
      <c r="BM13"/>
      <c r="BN13" s="114"/>
      <c r="BO13"/>
      <c r="BP13"/>
      <c r="BQ13">
        <v>4</v>
      </c>
      <c r="BR13" t="s">
        <v>373</v>
      </c>
      <c r="BS13" t="s">
        <v>182</v>
      </c>
      <c r="BT13" t="s">
        <v>1402</v>
      </c>
      <c r="BU13" s="115">
        <v>45748</v>
      </c>
      <c r="BV13">
        <v>36339</v>
      </c>
      <c r="BW13" s="116"/>
      <c r="BX13" t="s">
        <v>172</v>
      </c>
      <c r="BY13" t="s">
        <v>173</v>
      </c>
      <c r="BZ13"/>
      <c r="CA13"/>
      <c r="CB13" t="s">
        <v>173</v>
      </c>
      <c r="CC13" t="s">
        <v>173</v>
      </c>
      <c r="CD13"/>
      <c r="CE13"/>
      <c r="CF13"/>
      <c r="CG13"/>
      <c r="CH13"/>
      <c r="CI13"/>
      <c r="CJ13"/>
      <c r="CK13" t="s">
        <v>259</v>
      </c>
      <c r="CL13"/>
      <c r="CM13">
        <v>1</v>
      </c>
      <c r="CN13" t="s">
        <v>260</v>
      </c>
      <c r="CO13"/>
      <c r="CP13">
        <v>399</v>
      </c>
      <c r="CQ13">
        <v>210.6</v>
      </c>
      <c r="CR13">
        <v>152</v>
      </c>
      <c r="CS13" t="s">
        <v>261</v>
      </c>
      <c r="CT13"/>
      <c r="CU13"/>
      <c r="CV13" t="s">
        <v>262</v>
      </c>
      <c r="CW13"/>
      <c r="CX13" t="s">
        <v>263</v>
      </c>
      <c r="CY13" t="s">
        <v>172</v>
      </c>
      <c r="CZ13"/>
      <c r="DA13"/>
      <c r="DB13"/>
      <c r="DC13"/>
      <c r="DD13">
        <v>1</v>
      </c>
      <c r="DE13" t="s">
        <v>307</v>
      </c>
      <c r="DF13" t="s">
        <v>308</v>
      </c>
      <c r="DG13">
        <v>250</v>
      </c>
      <c r="DH13"/>
      <c r="DI13"/>
      <c r="DJ13"/>
      <c r="DK13"/>
      <c r="DL13" t="s">
        <v>173</v>
      </c>
      <c r="DM13" t="s">
        <v>172</v>
      </c>
      <c r="DN13"/>
      <c r="DO13"/>
      <c r="DP13" t="s">
        <v>173</v>
      </c>
      <c r="DQ13" t="s">
        <v>189</v>
      </c>
      <c r="DR13"/>
      <c r="DS13"/>
      <c r="DT13"/>
      <c r="DU13"/>
      <c r="DV13"/>
      <c r="DW13"/>
      <c r="DX13"/>
      <c r="DY13"/>
      <c r="DZ13"/>
      <c r="EA13" s="117"/>
      <c r="EB13">
        <v>9</v>
      </c>
      <c r="EC13">
        <v>10</v>
      </c>
      <c r="ED13"/>
      <c r="EE13" t="s">
        <v>1403</v>
      </c>
      <c r="EF13">
        <v>10</v>
      </c>
      <c r="EG13"/>
      <c r="EH13"/>
      <c r="EI13"/>
      <c r="EJ13"/>
      <c r="EK13"/>
      <c r="EL13"/>
      <c r="EM13"/>
      <c r="EN13"/>
      <c r="EO13"/>
      <c r="EP13"/>
      <c r="EQ13"/>
      <c r="ER13"/>
      <c r="ES13"/>
      <c r="ET13"/>
      <c r="EU13">
        <v>4000</v>
      </c>
      <c r="EV13"/>
      <c r="EW13">
        <v>0</v>
      </c>
      <c r="EX13">
        <v>0</v>
      </c>
      <c r="EY13">
        <v>0</v>
      </c>
      <c r="EZ13"/>
      <c r="FA13">
        <v>8</v>
      </c>
      <c r="FB13"/>
      <c r="FC13"/>
      <c r="FD13"/>
      <c r="FE13"/>
      <c r="FF13"/>
      <c r="FG13" s="94">
        <v>288</v>
      </c>
      <c r="FH13" s="94">
        <v>265</v>
      </c>
      <c r="FI13" s="94">
        <v>278</v>
      </c>
    </row>
    <row r="14" spans="1:165" s="66" customFormat="1" x14ac:dyDescent="0.35">
      <c r="A14" s="19"/>
      <c r="B14" s="19"/>
      <c r="C14" s="19"/>
      <c r="D14" s="19"/>
      <c r="E14" s="19"/>
      <c r="F14" s="128"/>
      <c r="G14" s="19"/>
      <c r="H14" s="19"/>
      <c r="I14" s="19"/>
      <c r="J14" s="19"/>
      <c r="K14" s="19" t="str">
        <f>_xlfn.CONCAT(A15," ",C15," ",D15)</f>
        <v>2026 BMW i5 xDrive40 Sedan (19'' Wheels)</v>
      </c>
      <c r="L14" s="19"/>
      <c r="M14" s="19"/>
      <c r="N14" s="19"/>
      <c r="O14" s="19"/>
      <c r="P14" s="19"/>
      <c r="Q14" s="19"/>
      <c r="R14" s="19"/>
      <c r="S14" s="19"/>
      <c r="T14" s="19"/>
      <c r="U14" s="19"/>
      <c r="V14" s="19"/>
      <c r="W14" s="19"/>
      <c r="X14" s="19"/>
      <c r="Y14" s="19"/>
      <c r="Z14" s="19"/>
      <c r="AA14" s="19"/>
      <c r="AB14" s="19" t="str">
        <f>$K14</f>
        <v>2026 BMW i5 xDrive40 Sedan (19'' Wheels)</v>
      </c>
      <c r="AC14" s="19"/>
      <c r="AD14" s="19"/>
      <c r="AE14" s="19"/>
      <c r="AF14" s="19"/>
      <c r="AG14" s="19"/>
      <c r="AH14" s="19"/>
      <c r="AI14" s="19"/>
      <c r="AJ14" s="19"/>
      <c r="AK14" s="19"/>
      <c r="AL14" s="19"/>
      <c r="AM14" s="19"/>
      <c r="AN14" s="19"/>
      <c r="AO14" s="19"/>
      <c r="AP14" s="19"/>
      <c r="AQ14" s="19"/>
      <c r="AR14" s="19" t="str">
        <f>$K14</f>
        <v>2026 BMW i5 xDrive40 Sedan (19'' Wheels)</v>
      </c>
      <c r="AS14" s="19"/>
      <c r="AT14" s="19"/>
      <c r="AU14" s="19"/>
      <c r="AV14" s="19"/>
      <c r="AW14" s="19"/>
      <c r="AX14" s="19"/>
      <c r="AY14" s="19"/>
      <c r="AZ14" s="19"/>
      <c r="BA14" s="19"/>
      <c r="BB14" s="19"/>
      <c r="BC14" s="19"/>
      <c r="BD14" s="19"/>
      <c r="BE14" s="19"/>
      <c r="BF14" s="19"/>
      <c r="BG14" s="19" t="str">
        <f>$K14</f>
        <v>2026 BMW i5 xDrive40 Sedan (19'' Wheels)</v>
      </c>
      <c r="BH14" s="19"/>
      <c r="BI14" s="19"/>
      <c r="BJ14" s="19"/>
      <c r="BK14" s="19"/>
      <c r="BL14" s="19"/>
      <c r="BM14" s="129"/>
      <c r="BN14" s="19"/>
      <c r="BO14" s="19"/>
      <c r="BP14" s="19"/>
      <c r="BQ14" s="19"/>
      <c r="BR14" s="19"/>
      <c r="BS14" s="19"/>
      <c r="BT14" s="130"/>
      <c r="BU14" s="19"/>
      <c r="BV14" s="19"/>
      <c r="BW14" s="116"/>
      <c r="BX14" s="19"/>
      <c r="BY14" s="19"/>
      <c r="BZ14" s="19"/>
      <c r="CA14" s="19"/>
      <c r="CB14" s="19"/>
      <c r="CC14" s="19"/>
      <c r="CD14" s="19"/>
      <c r="CE14" s="19"/>
      <c r="CF14" s="19"/>
      <c r="CG14" s="19"/>
      <c r="CH14" s="19"/>
      <c r="CI14" s="19"/>
      <c r="CJ14" s="19"/>
      <c r="CK14" s="19"/>
      <c r="CL14" s="19"/>
      <c r="CM14" s="19" t="str">
        <f>$K14</f>
        <v>2026 BMW i5 xDrive40 Sedan (19'' Wheels)</v>
      </c>
      <c r="CN14" s="19"/>
      <c r="CO14" s="19"/>
      <c r="CP14" s="19"/>
      <c r="CQ14" s="19"/>
      <c r="CR14" s="19"/>
      <c r="CS14" s="19"/>
      <c r="CT14" s="19"/>
      <c r="CU14" s="19"/>
      <c r="CV14" s="19"/>
      <c r="CW14" s="19"/>
      <c r="CX14" s="19"/>
      <c r="CY14" s="19"/>
      <c r="CZ14" s="19"/>
      <c r="DA14" s="19"/>
      <c r="DB14" s="19"/>
      <c r="DC14" s="19"/>
      <c r="DD14" s="19" t="str">
        <f>$K14</f>
        <v>2026 BMW i5 xDrive40 Sedan (19'' Wheels)</v>
      </c>
      <c r="DE14" s="19"/>
      <c r="DF14" s="19"/>
      <c r="DG14" s="19"/>
      <c r="DH14" s="19"/>
      <c r="DI14" s="19"/>
      <c r="DJ14" s="19"/>
      <c r="DK14" s="19"/>
      <c r="DL14" s="19"/>
      <c r="DM14" s="19"/>
      <c r="DN14" s="19"/>
      <c r="DO14" s="19"/>
      <c r="DP14" s="19"/>
      <c r="DQ14" s="19"/>
      <c r="DR14" s="19"/>
      <c r="DS14" s="19"/>
      <c r="DT14" s="19"/>
      <c r="DU14" s="19" t="str">
        <f>$K14</f>
        <v>2026 BMW i5 xDrive40 Sedan (19'' Wheels)</v>
      </c>
      <c r="DV14" s="19"/>
      <c r="DW14" s="19"/>
      <c r="DX14" s="19"/>
      <c r="DY14" s="19"/>
      <c r="DZ14" s="19"/>
      <c r="EA14" s="117"/>
      <c r="EB14" s="19"/>
      <c r="EC14" s="19"/>
      <c r="ED14" s="19"/>
      <c r="EE14" s="19"/>
      <c r="EF14" s="19"/>
      <c r="EG14"/>
      <c r="EH14"/>
      <c r="EI14"/>
      <c r="EJ14"/>
      <c r="EK14"/>
      <c r="EL14"/>
      <c r="EM14"/>
      <c r="EN14"/>
      <c r="EO14"/>
      <c r="EP14"/>
      <c r="EQ14"/>
      <c r="ER14"/>
      <c r="ES14"/>
      <c r="ET14"/>
      <c r="EU14"/>
      <c r="EV14"/>
      <c r="EW14"/>
      <c r="EX14" s="19" t="s">
        <v>1936</v>
      </c>
      <c r="EY14"/>
      <c r="EZ14"/>
      <c r="FA14"/>
      <c r="FB14"/>
      <c r="FC14"/>
      <c r="FD14"/>
      <c r="FE14"/>
      <c r="FF14"/>
      <c r="FG14"/>
      <c r="FH14"/>
      <c r="FI14"/>
    </row>
    <row r="15" spans="1:165" s="66" customFormat="1" x14ac:dyDescent="0.35">
      <c r="A15">
        <v>2026</v>
      </c>
      <c r="B15" t="s">
        <v>192</v>
      </c>
      <c r="C15" s="112" t="s">
        <v>192</v>
      </c>
      <c r="D15" t="s">
        <v>1406</v>
      </c>
      <c r="E15" t="s">
        <v>194</v>
      </c>
      <c r="F15">
        <v>515</v>
      </c>
      <c r="G15" s="113">
        <v>0</v>
      </c>
      <c r="H15"/>
      <c r="I15" t="s">
        <v>1391</v>
      </c>
      <c r="J15">
        <v>99</v>
      </c>
      <c r="K15">
        <v>97</v>
      </c>
      <c r="L15">
        <v>98</v>
      </c>
      <c r="M15">
        <v>141.30000000000001</v>
      </c>
      <c r="N15">
        <v>138.6</v>
      </c>
      <c r="O15">
        <v>140.07210000000001</v>
      </c>
      <c r="P15">
        <v>98.91</v>
      </c>
      <c r="Q15">
        <v>97.02</v>
      </c>
      <c r="R15">
        <v>98.0505</v>
      </c>
      <c r="S15"/>
      <c r="T15"/>
      <c r="U15"/>
      <c r="V15" t="s">
        <v>170</v>
      </c>
      <c r="W15" t="s">
        <v>171</v>
      </c>
      <c r="X15"/>
      <c r="Y15">
        <v>1</v>
      </c>
      <c r="Z15" t="s">
        <v>173</v>
      </c>
      <c r="AA15" t="s">
        <v>173</v>
      </c>
      <c r="AB15" t="s">
        <v>170</v>
      </c>
      <c r="AC15" t="s">
        <v>232</v>
      </c>
      <c r="AD15"/>
      <c r="AE15"/>
      <c r="AF15">
        <v>278</v>
      </c>
      <c r="AG15" t="s">
        <v>1392</v>
      </c>
      <c r="AH15" t="s">
        <v>1393</v>
      </c>
      <c r="AI15" t="s">
        <v>178</v>
      </c>
      <c r="AJ15" t="s">
        <v>179</v>
      </c>
      <c r="AK15" t="s">
        <v>173</v>
      </c>
      <c r="AL15" t="s">
        <v>180</v>
      </c>
      <c r="AM15"/>
      <c r="AN15"/>
      <c r="AO15">
        <v>98</v>
      </c>
      <c r="AP15">
        <v>11</v>
      </c>
      <c r="AQ15"/>
      <c r="AR15"/>
      <c r="AS15">
        <v>900</v>
      </c>
      <c r="AT15">
        <v>900</v>
      </c>
      <c r="AU15"/>
      <c r="AV15"/>
      <c r="AW15"/>
      <c r="AX15"/>
      <c r="AY15"/>
      <c r="AZ15"/>
      <c r="BA15"/>
      <c r="BB15"/>
      <c r="BC15"/>
      <c r="BD15"/>
      <c r="BE15"/>
      <c r="BF15"/>
      <c r="BG15"/>
      <c r="BH15"/>
      <c r="BI15"/>
      <c r="BJ15"/>
      <c r="BK15"/>
      <c r="BL15"/>
      <c r="BM15"/>
      <c r="BN15" s="114"/>
      <c r="BO15"/>
      <c r="BP15"/>
      <c r="BQ15">
        <v>4</v>
      </c>
      <c r="BR15" t="s">
        <v>373</v>
      </c>
      <c r="BS15" t="s">
        <v>182</v>
      </c>
      <c r="BT15" t="s">
        <v>1402</v>
      </c>
      <c r="BU15" s="115">
        <v>45748</v>
      </c>
      <c r="BV15">
        <v>36342</v>
      </c>
      <c r="BW15" s="116"/>
      <c r="BX15" t="s">
        <v>172</v>
      </c>
      <c r="BY15" t="s">
        <v>173</v>
      </c>
      <c r="BZ15"/>
      <c r="CA15"/>
      <c r="CB15" t="s">
        <v>173</v>
      </c>
      <c r="CC15" t="s">
        <v>173</v>
      </c>
      <c r="CD15"/>
      <c r="CE15"/>
      <c r="CF15"/>
      <c r="CG15"/>
      <c r="CH15"/>
      <c r="CI15"/>
      <c r="CJ15"/>
      <c r="CK15" t="s">
        <v>259</v>
      </c>
      <c r="CL15"/>
      <c r="CM15">
        <v>1</v>
      </c>
      <c r="CN15" t="s">
        <v>260</v>
      </c>
      <c r="CO15"/>
      <c r="CP15">
        <v>399</v>
      </c>
      <c r="CQ15">
        <v>210.6</v>
      </c>
      <c r="CR15">
        <v>152</v>
      </c>
      <c r="CS15" t="s">
        <v>261</v>
      </c>
      <c r="CT15"/>
      <c r="CU15"/>
      <c r="CV15" t="s">
        <v>262</v>
      </c>
      <c r="CW15"/>
      <c r="CX15" t="s">
        <v>263</v>
      </c>
      <c r="CY15" t="s">
        <v>172</v>
      </c>
      <c r="CZ15"/>
      <c r="DA15"/>
      <c r="DB15"/>
      <c r="DC15"/>
      <c r="DD15">
        <v>2</v>
      </c>
      <c r="DE15" t="s">
        <v>307</v>
      </c>
      <c r="DF15" t="s">
        <v>308</v>
      </c>
      <c r="DG15" t="s">
        <v>1407</v>
      </c>
      <c r="DH15"/>
      <c r="DI15"/>
      <c r="DJ15"/>
      <c r="DK15"/>
      <c r="DL15" t="s">
        <v>173</v>
      </c>
      <c r="DM15" t="s">
        <v>172</v>
      </c>
      <c r="DN15"/>
      <c r="DO15"/>
      <c r="DP15" t="s">
        <v>173</v>
      </c>
      <c r="DQ15" t="s">
        <v>189</v>
      </c>
      <c r="DR15"/>
      <c r="DS15"/>
      <c r="DT15"/>
      <c r="DU15"/>
      <c r="DV15"/>
      <c r="DW15"/>
      <c r="DX15"/>
      <c r="DY15"/>
      <c r="DZ15"/>
      <c r="EA15" s="117"/>
      <c r="EB15">
        <v>9</v>
      </c>
      <c r="EC15">
        <v>10</v>
      </c>
      <c r="ED15"/>
      <c r="EE15" t="s">
        <v>1408</v>
      </c>
      <c r="EF15">
        <v>10</v>
      </c>
      <c r="EG15"/>
      <c r="EH15"/>
      <c r="EI15"/>
      <c r="EJ15"/>
      <c r="EK15"/>
      <c r="EL15"/>
      <c r="EM15"/>
      <c r="EN15"/>
      <c r="EO15"/>
      <c r="EP15"/>
      <c r="EQ15"/>
      <c r="ER15"/>
      <c r="ES15"/>
      <c r="ET15"/>
      <c r="EU15">
        <v>4000</v>
      </c>
      <c r="EV15"/>
      <c r="EW15">
        <v>0</v>
      </c>
      <c r="EX15">
        <v>0</v>
      </c>
      <c r="EY15">
        <v>0</v>
      </c>
      <c r="EZ15"/>
      <c r="FA15">
        <v>8</v>
      </c>
      <c r="FB15"/>
      <c r="FC15"/>
      <c r="FD15"/>
      <c r="FE15"/>
      <c r="FF15"/>
      <c r="FG15" s="94">
        <v>280</v>
      </c>
      <c r="FH15" s="94">
        <v>275</v>
      </c>
      <c r="FI15" s="94">
        <v>278</v>
      </c>
    </row>
    <row r="16" spans="1:165" s="66" customFormat="1" x14ac:dyDescent="0.35">
      <c r="A16">
        <v>2026</v>
      </c>
      <c r="B16" t="s">
        <v>192</v>
      </c>
      <c r="C16" s="112" t="s">
        <v>192</v>
      </c>
      <c r="D16" t="s">
        <v>1406</v>
      </c>
      <c r="E16" t="s">
        <v>194</v>
      </c>
      <c r="F16">
        <v>515</v>
      </c>
      <c r="G16" s="113">
        <v>0</v>
      </c>
      <c r="H16"/>
      <c r="I16" t="s">
        <v>1391</v>
      </c>
      <c r="J16">
        <v>34</v>
      </c>
      <c r="K16">
        <v>35</v>
      </c>
      <c r="L16">
        <v>34</v>
      </c>
      <c r="M16">
        <v>23.8551</v>
      </c>
      <c r="N16">
        <v>24.3125</v>
      </c>
      <c r="O16">
        <v>24.0609</v>
      </c>
      <c r="P16">
        <v>34.0764</v>
      </c>
      <c r="Q16">
        <v>34.740299999999998</v>
      </c>
      <c r="R16">
        <v>34.3752</v>
      </c>
      <c r="S16"/>
      <c r="T16"/>
      <c r="U16"/>
      <c r="V16" t="s">
        <v>170</v>
      </c>
      <c r="W16" t="s">
        <v>171</v>
      </c>
      <c r="X16"/>
      <c r="Y16">
        <v>1</v>
      </c>
      <c r="Z16" t="s">
        <v>173</v>
      </c>
      <c r="AA16" t="s">
        <v>173</v>
      </c>
      <c r="AB16" t="s">
        <v>170</v>
      </c>
      <c r="AC16" t="s">
        <v>232</v>
      </c>
      <c r="AD16"/>
      <c r="AE16"/>
      <c r="AF16">
        <v>278</v>
      </c>
      <c r="AG16" t="s">
        <v>1392</v>
      </c>
      <c r="AH16" t="s">
        <v>1393</v>
      </c>
      <c r="AI16" t="s">
        <v>1399</v>
      </c>
      <c r="AJ16" t="s">
        <v>1400</v>
      </c>
      <c r="AK16" t="s">
        <v>173</v>
      </c>
      <c r="AL16" t="s">
        <v>180</v>
      </c>
      <c r="AM16"/>
      <c r="AN16"/>
      <c r="AO16">
        <v>98</v>
      </c>
      <c r="AP16">
        <v>11</v>
      </c>
      <c r="AQ16"/>
      <c r="AR16"/>
      <c r="AS16">
        <v>900</v>
      </c>
      <c r="AT16">
        <v>900</v>
      </c>
      <c r="AU16"/>
      <c r="AV16"/>
      <c r="AW16"/>
      <c r="AX16"/>
      <c r="AY16"/>
      <c r="AZ16"/>
      <c r="BA16"/>
      <c r="BB16"/>
      <c r="BC16"/>
      <c r="BD16"/>
      <c r="BE16"/>
      <c r="BF16"/>
      <c r="BG16"/>
      <c r="BH16"/>
      <c r="BI16"/>
      <c r="BJ16"/>
      <c r="BK16"/>
      <c r="BL16"/>
      <c r="BM16"/>
      <c r="BN16" s="114"/>
      <c r="BO16"/>
      <c r="BP16"/>
      <c r="BQ16">
        <v>4</v>
      </c>
      <c r="BR16" t="s">
        <v>373</v>
      </c>
      <c r="BS16" t="s">
        <v>182</v>
      </c>
      <c r="BT16" t="s">
        <v>1402</v>
      </c>
      <c r="BU16" s="115">
        <v>45748</v>
      </c>
      <c r="BV16">
        <v>36342</v>
      </c>
      <c r="BW16" s="116"/>
      <c r="BX16" t="s">
        <v>172</v>
      </c>
      <c r="BY16" t="s">
        <v>173</v>
      </c>
      <c r="BZ16"/>
      <c r="CA16"/>
      <c r="CB16" t="s">
        <v>173</v>
      </c>
      <c r="CC16" t="s">
        <v>173</v>
      </c>
      <c r="CD16"/>
      <c r="CE16"/>
      <c r="CF16"/>
      <c r="CG16"/>
      <c r="CH16"/>
      <c r="CI16"/>
      <c r="CJ16"/>
      <c r="CK16" t="s">
        <v>259</v>
      </c>
      <c r="CL16"/>
      <c r="CM16">
        <v>1</v>
      </c>
      <c r="CN16" t="s">
        <v>260</v>
      </c>
      <c r="CO16"/>
      <c r="CP16">
        <v>399</v>
      </c>
      <c r="CQ16">
        <v>210.6</v>
      </c>
      <c r="CR16">
        <v>152</v>
      </c>
      <c r="CS16" t="s">
        <v>261</v>
      </c>
      <c r="CT16"/>
      <c r="CU16"/>
      <c r="CV16" t="s">
        <v>262</v>
      </c>
      <c r="CW16"/>
      <c r="CX16" t="s">
        <v>263</v>
      </c>
      <c r="CY16" t="s">
        <v>172</v>
      </c>
      <c r="CZ16"/>
      <c r="DA16"/>
      <c r="DB16"/>
      <c r="DC16"/>
      <c r="DD16">
        <v>2</v>
      </c>
      <c r="DE16" t="s">
        <v>307</v>
      </c>
      <c r="DF16" t="s">
        <v>308</v>
      </c>
      <c r="DG16" t="s">
        <v>1407</v>
      </c>
      <c r="DH16"/>
      <c r="DI16"/>
      <c r="DJ16"/>
      <c r="DK16"/>
      <c r="DL16" t="s">
        <v>173</v>
      </c>
      <c r="DM16" t="s">
        <v>172</v>
      </c>
      <c r="DN16"/>
      <c r="DO16"/>
      <c r="DP16" t="s">
        <v>173</v>
      </c>
      <c r="DQ16" t="s">
        <v>189</v>
      </c>
      <c r="DR16"/>
      <c r="DS16"/>
      <c r="DT16"/>
      <c r="DU16"/>
      <c r="DV16"/>
      <c r="DW16"/>
      <c r="DX16"/>
      <c r="DY16"/>
      <c r="DZ16"/>
      <c r="EA16" s="117"/>
      <c r="EB16">
        <v>9</v>
      </c>
      <c r="EC16">
        <v>10</v>
      </c>
      <c r="ED16"/>
      <c r="EE16" t="s">
        <v>1408</v>
      </c>
      <c r="EF16">
        <v>10</v>
      </c>
      <c r="EG16"/>
      <c r="EH16"/>
      <c r="EI16"/>
      <c r="EJ16"/>
      <c r="EK16"/>
      <c r="EL16"/>
      <c r="EM16"/>
      <c r="EN16"/>
      <c r="EO16"/>
      <c r="EP16"/>
      <c r="EQ16"/>
      <c r="ER16"/>
      <c r="ES16"/>
      <c r="ET16"/>
      <c r="EU16">
        <v>4000</v>
      </c>
      <c r="EV16"/>
      <c r="EW16">
        <v>0</v>
      </c>
      <c r="EX16">
        <v>0</v>
      </c>
      <c r="EY16">
        <v>0</v>
      </c>
      <c r="EZ16"/>
      <c r="FA16">
        <v>8</v>
      </c>
      <c r="FB16"/>
      <c r="FC16"/>
      <c r="FD16"/>
      <c r="FE16"/>
      <c r="FF16"/>
      <c r="FG16" s="94">
        <v>280</v>
      </c>
      <c r="FH16" s="94">
        <v>275</v>
      </c>
      <c r="FI16" s="94">
        <v>278</v>
      </c>
    </row>
    <row r="17" spans="1:165" s="66" customFormat="1" x14ac:dyDescent="0.35">
      <c r="A17" s="19"/>
      <c r="B17" s="19"/>
      <c r="C17" s="19"/>
      <c r="D17" s="19"/>
      <c r="E17" s="19"/>
      <c r="F17" s="128"/>
      <c r="G17" s="19"/>
      <c r="H17" s="19"/>
      <c r="I17" s="19"/>
      <c r="J17" s="19"/>
      <c r="K17" s="19" t="str">
        <f>_xlfn.CONCAT(A18," ",C18," ",D18)</f>
        <v>2026 BMW i5 xDrive40 Sedan (20'' Wheels)</v>
      </c>
      <c r="L17" s="19"/>
      <c r="M17" s="19"/>
      <c r="N17" s="19"/>
      <c r="O17" s="19"/>
      <c r="P17" s="19"/>
      <c r="Q17" s="19"/>
      <c r="R17" s="19"/>
      <c r="S17" s="19"/>
      <c r="T17" s="19"/>
      <c r="U17" s="19"/>
      <c r="V17" s="19"/>
      <c r="W17" s="19"/>
      <c r="X17" s="19"/>
      <c r="Y17" s="19"/>
      <c r="Z17" s="19"/>
      <c r="AA17" s="19"/>
      <c r="AB17" s="19" t="str">
        <f>$K17</f>
        <v>2026 BMW i5 xDrive40 Sedan (20'' Wheels)</v>
      </c>
      <c r="AC17" s="19"/>
      <c r="AD17" s="19"/>
      <c r="AE17" s="19"/>
      <c r="AF17" s="19"/>
      <c r="AG17" s="19"/>
      <c r="AH17" s="19"/>
      <c r="AI17" s="19"/>
      <c r="AJ17" s="19"/>
      <c r="AK17" s="19"/>
      <c r="AL17" s="19"/>
      <c r="AM17" s="19"/>
      <c r="AN17" s="19"/>
      <c r="AO17" s="19"/>
      <c r="AP17" s="19"/>
      <c r="AQ17" s="19"/>
      <c r="AR17" s="19" t="str">
        <f>$K17</f>
        <v>2026 BMW i5 xDrive40 Sedan (20'' Wheels)</v>
      </c>
      <c r="AS17" s="19"/>
      <c r="AT17" s="19"/>
      <c r="AU17" s="19"/>
      <c r="AV17" s="19"/>
      <c r="AW17" s="19"/>
      <c r="AX17" s="19"/>
      <c r="AY17" s="19"/>
      <c r="AZ17" s="19"/>
      <c r="BA17" s="19"/>
      <c r="BB17" s="19"/>
      <c r="BC17" s="19"/>
      <c r="BD17" s="19"/>
      <c r="BE17" s="19"/>
      <c r="BF17" s="19"/>
      <c r="BG17" s="19" t="str">
        <f>$K17</f>
        <v>2026 BMW i5 xDrive40 Sedan (20'' Wheels)</v>
      </c>
      <c r="BH17" s="19"/>
      <c r="BI17" s="19"/>
      <c r="BJ17" s="19"/>
      <c r="BK17" s="19"/>
      <c r="BL17" s="19"/>
      <c r="BM17" s="129"/>
      <c r="BN17" s="19"/>
      <c r="BO17" s="19"/>
      <c r="BP17" s="19"/>
      <c r="BQ17" s="19"/>
      <c r="BR17" s="19"/>
      <c r="BS17" s="19"/>
      <c r="BT17" s="130"/>
      <c r="BU17" s="19"/>
      <c r="BV17" s="19"/>
      <c r="BW17" s="116"/>
      <c r="BX17" s="19"/>
      <c r="BY17" s="19"/>
      <c r="BZ17" s="19"/>
      <c r="CA17" s="19"/>
      <c r="CB17" s="19"/>
      <c r="CC17" s="19"/>
      <c r="CD17" s="19"/>
      <c r="CE17" s="19"/>
      <c r="CF17" s="19"/>
      <c r="CG17" s="19"/>
      <c r="CH17" s="19"/>
      <c r="CI17" s="19"/>
      <c r="CJ17" s="19"/>
      <c r="CK17" s="19"/>
      <c r="CL17" s="19"/>
      <c r="CM17" s="19" t="str">
        <f>$K17</f>
        <v>2026 BMW i5 xDrive40 Sedan (20'' Wheels)</v>
      </c>
      <c r="CN17" s="19"/>
      <c r="CO17" s="19"/>
      <c r="CP17" s="19"/>
      <c r="CQ17" s="19"/>
      <c r="CR17" s="19"/>
      <c r="CS17" s="19"/>
      <c r="CT17" s="19"/>
      <c r="CU17" s="19"/>
      <c r="CV17" s="19"/>
      <c r="CW17" s="19"/>
      <c r="CX17" s="19"/>
      <c r="CY17" s="19"/>
      <c r="CZ17" s="19"/>
      <c r="DA17" s="19"/>
      <c r="DB17" s="19"/>
      <c r="DC17" s="19"/>
      <c r="DD17" s="19" t="str">
        <f>$K17</f>
        <v>2026 BMW i5 xDrive40 Sedan (20'' Wheels)</v>
      </c>
      <c r="DE17" s="19"/>
      <c r="DF17" s="19"/>
      <c r="DG17" s="19"/>
      <c r="DH17" s="19"/>
      <c r="DI17" s="19"/>
      <c r="DJ17" s="19"/>
      <c r="DK17" s="19"/>
      <c r="DL17" s="19"/>
      <c r="DM17" s="19"/>
      <c r="DN17" s="19"/>
      <c r="DO17" s="19"/>
      <c r="DP17" s="19"/>
      <c r="DQ17" s="19"/>
      <c r="DR17" s="19"/>
      <c r="DS17" s="19"/>
      <c r="DT17" s="19"/>
      <c r="DU17" s="19" t="str">
        <f>$K17</f>
        <v>2026 BMW i5 xDrive40 Sedan (20'' Wheels)</v>
      </c>
      <c r="DV17" s="19"/>
      <c r="DW17" s="19"/>
      <c r="DX17" s="19"/>
      <c r="DY17" s="19"/>
      <c r="DZ17" s="19"/>
      <c r="EA17" s="117"/>
      <c r="EB17" s="19"/>
      <c r="EC17" s="19"/>
      <c r="ED17" s="19"/>
      <c r="EE17" s="19"/>
      <c r="EF17" s="19"/>
      <c r="EG17"/>
      <c r="EH17"/>
      <c r="EI17"/>
      <c r="EJ17"/>
      <c r="EK17"/>
      <c r="EL17"/>
      <c r="EM17"/>
      <c r="EN17"/>
      <c r="EO17"/>
      <c r="EP17"/>
      <c r="EQ17"/>
      <c r="ER17"/>
      <c r="ES17"/>
      <c r="ET17"/>
      <c r="EU17"/>
      <c r="EV17"/>
      <c r="EW17"/>
      <c r="EX17" s="19" t="s">
        <v>1937</v>
      </c>
      <c r="EY17"/>
      <c r="EZ17"/>
      <c r="FA17"/>
      <c r="FB17"/>
      <c r="FC17"/>
      <c r="FD17"/>
      <c r="FE17"/>
      <c r="FF17"/>
      <c r="FG17"/>
      <c r="FH17"/>
      <c r="FI17"/>
    </row>
    <row r="18" spans="1:165" s="66" customFormat="1" x14ac:dyDescent="0.35">
      <c r="A18">
        <v>2026</v>
      </c>
      <c r="B18" t="s">
        <v>192</v>
      </c>
      <c r="C18" s="112" t="s">
        <v>192</v>
      </c>
      <c r="D18" t="s">
        <v>1409</v>
      </c>
      <c r="E18" t="s">
        <v>194</v>
      </c>
      <c r="F18">
        <v>516</v>
      </c>
      <c r="G18" s="113">
        <v>0</v>
      </c>
      <c r="H18"/>
      <c r="I18" t="s">
        <v>1391</v>
      </c>
      <c r="J18">
        <v>97</v>
      </c>
      <c r="K18">
        <v>94</v>
      </c>
      <c r="L18">
        <v>96</v>
      </c>
      <c r="M18">
        <v>138.30000000000001</v>
      </c>
      <c r="N18">
        <v>134.80000000000001</v>
      </c>
      <c r="O18">
        <v>136.7028</v>
      </c>
      <c r="P18">
        <v>96.81</v>
      </c>
      <c r="Q18">
        <v>94.36</v>
      </c>
      <c r="R18">
        <v>95.691999999999993</v>
      </c>
      <c r="S18"/>
      <c r="T18"/>
      <c r="U18"/>
      <c r="V18" t="s">
        <v>170</v>
      </c>
      <c r="W18" t="s">
        <v>171</v>
      </c>
      <c r="X18"/>
      <c r="Y18">
        <v>1</v>
      </c>
      <c r="Z18" t="s">
        <v>173</v>
      </c>
      <c r="AA18" t="s">
        <v>173</v>
      </c>
      <c r="AB18" t="s">
        <v>170</v>
      </c>
      <c r="AC18" t="s">
        <v>232</v>
      </c>
      <c r="AD18"/>
      <c r="AE18"/>
      <c r="AF18">
        <v>272</v>
      </c>
      <c r="AG18" t="s">
        <v>1392</v>
      </c>
      <c r="AH18" t="s">
        <v>1393</v>
      </c>
      <c r="AI18" t="s">
        <v>178</v>
      </c>
      <c r="AJ18" t="s">
        <v>179</v>
      </c>
      <c r="AK18" t="s">
        <v>173</v>
      </c>
      <c r="AL18" t="s">
        <v>180</v>
      </c>
      <c r="AM18"/>
      <c r="AN18"/>
      <c r="AO18">
        <v>98</v>
      </c>
      <c r="AP18">
        <v>11</v>
      </c>
      <c r="AQ18"/>
      <c r="AR18"/>
      <c r="AS18">
        <v>900</v>
      </c>
      <c r="AT18">
        <v>900</v>
      </c>
      <c r="AU18"/>
      <c r="AV18"/>
      <c r="AW18"/>
      <c r="AX18"/>
      <c r="AY18"/>
      <c r="AZ18"/>
      <c r="BA18"/>
      <c r="BB18"/>
      <c r="BC18"/>
      <c r="BD18"/>
      <c r="BE18"/>
      <c r="BF18"/>
      <c r="BG18"/>
      <c r="BH18"/>
      <c r="BI18"/>
      <c r="BJ18"/>
      <c r="BK18"/>
      <c r="BL18"/>
      <c r="BM18"/>
      <c r="BN18" s="114"/>
      <c r="BO18"/>
      <c r="BP18"/>
      <c r="BQ18">
        <v>4</v>
      </c>
      <c r="BR18" t="s">
        <v>373</v>
      </c>
      <c r="BS18" t="s">
        <v>182</v>
      </c>
      <c r="BT18" t="s">
        <v>1402</v>
      </c>
      <c r="BU18" s="115">
        <v>45748</v>
      </c>
      <c r="BV18">
        <v>36343</v>
      </c>
      <c r="BW18" s="116"/>
      <c r="BX18" t="s">
        <v>172</v>
      </c>
      <c r="BY18" t="s">
        <v>173</v>
      </c>
      <c r="BZ18"/>
      <c r="CA18"/>
      <c r="CB18" t="s">
        <v>173</v>
      </c>
      <c r="CC18" t="s">
        <v>173</v>
      </c>
      <c r="CD18"/>
      <c r="CE18"/>
      <c r="CF18"/>
      <c r="CG18"/>
      <c r="CH18"/>
      <c r="CI18"/>
      <c r="CJ18"/>
      <c r="CK18" t="s">
        <v>259</v>
      </c>
      <c r="CL18"/>
      <c r="CM18">
        <v>1</v>
      </c>
      <c r="CN18" t="s">
        <v>260</v>
      </c>
      <c r="CO18"/>
      <c r="CP18">
        <v>399</v>
      </c>
      <c r="CQ18">
        <v>210.6</v>
      </c>
      <c r="CR18">
        <v>152</v>
      </c>
      <c r="CS18" t="s">
        <v>261</v>
      </c>
      <c r="CT18"/>
      <c r="CU18"/>
      <c r="CV18" t="s">
        <v>262</v>
      </c>
      <c r="CW18"/>
      <c r="CX18" t="s">
        <v>263</v>
      </c>
      <c r="CY18" t="s">
        <v>172</v>
      </c>
      <c r="CZ18"/>
      <c r="DA18"/>
      <c r="DB18"/>
      <c r="DC18"/>
      <c r="DD18">
        <v>2</v>
      </c>
      <c r="DE18" t="s">
        <v>307</v>
      </c>
      <c r="DF18" t="s">
        <v>308</v>
      </c>
      <c r="DG18" t="s">
        <v>1407</v>
      </c>
      <c r="DH18"/>
      <c r="DI18"/>
      <c r="DJ18"/>
      <c r="DK18"/>
      <c r="DL18" t="s">
        <v>173</v>
      </c>
      <c r="DM18" t="s">
        <v>172</v>
      </c>
      <c r="DN18"/>
      <c r="DO18"/>
      <c r="DP18" t="s">
        <v>173</v>
      </c>
      <c r="DQ18" t="s">
        <v>189</v>
      </c>
      <c r="DR18"/>
      <c r="DS18"/>
      <c r="DT18"/>
      <c r="DU18"/>
      <c r="DV18"/>
      <c r="DW18"/>
      <c r="DX18"/>
      <c r="DY18"/>
      <c r="DZ18"/>
      <c r="EA18" s="117"/>
      <c r="EB18">
        <v>9</v>
      </c>
      <c r="EC18">
        <v>10</v>
      </c>
      <c r="ED18"/>
      <c r="EE18" t="s">
        <v>1408</v>
      </c>
      <c r="EF18">
        <v>10</v>
      </c>
      <c r="EG18"/>
      <c r="EH18"/>
      <c r="EI18"/>
      <c r="EJ18"/>
      <c r="EK18"/>
      <c r="EL18"/>
      <c r="EM18"/>
      <c r="EN18"/>
      <c r="EO18"/>
      <c r="EP18"/>
      <c r="EQ18"/>
      <c r="ER18"/>
      <c r="ES18"/>
      <c r="ET18"/>
      <c r="EU18">
        <v>4000</v>
      </c>
      <c r="EV18"/>
      <c r="EW18">
        <v>0</v>
      </c>
      <c r="EX18">
        <v>0</v>
      </c>
      <c r="EY18">
        <v>0</v>
      </c>
      <c r="EZ18"/>
      <c r="FA18">
        <v>8</v>
      </c>
      <c r="FB18"/>
      <c r="FC18"/>
      <c r="FD18"/>
      <c r="FE18"/>
      <c r="FF18"/>
      <c r="FG18" s="94">
        <v>275</v>
      </c>
      <c r="FH18" s="94">
        <v>268</v>
      </c>
      <c r="FI18" s="94">
        <v>272</v>
      </c>
    </row>
    <row r="19" spans="1:165" s="66" customFormat="1" x14ac:dyDescent="0.35">
      <c r="A19">
        <v>2026</v>
      </c>
      <c r="B19" t="s">
        <v>192</v>
      </c>
      <c r="C19" s="112" t="s">
        <v>192</v>
      </c>
      <c r="D19" t="s">
        <v>1409</v>
      </c>
      <c r="E19" t="s">
        <v>194</v>
      </c>
      <c r="F19">
        <v>516</v>
      </c>
      <c r="G19" s="113">
        <v>0</v>
      </c>
      <c r="H19"/>
      <c r="I19" t="s">
        <v>1391</v>
      </c>
      <c r="J19">
        <v>35</v>
      </c>
      <c r="K19">
        <v>36</v>
      </c>
      <c r="L19">
        <v>35</v>
      </c>
      <c r="M19">
        <v>24.372499999999999</v>
      </c>
      <c r="N19">
        <v>25.007200000000001</v>
      </c>
      <c r="O19">
        <v>24.658100000000001</v>
      </c>
      <c r="P19">
        <v>34.815600000000003</v>
      </c>
      <c r="Q19">
        <v>35.7196</v>
      </c>
      <c r="R19">
        <v>35.2224</v>
      </c>
      <c r="S19"/>
      <c r="T19"/>
      <c r="U19"/>
      <c r="V19" t="s">
        <v>170</v>
      </c>
      <c r="W19" t="s">
        <v>171</v>
      </c>
      <c r="X19"/>
      <c r="Y19">
        <v>1</v>
      </c>
      <c r="Z19" t="s">
        <v>173</v>
      </c>
      <c r="AA19" t="s">
        <v>173</v>
      </c>
      <c r="AB19" t="s">
        <v>170</v>
      </c>
      <c r="AC19" t="s">
        <v>232</v>
      </c>
      <c r="AD19"/>
      <c r="AE19"/>
      <c r="AF19">
        <v>272</v>
      </c>
      <c r="AG19" t="s">
        <v>1392</v>
      </c>
      <c r="AH19" t="s">
        <v>1393</v>
      </c>
      <c r="AI19" t="s">
        <v>1399</v>
      </c>
      <c r="AJ19" t="s">
        <v>1400</v>
      </c>
      <c r="AK19" t="s">
        <v>173</v>
      </c>
      <c r="AL19" t="s">
        <v>180</v>
      </c>
      <c r="AM19"/>
      <c r="AN19"/>
      <c r="AO19">
        <v>98</v>
      </c>
      <c r="AP19">
        <v>11</v>
      </c>
      <c r="AQ19"/>
      <c r="AR19"/>
      <c r="AS19">
        <v>900</v>
      </c>
      <c r="AT19">
        <v>900</v>
      </c>
      <c r="AU19"/>
      <c r="AV19"/>
      <c r="AW19"/>
      <c r="AX19"/>
      <c r="AY19"/>
      <c r="AZ19"/>
      <c r="BA19"/>
      <c r="BB19"/>
      <c r="BC19"/>
      <c r="BD19"/>
      <c r="BE19"/>
      <c r="BF19"/>
      <c r="BG19"/>
      <c r="BH19"/>
      <c r="BI19"/>
      <c r="BJ19"/>
      <c r="BK19"/>
      <c r="BL19"/>
      <c r="BM19"/>
      <c r="BN19" s="114"/>
      <c r="BO19"/>
      <c r="BP19"/>
      <c r="BQ19">
        <v>4</v>
      </c>
      <c r="BR19" t="s">
        <v>373</v>
      </c>
      <c r="BS19" t="s">
        <v>182</v>
      </c>
      <c r="BT19" t="s">
        <v>1402</v>
      </c>
      <c r="BU19" s="115">
        <v>45748</v>
      </c>
      <c r="BV19">
        <v>36343</v>
      </c>
      <c r="BW19" s="116"/>
      <c r="BX19" t="s">
        <v>172</v>
      </c>
      <c r="BY19" t="s">
        <v>173</v>
      </c>
      <c r="BZ19"/>
      <c r="CA19"/>
      <c r="CB19" t="s">
        <v>173</v>
      </c>
      <c r="CC19" t="s">
        <v>173</v>
      </c>
      <c r="CD19"/>
      <c r="CE19"/>
      <c r="CF19"/>
      <c r="CG19"/>
      <c r="CH19"/>
      <c r="CI19"/>
      <c r="CJ19"/>
      <c r="CK19" t="s">
        <v>259</v>
      </c>
      <c r="CL19"/>
      <c r="CM19">
        <v>1</v>
      </c>
      <c r="CN19" t="s">
        <v>260</v>
      </c>
      <c r="CO19"/>
      <c r="CP19">
        <v>399</v>
      </c>
      <c r="CQ19">
        <v>210.6</v>
      </c>
      <c r="CR19">
        <v>152</v>
      </c>
      <c r="CS19" t="s">
        <v>261</v>
      </c>
      <c r="CT19"/>
      <c r="CU19"/>
      <c r="CV19" t="s">
        <v>262</v>
      </c>
      <c r="CW19"/>
      <c r="CX19" t="s">
        <v>263</v>
      </c>
      <c r="CY19" t="s">
        <v>172</v>
      </c>
      <c r="CZ19"/>
      <c r="DA19"/>
      <c r="DB19"/>
      <c r="DC19"/>
      <c r="DD19">
        <v>2</v>
      </c>
      <c r="DE19" t="s">
        <v>307</v>
      </c>
      <c r="DF19" t="s">
        <v>308</v>
      </c>
      <c r="DG19" t="s">
        <v>1407</v>
      </c>
      <c r="DH19"/>
      <c r="DI19"/>
      <c r="DJ19"/>
      <c r="DK19"/>
      <c r="DL19" t="s">
        <v>173</v>
      </c>
      <c r="DM19" t="s">
        <v>172</v>
      </c>
      <c r="DN19"/>
      <c r="DO19"/>
      <c r="DP19" t="s">
        <v>173</v>
      </c>
      <c r="DQ19" t="s">
        <v>189</v>
      </c>
      <c r="DR19"/>
      <c r="DS19"/>
      <c r="DT19"/>
      <c r="DU19"/>
      <c r="DV19"/>
      <c r="DW19"/>
      <c r="DX19"/>
      <c r="DY19"/>
      <c r="DZ19"/>
      <c r="EA19" s="117"/>
      <c r="EB19">
        <v>9</v>
      </c>
      <c r="EC19">
        <v>10</v>
      </c>
      <c r="ED19"/>
      <c r="EE19" t="s">
        <v>1408</v>
      </c>
      <c r="EF19">
        <v>10</v>
      </c>
      <c r="EG19"/>
      <c r="EH19"/>
      <c r="EI19"/>
      <c r="EJ19"/>
      <c r="EK19"/>
      <c r="EL19"/>
      <c r="EM19"/>
      <c r="EN19"/>
      <c r="EO19"/>
      <c r="EP19"/>
      <c r="EQ19"/>
      <c r="ER19"/>
      <c r="ES19"/>
      <c r="ET19"/>
      <c r="EU19">
        <v>4000</v>
      </c>
      <c r="EV19"/>
      <c r="EW19">
        <v>0</v>
      </c>
      <c r="EX19">
        <v>0</v>
      </c>
      <c r="EY19">
        <v>0</v>
      </c>
      <c r="EZ19"/>
      <c r="FA19">
        <v>8</v>
      </c>
      <c r="FB19"/>
      <c r="FC19"/>
      <c r="FD19"/>
      <c r="FE19"/>
      <c r="FF19"/>
      <c r="FG19" s="94">
        <v>275</v>
      </c>
      <c r="FH19" s="94">
        <v>268</v>
      </c>
      <c r="FI19" s="94">
        <v>272</v>
      </c>
    </row>
    <row r="20" spans="1:165" s="66" customFormat="1" x14ac:dyDescent="0.35">
      <c r="A20" s="19"/>
      <c r="B20" s="19"/>
      <c r="C20" s="19"/>
      <c r="D20" s="19"/>
      <c r="E20" s="19"/>
      <c r="F20" s="128"/>
      <c r="G20" s="19"/>
      <c r="H20" s="19"/>
      <c r="I20" s="19"/>
      <c r="J20" s="19"/>
      <c r="K20" s="19" t="str">
        <f>_xlfn.CONCAT(A21," ",C21," ",D21)</f>
        <v>2026 BMW i5 xDrive40 Sedan (21'' Wheels)</v>
      </c>
      <c r="L20" s="19"/>
      <c r="M20" s="19"/>
      <c r="N20" s="19"/>
      <c r="O20" s="19"/>
      <c r="P20" s="19"/>
      <c r="Q20" s="19"/>
      <c r="R20" s="19"/>
      <c r="S20" s="19"/>
      <c r="T20" s="19"/>
      <c r="U20" s="19"/>
      <c r="V20" s="19"/>
      <c r="W20" s="19"/>
      <c r="X20" s="19"/>
      <c r="Y20" s="19"/>
      <c r="Z20" s="19"/>
      <c r="AA20" s="19"/>
      <c r="AB20" s="19" t="str">
        <f>$K20</f>
        <v>2026 BMW i5 xDrive40 Sedan (21'' Wheels)</v>
      </c>
      <c r="AC20" s="19"/>
      <c r="AD20" s="19"/>
      <c r="AE20" s="19"/>
      <c r="AF20" s="19"/>
      <c r="AG20" s="19"/>
      <c r="AH20" s="19"/>
      <c r="AI20" s="19"/>
      <c r="AJ20" s="19"/>
      <c r="AK20" s="19"/>
      <c r="AL20" s="19"/>
      <c r="AM20" s="19"/>
      <c r="AN20" s="19"/>
      <c r="AO20" s="19"/>
      <c r="AP20" s="19"/>
      <c r="AQ20" s="19"/>
      <c r="AR20" s="19" t="str">
        <f>$K20</f>
        <v>2026 BMW i5 xDrive40 Sedan (21'' Wheels)</v>
      </c>
      <c r="AS20" s="19"/>
      <c r="AT20" s="19"/>
      <c r="AU20" s="19"/>
      <c r="AV20" s="19"/>
      <c r="AW20" s="19"/>
      <c r="AX20" s="19"/>
      <c r="AY20" s="19"/>
      <c r="AZ20" s="19"/>
      <c r="BA20" s="19"/>
      <c r="BB20" s="19"/>
      <c r="BC20" s="19"/>
      <c r="BD20" s="19"/>
      <c r="BE20" s="19"/>
      <c r="BF20" s="19"/>
      <c r="BG20" s="19" t="str">
        <f>$K20</f>
        <v>2026 BMW i5 xDrive40 Sedan (21'' Wheels)</v>
      </c>
      <c r="BH20" s="19"/>
      <c r="BI20" s="19"/>
      <c r="BJ20" s="19"/>
      <c r="BK20" s="19"/>
      <c r="BL20" s="19"/>
      <c r="BM20" s="129"/>
      <c r="BN20" s="19"/>
      <c r="BO20" s="19"/>
      <c r="BP20" s="19"/>
      <c r="BQ20" s="19"/>
      <c r="BR20" s="19"/>
      <c r="BS20" s="19"/>
      <c r="BT20" s="130"/>
      <c r="BU20" s="19"/>
      <c r="BV20" s="19"/>
      <c r="BW20" s="116"/>
      <c r="BX20" s="19"/>
      <c r="BY20" s="19"/>
      <c r="BZ20" s="19"/>
      <c r="CA20" s="19"/>
      <c r="CB20" s="19"/>
      <c r="CC20" s="19"/>
      <c r="CD20" s="19"/>
      <c r="CE20" s="19"/>
      <c r="CF20" s="19"/>
      <c r="CG20" s="19"/>
      <c r="CH20" s="19"/>
      <c r="CI20" s="19"/>
      <c r="CJ20" s="19"/>
      <c r="CK20" s="19"/>
      <c r="CL20" s="19"/>
      <c r="CM20" s="19" t="str">
        <f>$K20</f>
        <v>2026 BMW i5 xDrive40 Sedan (21'' Wheels)</v>
      </c>
      <c r="CN20" s="19"/>
      <c r="CO20" s="19"/>
      <c r="CP20" s="19"/>
      <c r="CQ20" s="19"/>
      <c r="CR20" s="19"/>
      <c r="CS20" s="19"/>
      <c r="CT20" s="19"/>
      <c r="CU20" s="19"/>
      <c r="CV20" s="19"/>
      <c r="CW20" s="19"/>
      <c r="CX20" s="19"/>
      <c r="CY20" s="19"/>
      <c r="CZ20" s="19"/>
      <c r="DA20" s="19"/>
      <c r="DB20" s="19"/>
      <c r="DC20" s="19"/>
      <c r="DD20" s="19" t="str">
        <f>$K20</f>
        <v>2026 BMW i5 xDrive40 Sedan (21'' Wheels)</v>
      </c>
      <c r="DE20" s="19"/>
      <c r="DF20" s="19"/>
      <c r="DG20" s="19"/>
      <c r="DH20" s="19"/>
      <c r="DI20" s="19"/>
      <c r="DJ20" s="19"/>
      <c r="DK20" s="19"/>
      <c r="DL20" s="19"/>
      <c r="DM20" s="19"/>
      <c r="DN20" s="19"/>
      <c r="DO20" s="19"/>
      <c r="DP20" s="19"/>
      <c r="DQ20" s="19"/>
      <c r="DR20" s="19"/>
      <c r="DS20" s="19"/>
      <c r="DT20" s="19"/>
      <c r="DU20" s="19" t="str">
        <f>$K20</f>
        <v>2026 BMW i5 xDrive40 Sedan (21'' Wheels)</v>
      </c>
      <c r="DV20" s="19"/>
      <c r="DW20" s="19"/>
      <c r="DX20" s="19"/>
      <c r="DY20" s="19"/>
      <c r="DZ20" s="19"/>
      <c r="EA20" s="117"/>
      <c r="EB20" s="19"/>
      <c r="EC20" s="19"/>
      <c r="ED20" s="19"/>
      <c r="EE20" s="19"/>
      <c r="EF20" s="19"/>
      <c r="EG20"/>
      <c r="EH20"/>
      <c r="EI20"/>
      <c r="EJ20"/>
      <c r="EK20"/>
      <c r="EL20"/>
      <c r="EM20"/>
      <c r="EN20"/>
      <c r="EO20"/>
      <c r="EP20"/>
      <c r="EQ20"/>
      <c r="ER20"/>
      <c r="ES20"/>
      <c r="ET20"/>
      <c r="EU20"/>
      <c r="EV20"/>
      <c r="EW20"/>
      <c r="EX20" s="19" t="s">
        <v>1938</v>
      </c>
      <c r="EY20"/>
      <c r="EZ20"/>
      <c r="FA20"/>
      <c r="FB20"/>
      <c r="FC20"/>
      <c r="FD20"/>
      <c r="FE20"/>
      <c r="FF20"/>
      <c r="FG20"/>
      <c r="FH20"/>
      <c r="FI20"/>
    </row>
    <row r="21" spans="1:165" s="66" customFormat="1" x14ac:dyDescent="0.35">
      <c r="A21">
        <v>2026</v>
      </c>
      <c r="B21" t="s">
        <v>192</v>
      </c>
      <c r="C21" s="112" t="s">
        <v>192</v>
      </c>
      <c r="D21" t="s">
        <v>1410</v>
      </c>
      <c r="E21" t="s">
        <v>194</v>
      </c>
      <c r="F21">
        <v>517</v>
      </c>
      <c r="G21" s="113">
        <v>0</v>
      </c>
      <c r="H21"/>
      <c r="I21" t="s">
        <v>1391</v>
      </c>
      <c r="J21">
        <v>92</v>
      </c>
      <c r="K21">
        <v>88</v>
      </c>
      <c r="L21">
        <v>91</v>
      </c>
      <c r="M21">
        <v>132</v>
      </c>
      <c r="N21">
        <v>126.4</v>
      </c>
      <c r="O21">
        <v>129.41980000000001</v>
      </c>
      <c r="P21">
        <v>92.4</v>
      </c>
      <c r="Q21">
        <v>88.48</v>
      </c>
      <c r="R21">
        <v>90.593900000000005</v>
      </c>
      <c r="S21"/>
      <c r="T21"/>
      <c r="U21"/>
      <c r="V21" t="s">
        <v>170</v>
      </c>
      <c r="W21" t="s">
        <v>171</v>
      </c>
      <c r="X21"/>
      <c r="Y21">
        <v>1</v>
      </c>
      <c r="Z21" t="s">
        <v>173</v>
      </c>
      <c r="AA21" t="s">
        <v>173</v>
      </c>
      <c r="AB21" t="s">
        <v>170</v>
      </c>
      <c r="AC21" t="s">
        <v>232</v>
      </c>
      <c r="AD21"/>
      <c r="AE21"/>
      <c r="AF21">
        <v>259</v>
      </c>
      <c r="AG21" t="s">
        <v>1392</v>
      </c>
      <c r="AH21" t="s">
        <v>1393</v>
      </c>
      <c r="AI21" t="s">
        <v>178</v>
      </c>
      <c r="AJ21" t="s">
        <v>179</v>
      </c>
      <c r="AK21" t="s">
        <v>173</v>
      </c>
      <c r="AL21" t="s">
        <v>180</v>
      </c>
      <c r="AM21"/>
      <c r="AN21"/>
      <c r="AO21">
        <v>98</v>
      </c>
      <c r="AP21">
        <v>11</v>
      </c>
      <c r="AQ21"/>
      <c r="AR21"/>
      <c r="AS21">
        <v>950</v>
      </c>
      <c r="AT21">
        <v>950</v>
      </c>
      <c r="AU21"/>
      <c r="AV21"/>
      <c r="AW21"/>
      <c r="AX21"/>
      <c r="AY21"/>
      <c r="AZ21"/>
      <c r="BA21"/>
      <c r="BB21"/>
      <c r="BC21"/>
      <c r="BD21"/>
      <c r="BE21"/>
      <c r="BF21"/>
      <c r="BG21"/>
      <c r="BH21"/>
      <c r="BI21"/>
      <c r="BJ21"/>
      <c r="BK21"/>
      <c r="BL21"/>
      <c r="BM21"/>
      <c r="BN21" s="114"/>
      <c r="BO21"/>
      <c r="BP21"/>
      <c r="BQ21">
        <v>4</v>
      </c>
      <c r="BR21" t="s">
        <v>373</v>
      </c>
      <c r="BS21" t="s">
        <v>182</v>
      </c>
      <c r="BT21" t="s">
        <v>1402</v>
      </c>
      <c r="BU21" s="115">
        <v>45748</v>
      </c>
      <c r="BV21">
        <v>36344</v>
      </c>
      <c r="BW21" s="116"/>
      <c r="BX21" t="s">
        <v>172</v>
      </c>
      <c r="BY21" t="s">
        <v>173</v>
      </c>
      <c r="BZ21"/>
      <c r="CA21"/>
      <c r="CB21" t="s">
        <v>173</v>
      </c>
      <c r="CC21" t="s">
        <v>173</v>
      </c>
      <c r="CD21"/>
      <c r="CE21"/>
      <c r="CF21"/>
      <c r="CG21"/>
      <c r="CH21"/>
      <c r="CI21"/>
      <c r="CJ21"/>
      <c r="CK21" t="s">
        <v>259</v>
      </c>
      <c r="CL21"/>
      <c r="CM21">
        <v>1</v>
      </c>
      <c r="CN21" t="s">
        <v>260</v>
      </c>
      <c r="CO21"/>
      <c r="CP21">
        <v>399</v>
      </c>
      <c r="CQ21">
        <v>210.6</v>
      </c>
      <c r="CR21">
        <v>152</v>
      </c>
      <c r="CS21" t="s">
        <v>261</v>
      </c>
      <c r="CT21"/>
      <c r="CU21"/>
      <c r="CV21" t="s">
        <v>262</v>
      </c>
      <c r="CW21"/>
      <c r="CX21" t="s">
        <v>263</v>
      </c>
      <c r="CY21" t="s">
        <v>172</v>
      </c>
      <c r="CZ21"/>
      <c r="DA21"/>
      <c r="DB21"/>
      <c r="DC21"/>
      <c r="DD21">
        <v>2</v>
      </c>
      <c r="DE21" t="s">
        <v>307</v>
      </c>
      <c r="DF21" t="s">
        <v>308</v>
      </c>
      <c r="DG21" t="s">
        <v>1407</v>
      </c>
      <c r="DH21"/>
      <c r="DI21"/>
      <c r="DJ21"/>
      <c r="DK21"/>
      <c r="DL21" t="s">
        <v>173</v>
      </c>
      <c r="DM21" t="s">
        <v>172</v>
      </c>
      <c r="DN21"/>
      <c r="DO21"/>
      <c r="DP21" t="s">
        <v>173</v>
      </c>
      <c r="DQ21" t="s">
        <v>189</v>
      </c>
      <c r="DR21"/>
      <c r="DS21"/>
      <c r="DT21"/>
      <c r="DU21"/>
      <c r="DV21"/>
      <c r="DW21"/>
      <c r="DX21"/>
      <c r="DY21"/>
      <c r="DZ21"/>
      <c r="EA21" s="117"/>
      <c r="EB21">
        <v>9</v>
      </c>
      <c r="EC21">
        <v>10</v>
      </c>
      <c r="ED21"/>
      <c r="EE21" t="s">
        <v>1408</v>
      </c>
      <c r="EF21">
        <v>10</v>
      </c>
      <c r="EG21"/>
      <c r="EH21"/>
      <c r="EI21"/>
      <c r="EJ21"/>
      <c r="EK21"/>
      <c r="EL21"/>
      <c r="EM21"/>
      <c r="EN21"/>
      <c r="EO21"/>
      <c r="EP21"/>
      <c r="EQ21"/>
      <c r="ER21"/>
      <c r="ES21"/>
      <c r="ET21"/>
      <c r="EU21">
        <v>3750</v>
      </c>
      <c r="EV21"/>
      <c r="EW21">
        <v>0</v>
      </c>
      <c r="EX21">
        <v>0</v>
      </c>
      <c r="EY21">
        <v>0</v>
      </c>
      <c r="EZ21"/>
      <c r="FA21">
        <v>8</v>
      </c>
      <c r="FB21"/>
      <c r="FC21"/>
      <c r="FD21"/>
      <c r="FE21"/>
      <c r="FF21"/>
      <c r="FG21" s="94">
        <v>264</v>
      </c>
      <c r="FH21" s="94">
        <v>253</v>
      </c>
      <c r="FI21" s="94">
        <v>259</v>
      </c>
    </row>
    <row r="22" spans="1:165" s="66" customFormat="1" x14ac:dyDescent="0.35">
      <c r="A22">
        <v>2026</v>
      </c>
      <c r="B22" t="s">
        <v>192</v>
      </c>
      <c r="C22" s="112" t="s">
        <v>192</v>
      </c>
      <c r="D22" t="s">
        <v>1410</v>
      </c>
      <c r="E22" t="s">
        <v>194</v>
      </c>
      <c r="F22">
        <v>517</v>
      </c>
      <c r="G22" s="113">
        <v>0</v>
      </c>
      <c r="H22"/>
      <c r="I22" t="s">
        <v>1391</v>
      </c>
      <c r="J22">
        <v>36</v>
      </c>
      <c r="K22">
        <v>38</v>
      </c>
      <c r="L22">
        <v>37</v>
      </c>
      <c r="M22">
        <v>25.5349</v>
      </c>
      <c r="N22">
        <v>26.657599999999999</v>
      </c>
      <c r="O22">
        <v>26.040099999999999</v>
      </c>
      <c r="P22">
        <v>36.4773</v>
      </c>
      <c r="Q22">
        <v>38.093400000000003</v>
      </c>
      <c r="R22">
        <v>37.204500000000003</v>
      </c>
      <c r="S22"/>
      <c r="T22"/>
      <c r="U22"/>
      <c r="V22" t="s">
        <v>170</v>
      </c>
      <c r="W22" t="s">
        <v>171</v>
      </c>
      <c r="X22"/>
      <c r="Y22">
        <v>1</v>
      </c>
      <c r="Z22" t="s">
        <v>173</v>
      </c>
      <c r="AA22" t="s">
        <v>173</v>
      </c>
      <c r="AB22" t="s">
        <v>170</v>
      </c>
      <c r="AC22" t="s">
        <v>232</v>
      </c>
      <c r="AD22"/>
      <c r="AE22"/>
      <c r="AF22">
        <v>259</v>
      </c>
      <c r="AG22" t="s">
        <v>1392</v>
      </c>
      <c r="AH22" t="s">
        <v>1393</v>
      </c>
      <c r="AI22" t="s">
        <v>1399</v>
      </c>
      <c r="AJ22" t="s">
        <v>1400</v>
      </c>
      <c r="AK22" t="s">
        <v>173</v>
      </c>
      <c r="AL22" t="s">
        <v>180</v>
      </c>
      <c r="AM22"/>
      <c r="AN22"/>
      <c r="AO22">
        <v>98</v>
      </c>
      <c r="AP22">
        <v>11</v>
      </c>
      <c r="AQ22"/>
      <c r="AR22"/>
      <c r="AS22">
        <v>950</v>
      </c>
      <c r="AT22">
        <v>950</v>
      </c>
      <c r="AU22"/>
      <c r="AV22"/>
      <c r="AW22"/>
      <c r="AX22"/>
      <c r="AY22"/>
      <c r="AZ22"/>
      <c r="BA22"/>
      <c r="BB22"/>
      <c r="BC22"/>
      <c r="BD22"/>
      <c r="BE22"/>
      <c r="BF22"/>
      <c r="BG22"/>
      <c r="BH22"/>
      <c r="BI22"/>
      <c r="BJ22"/>
      <c r="BK22"/>
      <c r="BL22"/>
      <c r="BM22"/>
      <c r="BN22" s="114"/>
      <c r="BO22"/>
      <c r="BP22"/>
      <c r="BQ22">
        <v>4</v>
      </c>
      <c r="BR22" t="s">
        <v>373</v>
      </c>
      <c r="BS22" t="s">
        <v>182</v>
      </c>
      <c r="BT22" t="s">
        <v>1402</v>
      </c>
      <c r="BU22" s="115">
        <v>45748</v>
      </c>
      <c r="BV22">
        <v>36344</v>
      </c>
      <c r="BW22" s="116"/>
      <c r="BX22" t="s">
        <v>172</v>
      </c>
      <c r="BY22" t="s">
        <v>173</v>
      </c>
      <c r="BZ22"/>
      <c r="CA22"/>
      <c r="CB22" t="s">
        <v>173</v>
      </c>
      <c r="CC22" t="s">
        <v>173</v>
      </c>
      <c r="CD22"/>
      <c r="CE22"/>
      <c r="CF22"/>
      <c r="CG22"/>
      <c r="CH22"/>
      <c r="CI22"/>
      <c r="CJ22"/>
      <c r="CK22" t="s">
        <v>259</v>
      </c>
      <c r="CL22"/>
      <c r="CM22">
        <v>1</v>
      </c>
      <c r="CN22" t="s">
        <v>260</v>
      </c>
      <c r="CO22"/>
      <c r="CP22">
        <v>399</v>
      </c>
      <c r="CQ22">
        <v>210.6</v>
      </c>
      <c r="CR22">
        <v>152</v>
      </c>
      <c r="CS22" t="s">
        <v>261</v>
      </c>
      <c r="CT22"/>
      <c r="CU22"/>
      <c r="CV22" t="s">
        <v>262</v>
      </c>
      <c r="CW22"/>
      <c r="CX22" t="s">
        <v>263</v>
      </c>
      <c r="CY22" t="s">
        <v>172</v>
      </c>
      <c r="CZ22"/>
      <c r="DA22"/>
      <c r="DB22"/>
      <c r="DC22"/>
      <c r="DD22">
        <v>2</v>
      </c>
      <c r="DE22" t="s">
        <v>307</v>
      </c>
      <c r="DF22" t="s">
        <v>308</v>
      </c>
      <c r="DG22" t="s">
        <v>1407</v>
      </c>
      <c r="DH22"/>
      <c r="DI22"/>
      <c r="DJ22"/>
      <c r="DK22"/>
      <c r="DL22" t="s">
        <v>173</v>
      </c>
      <c r="DM22" t="s">
        <v>172</v>
      </c>
      <c r="DN22"/>
      <c r="DO22"/>
      <c r="DP22" t="s">
        <v>173</v>
      </c>
      <c r="DQ22" t="s">
        <v>189</v>
      </c>
      <c r="DR22"/>
      <c r="DS22"/>
      <c r="DT22"/>
      <c r="DU22"/>
      <c r="DV22"/>
      <c r="DW22"/>
      <c r="DX22"/>
      <c r="DY22"/>
      <c r="DZ22"/>
      <c r="EA22" s="117"/>
      <c r="EB22">
        <v>9</v>
      </c>
      <c r="EC22">
        <v>10</v>
      </c>
      <c r="ED22"/>
      <c r="EE22" t="s">
        <v>1408</v>
      </c>
      <c r="EF22">
        <v>10</v>
      </c>
      <c r="EG22"/>
      <c r="EH22"/>
      <c r="EI22"/>
      <c r="EJ22"/>
      <c r="EK22"/>
      <c r="EL22"/>
      <c r="EM22"/>
      <c r="EN22"/>
      <c r="EO22"/>
      <c r="EP22"/>
      <c r="EQ22"/>
      <c r="ER22"/>
      <c r="ES22"/>
      <c r="ET22"/>
      <c r="EU22">
        <v>3750</v>
      </c>
      <c r="EV22"/>
      <c r="EW22">
        <v>0</v>
      </c>
      <c r="EX22">
        <v>0</v>
      </c>
      <c r="EY22">
        <v>0</v>
      </c>
      <c r="EZ22"/>
      <c r="FA22">
        <v>8</v>
      </c>
      <c r="FB22"/>
      <c r="FC22"/>
      <c r="FD22"/>
      <c r="FE22"/>
      <c r="FF22"/>
      <c r="FG22" s="94">
        <v>264</v>
      </c>
      <c r="FH22" s="94">
        <v>253</v>
      </c>
      <c r="FI22" s="94">
        <v>259</v>
      </c>
    </row>
    <row r="23" spans="1:165" s="66" customFormat="1" x14ac:dyDescent="0.35">
      <c r="A23" s="19"/>
      <c r="B23" s="19"/>
      <c r="C23" s="19"/>
      <c r="D23" s="19"/>
      <c r="E23" s="19"/>
      <c r="F23" s="128"/>
      <c r="G23" s="19"/>
      <c r="H23" s="19"/>
      <c r="I23" s="19"/>
      <c r="J23" s="19"/>
      <c r="K23" s="19" t="str">
        <f>_xlfn.CONCAT(A24," ",C24," ",D24)</f>
        <v>2026 BMW i7 eDrive50 Sedan (19'' Wheels)</v>
      </c>
      <c r="L23" s="19"/>
      <c r="M23" s="19"/>
      <c r="N23" s="19"/>
      <c r="O23" s="19"/>
      <c r="P23" s="19"/>
      <c r="Q23" s="19"/>
      <c r="R23" s="19"/>
      <c r="S23" s="19"/>
      <c r="T23" s="19"/>
      <c r="U23" s="19"/>
      <c r="V23" s="19"/>
      <c r="W23" s="19"/>
      <c r="X23" s="19"/>
      <c r="Y23" s="19"/>
      <c r="Z23" s="19"/>
      <c r="AA23" s="19"/>
      <c r="AB23" s="19" t="str">
        <f>$K23</f>
        <v>2026 BMW i7 eDrive50 Sedan (19'' Wheels)</v>
      </c>
      <c r="AC23" s="19"/>
      <c r="AD23" s="19"/>
      <c r="AE23" s="19"/>
      <c r="AF23" s="19"/>
      <c r="AG23" s="19"/>
      <c r="AH23" s="19"/>
      <c r="AI23" s="19"/>
      <c r="AJ23" s="19"/>
      <c r="AK23" s="19"/>
      <c r="AL23" s="19"/>
      <c r="AM23" s="19"/>
      <c r="AN23" s="19"/>
      <c r="AO23" s="19"/>
      <c r="AP23" s="19"/>
      <c r="AQ23" s="19"/>
      <c r="AR23" s="19" t="str">
        <f>$K23</f>
        <v>2026 BMW i7 eDrive50 Sedan (19'' Wheels)</v>
      </c>
      <c r="AS23" s="19"/>
      <c r="AT23" s="19"/>
      <c r="AU23" s="19"/>
      <c r="AV23" s="19"/>
      <c r="AW23" s="19"/>
      <c r="AX23" s="19"/>
      <c r="AY23" s="19"/>
      <c r="AZ23" s="19"/>
      <c r="BA23" s="19"/>
      <c r="BB23" s="19"/>
      <c r="BC23" s="19"/>
      <c r="BD23" s="19"/>
      <c r="BE23" s="19"/>
      <c r="BF23" s="19"/>
      <c r="BG23" s="19" t="str">
        <f>$K23</f>
        <v>2026 BMW i7 eDrive50 Sedan (19'' Wheels)</v>
      </c>
      <c r="BH23" s="19"/>
      <c r="BI23" s="19"/>
      <c r="BJ23" s="19"/>
      <c r="BK23" s="19"/>
      <c r="BL23" s="19"/>
      <c r="BM23" s="129"/>
      <c r="BN23" s="19"/>
      <c r="BO23" s="19"/>
      <c r="BP23" s="19"/>
      <c r="BQ23" s="19"/>
      <c r="BR23" s="19"/>
      <c r="BS23" s="19"/>
      <c r="BT23" s="130"/>
      <c r="BU23" s="19"/>
      <c r="BV23" s="19"/>
      <c r="BW23" s="116"/>
      <c r="BX23" s="19"/>
      <c r="BY23" s="19"/>
      <c r="BZ23" s="19"/>
      <c r="CA23" s="19"/>
      <c r="CB23" s="19"/>
      <c r="CC23" s="19"/>
      <c r="CD23" s="19"/>
      <c r="CE23" s="19"/>
      <c r="CF23" s="19"/>
      <c r="CG23" s="19"/>
      <c r="CH23" s="19"/>
      <c r="CI23" s="19"/>
      <c r="CJ23" s="19"/>
      <c r="CK23" s="19"/>
      <c r="CL23" s="19"/>
      <c r="CM23" s="19" t="str">
        <f>$K23</f>
        <v>2026 BMW i7 eDrive50 Sedan (19'' Wheels)</v>
      </c>
      <c r="CN23" s="19"/>
      <c r="CO23" s="19"/>
      <c r="CP23" s="19"/>
      <c r="CQ23" s="19"/>
      <c r="CR23" s="19"/>
      <c r="CS23" s="19"/>
      <c r="CT23" s="19"/>
      <c r="CU23" s="19"/>
      <c r="CV23" s="19"/>
      <c r="CW23" s="19"/>
      <c r="CX23" s="19"/>
      <c r="CY23" s="19"/>
      <c r="CZ23" s="19"/>
      <c r="DA23" s="19"/>
      <c r="DB23" s="19"/>
      <c r="DC23" s="19"/>
      <c r="DD23" s="19" t="str">
        <f>$K23</f>
        <v>2026 BMW i7 eDrive50 Sedan (19'' Wheels)</v>
      </c>
      <c r="DE23" s="19"/>
      <c r="DF23" s="19"/>
      <c r="DG23" s="19"/>
      <c r="DH23" s="19"/>
      <c r="DI23" s="19"/>
      <c r="DJ23" s="19"/>
      <c r="DK23" s="19"/>
      <c r="DL23" s="19"/>
      <c r="DM23" s="19"/>
      <c r="DN23" s="19"/>
      <c r="DO23" s="19"/>
      <c r="DP23" s="19"/>
      <c r="DQ23" s="19"/>
      <c r="DR23" s="19"/>
      <c r="DS23" s="19"/>
      <c r="DT23" s="19"/>
      <c r="DU23" s="19" t="str">
        <f>$K23</f>
        <v>2026 BMW i7 eDrive50 Sedan (19'' Wheels)</v>
      </c>
      <c r="DV23" s="19"/>
      <c r="DW23" s="19"/>
      <c r="DX23" s="19"/>
      <c r="DY23" s="19"/>
      <c r="DZ23" s="19"/>
      <c r="EA23" s="117"/>
      <c r="EB23" s="19"/>
      <c r="EC23" s="19"/>
      <c r="ED23" s="19"/>
      <c r="EE23" s="19"/>
      <c r="EF23" s="19"/>
      <c r="EG23"/>
      <c r="EH23"/>
      <c r="EI23"/>
      <c r="EJ23"/>
      <c r="EK23"/>
      <c r="EL23"/>
      <c r="EM23"/>
      <c r="EN23"/>
      <c r="EO23"/>
      <c r="EP23"/>
      <c r="EQ23"/>
      <c r="ER23"/>
      <c r="ES23"/>
      <c r="ET23"/>
      <c r="EU23"/>
      <c r="EV23"/>
      <c r="EW23"/>
      <c r="EX23" s="19" t="s">
        <v>1939</v>
      </c>
      <c r="EY23"/>
      <c r="EZ23"/>
      <c r="FA23"/>
      <c r="FB23"/>
      <c r="FC23"/>
      <c r="FD23"/>
      <c r="FE23"/>
      <c r="FF23"/>
      <c r="FG23"/>
      <c r="FH23"/>
      <c r="FI23"/>
    </row>
    <row r="24" spans="1:165" s="66" customFormat="1" x14ac:dyDescent="0.35">
      <c r="A24">
        <v>2026</v>
      </c>
      <c r="B24" t="s">
        <v>192</v>
      </c>
      <c r="C24" s="112" t="s">
        <v>192</v>
      </c>
      <c r="D24" t="s">
        <v>1710</v>
      </c>
      <c r="E24" t="s">
        <v>194</v>
      </c>
      <c r="F24">
        <v>709</v>
      </c>
      <c r="G24" s="113">
        <v>0</v>
      </c>
      <c r="H24"/>
      <c r="I24" t="s">
        <v>1391</v>
      </c>
      <c r="J24">
        <v>85</v>
      </c>
      <c r="K24">
        <v>93</v>
      </c>
      <c r="L24">
        <v>88</v>
      </c>
      <c r="M24">
        <v>120.9</v>
      </c>
      <c r="N24">
        <v>133</v>
      </c>
      <c r="O24">
        <v>126.0609</v>
      </c>
      <c r="P24">
        <v>84.63</v>
      </c>
      <c r="Q24">
        <v>93.1</v>
      </c>
      <c r="R24">
        <v>88.242599999999996</v>
      </c>
      <c r="S24"/>
      <c r="T24"/>
      <c r="U24"/>
      <c r="V24" t="s">
        <v>170</v>
      </c>
      <c r="W24" t="s">
        <v>171</v>
      </c>
      <c r="X24"/>
      <c r="Y24">
        <v>1</v>
      </c>
      <c r="Z24" t="s">
        <v>173</v>
      </c>
      <c r="AA24" t="s">
        <v>173</v>
      </c>
      <c r="AB24" t="s">
        <v>174</v>
      </c>
      <c r="AC24" t="s">
        <v>175</v>
      </c>
      <c r="AD24"/>
      <c r="AE24"/>
      <c r="AF24">
        <v>314</v>
      </c>
      <c r="AG24" t="s">
        <v>1392</v>
      </c>
      <c r="AH24" t="s">
        <v>1393</v>
      </c>
      <c r="AI24" t="s">
        <v>178</v>
      </c>
      <c r="AJ24" t="s">
        <v>179</v>
      </c>
      <c r="AK24" t="s">
        <v>173</v>
      </c>
      <c r="AL24" t="s">
        <v>180</v>
      </c>
      <c r="AM24"/>
      <c r="AN24"/>
      <c r="AO24">
        <v>109</v>
      </c>
      <c r="AP24">
        <v>14</v>
      </c>
      <c r="AQ24"/>
      <c r="AR24"/>
      <c r="AS24">
        <v>950</v>
      </c>
      <c r="AT24">
        <v>950</v>
      </c>
      <c r="AU24"/>
      <c r="AV24"/>
      <c r="AW24"/>
      <c r="AX24"/>
      <c r="AY24"/>
      <c r="AZ24"/>
      <c r="BA24"/>
      <c r="BB24"/>
      <c r="BC24"/>
      <c r="BD24"/>
      <c r="BE24"/>
      <c r="BF24"/>
      <c r="BG24"/>
      <c r="BH24"/>
      <c r="BI24"/>
      <c r="BJ24"/>
      <c r="BK24"/>
      <c r="BL24"/>
      <c r="BM24"/>
      <c r="BN24" s="114"/>
      <c r="BO24"/>
      <c r="BP24"/>
      <c r="BQ24">
        <v>6</v>
      </c>
      <c r="BR24" t="s">
        <v>536</v>
      </c>
      <c r="BS24" t="s">
        <v>182</v>
      </c>
      <c r="BT24" t="s">
        <v>1402</v>
      </c>
      <c r="BU24" s="115">
        <v>45870</v>
      </c>
      <c r="BV24">
        <v>37232</v>
      </c>
      <c r="BW24" s="116"/>
      <c r="BX24" t="s">
        <v>172</v>
      </c>
      <c r="BY24" t="s">
        <v>173</v>
      </c>
      <c r="BZ24"/>
      <c r="CA24"/>
      <c r="CB24" t="s">
        <v>173</v>
      </c>
      <c r="CC24" t="s">
        <v>173</v>
      </c>
      <c r="CD24"/>
      <c r="CE24"/>
      <c r="CF24"/>
      <c r="CG24"/>
      <c r="CH24"/>
      <c r="CI24"/>
      <c r="CJ24"/>
      <c r="CK24" t="s">
        <v>259</v>
      </c>
      <c r="CL24"/>
      <c r="CM24">
        <v>1</v>
      </c>
      <c r="CN24" t="s">
        <v>260</v>
      </c>
      <c r="CO24"/>
      <c r="CP24">
        <v>376</v>
      </c>
      <c r="CQ24">
        <v>280.8</v>
      </c>
      <c r="CR24">
        <v>156</v>
      </c>
      <c r="CS24" t="s">
        <v>261</v>
      </c>
      <c r="CT24"/>
      <c r="CU24"/>
      <c r="CV24" t="s">
        <v>262</v>
      </c>
      <c r="CW24"/>
      <c r="CX24" t="s">
        <v>702</v>
      </c>
      <c r="CY24" t="s">
        <v>172</v>
      </c>
      <c r="CZ24"/>
      <c r="DA24"/>
      <c r="DB24"/>
      <c r="DC24" t="s">
        <v>1412</v>
      </c>
      <c r="DD24">
        <v>1</v>
      </c>
      <c r="DE24" t="s">
        <v>307</v>
      </c>
      <c r="DF24" t="s">
        <v>308</v>
      </c>
      <c r="DG24">
        <v>335</v>
      </c>
      <c r="DH24"/>
      <c r="DI24"/>
      <c r="DJ24"/>
      <c r="DK24"/>
      <c r="DL24" t="s">
        <v>173</v>
      </c>
      <c r="DM24" t="s">
        <v>172</v>
      </c>
      <c r="DN24"/>
      <c r="DO24"/>
      <c r="DP24" t="s">
        <v>173</v>
      </c>
      <c r="DQ24" t="s">
        <v>189</v>
      </c>
      <c r="DR24"/>
      <c r="DS24"/>
      <c r="DT24"/>
      <c r="DU24"/>
      <c r="DV24"/>
      <c r="DW24"/>
      <c r="DX24"/>
      <c r="DY24"/>
      <c r="DZ24"/>
      <c r="EA24" s="117"/>
      <c r="EB24">
        <v>9</v>
      </c>
      <c r="EC24">
        <v>10</v>
      </c>
      <c r="ED24"/>
      <c r="EE24" t="s">
        <v>1711</v>
      </c>
      <c r="EF24">
        <v>10</v>
      </c>
      <c r="EG24"/>
      <c r="EH24"/>
      <c r="EI24"/>
      <c r="EJ24"/>
      <c r="EK24"/>
      <c r="EL24"/>
      <c r="EM24"/>
      <c r="EN24"/>
      <c r="EO24"/>
      <c r="EP24"/>
      <c r="EQ24"/>
      <c r="ER24"/>
      <c r="ES24"/>
      <c r="ET24"/>
      <c r="EU24">
        <v>3750</v>
      </c>
      <c r="EV24"/>
      <c r="EW24">
        <v>0</v>
      </c>
      <c r="EX24">
        <v>0</v>
      </c>
      <c r="EY24">
        <v>0</v>
      </c>
      <c r="EZ24"/>
      <c r="FA24">
        <v>10</v>
      </c>
      <c r="FB24"/>
      <c r="FC24"/>
      <c r="FD24"/>
      <c r="FE24"/>
      <c r="FF24"/>
      <c r="FG24" s="94">
        <v>300</v>
      </c>
      <c r="FH24" s="94">
        <v>331</v>
      </c>
      <c r="FI24" s="94">
        <v>314</v>
      </c>
    </row>
    <row r="25" spans="1:165" s="66" customFormat="1" x14ac:dyDescent="0.35">
      <c r="A25">
        <v>2026</v>
      </c>
      <c r="B25" t="s">
        <v>192</v>
      </c>
      <c r="C25" s="112" t="s">
        <v>192</v>
      </c>
      <c r="D25" t="s">
        <v>1710</v>
      </c>
      <c r="E25" t="s">
        <v>194</v>
      </c>
      <c r="F25">
        <v>709</v>
      </c>
      <c r="G25" s="113">
        <v>0</v>
      </c>
      <c r="H25"/>
      <c r="I25" t="s">
        <v>1391</v>
      </c>
      <c r="J25">
        <v>40</v>
      </c>
      <c r="K25">
        <v>36</v>
      </c>
      <c r="L25">
        <v>38</v>
      </c>
      <c r="M25">
        <v>27.8874</v>
      </c>
      <c r="N25">
        <v>25.334</v>
      </c>
      <c r="O25">
        <v>26.738299999999999</v>
      </c>
      <c r="P25">
        <v>39.826300000000003</v>
      </c>
      <c r="Q25">
        <v>36.203000000000003</v>
      </c>
      <c r="R25">
        <v>38.195799999999998</v>
      </c>
      <c r="S25"/>
      <c r="T25"/>
      <c r="U25"/>
      <c r="V25" t="s">
        <v>170</v>
      </c>
      <c r="W25" t="s">
        <v>171</v>
      </c>
      <c r="X25"/>
      <c r="Y25">
        <v>1</v>
      </c>
      <c r="Z25" t="s">
        <v>173</v>
      </c>
      <c r="AA25" t="s">
        <v>173</v>
      </c>
      <c r="AB25" t="s">
        <v>174</v>
      </c>
      <c r="AC25" t="s">
        <v>175</v>
      </c>
      <c r="AD25"/>
      <c r="AE25"/>
      <c r="AF25">
        <v>314</v>
      </c>
      <c r="AG25" t="s">
        <v>1392</v>
      </c>
      <c r="AH25" t="s">
        <v>1393</v>
      </c>
      <c r="AI25" t="s">
        <v>1399</v>
      </c>
      <c r="AJ25" t="s">
        <v>1400</v>
      </c>
      <c r="AK25" t="s">
        <v>173</v>
      </c>
      <c r="AL25" t="s">
        <v>180</v>
      </c>
      <c r="AM25"/>
      <c r="AN25"/>
      <c r="AO25">
        <v>109</v>
      </c>
      <c r="AP25">
        <v>14</v>
      </c>
      <c r="AQ25"/>
      <c r="AR25"/>
      <c r="AS25">
        <v>950</v>
      </c>
      <c r="AT25">
        <v>950</v>
      </c>
      <c r="AU25"/>
      <c r="AV25"/>
      <c r="AW25"/>
      <c r="AX25"/>
      <c r="AY25"/>
      <c r="AZ25"/>
      <c r="BA25"/>
      <c r="BB25"/>
      <c r="BC25"/>
      <c r="BD25"/>
      <c r="BE25"/>
      <c r="BF25"/>
      <c r="BG25"/>
      <c r="BH25"/>
      <c r="BI25"/>
      <c r="BJ25"/>
      <c r="BK25"/>
      <c r="BL25"/>
      <c r="BM25"/>
      <c r="BN25" s="114"/>
      <c r="BO25"/>
      <c r="BP25"/>
      <c r="BQ25">
        <v>6</v>
      </c>
      <c r="BR25" t="s">
        <v>536</v>
      </c>
      <c r="BS25" t="s">
        <v>182</v>
      </c>
      <c r="BT25" t="s">
        <v>1402</v>
      </c>
      <c r="BU25" s="115">
        <v>45870</v>
      </c>
      <c r="BV25">
        <v>37232</v>
      </c>
      <c r="BW25" s="116"/>
      <c r="BX25" t="s">
        <v>172</v>
      </c>
      <c r="BY25" t="s">
        <v>173</v>
      </c>
      <c r="BZ25"/>
      <c r="CA25"/>
      <c r="CB25" t="s">
        <v>173</v>
      </c>
      <c r="CC25" t="s">
        <v>173</v>
      </c>
      <c r="CD25"/>
      <c r="CE25"/>
      <c r="CF25"/>
      <c r="CG25"/>
      <c r="CH25"/>
      <c r="CI25"/>
      <c r="CJ25"/>
      <c r="CK25" t="s">
        <v>259</v>
      </c>
      <c r="CL25"/>
      <c r="CM25">
        <v>1</v>
      </c>
      <c r="CN25" t="s">
        <v>260</v>
      </c>
      <c r="CO25"/>
      <c r="CP25">
        <v>376</v>
      </c>
      <c r="CQ25">
        <v>280.8</v>
      </c>
      <c r="CR25">
        <v>156</v>
      </c>
      <c r="CS25" t="s">
        <v>261</v>
      </c>
      <c r="CT25"/>
      <c r="CU25"/>
      <c r="CV25" t="s">
        <v>262</v>
      </c>
      <c r="CW25"/>
      <c r="CX25" t="s">
        <v>702</v>
      </c>
      <c r="CY25" t="s">
        <v>172</v>
      </c>
      <c r="CZ25"/>
      <c r="DA25"/>
      <c r="DB25"/>
      <c r="DC25" t="s">
        <v>1412</v>
      </c>
      <c r="DD25">
        <v>1</v>
      </c>
      <c r="DE25" t="s">
        <v>307</v>
      </c>
      <c r="DF25" t="s">
        <v>308</v>
      </c>
      <c r="DG25">
        <v>335</v>
      </c>
      <c r="DH25"/>
      <c r="DI25"/>
      <c r="DJ25"/>
      <c r="DK25"/>
      <c r="DL25" t="s">
        <v>173</v>
      </c>
      <c r="DM25" t="s">
        <v>172</v>
      </c>
      <c r="DN25"/>
      <c r="DO25"/>
      <c r="DP25" t="s">
        <v>173</v>
      </c>
      <c r="DQ25" t="s">
        <v>189</v>
      </c>
      <c r="DR25"/>
      <c r="DS25"/>
      <c r="DT25"/>
      <c r="DU25"/>
      <c r="DV25"/>
      <c r="DW25"/>
      <c r="DX25"/>
      <c r="DY25"/>
      <c r="DZ25"/>
      <c r="EA25" s="117"/>
      <c r="EB25">
        <v>9</v>
      </c>
      <c r="EC25">
        <v>10</v>
      </c>
      <c r="ED25"/>
      <c r="EE25" t="s">
        <v>1711</v>
      </c>
      <c r="EF25">
        <v>10</v>
      </c>
      <c r="EG25"/>
      <c r="EH25"/>
      <c r="EI25"/>
      <c r="EJ25"/>
      <c r="EK25"/>
      <c r="EL25"/>
      <c r="EM25"/>
      <c r="EN25"/>
      <c r="EO25"/>
      <c r="EP25"/>
      <c r="EQ25"/>
      <c r="ER25"/>
      <c r="ES25"/>
      <c r="ET25"/>
      <c r="EU25">
        <v>3750</v>
      </c>
      <c r="EV25"/>
      <c r="EW25">
        <v>0</v>
      </c>
      <c r="EX25">
        <v>0</v>
      </c>
      <c r="EY25">
        <v>0</v>
      </c>
      <c r="EZ25"/>
      <c r="FA25">
        <v>10</v>
      </c>
      <c r="FB25"/>
      <c r="FC25"/>
      <c r="FD25"/>
      <c r="FE25"/>
      <c r="FF25"/>
      <c r="FG25" s="94">
        <v>300</v>
      </c>
      <c r="FH25" s="94">
        <v>331</v>
      </c>
      <c r="FI25" s="94">
        <v>314</v>
      </c>
    </row>
    <row r="26" spans="1:165" s="66" customFormat="1" x14ac:dyDescent="0.35">
      <c r="A26" s="19"/>
      <c r="B26" s="19"/>
      <c r="C26" s="19"/>
      <c r="D26" s="19"/>
      <c r="E26" s="19"/>
      <c r="F26" s="128"/>
      <c r="G26" s="19"/>
      <c r="H26" s="19"/>
      <c r="I26" s="19"/>
      <c r="J26" s="19"/>
      <c r="K26" s="19" t="str">
        <f>_xlfn.CONCAT(A27," ",C27," ",D27)</f>
        <v>2026 BMW i7 eDrive50 Sedan (20'' Wheels)</v>
      </c>
      <c r="L26" s="19"/>
      <c r="M26" s="19"/>
      <c r="N26" s="19"/>
      <c r="O26" s="19"/>
      <c r="P26" s="19"/>
      <c r="Q26" s="19"/>
      <c r="R26" s="19"/>
      <c r="S26" s="19"/>
      <c r="T26" s="19"/>
      <c r="U26" s="19"/>
      <c r="V26" s="19"/>
      <c r="W26" s="19"/>
      <c r="X26" s="19"/>
      <c r="Y26" s="19"/>
      <c r="Z26" s="19"/>
      <c r="AA26" s="19"/>
      <c r="AB26" s="19" t="str">
        <f>$K26</f>
        <v>2026 BMW i7 eDrive50 Sedan (20'' Wheels)</v>
      </c>
      <c r="AC26" s="19"/>
      <c r="AD26" s="19"/>
      <c r="AE26" s="19"/>
      <c r="AF26" s="19"/>
      <c r="AG26" s="19"/>
      <c r="AH26" s="19"/>
      <c r="AI26" s="19"/>
      <c r="AJ26" s="19"/>
      <c r="AK26" s="19"/>
      <c r="AL26" s="19"/>
      <c r="AM26" s="19"/>
      <c r="AN26" s="19"/>
      <c r="AO26" s="19"/>
      <c r="AP26" s="19"/>
      <c r="AQ26" s="19"/>
      <c r="AR26" s="19" t="str">
        <f>$K26</f>
        <v>2026 BMW i7 eDrive50 Sedan (20'' Wheels)</v>
      </c>
      <c r="AS26" s="19"/>
      <c r="AT26" s="19"/>
      <c r="AU26" s="19"/>
      <c r="AV26" s="19"/>
      <c r="AW26" s="19"/>
      <c r="AX26" s="19"/>
      <c r="AY26" s="19"/>
      <c r="AZ26" s="19"/>
      <c r="BA26" s="19"/>
      <c r="BB26" s="19"/>
      <c r="BC26" s="19"/>
      <c r="BD26" s="19"/>
      <c r="BE26" s="19"/>
      <c r="BF26" s="19"/>
      <c r="BG26" s="19" t="str">
        <f>$K26</f>
        <v>2026 BMW i7 eDrive50 Sedan (20'' Wheels)</v>
      </c>
      <c r="BH26" s="19"/>
      <c r="BI26" s="19"/>
      <c r="BJ26" s="19"/>
      <c r="BK26" s="19"/>
      <c r="BL26" s="19"/>
      <c r="BM26" s="129"/>
      <c r="BN26" s="19"/>
      <c r="BO26" s="19"/>
      <c r="BP26" s="19"/>
      <c r="BQ26" s="19"/>
      <c r="BR26" s="19"/>
      <c r="BS26" s="19"/>
      <c r="BT26" s="130"/>
      <c r="BU26" s="19"/>
      <c r="BV26" s="19"/>
      <c r="BW26" s="116"/>
      <c r="BX26" s="19"/>
      <c r="BY26" s="19"/>
      <c r="BZ26" s="19"/>
      <c r="CA26" s="19"/>
      <c r="CB26" s="19"/>
      <c r="CC26" s="19"/>
      <c r="CD26" s="19"/>
      <c r="CE26" s="19"/>
      <c r="CF26" s="19"/>
      <c r="CG26" s="19"/>
      <c r="CH26" s="19"/>
      <c r="CI26" s="19"/>
      <c r="CJ26" s="19"/>
      <c r="CK26" s="19"/>
      <c r="CL26" s="19"/>
      <c r="CM26" s="19" t="str">
        <f>$K26</f>
        <v>2026 BMW i7 eDrive50 Sedan (20'' Wheels)</v>
      </c>
      <c r="CN26" s="19"/>
      <c r="CO26" s="19"/>
      <c r="CP26" s="19"/>
      <c r="CQ26" s="19"/>
      <c r="CR26" s="19"/>
      <c r="CS26" s="19"/>
      <c r="CT26" s="19"/>
      <c r="CU26" s="19"/>
      <c r="CV26" s="19"/>
      <c r="CW26" s="19"/>
      <c r="CX26" s="19"/>
      <c r="CY26" s="19"/>
      <c r="CZ26" s="19"/>
      <c r="DA26" s="19"/>
      <c r="DB26" s="19"/>
      <c r="DC26" s="19"/>
      <c r="DD26" s="19" t="str">
        <f>$K26</f>
        <v>2026 BMW i7 eDrive50 Sedan (20'' Wheels)</v>
      </c>
      <c r="DE26" s="19"/>
      <c r="DF26" s="19"/>
      <c r="DG26" s="19"/>
      <c r="DH26" s="19"/>
      <c r="DI26" s="19"/>
      <c r="DJ26" s="19"/>
      <c r="DK26" s="19"/>
      <c r="DL26" s="19"/>
      <c r="DM26" s="19"/>
      <c r="DN26" s="19"/>
      <c r="DO26" s="19"/>
      <c r="DP26" s="19"/>
      <c r="DQ26" s="19"/>
      <c r="DR26" s="19"/>
      <c r="DS26" s="19"/>
      <c r="DT26" s="19"/>
      <c r="DU26" s="19" t="str">
        <f>$K26</f>
        <v>2026 BMW i7 eDrive50 Sedan (20'' Wheels)</v>
      </c>
      <c r="DV26" s="19"/>
      <c r="DW26" s="19"/>
      <c r="DX26" s="19"/>
      <c r="DY26" s="19"/>
      <c r="DZ26" s="19"/>
      <c r="EA26" s="117"/>
      <c r="EB26" s="19"/>
      <c r="EC26" s="19"/>
      <c r="ED26" s="19"/>
      <c r="EE26" s="19"/>
      <c r="EF26" s="19"/>
      <c r="EG26"/>
      <c r="EH26"/>
      <c r="EI26"/>
      <c r="EJ26"/>
      <c r="EK26"/>
      <c r="EL26"/>
      <c r="EM26"/>
      <c r="EN26"/>
      <c r="EO26"/>
      <c r="EP26"/>
      <c r="EQ26"/>
      <c r="ER26"/>
      <c r="ES26"/>
      <c r="ET26"/>
      <c r="EU26"/>
      <c r="EV26"/>
      <c r="EW26"/>
      <c r="EX26" s="19" t="s">
        <v>1940</v>
      </c>
      <c r="EY26"/>
      <c r="EZ26"/>
      <c r="FA26"/>
      <c r="FB26"/>
      <c r="FC26"/>
      <c r="FD26"/>
      <c r="FE26"/>
      <c r="FF26"/>
      <c r="FG26"/>
      <c r="FH26"/>
      <c r="FI26"/>
    </row>
    <row r="27" spans="1:165" s="66" customFormat="1" x14ac:dyDescent="0.35">
      <c r="A27">
        <v>2026</v>
      </c>
      <c r="B27" t="s">
        <v>192</v>
      </c>
      <c r="C27" s="112" t="s">
        <v>192</v>
      </c>
      <c r="D27" t="s">
        <v>1712</v>
      </c>
      <c r="E27" t="s">
        <v>194</v>
      </c>
      <c r="F27">
        <v>710</v>
      </c>
      <c r="G27" s="113">
        <v>0</v>
      </c>
      <c r="H27"/>
      <c r="I27" t="s">
        <v>1391</v>
      </c>
      <c r="J27">
        <v>82</v>
      </c>
      <c r="K27">
        <v>88</v>
      </c>
      <c r="L27">
        <v>85</v>
      </c>
      <c r="M27">
        <v>116.5</v>
      </c>
      <c r="N27">
        <v>126.4</v>
      </c>
      <c r="O27">
        <v>120.7561</v>
      </c>
      <c r="P27">
        <v>81.55</v>
      </c>
      <c r="Q27">
        <v>88.48</v>
      </c>
      <c r="R27">
        <v>84.529300000000006</v>
      </c>
      <c r="S27"/>
      <c r="T27"/>
      <c r="U27"/>
      <c r="V27" t="s">
        <v>170</v>
      </c>
      <c r="W27" t="s">
        <v>171</v>
      </c>
      <c r="X27"/>
      <c r="Y27">
        <v>1</v>
      </c>
      <c r="Z27" t="s">
        <v>173</v>
      </c>
      <c r="AA27" t="s">
        <v>173</v>
      </c>
      <c r="AB27" t="s">
        <v>174</v>
      </c>
      <c r="AC27" t="s">
        <v>175</v>
      </c>
      <c r="AD27"/>
      <c r="AE27"/>
      <c r="AF27">
        <v>301</v>
      </c>
      <c r="AG27" t="s">
        <v>1392</v>
      </c>
      <c r="AH27" t="s">
        <v>1393</v>
      </c>
      <c r="AI27" t="s">
        <v>178</v>
      </c>
      <c r="AJ27" t="s">
        <v>179</v>
      </c>
      <c r="AK27" t="s">
        <v>173</v>
      </c>
      <c r="AL27" t="s">
        <v>180</v>
      </c>
      <c r="AM27"/>
      <c r="AN27"/>
      <c r="AO27">
        <v>109</v>
      </c>
      <c r="AP27">
        <v>14</v>
      </c>
      <c r="AQ27"/>
      <c r="AR27"/>
      <c r="AS27">
        <v>1000</v>
      </c>
      <c r="AT27">
        <v>1000</v>
      </c>
      <c r="AU27"/>
      <c r="AV27"/>
      <c r="AW27"/>
      <c r="AX27"/>
      <c r="AY27"/>
      <c r="AZ27"/>
      <c r="BA27"/>
      <c r="BB27"/>
      <c r="BC27"/>
      <c r="BD27"/>
      <c r="BE27"/>
      <c r="BF27"/>
      <c r="BG27"/>
      <c r="BH27"/>
      <c r="BI27"/>
      <c r="BJ27"/>
      <c r="BK27"/>
      <c r="BL27"/>
      <c r="BM27"/>
      <c r="BN27" s="114"/>
      <c r="BO27"/>
      <c r="BP27"/>
      <c r="BQ27">
        <v>6</v>
      </c>
      <c r="BR27" t="s">
        <v>536</v>
      </c>
      <c r="BS27" t="s">
        <v>182</v>
      </c>
      <c r="BT27" t="s">
        <v>1402</v>
      </c>
      <c r="BU27" s="115">
        <v>45870</v>
      </c>
      <c r="BV27">
        <v>37242</v>
      </c>
      <c r="BW27" s="116"/>
      <c r="BX27" t="s">
        <v>172</v>
      </c>
      <c r="BY27" t="s">
        <v>173</v>
      </c>
      <c r="BZ27"/>
      <c r="CA27"/>
      <c r="CB27" t="s">
        <v>173</v>
      </c>
      <c r="CC27" t="s">
        <v>173</v>
      </c>
      <c r="CD27"/>
      <c r="CE27"/>
      <c r="CF27"/>
      <c r="CG27"/>
      <c r="CH27"/>
      <c r="CI27"/>
      <c r="CJ27"/>
      <c r="CK27" t="s">
        <v>259</v>
      </c>
      <c r="CL27"/>
      <c r="CM27">
        <v>1</v>
      </c>
      <c r="CN27" t="s">
        <v>260</v>
      </c>
      <c r="CO27"/>
      <c r="CP27">
        <v>376</v>
      </c>
      <c r="CQ27">
        <v>280.8</v>
      </c>
      <c r="CR27">
        <v>156</v>
      </c>
      <c r="CS27" t="s">
        <v>261</v>
      </c>
      <c r="CT27"/>
      <c r="CU27"/>
      <c r="CV27" t="s">
        <v>262</v>
      </c>
      <c r="CW27"/>
      <c r="CX27" t="s">
        <v>702</v>
      </c>
      <c r="CY27" t="s">
        <v>172</v>
      </c>
      <c r="CZ27"/>
      <c r="DA27"/>
      <c r="DB27"/>
      <c r="DC27" t="s">
        <v>1412</v>
      </c>
      <c r="DD27">
        <v>1</v>
      </c>
      <c r="DE27" t="s">
        <v>307</v>
      </c>
      <c r="DF27" t="s">
        <v>308</v>
      </c>
      <c r="DG27">
        <v>335</v>
      </c>
      <c r="DH27"/>
      <c r="DI27"/>
      <c r="DJ27"/>
      <c r="DK27"/>
      <c r="DL27" t="s">
        <v>173</v>
      </c>
      <c r="DM27" t="s">
        <v>172</v>
      </c>
      <c r="DN27"/>
      <c r="DO27"/>
      <c r="DP27" t="s">
        <v>173</v>
      </c>
      <c r="DQ27" t="s">
        <v>189</v>
      </c>
      <c r="DR27"/>
      <c r="DS27"/>
      <c r="DT27"/>
      <c r="DU27"/>
      <c r="DV27"/>
      <c r="DW27"/>
      <c r="DX27"/>
      <c r="DY27"/>
      <c r="DZ27"/>
      <c r="EA27" s="117"/>
      <c r="EB27">
        <v>9</v>
      </c>
      <c r="EC27">
        <v>10</v>
      </c>
      <c r="ED27"/>
      <c r="EE27" t="s">
        <v>1711</v>
      </c>
      <c r="EF27">
        <v>10</v>
      </c>
      <c r="EG27"/>
      <c r="EH27"/>
      <c r="EI27"/>
      <c r="EJ27"/>
      <c r="EK27"/>
      <c r="EL27"/>
      <c r="EM27"/>
      <c r="EN27"/>
      <c r="EO27"/>
      <c r="EP27"/>
      <c r="EQ27"/>
      <c r="ER27"/>
      <c r="ES27"/>
      <c r="ET27"/>
      <c r="EU27">
        <v>3500</v>
      </c>
      <c r="EV27"/>
      <c r="EW27">
        <v>0</v>
      </c>
      <c r="EX27">
        <v>0</v>
      </c>
      <c r="EY27">
        <v>0</v>
      </c>
      <c r="EZ27"/>
      <c r="FA27">
        <v>10</v>
      </c>
      <c r="FB27"/>
      <c r="FC27"/>
      <c r="FD27"/>
      <c r="FE27"/>
      <c r="FF27"/>
      <c r="FG27" s="94">
        <v>290</v>
      </c>
      <c r="FH27" s="94">
        <v>315</v>
      </c>
      <c r="FI27" s="94">
        <v>301</v>
      </c>
    </row>
    <row r="28" spans="1:165" s="66" customFormat="1" x14ac:dyDescent="0.35">
      <c r="A28">
        <v>2026</v>
      </c>
      <c r="B28" t="s">
        <v>192</v>
      </c>
      <c r="C28" s="112" t="s">
        <v>192</v>
      </c>
      <c r="D28" t="s">
        <v>1712</v>
      </c>
      <c r="E28" t="s">
        <v>194</v>
      </c>
      <c r="F28">
        <v>710</v>
      </c>
      <c r="G28" s="113">
        <v>0</v>
      </c>
      <c r="H28"/>
      <c r="I28" t="s">
        <v>1391</v>
      </c>
      <c r="J28">
        <v>41</v>
      </c>
      <c r="K28">
        <v>38</v>
      </c>
      <c r="L28">
        <v>40</v>
      </c>
      <c r="M28">
        <v>28.930099999999999</v>
      </c>
      <c r="N28">
        <v>26.659199999999998</v>
      </c>
      <c r="O28">
        <v>27.908200000000001</v>
      </c>
      <c r="P28">
        <v>41.330500000000001</v>
      </c>
      <c r="Q28">
        <v>38.093400000000003</v>
      </c>
      <c r="R28">
        <v>39.873800000000003</v>
      </c>
      <c r="S28"/>
      <c r="T28"/>
      <c r="U28"/>
      <c r="V28" t="s">
        <v>170</v>
      </c>
      <c r="W28" t="s">
        <v>171</v>
      </c>
      <c r="X28"/>
      <c r="Y28">
        <v>1</v>
      </c>
      <c r="Z28" t="s">
        <v>173</v>
      </c>
      <c r="AA28" t="s">
        <v>173</v>
      </c>
      <c r="AB28" t="s">
        <v>174</v>
      </c>
      <c r="AC28" t="s">
        <v>175</v>
      </c>
      <c r="AD28"/>
      <c r="AE28"/>
      <c r="AF28">
        <v>301</v>
      </c>
      <c r="AG28" t="s">
        <v>1392</v>
      </c>
      <c r="AH28" t="s">
        <v>1393</v>
      </c>
      <c r="AI28" t="s">
        <v>1399</v>
      </c>
      <c r="AJ28" t="s">
        <v>1400</v>
      </c>
      <c r="AK28" t="s">
        <v>173</v>
      </c>
      <c r="AL28" t="s">
        <v>180</v>
      </c>
      <c r="AM28"/>
      <c r="AN28"/>
      <c r="AO28">
        <v>109</v>
      </c>
      <c r="AP28">
        <v>14</v>
      </c>
      <c r="AQ28"/>
      <c r="AR28"/>
      <c r="AS28">
        <v>1000</v>
      </c>
      <c r="AT28">
        <v>1000</v>
      </c>
      <c r="AU28"/>
      <c r="AV28"/>
      <c r="AW28"/>
      <c r="AX28"/>
      <c r="AY28"/>
      <c r="AZ28"/>
      <c r="BA28"/>
      <c r="BB28"/>
      <c r="BC28"/>
      <c r="BD28"/>
      <c r="BE28"/>
      <c r="BF28"/>
      <c r="BG28"/>
      <c r="BH28"/>
      <c r="BI28"/>
      <c r="BJ28"/>
      <c r="BK28"/>
      <c r="BL28"/>
      <c r="BM28"/>
      <c r="BN28" s="114"/>
      <c r="BO28"/>
      <c r="BP28"/>
      <c r="BQ28">
        <v>6</v>
      </c>
      <c r="BR28" t="s">
        <v>536</v>
      </c>
      <c r="BS28" t="s">
        <v>182</v>
      </c>
      <c r="BT28" t="s">
        <v>1402</v>
      </c>
      <c r="BU28" s="115">
        <v>45870</v>
      </c>
      <c r="BV28">
        <v>37242</v>
      </c>
      <c r="BW28" s="116"/>
      <c r="BX28" t="s">
        <v>172</v>
      </c>
      <c r="BY28" t="s">
        <v>173</v>
      </c>
      <c r="BZ28"/>
      <c r="CA28"/>
      <c r="CB28" t="s">
        <v>173</v>
      </c>
      <c r="CC28" t="s">
        <v>173</v>
      </c>
      <c r="CD28"/>
      <c r="CE28"/>
      <c r="CF28"/>
      <c r="CG28"/>
      <c r="CH28"/>
      <c r="CI28"/>
      <c r="CJ28"/>
      <c r="CK28" t="s">
        <v>259</v>
      </c>
      <c r="CL28"/>
      <c r="CM28">
        <v>1</v>
      </c>
      <c r="CN28" t="s">
        <v>260</v>
      </c>
      <c r="CO28"/>
      <c r="CP28">
        <v>376</v>
      </c>
      <c r="CQ28">
        <v>280.8</v>
      </c>
      <c r="CR28">
        <v>156</v>
      </c>
      <c r="CS28" t="s">
        <v>261</v>
      </c>
      <c r="CT28"/>
      <c r="CU28"/>
      <c r="CV28" t="s">
        <v>262</v>
      </c>
      <c r="CW28"/>
      <c r="CX28" t="s">
        <v>702</v>
      </c>
      <c r="CY28" t="s">
        <v>172</v>
      </c>
      <c r="CZ28"/>
      <c r="DA28"/>
      <c r="DB28"/>
      <c r="DC28" t="s">
        <v>1412</v>
      </c>
      <c r="DD28">
        <v>1</v>
      </c>
      <c r="DE28" t="s">
        <v>307</v>
      </c>
      <c r="DF28" t="s">
        <v>308</v>
      </c>
      <c r="DG28">
        <v>335</v>
      </c>
      <c r="DH28"/>
      <c r="DI28"/>
      <c r="DJ28"/>
      <c r="DK28"/>
      <c r="DL28" t="s">
        <v>173</v>
      </c>
      <c r="DM28" t="s">
        <v>172</v>
      </c>
      <c r="DN28"/>
      <c r="DO28"/>
      <c r="DP28" t="s">
        <v>173</v>
      </c>
      <c r="DQ28" t="s">
        <v>189</v>
      </c>
      <c r="DR28"/>
      <c r="DS28"/>
      <c r="DT28"/>
      <c r="DU28"/>
      <c r="DV28"/>
      <c r="DW28"/>
      <c r="DX28"/>
      <c r="DY28"/>
      <c r="DZ28"/>
      <c r="EA28" s="117"/>
      <c r="EB28">
        <v>9</v>
      </c>
      <c r="EC28">
        <v>10</v>
      </c>
      <c r="ED28"/>
      <c r="EE28" t="s">
        <v>1711</v>
      </c>
      <c r="EF28">
        <v>10</v>
      </c>
      <c r="EG28"/>
      <c r="EH28"/>
      <c r="EI28"/>
      <c r="EJ28"/>
      <c r="EK28"/>
      <c r="EL28"/>
      <c r="EM28"/>
      <c r="EN28"/>
      <c r="EO28"/>
      <c r="EP28"/>
      <c r="EQ28"/>
      <c r="ER28"/>
      <c r="ES28"/>
      <c r="ET28"/>
      <c r="EU28">
        <v>3500</v>
      </c>
      <c r="EV28"/>
      <c r="EW28">
        <v>0</v>
      </c>
      <c r="EX28">
        <v>0</v>
      </c>
      <c r="EY28">
        <v>0</v>
      </c>
      <c r="EZ28"/>
      <c r="FA28">
        <v>10</v>
      </c>
      <c r="FB28"/>
      <c r="FC28"/>
      <c r="FD28"/>
      <c r="FE28"/>
      <c r="FF28"/>
      <c r="FG28" s="94">
        <v>290</v>
      </c>
      <c r="FH28" s="94">
        <v>315</v>
      </c>
      <c r="FI28" s="94">
        <v>301</v>
      </c>
    </row>
    <row r="29" spans="1:165" s="66" customFormat="1" x14ac:dyDescent="0.35">
      <c r="A29" s="19"/>
      <c r="B29" s="19"/>
      <c r="C29" s="19"/>
      <c r="D29" s="19"/>
      <c r="E29" s="19"/>
      <c r="F29" s="128"/>
      <c r="G29" s="19"/>
      <c r="H29" s="19"/>
      <c r="I29" s="19"/>
      <c r="J29" s="19"/>
      <c r="K29" s="19" t="str">
        <f>_xlfn.CONCAT(A30," ",C30," ",D30)</f>
        <v>2026 BMW i7 eDrive50 Sedan (21'' Wheels)</v>
      </c>
      <c r="L29" s="19"/>
      <c r="M29" s="19"/>
      <c r="N29" s="19"/>
      <c r="O29" s="19"/>
      <c r="P29" s="19"/>
      <c r="Q29" s="19"/>
      <c r="R29" s="19"/>
      <c r="S29" s="19"/>
      <c r="T29" s="19"/>
      <c r="U29" s="19"/>
      <c r="V29" s="19"/>
      <c r="W29" s="19"/>
      <c r="X29" s="19"/>
      <c r="Y29" s="19"/>
      <c r="Z29" s="19"/>
      <c r="AA29" s="19"/>
      <c r="AB29" s="19" t="str">
        <f>$K29</f>
        <v>2026 BMW i7 eDrive50 Sedan (21'' Wheels)</v>
      </c>
      <c r="AC29" s="19"/>
      <c r="AD29" s="19"/>
      <c r="AE29" s="19"/>
      <c r="AF29" s="19"/>
      <c r="AG29" s="19"/>
      <c r="AH29" s="19"/>
      <c r="AI29" s="19"/>
      <c r="AJ29" s="19"/>
      <c r="AK29" s="19"/>
      <c r="AL29" s="19"/>
      <c r="AM29" s="19"/>
      <c r="AN29" s="19"/>
      <c r="AO29" s="19"/>
      <c r="AP29" s="19"/>
      <c r="AQ29" s="19"/>
      <c r="AR29" s="19" t="str">
        <f>$K29</f>
        <v>2026 BMW i7 eDrive50 Sedan (21'' Wheels)</v>
      </c>
      <c r="AS29" s="19"/>
      <c r="AT29" s="19"/>
      <c r="AU29" s="19"/>
      <c r="AV29" s="19"/>
      <c r="AW29" s="19"/>
      <c r="AX29" s="19"/>
      <c r="AY29" s="19"/>
      <c r="AZ29" s="19"/>
      <c r="BA29" s="19"/>
      <c r="BB29" s="19"/>
      <c r="BC29" s="19"/>
      <c r="BD29" s="19"/>
      <c r="BE29" s="19"/>
      <c r="BF29" s="19"/>
      <c r="BG29" s="19" t="str">
        <f>$K29</f>
        <v>2026 BMW i7 eDrive50 Sedan (21'' Wheels)</v>
      </c>
      <c r="BH29" s="19"/>
      <c r="BI29" s="19"/>
      <c r="BJ29" s="19"/>
      <c r="BK29" s="19"/>
      <c r="BL29" s="19"/>
      <c r="BM29" s="129"/>
      <c r="BN29" s="19"/>
      <c r="BO29" s="19"/>
      <c r="BP29" s="19"/>
      <c r="BQ29" s="19"/>
      <c r="BR29" s="19"/>
      <c r="BS29" s="19"/>
      <c r="BT29" s="130"/>
      <c r="BU29" s="19"/>
      <c r="BV29" s="19"/>
      <c r="BW29" s="116"/>
      <c r="BX29" s="19"/>
      <c r="BY29" s="19"/>
      <c r="BZ29" s="19"/>
      <c r="CA29" s="19"/>
      <c r="CB29" s="19"/>
      <c r="CC29" s="19"/>
      <c r="CD29" s="19"/>
      <c r="CE29" s="19"/>
      <c r="CF29" s="19"/>
      <c r="CG29" s="19"/>
      <c r="CH29" s="19"/>
      <c r="CI29" s="19"/>
      <c r="CJ29" s="19"/>
      <c r="CK29" s="19"/>
      <c r="CL29" s="19"/>
      <c r="CM29" s="19" t="str">
        <f>$K29</f>
        <v>2026 BMW i7 eDrive50 Sedan (21'' Wheels)</v>
      </c>
      <c r="CN29" s="19"/>
      <c r="CO29" s="19"/>
      <c r="CP29" s="19"/>
      <c r="CQ29" s="19"/>
      <c r="CR29" s="19"/>
      <c r="CS29" s="19"/>
      <c r="CT29" s="19"/>
      <c r="CU29" s="19"/>
      <c r="CV29" s="19"/>
      <c r="CW29" s="19"/>
      <c r="CX29" s="19"/>
      <c r="CY29" s="19"/>
      <c r="CZ29" s="19"/>
      <c r="DA29" s="19"/>
      <c r="DB29" s="19"/>
      <c r="DC29" s="19"/>
      <c r="DD29" s="19" t="str">
        <f>$K29</f>
        <v>2026 BMW i7 eDrive50 Sedan (21'' Wheels)</v>
      </c>
      <c r="DE29" s="19"/>
      <c r="DF29" s="19"/>
      <c r="DG29" s="19"/>
      <c r="DH29" s="19"/>
      <c r="DI29" s="19"/>
      <c r="DJ29" s="19"/>
      <c r="DK29" s="19"/>
      <c r="DL29" s="19"/>
      <c r="DM29" s="19"/>
      <c r="DN29" s="19"/>
      <c r="DO29" s="19"/>
      <c r="DP29" s="19"/>
      <c r="DQ29" s="19"/>
      <c r="DR29" s="19"/>
      <c r="DS29" s="19"/>
      <c r="DT29" s="19"/>
      <c r="DU29" s="19" t="str">
        <f>$K29</f>
        <v>2026 BMW i7 eDrive50 Sedan (21'' Wheels)</v>
      </c>
      <c r="DV29" s="19"/>
      <c r="DW29" s="19"/>
      <c r="DX29" s="19"/>
      <c r="DY29" s="19"/>
      <c r="DZ29" s="19"/>
      <c r="EA29" s="117"/>
      <c r="EB29" s="19"/>
      <c r="EC29" s="19"/>
      <c r="ED29" s="19"/>
      <c r="EE29" s="19"/>
      <c r="EF29" s="19"/>
      <c r="EG29"/>
      <c r="EH29"/>
      <c r="EI29"/>
      <c r="EJ29"/>
      <c r="EK29"/>
      <c r="EL29"/>
      <c r="EM29"/>
      <c r="EN29"/>
      <c r="EO29"/>
      <c r="EP29"/>
      <c r="EQ29"/>
      <c r="ER29"/>
      <c r="ES29"/>
      <c r="ET29"/>
      <c r="EU29"/>
      <c r="EV29"/>
      <c r="EW29"/>
      <c r="EX29" s="19" t="s">
        <v>1941</v>
      </c>
      <c r="EY29"/>
      <c r="EZ29"/>
      <c r="FA29"/>
      <c r="FB29"/>
      <c r="FC29"/>
      <c r="FD29"/>
      <c r="FE29"/>
      <c r="FF29"/>
      <c r="FG29"/>
      <c r="FH29"/>
      <c r="FI29"/>
    </row>
    <row r="30" spans="1:165" s="66" customFormat="1" x14ac:dyDescent="0.35">
      <c r="A30">
        <v>2026</v>
      </c>
      <c r="B30" t="s">
        <v>192</v>
      </c>
      <c r="C30" s="112" t="s">
        <v>192</v>
      </c>
      <c r="D30" t="s">
        <v>1713</v>
      </c>
      <c r="E30" t="s">
        <v>194</v>
      </c>
      <c r="F30">
        <v>711</v>
      </c>
      <c r="G30" s="113">
        <v>0</v>
      </c>
      <c r="H30"/>
      <c r="I30" t="s">
        <v>1391</v>
      </c>
      <c r="J30">
        <v>84</v>
      </c>
      <c r="K30">
        <v>90</v>
      </c>
      <c r="L30">
        <v>87</v>
      </c>
      <c r="M30">
        <v>119.9</v>
      </c>
      <c r="N30">
        <v>128.5</v>
      </c>
      <c r="O30">
        <v>123.62309999999999</v>
      </c>
      <c r="P30">
        <v>83.93</v>
      </c>
      <c r="Q30">
        <v>89.95</v>
      </c>
      <c r="R30">
        <v>86.536199999999994</v>
      </c>
      <c r="S30"/>
      <c r="T30"/>
      <c r="U30"/>
      <c r="V30" t="s">
        <v>170</v>
      </c>
      <c r="W30" t="s">
        <v>171</v>
      </c>
      <c r="X30"/>
      <c r="Y30">
        <v>1</v>
      </c>
      <c r="Z30" t="s">
        <v>173</v>
      </c>
      <c r="AA30" t="s">
        <v>173</v>
      </c>
      <c r="AB30" t="s">
        <v>174</v>
      </c>
      <c r="AC30" t="s">
        <v>175</v>
      </c>
      <c r="AD30"/>
      <c r="AE30"/>
      <c r="AF30">
        <v>307</v>
      </c>
      <c r="AG30" t="s">
        <v>1392</v>
      </c>
      <c r="AH30" t="s">
        <v>1393</v>
      </c>
      <c r="AI30" t="s">
        <v>178</v>
      </c>
      <c r="AJ30" t="s">
        <v>179</v>
      </c>
      <c r="AK30" t="s">
        <v>173</v>
      </c>
      <c r="AL30" t="s">
        <v>180</v>
      </c>
      <c r="AM30"/>
      <c r="AN30"/>
      <c r="AO30">
        <v>109</v>
      </c>
      <c r="AP30">
        <v>14</v>
      </c>
      <c r="AQ30"/>
      <c r="AR30"/>
      <c r="AS30">
        <v>1000</v>
      </c>
      <c r="AT30">
        <v>1000</v>
      </c>
      <c r="AU30"/>
      <c r="AV30"/>
      <c r="AW30"/>
      <c r="AX30"/>
      <c r="AY30"/>
      <c r="AZ30"/>
      <c r="BA30"/>
      <c r="BB30"/>
      <c r="BC30"/>
      <c r="BD30"/>
      <c r="BE30"/>
      <c r="BF30"/>
      <c r="BG30"/>
      <c r="BH30"/>
      <c r="BI30"/>
      <c r="BJ30"/>
      <c r="BK30"/>
      <c r="BL30"/>
      <c r="BM30"/>
      <c r="BN30" s="114"/>
      <c r="BO30"/>
      <c r="BP30"/>
      <c r="BQ30">
        <v>6</v>
      </c>
      <c r="BR30" t="s">
        <v>536</v>
      </c>
      <c r="BS30" t="s">
        <v>182</v>
      </c>
      <c r="BT30" t="s">
        <v>1402</v>
      </c>
      <c r="BU30" s="115">
        <v>45870</v>
      </c>
      <c r="BV30">
        <v>37243</v>
      </c>
      <c r="BW30" s="116"/>
      <c r="BX30" t="s">
        <v>172</v>
      </c>
      <c r="BY30" t="s">
        <v>173</v>
      </c>
      <c r="BZ30"/>
      <c r="CA30"/>
      <c r="CB30" t="s">
        <v>173</v>
      </c>
      <c r="CC30" t="s">
        <v>173</v>
      </c>
      <c r="CD30"/>
      <c r="CE30"/>
      <c r="CF30"/>
      <c r="CG30"/>
      <c r="CH30"/>
      <c r="CI30"/>
      <c r="CJ30"/>
      <c r="CK30" t="s">
        <v>259</v>
      </c>
      <c r="CL30"/>
      <c r="CM30">
        <v>1</v>
      </c>
      <c r="CN30" t="s">
        <v>260</v>
      </c>
      <c r="CO30"/>
      <c r="CP30">
        <v>376</v>
      </c>
      <c r="CQ30">
        <v>280.8</v>
      </c>
      <c r="CR30">
        <v>156</v>
      </c>
      <c r="CS30" t="s">
        <v>261</v>
      </c>
      <c r="CT30"/>
      <c r="CU30"/>
      <c r="CV30" t="s">
        <v>262</v>
      </c>
      <c r="CW30"/>
      <c r="CX30" t="s">
        <v>702</v>
      </c>
      <c r="CY30" t="s">
        <v>172</v>
      </c>
      <c r="CZ30"/>
      <c r="DA30"/>
      <c r="DB30"/>
      <c r="DC30" t="s">
        <v>1412</v>
      </c>
      <c r="DD30">
        <v>1</v>
      </c>
      <c r="DE30" t="s">
        <v>307</v>
      </c>
      <c r="DF30" t="s">
        <v>308</v>
      </c>
      <c r="DG30">
        <v>335</v>
      </c>
      <c r="DH30"/>
      <c r="DI30"/>
      <c r="DJ30"/>
      <c r="DK30"/>
      <c r="DL30" t="s">
        <v>173</v>
      </c>
      <c r="DM30" t="s">
        <v>172</v>
      </c>
      <c r="DN30"/>
      <c r="DO30"/>
      <c r="DP30" t="s">
        <v>173</v>
      </c>
      <c r="DQ30" t="s">
        <v>189</v>
      </c>
      <c r="DR30"/>
      <c r="DS30"/>
      <c r="DT30"/>
      <c r="DU30"/>
      <c r="DV30"/>
      <c r="DW30"/>
      <c r="DX30"/>
      <c r="DY30"/>
      <c r="DZ30"/>
      <c r="EA30" s="117"/>
      <c r="EB30">
        <v>9</v>
      </c>
      <c r="EC30">
        <v>10</v>
      </c>
      <c r="ED30"/>
      <c r="EE30" t="s">
        <v>1711</v>
      </c>
      <c r="EF30">
        <v>10</v>
      </c>
      <c r="EG30"/>
      <c r="EH30"/>
      <c r="EI30"/>
      <c r="EJ30"/>
      <c r="EK30"/>
      <c r="EL30"/>
      <c r="EM30"/>
      <c r="EN30"/>
      <c r="EO30"/>
      <c r="EP30"/>
      <c r="EQ30"/>
      <c r="ER30"/>
      <c r="ES30"/>
      <c r="ET30"/>
      <c r="EU30">
        <v>3500</v>
      </c>
      <c r="EV30"/>
      <c r="EW30">
        <v>0</v>
      </c>
      <c r="EX30">
        <v>0</v>
      </c>
      <c r="EY30">
        <v>0</v>
      </c>
      <c r="EZ30"/>
      <c r="FA30">
        <v>10</v>
      </c>
      <c r="FB30"/>
      <c r="FC30"/>
      <c r="FD30"/>
      <c r="FE30"/>
      <c r="FF30"/>
      <c r="FG30" s="94">
        <v>297</v>
      </c>
      <c r="FH30" s="94">
        <v>319</v>
      </c>
      <c r="FI30" s="94">
        <v>307</v>
      </c>
    </row>
    <row r="31" spans="1:165" s="66" customFormat="1" x14ac:dyDescent="0.35">
      <c r="A31">
        <v>2026</v>
      </c>
      <c r="B31" t="s">
        <v>192</v>
      </c>
      <c r="C31" s="112" t="s">
        <v>192</v>
      </c>
      <c r="D31" t="s">
        <v>1713</v>
      </c>
      <c r="E31" t="s">
        <v>194</v>
      </c>
      <c r="F31">
        <v>711</v>
      </c>
      <c r="G31" s="113">
        <v>0</v>
      </c>
      <c r="H31"/>
      <c r="I31" t="s">
        <v>1391</v>
      </c>
      <c r="J31">
        <v>40</v>
      </c>
      <c r="K31">
        <v>37</v>
      </c>
      <c r="L31">
        <v>39</v>
      </c>
      <c r="M31">
        <v>28.116299999999999</v>
      </c>
      <c r="N31">
        <v>26.233499999999999</v>
      </c>
      <c r="O31">
        <v>27.268999999999998</v>
      </c>
      <c r="P31">
        <v>40.158499999999997</v>
      </c>
      <c r="Q31">
        <v>37.470799999999997</v>
      </c>
      <c r="R31">
        <v>38.948999999999998</v>
      </c>
      <c r="S31"/>
      <c r="T31"/>
      <c r="U31"/>
      <c r="V31" t="s">
        <v>170</v>
      </c>
      <c r="W31" t="s">
        <v>171</v>
      </c>
      <c r="X31"/>
      <c r="Y31">
        <v>1</v>
      </c>
      <c r="Z31" t="s">
        <v>173</v>
      </c>
      <c r="AA31" t="s">
        <v>173</v>
      </c>
      <c r="AB31" t="s">
        <v>174</v>
      </c>
      <c r="AC31" t="s">
        <v>175</v>
      </c>
      <c r="AD31"/>
      <c r="AE31"/>
      <c r="AF31">
        <v>307</v>
      </c>
      <c r="AG31" t="s">
        <v>1392</v>
      </c>
      <c r="AH31" t="s">
        <v>1393</v>
      </c>
      <c r="AI31" t="s">
        <v>1399</v>
      </c>
      <c r="AJ31" t="s">
        <v>1400</v>
      </c>
      <c r="AK31" t="s">
        <v>173</v>
      </c>
      <c r="AL31" t="s">
        <v>180</v>
      </c>
      <c r="AM31"/>
      <c r="AN31"/>
      <c r="AO31">
        <v>109</v>
      </c>
      <c r="AP31">
        <v>14</v>
      </c>
      <c r="AQ31"/>
      <c r="AR31"/>
      <c r="AS31">
        <v>1000</v>
      </c>
      <c r="AT31">
        <v>1000</v>
      </c>
      <c r="AU31"/>
      <c r="AV31"/>
      <c r="AW31"/>
      <c r="AX31"/>
      <c r="AY31"/>
      <c r="AZ31"/>
      <c r="BA31"/>
      <c r="BB31"/>
      <c r="BC31"/>
      <c r="BD31"/>
      <c r="BE31"/>
      <c r="BF31"/>
      <c r="BG31"/>
      <c r="BH31"/>
      <c r="BI31"/>
      <c r="BJ31"/>
      <c r="BK31"/>
      <c r="BL31"/>
      <c r="BM31"/>
      <c r="BN31" s="114"/>
      <c r="BO31"/>
      <c r="BP31"/>
      <c r="BQ31">
        <v>6</v>
      </c>
      <c r="BR31" t="s">
        <v>536</v>
      </c>
      <c r="BS31" t="s">
        <v>182</v>
      </c>
      <c r="BT31" t="s">
        <v>1402</v>
      </c>
      <c r="BU31" s="115">
        <v>45870</v>
      </c>
      <c r="BV31">
        <v>37243</v>
      </c>
      <c r="BW31" s="116"/>
      <c r="BX31" t="s">
        <v>172</v>
      </c>
      <c r="BY31" t="s">
        <v>173</v>
      </c>
      <c r="BZ31"/>
      <c r="CA31"/>
      <c r="CB31" t="s">
        <v>173</v>
      </c>
      <c r="CC31" t="s">
        <v>173</v>
      </c>
      <c r="CD31"/>
      <c r="CE31"/>
      <c r="CF31"/>
      <c r="CG31"/>
      <c r="CH31"/>
      <c r="CI31"/>
      <c r="CJ31"/>
      <c r="CK31" t="s">
        <v>259</v>
      </c>
      <c r="CL31"/>
      <c r="CM31">
        <v>1</v>
      </c>
      <c r="CN31" t="s">
        <v>260</v>
      </c>
      <c r="CO31"/>
      <c r="CP31">
        <v>376</v>
      </c>
      <c r="CQ31">
        <v>280.8</v>
      </c>
      <c r="CR31">
        <v>156</v>
      </c>
      <c r="CS31" t="s">
        <v>261</v>
      </c>
      <c r="CT31"/>
      <c r="CU31"/>
      <c r="CV31" t="s">
        <v>262</v>
      </c>
      <c r="CW31"/>
      <c r="CX31" t="s">
        <v>702</v>
      </c>
      <c r="CY31" t="s">
        <v>172</v>
      </c>
      <c r="CZ31"/>
      <c r="DA31"/>
      <c r="DB31"/>
      <c r="DC31" t="s">
        <v>1412</v>
      </c>
      <c r="DD31">
        <v>1</v>
      </c>
      <c r="DE31" t="s">
        <v>307</v>
      </c>
      <c r="DF31" t="s">
        <v>308</v>
      </c>
      <c r="DG31">
        <v>335</v>
      </c>
      <c r="DH31"/>
      <c r="DI31"/>
      <c r="DJ31"/>
      <c r="DK31"/>
      <c r="DL31" t="s">
        <v>173</v>
      </c>
      <c r="DM31" t="s">
        <v>172</v>
      </c>
      <c r="DN31"/>
      <c r="DO31"/>
      <c r="DP31" t="s">
        <v>173</v>
      </c>
      <c r="DQ31" t="s">
        <v>189</v>
      </c>
      <c r="DR31"/>
      <c r="DS31"/>
      <c r="DT31"/>
      <c r="DU31"/>
      <c r="DV31"/>
      <c r="DW31"/>
      <c r="DX31"/>
      <c r="DY31"/>
      <c r="DZ31"/>
      <c r="EA31" s="117"/>
      <c r="EB31">
        <v>9</v>
      </c>
      <c r="EC31">
        <v>10</v>
      </c>
      <c r="ED31"/>
      <c r="EE31" t="s">
        <v>1711</v>
      </c>
      <c r="EF31">
        <v>10</v>
      </c>
      <c r="EG31"/>
      <c r="EH31"/>
      <c r="EI31"/>
      <c r="EJ31"/>
      <c r="EK31"/>
      <c r="EL31"/>
      <c r="EM31"/>
      <c r="EN31"/>
      <c r="EO31"/>
      <c r="EP31"/>
      <c r="EQ31"/>
      <c r="ER31"/>
      <c r="ES31"/>
      <c r="ET31"/>
      <c r="EU31">
        <v>3500</v>
      </c>
      <c r="EV31"/>
      <c r="EW31">
        <v>0</v>
      </c>
      <c r="EX31">
        <v>0</v>
      </c>
      <c r="EY31">
        <v>0</v>
      </c>
      <c r="EZ31"/>
      <c r="FA31">
        <v>10</v>
      </c>
      <c r="FB31"/>
      <c r="FC31"/>
      <c r="FD31"/>
      <c r="FE31"/>
      <c r="FF31"/>
      <c r="FG31" s="94">
        <v>297</v>
      </c>
      <c r="FH31" s="94">
        <v>319</v>
      </c>
      <c r="FI31" s="94">
        <v>307</v>
      </c>
    </row>
    <row r="32" spans="1:165" s="66" customFormat="1" x14ac:dyDescent="0.35">
      <c r="A32" s="19"/>
      <c r="B32" s="19"/>
      <c r="C32" s="19"/>
      <c r="D32" s="19"/>
      <c r="E32" s="19"/>
      <c r="F32" s="128"/>
      <c r="G32" s="19"/>
      <c r="H32" s="19"/>
      <c r="I32" s="19"/>
      <c r="J32" s="19"/>
      <c r="K32" s="19" t="str">
        <f>_xlfn.CONCAT(A33," ",C33," ",D33)</f>
        <v>2026 BMW i7 M70 xDrive Sedan (20'' Wheels)</v>
      </c>
      <c r="L32" s="19"/>
      <c r="M32" s="19"/>
      <c r="N32" s="19"/>
      <c r="O32" s="19"/>
      <c r="P32" s="19"/>
      <c r="Q32" s="19"/>
      <c r="R32" s="19"/>
      <c r="S32" s="19"/>
      <c r="T32" s="19"/>
      <c r="U32" s="19"/>
      <c r="V32" s="19"/>
      <c r="W32" s="19"/>
      <c r="X32" s="19"/>
      <c r="Y32" s="19"/>
      <c r="Z32" s="19"/>
      <c r="AA32" s="19"/>
      <c r="AB32" s="19" t="str">
        <f>$K32</f>
        <v>2026 BMW i7 M70 xDrive Sedan (20'' Wheels)</v>
      </c>
      <c r="AC32" s="19"/>
      <c r="AD32" s="19"/>
      <c r="AE32" s="19"/>
      <c r="AF32" s="19"/>
      <c r="AG32" s="19"/>
      <c r="AH32" s="19"/>
      <c r="AI32" s="19"/>
      <c r="AJ32" s="19"/>
      <c r="AK32" s="19"/>
      <c r="AL32" s="19"/>
      <c r="AM32" s="19"/>
      <c r="AN32" s="19"/>
      <c r="AO32" s="19"/>
      <c r="AP32" s="19"/>
      <c r="AQ32" s="19"/>
      <c r="AR32" s="19" t="str">
        <f>$K32</f>
        <v>2026 BMW i7 M70 xDrive Sedan (20'' Wheels)</v>
      </c>
      <c r="AS32" s="19"/>
      <c r="AT32" s="19"/>
      <c r="AU32" s="19"/>
      <c r="AV32" s="19"/>
      <c r="AW32" s="19"/>
      <c r="AX32" s="19"/>
      <c r="AY32" s="19"/>
      <c r="AZ32" s="19"/>
      <c r="BA32" s="19"/>
      <c r="BB32" s="19"/>
      <c r="BC32" s="19"/>
      <c r="BD32" s="19"/>
      <c r="BE32" s="19"/>
      <c r="BF32" s="19"/>
      <c r="BG32" s="19" t="str">
        <f>$K32</f>
        <v>2026 BMW i7 M70 xDrive Sedan (20'' Wheels)</v>
      </c>
      <c r="BH32" s="19"/>
      <c r="BI32" s="19"/>
      <c r="BJ32" s="19"/>
      <c r="BK32" s="19"/>
      <c r="BL32" s="19"/>
      <c r="BM32" s="129"/>
      <c r="BN32" s="19"/>
      <c r="BO32" s="19"/>
      <c r="BP32" s="19"/>
      <c r="BQ32" s="19"/>
      <c r="BR32" s="19"/>
      <c r="BS32" s="19"/>
      <c r="BT32" s="130"/>
      <c r="BU32" s="19"/>
      <c r="BV32" s="19"/>
      <c r="BW32" s="116"/>
      <c r="BX32" s="19"/>
      <c r="BY32" s="19"/>
      <c r="BZ32" s="19"/>
      <c r="CA32" s="19"/>
      <c r="CB32" s="19"/>
      <c r="CC32" s="19"/>
      <c r="CD32" s="19"/>
      <c r="CE32" s="19"/>
      <c r="CF32" s="19"/>
      <c r="CG32" s="19"/>
      <c r="CH32" s="19"/>
      <c r="CI32" s="19"/>
      <c r="CJ32" s="19"/>
      <c r="CK32" s="19"/>
      <c r="CL32" s="19"/>
      <c r="CM32" s="19" t="str">
        <f>$K32</f>
        <v>2026 BMW i7 M70 xDrive Sedan (20'' Wheels)</v>
      </c>
      <c r="CN32" s="19"/>
      <c r="CO32" s="19"/>
      <c r="CP32" s="19"/>
      <c r="CQ32" s="19"/>
      <c r="CR32" s="19"/>
      <c r="CS32" s="19"/>
      <c r="CT32" s="19"/>
      <c r="CU32" s="19"/>
      <c r="CV32" s="19"/>
      <c r="CW32" s="19"/>
      <c r="CX32" s="19"/>
      <c r="CY32" s="19"/>
      <c r="CZ32" s="19"/>
      <c r="DA32" s="19"/>
      <c r="DB32" s="19"/>
      <c r="DC32" s="19"/>
      <c r="DD32" s="19" t="str">
        <f>$K32</f>
        <v>2026 BMW i7 M70 xDrive Sedan (20'' Wheels)</v>
      </c>
      <c r="DE32" s="19"/>
      <c r="DF32" s="19"/>
      <c r="DG32" s="19"/>
      <c r="DH32" s="19"/>
      <c r="DI32" s="19"/>
      <c r="DJ32" s="19"/>
      <c r="DK32" s="19"/>
      <c r="DL32" s="19"/>
      <c r="DM32" s="19"/>
      <c r="DN32" s="19"/>
      <c r="DO32" s="19"/>
      <c r="DP32" s="19"/>
      <c r="DQ32" s="19"/>
      <c r="DR32" s="19"/>
      <c r="DS32" s="19"/>
      <c r="DT32" s="19"/>
      <c r="DU32" s="19" t="str">
        <f>$K32</f>
        <v>2026 BMW i7 M70 xDrive Sedan (20'' Wheels)</v>
      </c>
      <c r="DV32" s="19"/>
      <c r="DW32" s="19"/>
      <c r="DX32" s="19"/>
      <c r="DY32" s="19"/>
      <c r="DZ32" s="19"/>
      <c r="EA32" s="117"/>
      <c r="EB32" s="19"/>
      <c r="EC32" s="19"/>
      <c r="ED32" s="19"/>
      <c r="EE32" s="19"/>
      <c r="EF32" s="19"/>
      <c r="EG32"/>
      <c r="EH32"/>
      <c r="EI32"/>
      <c r="EJ32"/>
      <c r="EK32"/>
      <c r="EL32"/>
      <c r="EM32"/>
      <c r="EN32"/>
      <c r="EO32"/>
      <c r="EP32"/>
      <c r="EQ32"/>
      <c r="ER32"/>
      <c r="ES32"/>
      <c r="ET32"/>
      <c r="EU32"/>
      <c r="EV32"/>
      <c r="EW32"/>
      <c r="EX32" s="19" t="s">
        <v>1942</v>
      </c>
      <c r="EY32"/>
      <c r="EZ32"/>
      <c r="FA32"/>
      <c r="FB32"/>
      <c r="FC32"/>
      <c r="FD32"/>
      <c r="FE32"/>
      <c r="FF32"/>
      <c r="FG32"/>
      <c r="FH32"/>
      <c r="FI32"/>
    </row>
    <row r="33" spans="1:165" s="66" customFormat="1" x14ac:dyDescent="0.35">
      <c r="A33">
        <v>2026</v>
      </c>
      <c r="B33" t="s">
        <v>192</v>
      </c>
      <c r="C33" s="112" t="s">
        <v>192</v>
      </c>
      <c r="D33" t="s">
        <v>1714</v>
      </c>
      <c r="E33" t="s">
        <v>194</v>
      </c>
      <c r="F33">
        <v>730</v>
      </c>
      <c r="G33" s="113">
        <v>0</v>
      </c>
      <c r="H33"/>
      <c r="I33" t="s">
        <v>1391</v>
      </c>
      <c r="J33">
        <v>72</v>
      </c>
      <c r="K33">
        <v>78</v>
      </c>
      <c r="L33">
        <v>75</v>
      </c>
      <c r="M33">
        <v>103</v>
      </c>
      <c r="N33">
        <v>112</v>
      </c>
      <c r="O33">
        <v>106.8643</v>
      </c>
      <c r="P33">
        <v>72.099999999999994</v>
      </c>
      <c r="Q33">
        <v>78.400000000000006</v>
      </c>
      <c r="R33">
        <v>74.805000000000007</v>
      </c>
      <c r="S33"/>
      <c r="T33"/>
      <c r="U33"/>
      <c r="V33" t="s">
        <v>170</v>
      </c>
      <c r="W33" t="s">
        <v>171</v>
      </c>
      <c r="X33"/>
      <c r="Y33">
        <v>1</v>
      </c>
      <c r="Z33" t="s">
        <v>173</v>
      </c>
      <c r="AA33" t="s">
        <v>173</v>
      </c>
      <c r="AB33" t="s">
        <v>170</v>
      </c>
      <c r="AC33" t="s">
        <v>232</v>
      </c>
      <c r="AD33"/>
      <c r="AE33"/>
      <c r="AF33">
        <v>267</v>
      </c>
      <c r="AG33" t="s">
        <v>1392</v>
      </c>
      <c r="AH33" t="s">
        <v>1393</v>
      </c>
      <c r="AI33" t="s">
        <v>178</v>
      </c>
      <c r="AJ33" t="s">
        <v>179</v>
      </c>
      <c r="AK33" t="s">
        <v>173</v>
      </c>
      <c r="AL33" t="s">
        <v>180</v>
      </c>
      <c r="AM33"/>
      <c r="AN33"/>
      <c r="AO33">
        <v>109</v>
      </c>
      <c r="AP33">
        <v>14</v>
      </c>
      <c r="AQ33"/>
      <c r="AR33"/>
      <c r="AS33">
        <v>1150</v>
      </c>
      <c r="AT33">
        <v>1150</v>
      </c>
      <c r="AU33"/>
      <c r="AV33"/>
      <c r="AW33"/>
      <c r="AX33"/>
      <c r="AY33"/>
      <c r="AZ33"/>
      <c r="BA33"/>
      <c r="BB33"/>
      <c r="BC33"/>
      <c r="BD33"/>
      <c r="BE33"/>
      <c r="BF33"/>
      <c r="BG33"/>
      <c r="BH33"/>
      <c r="BI33"/>
      <c r="BJ33"/>
      <c r="BK33"/>
      <c r="BL33"/>
      <c r="BM33"/>
      <c r="BN33" s="114"/>
      <c r="BO33"/>
      <c r="BP33"/>
      <c r="BQ33">
        <v>6</v>
      </c>
      <c r="BR33" t="s">
        <v>536</v>
      </c>
      <c r="BS33" t="s">
        <v>182</v>
      </c>
      <c r="BT33" t="s">
        <v>1402</v>
      </c>
      <c r="BU33" s="115">
        <v>45870</v>
      </c>
      <c r="BV33">
        <v>37294</v>
      </c>
      <c r="BW33" s="116"/>
      <c r="BX33" t="s">
        <v>172</v>
      </c>
      <c r="BY33" t="s">
        <v>173</v>
      </c>
      <c r="BZ33"/>
      <c r="CA33"/>
      <c r="CB33" t="s">
        <v>173</v>
      </c>
      <c r="CC33" t="s">
        <v>173</v>
      </c>
      <c r="CD33"/>
      <c r="CE33"/>
      <c r="CF33"/>
      <c r="CG33"/>
      <c r="CH33"/>
      <c r="CI33"/>
      <c r="CJ33"/>
      <c r="CK33" t="s">
        <v>259</v>
      </c>
      <c r="CL33"/>
      <c r="CM33">
        <v>1</v>
      </c>
      <c r="CN33" t="s">
        <v>260</v>
      </c>
      <c r="CO33"/>
      <c r="CP33">
        <v>376</v>
      </c>
      <c r="CQ33">
        <v>280.8</v>
      </c>
      <c r="CR33">
        <v>156</v>
      </c>
      <c r="CS33" t="s">
        <v>261</v>
      </c>
      <c r="CT33"/>
      <c r="CU33"/>
      <c r="CV33" t="s">
        <v>262</v>
      </c>
      <c r="CW33"/>
      <c r="CX33" t="s">
        <v>263</v>
      </c>
      <c r="CY33" t="s">
        <v>172</v>
      </c>
      <c r="CZ33"/>
      <c r="DA33"/>
      <c r="DB33"/>
      <c r="DC33" t="s">
        <v>1412</v>
      </c>
      <c r="DD33">
        <v>2</v>
      </c>
      <c r="DE33" t="s">
        <v>307</v>
      </c>
      <c r="DF33" t="s">
        <v>308</v>
      </c>
      <c r="DG33" t="s">
        <v>1424</v>
      </c>
      <c r="DH33"/>
      <c r="DI33"/>
      <c r="DJ33"/>
      <c r="DK33"/>
      <c r="DL33" t="s">
        <v>173</v>
      </c>
      <c r="DM33" t="s">
        <v>172</v>
      </c>
      <c r="DN33"/>
      <c r="DO33"/>
      <c r="DP33" t="s">
        <v>173</v>
      </c>
      <c r="DQ33" t="s">
        <v>189</v>
      </c>
      <c r="DR33"/>
      <c r="DS33"/>
      <c r="DT33"/>
      <c r="DU33"/>
      <c r="DV33"/>
      <c r="DW33"/>
      <c r="DX33"/>
      <c r="DY33"/>
      <c r="DZ33"/>
      <c r="EA33" s="117"/>
      <c r="EB33">
        <v>9</v>
      </c>
      <c r="EC33">
        <v>10</v>
      </c>
      <c r="ED33"/>
      <c r="EE33" t="s">
        <v>1715</v>
      </c>
      <c r="EF33">
        <v>10</v>
      </c>
      <c r="EG33"/>
      <c r="EH33"/>
      <c r="EI33"/>
      <c r="EJ33"/>
      <c r="EK33"/>
      <c r="EL33"/>
      <c r="EM33"/>
      <c r="EN33"/>
      <c r="EO33"/>
      <c r="EP33"/>
      <c r="EQ33"/>
      <c r="ER33"/>
      <c r="ES33"/>
      <c r="ET33"/>
      <c r="EU33">
        <v>2750</v>
      </c>
      <c r="EV33"/>
      <c r="EW33">
        <v>0</v>
      </c>
      <c r="EX33">
        <v>0</v>
      </c>
      <c r="EY33">
        <v>0</v>
      </c>
      <c r="EZ33"/>
      <c r="FA33">
        <v>10</v>
      </c>
      <c r="FB33"/>
      <c r="FC33"/>
      <c r="FD33"/>
      <c r="FE33"/>
      <c r="FF33"/>
      <c r="FG33" s="94">
        <v>257</v>
      </c>
      <c r="FH33" s="94">
        <v>279</v>
      </c>
      <c r="FI33" s="94">
        <v>267</v>
      </c>
    </row>
    <row r="34" spans="1:165" s="66" customFormat="1" x14ac:dyDescent="0.35">
      <c r="A34">
        <v>2026</v>
      </c>
      <c r="B34" t="s">
        <v>192</v>
      </c>
      <c r="C34" s="112" t="s">
        <v>192</v>
      </c>
      <c r="D34" t="s">
        <v>1714</v>
      </c>
      <c r="E34" t="s">
        <v>194</v>
      </c>
      <c r="F34">
        <v>730</v>
      </c>
      <c r="G34" s="113">
        <v>0</v>
      </c>
      <c r="H34"/>
      <c r="I34" t="s">
        <v>1391</v>
      </c>
      <c r="J34">
        <v>47</v>
      </c>
      <c r="K34">
        <v>43</v>
      </c>
      <c r="L34">
        <v>45</v>
      </c>
      <c r="M34">
        <v>32.720700000000001</v>
      </c>
      <c r="N34">
        <v>30.090499999999999</v>
      </c>
      <c r="O34">
        <v>31.537099999999999</v>
      </c>
      <c r="P34">
        <v>46.747599999999998</v>
      </c>
      <c r="Q34">
        <v>42.991100000000003</v>
      </c>
      <c r="R34">
        <v>45.057099999999998</v>
      </c>
      <c r="S34"/>
      <c r="T34"/>
      <c r="U34"/>
      <c r="V34" t="s">
        <v>170</v>
      </c>
      <c r="W34" t="s">
        <v>171</v>
      </c>
      <c r="X34"/>
      <c r="Y34">
        <v>1</v>
      </c>
      <c r="Z34" t="s">
        <v>173</v>
      </c>
      <c r="AA34" t="s">
        <v>173</v>
      </c>
      <c r="AB34" t="s">
        <v>170</v>
      </c>
      <c r="AC34" t="s">
        <v>232</v>
      </c>
      <c r="AD34"/>
      <c r="AE34"/>
      <c r="AF34">
        <v>267</v>
      </c>
      <c r="AG34" t="s">
        <v>1392</v>
      </c>
      <c r="AH34" t="s">
        <v>1393</v>
      </c>
      <c r="AI34" t="s">
        <v>1399</v>
      </c>
      <c r="AJ34" t="s">
        <v>1400</v>
      </c>
      <c r="AK34" t="s">
        <v>173</v>
      </c>
      <c r="AL34" t="s">
        <v>180</v>
      </c>
      <c r="AM34"/>
      <c r="AN34"/>
      <c r="AO34">
        <v>109</v>
      </c>
      <c r="AP34">
        <v>14</v>
      </c>
      <c r="AQ34"/>
      <c r="AR34"/>
      <c r="AS34">
        <v>1150</v>
      </c>
      <c r="AT34">
        <v>1150</v>
      </c>
      <c r="AU34"/>
      <c r="AV34"/>
      <c r="AW34"/>
      <c r="AX34"/>
      <c r="AY34"/>
      <c r="AZ34"/>
      <c r="BA34"/>
      <c r="BB34"/>
      <c r="BC34"/>
      <c r="BD34"/>
      <c r="BE34"/>
      <c r="BF34"/>
      <c r="BG34"/>
      <c r="BH34"/>
      <c r="BI34"/>
      <c r="BJ34"/>
      <c r="BK34"/>
      <c r="BL34"/>
      <c r="BM34"/>
      <c r="BN34" s="114"/>
      <c r="BO34"/>
      <c r="BP34"/>
      <c r="BQ34">
        <v>6</v>
      </c>
      <c r="BR34" t="s">
        <v>536</v>
      </c>
      <c r="BS34" t="s">
        <v>182</v>
      </c>
      <c r="BT34" t="s">
        <v>1402</v>
      </c>
      <c r="BU34" s="115">
        <v>45870</v>
      </c>
      <c r="BV34">
        <v>37294</v>
      </c>
      <c r="BW34" s="116"/>
      <c r="BX34" t="s">
        <v>172</v>
      </c>
      <c r="BY34" t="s">
        <v>173</v>
      </c>
      <c r="BZ34"/>
      <c r="CA34"/>
      <c r="CB34" t="s">
        <v>173</v>
      </c>
      <c r="CC34" t="s">
        <v>173</v>
      </c>
      <c r="CD34"/>
      <c r="CE34"/>
      <c r="CF34"/>
      <c r="CG34"/>
      <c r="CH34"/>
      <c r="CI34"/>
      <c r="CJ34"/>
      <c r="CK34" t="s">
        <v>259</v>
      </c>
      <c r="CL34"/>
      <c r="CM34">
        <v>1</v>
      </c>
      <c r="CN34" t="s">
        <v>260</v>
      </c>
      <c r="CO34"/>
      <c r="CP34">
        <v>376</v>
      </c>
      <c r="CQ34">
        <v>280.8</v>
      </c>
      <c r="CR34">
        <v>156</v>
      </c>
      <c r="CS34" t="s">
        <v>261</v>
      </c>
      <c r="CT34"/>
      <c r="CU34"/>
      <c r="CV34" t="s">
        <v>262</v>
      </c>
      <c r="CW34"/>
      <c r="CX34" t="s">
        <v>263</v>
      </c>
      <c r="CY34" t="s">
        <v>172</v>
      </c>
      <c r="CZ34"/>
      <c r="DA34"/>
      <c r="DB34"/>
      <c r="DC34" t="s">
        <v>1412</v>
      </c>
      <c r="DD34">
        <v>2</v>
      </c>
      <c r="DE34" t="s">
        <v>307</v>
      </c>
      <c r="DF34" t="s">
        <v>308</v>
      </c>
      <c r="DG34" t="s">
        <v>1424</v>
      </c>
      <c r="DH34"/>
      <c r="DI34"/>
      <c r="DJ34"/>
      <c r="DK34"/>
      <c r="DL34" t="s">
        <v>173</v>
      </c>
      <c r="DM34" t="s">
        <v>172</v>
      </c>
      <c r="DN34"/>
      <c r="DO34"/>
      <c r="DP34" t="s">
        <v>173</v>
      </c>
      <c r="DQ34" t="s">
        <v>189</v>
      </c>
      <c r="DR34"/>
      <c r="DS34"/>
      <c r="DT34"/>
      <c r="DU34"/>
      <c r="DV34"/>
      <c r="DW34"/>
      <c r="DX34"/>
      <c r="DY34"/>
      <c r="DZ34"/>
      <c r="EA34" s="117"/>
      <c r="EB34">
        <v>9</v>
      </c>
      <c r="EC34">
        <v>10</v>
      </c>
      <c r="ED34"/>
      <c r="EE34" t="s">
        <v>1715</v>
      </c>
      <c r="EF34">
        <v>10</v>
      </c>
      <c r="EG34"/>
      <c r="EH34"/>
      <c r="EI34"/>
      <c r="EJ34"/>
      <c r="EK34"/>
      <c r="EL34"/>
      <c r="EM34"/>
      <c r="EN34"/>
      <c r="EO34"/>
      <c r="EP34"/>
      <c r="EQ34"/>
      <c r="ER34"/>
      <c r="ES34"/>
      <c r="ET34"/>
      <c r="EU34">
        <v>2750</v>
      </c>
      <c r="EV34"/>
      <c r="EW34">
        <v>0</v>
      </c>
      <c r="EX34">
        <v>0</v>
      </c>
      <c r="EY34">
        <v>0</v>
      </c>
      <c r="EZ34"/>
      <c r="FA34">
        <v>10</v>
      </c>
      <c r="FB34"/>
      <c r="FC34"/>
      <c r="FD34"/>
      <c r="FE34"/>
      <c r="FF34"/>
      <c r="FG34" s="94">
        <v>257</v>
      </c>
      <c r="FH34" s="94">
        <v>279</v>
      </c>
      <c r="FI34" s="94">
        <v>267</v>
      </c>
    </row>
    <row r="35" spans="1:165" s="66" customFormat="1" x14ac:dyDescent="0.35">
      <c r="A35" s="19"/>
      <c r="B35" s="19"/>
      <c r="C35" s="19"/>
      <c r="D35" s="19"/>
      <c r="E35" s="19"/>
      <c r="F35" s="128"/>
      <c r="G35" s="19"/>
      <c r="H35" s="19"/>
      <c r="I35" s="19"/>
      <c r="J35" s="19"/>
      <c r="K35" s="19" t="str">
        <f>_xlfn.CONCAT(A36," ",C36," ",D36)</f>
        <v>2026 BMW i7 M70 xDrive Sedan (21'' Wheels)</v>
      </c>
      <c r="L35" s="19"/>
      <c r="M35" s="19"/>
      <c r="N35" s="19"/>
      <c r="O35" s="19"/>
      <c r="P35" s="19"/>
      <c r="Q35" s="19"/>
      <c r="R35" s="19"/>
      <c r="S35" s="19"/>
      <c r="T35" s="19"/>
      <c r="U35" s="19"/>
      <c r="V35" s="19"/>
      <c r="W35" s="19"/>
      <c r="X35" s="19"/>
      <c r="Y35" s="19"/>
      <c r="Z35" s="19"/>
      <c r="AA35" s="19"/>
      <c r="AB35" s="19" t="str">
        <f>$K35</f>
        <v>2026 BMW i7 M70 xDrive Sedan (21'' Wheels)</v>
      </c>
      <c r="AC35" s="19"/>
      <c r="AD35" s="19"/>
      <c r="AE35" s="19"/>
      <c r="AF35" s="19"/>
      <c r="AG35" s="19"/>
      <c r="AH35" s="19"/>
      <c r="AI35" s="19"/>
      <c r="AJ35" s="19"/>
      <c r="AK35" s="19"/>
      <c r="AL35" s="19"/>
      <c r="AM35" s="19"/>
      <c r="AN35" s="19"/>
      <c r="AO35" s="19"/>
      <c r="AP35" s="19"/>
      <c r="AQ35" s="19"/>
      <c r="AR35" s="19" t="str">
        <f>$K35</f>
        <v>2026 BMW i7 M70 xDrive Sedan (21'' Wheels)</v>
      </c>
      <c r="AS35" s="19"/>
      <c r="AT35" s="19"/>
      <c r="AU35" s="19"/>
      <c r="AV35" s="19"/>
      <c r="AW35" s="19"/>
      <c r="AX35" s="19"/>
      <c r="AY35" s="19"/>
      <c r="AZ35" s="19"/>
      <c r="BA35" s="19"/>
      <c r="BB35" s="19"/>
      <c r="BC35" s="19"/>
      <c r="BD35" s="19"/>
      <c r="BE35" s="19"/>
      <c r="BF35" s="19"/>
      <c r="BG35" s="19" t="str">
        <f>$K35</f>
        <v>2026 BMW i7 M70 xDrive Sedan (21'' Wheels)</v>
      </c>
      <c r="BH35" s="19"/>
      <c r="BI35" s="19"/>
      <c r="BJ35" s="19"/>
      <c r="BK35" s="19"/>
      <c r="BL35" s="19"/>
      <c r="BM35" s="129"/>
      <c r="BN35" s="19"/>
      <c r="BO35" s="19"/>
      <c r="BP35" s="19"/>
      <c r="BQ35" s="19"/>
      <c r="BR35" s="19"/>
      <c r="BS35" s="19"/>
      <c r="BT35" s="130"/>
      <c r="BU35" s="19"/>
      <c r="BV35" s="19"/>
      <c r="BW35" s="116"/>
      <c r="BX35" s="19"/>
      <c r="BY35" s="19"/>
      <c r="BZ35" s="19"/>
      <c r="CA35" s="19"/>
      <c r="CB35" s="19"/>
      <c r="CC35" s="19"/>
      <c r="CD35" s="19"/>
      <c r="CE35" s="19"/>
      <c r="CF35" s="19"/>
      <c r="CG35" s="19"/>
      <c r="CH35" s="19"/>
      <c r="CI35" s="19"/>
      <c r="CJ35" s="19"/>
      <c r="CK35" s="19"/>
      <c r="CL35" s="19"/>
      <c r="CM35" s="19" t="str">
        <f>$K35</f>
        <v>2026 BMW i7 M70 xDrive Sedan (21'' Wheels)</v>
      </c>
      <c r="CN35" s="19"/>
      <c r="CO35" s="19"/>
      <c r="CP35" s="19"/>
      <c r="CQ35" s="19"/>
      <c r="CR35" s="19"/>
      <c r="CS35" s="19"/>
      <c r="CT35" s="19"/>
      <c r="CU35" s="19"/>
      <c r="CV35" s="19"/>
      <c r="CW35" s="19"/>
      <c r="CX35" s="19"/>
      <c r="CY35" s="19"/>
      <c r="CZ35" s="19"/>
      <c r="DA35" s="19"/>
      <c r="DB35" s="19"/>
      <c r="DC35" s="19"/>
      <c r="DD35" s="19" t="str">
        <f>$K35</f>
        <v>2026 BMW i7 M70 xDrive Sedan (21'' Wheels)</v>
      </c>
      <c r="DE35" s="19"/>
      <c r="DF35" s="19"/>
      <c r="DG35" s="19"/>
      <c r="DH35" s="19"/>
      <c r="DI35" s="19"/>
      <c r="DJ35" s="19"/>
      <c r="DK35" s="19"/>
      <c r="DL35" s="19"/>
      <c r="DM35" s="19"/>
      <c r="DN35" s="19"/>
      <c r="DO35" s="19"/>
      <c r="DP35" s="19"/>
      <c r="DQ35" s="19"/>
      <c r="DR35" s="19"/>
      <c r="DS35" s="19"/>
      <c r="DT35" s="19"/>
      <c r="DU35" s="19" t="str">
        <f>$K35</f>
        <v>2026 BMW i7 M70 xDrive Sedan (21'' Wheels)</v>
      </c>
      <c r="DV35" s="19"/>
      <c r="DW35" s="19"/>
      <c r="DX35" s="19"/>
      <c r="DY35" s="19"/>
      <c r="DZ35" s="19"/>
      <c r="EA35" s="117"/>
      <c r="EB35" s="19"/>
      <c r="EC35" s="19"/>
      <c r="ED35" s="19"/>
      <c r="EE35" s="19"/>
      <c r="EF35" s="19"/>
      <c r="EG35"/>
      <c r="EH35"/>
      <c r="EI35"/>
      <c r="EJ35"/>
      <c r="EK35"/>
      <c r="EL35"/>
      <c r="EM35"/>
      <c r="EN35"/>
      <c r="EO35"/>
      <c r="EP35"/>
      <c r="EQ35"/>
      <c r="ER35"/>
      <c r="ES35"/>
      <c r="ET35"/>
      <c r="EU35"/>
      <c r="EV35"/>
      <c r="EW35"/>
      <c r="EX35" s="19" t="s">
        <v>1943</v>
      </c>
      <c r="EY35"/>
      <c r="EZ35"/>
      <c r="FA35"/>
      <c r="FB35"/>
      <c r="FC35"/>
      <c r="FD35"/>
      <c r="FE35"/>
      <c r="FF35"/>
      <c r="FG35"/>
      <c r="FH35"/>
      <c r="FI35"/>
    </row>
    <row r="36" spans="1:165" s="66" customFormat="1" x14ac:dyDescent="0.35">
      <c r="A36">
        <v>2026</v>
      </c>
      <c r="B36" t="s">
        <v>192</v>
      </c>
      <c r="C36" s="112" t="s">
        <v>192</v>
      </c>
      <c r="D36" t="s">
        <v>1716</v>
      </c>
      <c r="E36" t="s">
        <v>194</v>
      </c>
      <c r="F36">
        <v>731</v>
      </c>
      <c r="G36" s="113">
        <v>0</v>
      </c>
      <c r="H36"/>
      <c r="I36" t="s">
        <v>1391</v>
      </c>
      <c r="J36">
        <v>77</v>
      </c>
      <c r="K36">
        <v>83</v>
      </c>
      <c r="L36">
        <v>79</v>
      </c>
      <c r="M36">
        <v>109.8</v>
      </c>
      <c r="N36">
        <v>118.2</v>
      </c>
      <c r="O36">
        <v>113.42740000000001</v>
      </c>
      <c r="P36">
        <v>76.86</v>
      </c>
      <c r="Q36">
        <v>82.74</v>
      </c>
      <c r="R36">
        <v>79.399199999999993</v>
      </c>
      <c r="S36"/>
      <c r="T36"/>
      <c r="U36"/>
      <c r="V36" t="s">
        <v>170</v>
      </c>
      <c r="W36" t="s">
        <v>171</v>
      </c>
      <c r="X36"/>
      <c r="Y36">
        <v>1</v>
      </c>
      <c r="Z36" t="s">
        <v>173</v>
      </c>
      <c r="AA36" t="s">
        <v>173</v>
      </c>
      <c r="AB36" t="s">
        <v>170</v>
      </c>
      <c r="AC36" t="s">
        <v>232</v>
      </c>
      <c r="AD36"/>
      <c r="AE36"/>
      <c r="AF36">
        <v>285</v>
      </c>
      <c r="AG36" t="s">
        <v>1392</v>
      </c>
      <c r="AH36" t="s">
        <v>1393</v>
      </c>
      <c r="AI36" t="s">
        <v>178</v>
      </c>
      <c r="AJ36" t="s">
        <v>179</v>
      </c>
      <c r="AK36" t="s">
        <v>173</v>
      </c>
      <c r="AL36" t="s">
        <v>180</v>
      </c>
      <c r="AM36"/>
      <c r="AN36"/>
      <c r="AO36">
        <v>109</v>
      </c>
      <c r="AP36">
        <v>14</v>
      </c>
      <c r="AQ36"/>
      <c r="AR36"/>
      <c r="AS36">
        <v>1100</v>
      </c>
      <c r="AT36">
        <v>1100</v>
      </c>
      <c r="AU36"/>
      <c r="AV36"/>
      <c r="AW36"/>
      <c r="AX36"/>
      <c r="AY36"/>
      <c r="AZ36"/>
      <c r="BA36"/>
      <c r="BB36"/>
      <c r="BC36"/>
      <c r="BD36"/>
      <c r="BE36"/>
      <c r="BF36"/>
      <c r="BG36"/>
      <c r="BH36"/>
      <c r="BI36"/>
      <c r="BJ36"/>
      <c r="BK36"/>
      <c r="BL36"/>
      <c r="BM36"/>
      <c r="BN36" s="114"/>
      <c r="BO36"/>
      <c r="BP36"/>
      <c r="BQ36">
        <v>6</v>
      </c>
      <c r="BR36" t="s">
        <v>536</v>
      </c>
      <c r="BS36" t="s">
        <v>182</v>
      </c>
      <c r="BT36" t="s">
        <v>1402</v>
      </c>
      <c r="BU36" s="115">
        <v>45870</v>
      </c>
      <c r="BV36">
        <v>37295</v>
      </c>
      <c r="BW36" s="116"/>
      <c r="BX36" t="s">
        <v>172</v>
      </c>
      <c r="BY36" t="s">
        <v>173</v>
      </c>
      <c r="BZ36"/>
      <c r="CA36"/>
      <c r="CB36" t="s">
        <v>173</v>
      </c>
      <c r="CC36" t="s">
        <v>173</v>
      </c>
      <c r="CD36"/>
      <c r="CE36"/>
      <c r="CF36"/>
      <c r="CG36"/>
      <c r="CH36"/>
      <c r="CI36"/>
      <c r="CJ36"/>
      <c r="CK36" t="s">
        <v>259</v>
      </c>
      <c r="CL36"/>
      <c r="CM36">
        <v>1</v>
      </c>
      <c r="CN36" t="s">
        <v>260</v>
      </c>
      <c r="CO36"/>
      <c r="CP36">
        <v>376</v>
      </c>
      <c r="CQ36">
        <v>280.8</v>
      </c>
      <c r="CR36">
        <v>156</v>
      </c>
      <c r="CS36" t="s">
        <v>261</v>
      </c>
      <c r="CT36"/>
      <c r="CU36"/>
      <c r="CV36" t="s">
        <v>262</v>
      </c>
      <c r="CW36"/>
      <c r="CX36" t="s">
        <v>263</v>
      </c>
      <c r="CY36" t="s">
        <v>172</v>
      </c>
      <c r="CZ36"/>
      <c r="DA36"/>
      <c r="DB36"/>
      <c r="DC36" t="s">
        <v>1412</v>
      </c>
      <c r="DD36">
        <v>2</v>
      </c>
      <c r="DE36" t="s">
        <v>307</v>
      </c>
      <c r="DF36" t="s">
        <v>308</v>
      </c>
      <c r="DG36" t="s">
        <v>1424</v>
      </c>
      <c r="DH36"/>
      <c r="DI36"/>
      <c r="DJ36"/>
      <c r="DK36"/>
      <c r="DL36" t="s">
        <v>173</v>
      </c>
      <c r="DM36" t="s">
        <v>172</v>
      </c>
      <c r="DN36"/>
      <c r="DO36"/>
      <c r="DP36" t="s">
        <v>173</v>
      </c>
      <c r="DQ36" t="s">
        <v>189</v>
      </c>
      <c r="DR36"/>
      <c r="DS36"/>
      <c r="DT36"/>
      <c r="DU36"/>
      <c r="DV36"/>
      <c r="DW36"/>
      <c r="DX36"/>
      <c r="DY36"/>
      <c r="DZ36"/>
      <c r="EA36" s="117"/>
      <c r="EB36">
        <v>9</v>
      </c>
      <c r="EC36">
        <v>10</v>
      </c>
      <c r="ED36"/>
      <c r="EE36" t="s">
        <v>1715</v>
      </c>
      <c r="EF36">
        <v>10</v>
      </c>
      <c r="EG36"/>
      <c r="EH36"/>
      <c r="EI36"/>
      <c r="EJ36"/>
      <c r="EK36"/>
      <c r="EL36"/>
      <c r="EM36"/>
      <c r="EN36"/>
      <c r="EO36"/>
      <c r="EP36"/>
      <c r="EQ36"/>
      <c r="ER36"/>
      <c r="ES36"/>
      <c r="ET36"/>
      <c r="EU36">
        <v>3000</v>
      </c>
      <c r="EV36"/>
      <c r="EW36">
        <v>0</v>
      </c>
      <c r="EX36">
        <v>0</v>
      </c>
      <c r="EY36">
        <v>0</v>
      </c>
      <c r="EZ36"/>
      <c r="FA36">
        <v>10</v>
      </c>
      <c r="FB36"/>
      <c r="FC36"/>
      <c r="FD36"/>
      <c r="FE36"/>
      <c r="FF36"/>
      <c r="FG36" s="94">
        <v>276</v>
      </c>
      <c r="FH36" s="94">
        <v>297</v>
      </c>
      <c r="FI36" s="94">
        <v>285</v>
      </c>
    </row>
    <row r="37" spans="1:165" s="66" customFormat="1" x14ac:dyDescent="0.35">
      <c r="A37">
        <v>2026</v>
      </c>
      <c r="B37" t="s">
        <v>192</v>
      </c>
      <c r="C37" s="112" t="s">
        <v>192</v>
      </c>
      <c r="D37" t="s">
        <v>1716</v>
      </c>
      <c r="E37" t="s">
        <v>194</v>
      </c>
      <c r="F37">
        <v>731</v>
      </c>
      <c r="G37" s="113">
        <v>0</v>
      </c>
      <c r="H37"/>
      <c r="I37" t="s">
        <v>1391</v>
      </c>
      <c r="J37">
        <v>44</v>
      </c>
      <c r="K37">
        <v>41</v>
      </c>
      <c r="L37">
        <v>42</v>
      </c>
      <c r="M37">
        <v>30.698799999999999</v>
      </c>
      <c r="N37">
        <v>28.5139</v>
      </c>
      <c r="O37">
        <v>29.715599999999998</v>
      </c>
      <c r="P37">
        <v>43.852499999999999</v>
      </c>
      <c r="Q37">
        <v>40.735999999999997</v>
      </c>
      <c r="R37">
        <v>42.450099999999999</v>
      </c>
      <c r="S37"/>
      <c r="T37"/>
      <c r="U37"/>
      <c r="V37" t="s">
        <v>170</v>
      </c>
      <c r="W37" t="s">
        <v>171</v>
      </c>
      <c r="X37"/>
      <c r="Y37">
        <v>1</v>
      </c>
      <c r="Z37" t="s">
        <v>173</v>
      </c>
      <c r="AA37" t="s">
        <v>173</v>
      </c>
      <c r="AB37" t="s">
        <v>170</v>
      </c>
      <c r="AC37" t="s">
        <v>232</v>
      </c>
      <c r="AD37"/>
      <c r="AE37"/>
      <c r="AF37">
        <v>285</v>
      </c>
      <c r="AG37" t="s">
        <v>1392</v>
      </c>
      <c r="AH37" t="s">
        <v>1393</v>
      </c>
      <c r="AI37" t="s">
        <v>1399</v>
      </c>
      <c r="AJ37" t="s">
        <v>1400</v>
      </c>
      <c r="AK37" t="s">
        <v>173</v>
      </c>
      <c r="AL37" t="s">
        <v>180</v>
      </c>
      <c r="AM37"/>
      <c r="AN37"/>
      <c r="AO37">
        <v>109</v>
      </c>
      <c r="AP37">
        <v>14</v>
      </c>
      <c r="AQ37"/>
      <c r="AR37"/>
      <c r="AS37">
        <v>1100</v>
      </c>
      <c r="AT37">
        <v>1100</v>
      </c>
      <c r="AU37"/>
      <c r="AV37"/>
      <c r="AW37"/>
      <c r="AX37"/>
      <c r="AY37"/>
      <c r="AZ37"/>
      <c r="BA37"/>
      <c r="BB37"/>
      <c r="BC37"/>
      <c r="BD37"/>
      <c r="BE37"/>
      <c r="BF37"/>
      <c r="BG37"/>
      <c r="BH37"/>
      <c r="BI37"/>
      <c r="BJ37"/>
      <c r="BK37"/>
      <c r="BL37"/>
      <c r="BM37"/>
      <c r="BN37" s="114"/>
      <c r="BO37"/>
      <c r="BP37"/>
      <c r="BQ37">
        <v>6</v>
      </c>
      <c r="BR37" t="s">
        <v>536</v>
      </c>
      <c r="BS37" t="s">
        <v>182</v>
      </c>
      <c r="BT37" t="s">
        <v>1402</v>
      </c>
      <c r="BU37" s="115">
        <v>45870</v>
      </c>
      <c r="BV37">
        <v>37295</v>
      </c>
      <c r="BW37" s="116"/>
      <c r="BX37" t="s">
        <v>172</v>
      </c>
      <c r="BY37" t="s">
        <v>173</v>
      </c>
      <c r="BZ37"/>
      <c r="CA37"/>
      <c r="CB37" t="s">
        <v>173</v>
      </c>
      <c r="CC37" t="s">
        <v>173</v>
      </c>
      <c r="CD37"/>
      <c r="CE37"/>
      <c r="CF37"/>
      <c r="CG37"/>
      <c r="CH37"/>
      <c r="CI37"/>
      <c r="CJ37"/>
      <c r="CK37" t="s">
        <v>259</v>
      </c>
      <c r="CL37"/>
      <c r="CM37">
        <v>1</v>
      </c>
      <c r="CN37" t="s">
        <v>260</v>
      </c>
      <c r="CO37"/>
      <c r="CP37">
        <v>376</v>
      </c>
      <c r="CQ37">
        <v>280.8</v>
      </c>
      <c r="CR37">
        <v>156</v>
      </c>
      <c r="CS37" t="s">
        <v>261</v>
      </c>
      <c r="CT37"/>
      <c r="CU37"/>
      <c r="CV37" t="s">
        <v>262</v>
      </c>
      <c r="CW37"/>
      <c r="CX37" t="s">
        <v>263</v>
      </c>
      <c r="CY37" t="s">
        <v>172</v>
      </c>
      <c r="CZ37"/>
      <c r="DA37"/>
      <c r="DB37"/>
      <c r="DC37" t="s">
        <v>1412</v>
      </c>
      <c r="DD37">
        <v>2</v>
      </c>
      <c r="DE37" t="s">
        <v>307</v>
      </c>
      <c r="DF37" t="s">
        <v>308</v>
      </c>
      <c r="DG37" t="s">
        <v>1424</v>
      </c>
      <c r="DH37"/>
      <c r="DI37"/>
      <c r="DJ37"/>
      <c r="DK37"/>
      <c r="DL37" t="s">
        <v>173</v>
      </c>
      <c r="DM37" t="s">
        <v>172</v>
      </c>
      <c r="DN37"/>
      <c r="DO37"/>
      <c r="DP37" t="s">
        <v>173</v>
      </c>
      <c r="DQ37" t="s">
        <v>189</v>
      </c>
      <c r="DR37"/>
      <c r="DS37"/>
      <c r="DT37"/>
      <c r="DU37"/>
      <c r="DV37"/>
      <c r="DW37"/>
      <c r="DX37"/>
      <c r="DY37"/>
      <c r="DZ37"/>
      <c r="EA37" s="117"/>
      <c r="EB37">
        <v>9</v>
      </c>
      <c r="EC37">
        <v>10</v>
      </c>
      <c r="ED37"/>
      <c r="EE37" t="s">
        <v>1715</v>
      </c>
      <c r="EF37">
        <v>10</v>
      </c>
      <c r="EG37"/>
      <c r="EH37"/>
      <c r="EI37"/>
      <c r="EJ37"/>
      <c r="EK37"/>
      <c r="EL37"/>
      <c r="EM37"/>
      <c r="EN37"/>
      <c r="EO37"/>
      <c r="EP37"/>
      <c r="EQ37"/>
      <c r="ER37"/>
      <c r="ES37"/>
      <c r="ET37"/>
      <c r="EU37">
        <v>3000</v>
      </c>
      <c r="EV37"/>
      <c r="EW37">
        <v>0</v>
      </c>
      <c r="EX37">
        <v>0</v>
      </c>
      <c r="EY37">
        <v>0</v>
      </c>
      <c r="EZ37"/>
      <c r="FA37">
        <v>10</v>
      </c>
      <c r="FB37"/>
      <c r="FC37"/>
      <c r="FD37"/>
      <c r="FE37"/>
      <c r="FF37"/>
      <c r="FG37" s="94">
        <v>276</v>
      </c>
      <c r="FH37" s="94">
        <v>297</v>
      </c>
      <c r="FI37" s="94">
        <v>285</v>
      </c>
    </row>
    <row r="38" spans="1:165" s="66" customFormat="1" x14ac:dyDescent="0.35">
      <c r="A38" s="19"/>
      <c r="B38" s="19"/>
      <c r="C38" s="19"/>
      <c r="D38" s="19"/>
      <c r="E38" s="19"/>
      <c r="F38" s="128"/>
      <c r="G38" s="19"/>
      <c r="H38" s="19"/>
      <c r="I38" s="19"/>
      <c r="J38" s="19"/>
      <c r="K38" s="19" t="str">
        <f>_xlfn.CONCAT(A39," ",C39," ",D39)</f>
        <v>2026 BMW i7 xDrive60 Sedan (19'' Wheels)</v>
      </c>
      <c r="L38" s="19"/>
      <c r="M38" s="19"/>
      <c r="N38" s="19"/>
      <c r="O38" s="19"/>
      <c r="P38" s="19"/>
      <c r="Q38" s="19"/>
      <c r="R38" s="19"/>
      <c r="S38" s="19"/>
      <c r="T38" s="19"/>
      <c r="U38" s="19"/>
      <c r="V38" s="19"/>
      <c r="W38" s="19"/>
      <c r="X38" s="19"/>
      <c r="Y38" s="19"/>
      <c r="Z38" s="19"/>
      <c r="AA38" s="19"/>
      <c r="AB38" s="19" t="str">
        <f>$K38</f>
        <v>2026 BMW i7 xDrive60 Sedan (19'' Wheels)</v>
      </c>
      <c r="AC38" s="19"/>
      <c r="AD38" s="19"/>
      <c r="AE38" s="19"/>
      <c r="AF38" s="19"/>
      <c r="AG38" s="19"/>
      <c r="AH38" s="19"/>
      <c r="AI38" s="19"/>
      <c r="AJ38" s="19"/>
      <c r="AK38" s="19"/>
      <c r="AL38" s="19"/>
      <c r="AM38" s="19"/>
      <c r="AN38" s="19"/>
      <c r="AO38" s="19"/>
      <c r="AP38" s="19"/>
      <c r="AQ38" s="19"/>
      <c r="AR38" s="19" t="str">
        <f>$K38</f>
        <v>2026 BMW i7 xDrive60 Sedan (19'' Wheels)</v>
      </c>
      <c r="AS38" s="19"/>
      <c r="AT38" s="19"/>
      <c r="AU38" s="19"/>
      <c r="AV38" s="19"/>
      <c r="AW38" s="19"/>
      <c r="AX38" s="19"/>
      <c r="AY38" s="19"/>
      <c r="AZ38" s="19"/>
      <c r="BA38" s="19"/>
      <c r="BB38" s="19"/>
      <c r="BC38" s="19"/>
      <c r="BD38" s="19"/>
      <c r="BE38" s="19"/>
      <c r="BF38" s="19"/>
      <c r="BG38" s="19" t="str">
        <f>$K38</f>
        <v>2026 BMW i7 xDrive60 Sedan (19'' Wheels)</v>
      </c>
      <c r="BH38" s="19"/>
      <c r="BI38" s="19"/>
      <c r="BJ38" s="19"/>
      <c r="BK38" s="19"/>
      <c r="BL38" s="19"/>
      <c r="BM38" s="129"/>
      <c r="BN38" s="19"/>
      <c r="BO38" s="19"/>
      <c r="BP38" s="19"/>
      <c r="BQ38" s="19"/>
      <c r="BR38" s="19"/>
      <c r="BS38" s="19"/>
      <c r="BT38" s="130"/>
      <c r="BU38" s="19"/>
      <c r="BV38" s="19"/>
      <c r="BW38" s="116"/>
      <c r="BX38" s="19"/>
      <c r="BY38" s="19"/>
      <c r="BZ38" s="19"/>
      <c r="CA38" s="19"/>
      <c r="CB38" s="19"/>
      <c r="CC38" s="19"/>
      <c r="CD38" s="19"/>
      <c r="CE38" s="19"/>
      <c r="CF38" s="19"/>
      <c r="CG38" s="19"/>
      <c r="CH38" s="19"/>
      <c r="CI38" s="19"/>
      <c r="CJ38" s="19"/>
      <c r="CK38" s="19"/>
      <c r="CL38" s="19"/>
      <c r="CM38" s="19" t="str">
        <f>$K38</f>
        <v>2026 BMW i7 xDrive60 Sedan (19'' Wheels)</v>
      </c>
      <c r="CN38" s="19"/>
      <c r="CO38" s="19"/>
      <c r="CP38" s="19"/>
      <c r="CQ38" s="19"/>
      <c r="CR38" s="19"/>
      <c r="CS38" s="19"/>
      <c r="CT38" s="19"/>
      <c r="CU38" s="19"/>
      <c r="CV38" s="19"/>
      <c r="CW38" s="19"/>
      <c r="CX38" s="19"/>
      <c r="CY38" s="19"/>
      <c r="CZ38" s="19"/>
      <c r="DA38" s="19"/>
      <c r="DB38" s="19"/>
      <c r="DC38" s="19"/>
      <c r="DD38" s="19" t="str">
        <f>$K38</f>
        <v>2026 BMW i7 xDrive60 Sedan (19'' Wheels)</v>
      </c>
      <c r="DE38" s="19"/>
      <c r="DF38" s="19"/>
      <c r="DG38" s="19"/>
      <c r="DH38" s="19"/>
      <c r="DI38" s="19"/>
      <c r="DJ38" s="19"/>
      <c r="DK38" s="19"/>
      <c r="DL38" s="19"/>
      <c r="DM38" s="19"/>
      <c r="DN38" s="19"/>
      <c r="DO38" s="19"/>
      <c r="DP38" s="19"/>
      <c r="DQ38" s="19"/>
      <c r="DR38" s="19"/>
      <c r="DS38" s="19"/>
      <c r="DT38" s="19"/>
      <c r="DU38" s="19" t="str">
        <f>$K38</f>
        <v>2026 BMW i7 xDrive60 Sedan (19'' Wheels)</v>
      </c>
      <c r="DV38" s="19"/>
      <c r="DW38" s="19"/>
      <c r="DX38" s="19"/>
      <c r="DY38" s="19"/>
      <c r="DZ38" s="19"/>
      <c r="EA38" s="117"/>
      <c r="EB38" s="19"/>
      <c r="EC38" s="19"/>
      <c r="ED38" s="19"/>
      <c r="EE38" s="19"/>
      <c r="EF38" s="19"/>
      <c r="EG38"/>
      <c r="EH38"/>
      <c r="EI38"/>
      <c r="EJ38"/>
      <c r="EK38"/>
      <c r="EL38"/>
      <c r="EM38"/>
      <c r="EN38"/>
      <c r="EO38"/>
      <c r="EP38"/>
      <c r="EQ38"/>
      <c r="ER38"/>
      <c r="ES38"/>
      <c r="ET38"/>
      <c r="EU38"/>
      <c r="EV38"/>
      <c r="EW38"/>
      <c r="EX38" s="19" t="s">
        <v>1944</v>
      </c>
      <c r="EY38"/>
      <c r="EZ38"/>
      <c r="FA38"/>
      <c r="FB38"/>
      <c r="FC38"/>
      <c r="FD38"/>
      <c r="FE38"/>
      <c r="FF38"/>
      <c r="FG38"/>
      <c r="FH38"/>
      <c r="FI38"/>
    </row>
    <row r="39" spans="1:165" s="66" customFormat="1" x14ac:dyDescent="0.35">
      <c r="A39">
        <v>2026</v>
      </c>
      <c r="B39" t="s">
        <v>192</v>
      </c>
      <c r="C39" s="112" t="s">
        <v>192</v>
      </c>
      <c r="D39" t="s">
        <v>1717</v>
      </c>
      <c r="E39" t="s">
        <v>194</v>
      </c>
      <c r="F39">
        <v>719</v>
      </c>
      <c r="G39" s="113">
        <v>0</v>
      </c>
      <c r="H39"/>
      <c r="I39" t="s">
        <v>1391</v>
      </c>
      <c r="J39">
        <v>85</v>
      </c>
      <c r="K39">
        <v>91</v>
      </c>
      <c r="L39">
        <v>88</v>
      </c>
      <c r="M39">
        <v>122</v>
      </c>
      <c r="N39">
        <v>129.69999999999999</v>
      </c>
      <c r="O39">
        <v>125.3488</v>
      </c>
      <c r="P39">
        <v>85.4</v>
      </c>
      <c r="Q39">
        <v>90.79</v>
      </c>
      <c r="R39">
        <v>87.744200000000006</v>
      </c>
      <c r="S39"/>
      <c r="T39"/>
      <c r="U39"/>
      <c r="V39" t="s">
        <v>170</v>
      </c>
      <c r="W39" t="s">
        <v>171</v>
      </c>
      <c r="X39"/>
      <c r="Y39">
        <v>1</v>
      </c>
      <c r="Z39" t="s">
        <v>173</v>
      </c>
      <c r="AA39" t="s">
        <v>173</v>
      </c>
      <c r="AB39" t="s">
        <v>170</v>
      </c>
      <c r="AC39" t="s">
        <v>232</v>
      </c>
      <c r="AD39"/>
      <c r="AE39"/>
      <c r="AF39">
        <v>311</v>
      </c>
      <c r="AG39" t="s">
        <v>1392</v>
      </c>
      <c r="AH39" t="s">
        <v>1393</v>
      </c>
      <c r="AI39" t="s">
        <v>178</v>
      </c>
      <c r="AJ39" t="s">
        <v>179</v>
      </c>
      <c r="AK39" t="s">
        <v>173</v>
      </c>
      <c r="AL39" t="s">
        <v>180</v>
      </c>
      <c r="AM39"/>
      <c r="AN39"/>
      <c r="AO39">
        <v>109</v>
      </c>
      <c r="AP39">
        <v>14</v>
      </c>
      <c r="AQ39"/>
      <c r="AR39"/>
      <c r="AS39">
        <v>1000</v>
      </c>
      <c r="AT39">
        <v>1000</v>
      </c>
      <c r="AU39"/>
      <c r="AV39"/>
      <c r="AW39"/>
      <c r="AX39"/>
      <c r="AY39"/>
      <c r="AZ39"/>
      <c r="BA39"/>
      <c r="BB39"/>
      <c r="BC39"/>
      <c r="BD39"/>
      <c r="BE39"/>
      <c r="BF39"/>
      <c r="BG39"/>
      <c r="BH39"/>
      <c r="BI39"/>
      <c r="BJ39"/>
      <c r="BK39"/>
      <c r="BL39"/>
      <c r="BM39"/>
      <c r="BN39" s="114"/>
      <c r="BO39"/>
      <c r="BP39"/>
      <c r="BQ39">
        <v>6</v>
      </c>
      <c r="BR39" t="s">
        <v>536</v>
      </c>
      <c r="BS39" t="s">
        <v>182</v>
      </c>
      <c r="BT39" t="s">
        <v>1402</v>
      </c>
      <c r="BU39" s="115">
        <v>45870</v>
      </c>
      <c r="BV39">
        <v>37283</v>
      </c>
      <c r="BW39" s="116"/>
      <c r="BX39" t="s">
        <v>172</v>
      </c>
      <c r="BY39" t="s">
        <v>173</v>
      </c>
      <c r="BZ39"/>
      <c r="CA39"/>
      <c r="CB39" t="s">
        <v>173</v>
      </c>
      <c r="CC39" t="s">
        <v>173</v>
      </c>
      <c r="CD39"/>
      <c r="CE39"/>
      <c r="CF39"/>
      <c r="CG39"/>
      <c r="CH39"/>
      <c r="CI39"/>
      <c r="CJ39"/>
      <c r="CK39" t="s">
        <v>259</v>
      </c>
      <c r="CL39"/>
      <c r="CM39">
        <v>1</v>
      </c>
      <c r="CN39" t="s">
        <v>260</v>
      </c>
      <c r="CO39"/>
      <c r="CP39">
        <v>376</v>
      </c>
      <c r="CQ39">
        <v>280.8</v>
      </c>
      <c r="CR39">
        <v>156</v>
      </c>
      <c r="CS39" t="s">
        <v>261</v>
      </c>
      <c r="CT39"/>
      <c r="CU39"/>
      <c r="CV39" t="s">
        <v>262</v>
      </c>
      <c r="CW39"/>
      <c r="CX39" t="s">
        <v>263</v>
      </c>
      <c r="CY39" t="s">
        <v>172</v>
      </c>
      <c r="CZ39"/>
      <c r="DA39"/>
      <c r="DB39"/>
      <c r="DC39" t="s">
        <v>1412</v>
      </c>
      <c r="DD39">
        <v>2</v>
      </c>
      <c r="DE39" t="s">
        <v>307</v>
      </c>
      <c r="DF39" t="s">
        <v>308</v>
      </c>
      <c r="DG39" t="s">
        <v>1407</v>
      </c>
      <c r="DH39"/>
      <c r="DI39"/>
      <c r="DJ39"/>
      <c r="DK39"/>
      <c r="DL39" t="s">
        <v>173</v>
      </c>
      <c r="DM39" t="s">
        <v>172</v>
      </c>
      <c r="DN39"/>
      <c r="DO39"/>
      <c r="DP39" t="s">
        <v>173</v>
      </c>
      <c r="DQ39" t="s">
        <v>189</v>
      </c>
      <c r="DR39"/>
      <c r="DS39"/>
      <c r="DT39"/>
      <c r="DU39"/>
      <c r="DV39"/>
      <c r="DW39"/>
      <c r="DX39"/>
      <c r="DY39"/>
      <c r="DZ39"/>
      <c r="EA39" s="117"/>
      <c r="EB39">
        <v>9</v>
      </c>
      <c r="EC39">
        <v>10</v>
      </c>
      <c r="ED39"/>
      <c r="EE39" t="s">
        <v>1718</v>
      </c>
      <c r="EF39">
        <v>10</v>
      </c>
      <c r="EG39"/>
      <c r="EH39"/>
      <c r="EI39"/>
      <c r="EJ39"/>
      <c r="EK39"/>
      <c r="EL39"/>
      <c r="EM39"/>
      <c r="EN39"/>
      <c r="EO39"/>
      <c r="EP39"/>
      <c r="EQ39"/>
      <c r="ER39"/>
      <c r="ES39"/>
      <c r="ET39"/>
      <c r="EU39">
        <v>3500</v>
      </c>
      <c r="EV39"/>
      <c r="EW39">
        <v>0</v>
      </c>
      <c r="EX39">
        <v>0</v>
      </c>
      <c r="EY39">
        <v>0</v>
      </c>
      <c r="EZ39"/>
      <c r="FA39">
        <v>10</v>
      </c>
      <c r="FB39"/>
      <c r="FC39"/>
      <c r="FD39"/>
      <c r="FE39"/>
      <c r="FF39"/>
      <c r="FG39" s="94">
        <v>302</v>
      </c>
      <c r="FH39" s="94">
        <v>321</v>
      </c>
      <c r="FI39" s="94">
        <v>311</v>
      </c>
    </row>
    <row r="40" spans="1:165" s="66" customFormat="1" x14ac:dyDescent="0.35">
      <c r="A40">
        <v>2026</v>
      </c>
      <c r="B40" t="s">
        <v>192</v>
      </c>
      <c r="C40" s="112" t="s">
        <v>192</v>
      </c>
      <c r="D40" t="s">
        <v>1717</v>
      </c>
      <c r="E40" t="s">
        <v>194</v>
      </c>
      <c r="F40">
        <v>719</v>
      </c>
      <c r="G40" s="113">
        <v>0</v>
      </c>
      <c r="H40"/>
      <c r="I40" t="s">
        <v>1391</v>
      </c>
      <c r="J40">
        <v>39</v>
      </c>
      <c r="K40">
        <v>37</v>
      </c>
      <c r="L40">
        <v>38</v>
      </c>
      <c r="M40">
        <v>27.6234</v>
      </c>
      <c r="N40">
        <v>25.9969</v>
      </c>
      <c r="O40">
        <v>26.891500000000001</v>
      </c>
      <c r="P40">
        <v>39.467199999999998</v>
      </c>
      <c r="Q40">
        <v>37.124099999999999</v>
      </c>
      <c r="R40">
        <v>38.412799999999997</v>
      </c>
      <c r="S40"/>
      <c r="T40"/>
      <c r="U40"/>
      <c r="V40" t="s">
        <v>170</v>
      </c>
      <c r="W40" t="s">
        <v>171</v>
      </c>
      <c r="X40"/>
      <c r="Y40">
        <v>1</v>
      </c>
      <c r="Z40" t="s">
        <v>173</v>
      </c>
      <c r="AA40" t="s">
        <v>173</v>
      </c>
      <c r="AB40" t="s">
        <v>170</v>
      </c>
      <c r="AC40" t="s">
        <v>232</v>
      </c>
      <c r="AD40"/>
      <c r="AE40"/>
      <c r="AF40">
        <v>311</v>
      </c>
      <c r="AG40" t="s">
        <v>1392</v>
      </c>
      <c r="AH40" t="s">
        <v>1393</v>
      </c>
      <c r="AI40" t="s">
        <v>1399</v>
      </c>
      <c r="AJ40" t="s">
        <v>1400</v>
      </c>
      <c r="AK40" t="s">
        <v>173</v>
      </c>
      <c r="AL40" t="s">
        <v>180</v>
      </c>
      <c r="AM40"/>
      <c r="AN40"/>
      <c r="AO40">
        <v>109</v>
      </c>
      <c r="AP40">
        <v>14</v>
      </c>
      <c r="AQ40"/>
      <c r="AR40"/>
      <c r="AS40">
        <v>1000</v>
      </c>
      <c r="AT40">
        <v>1000</v>
      </c>
      <c r="AU40"/>
      <c r="AV40"/>
      <c r="AW40"/>
      <c r="AX40"/>
      <c r="AY40"/>
      <c r="AZ40"/>
      <c r="BA40"/>
      <c r="BB40"/>
      <c r="BC40"/>
      <c r="BD40"/>
      <c r="BE40"/>
      <c r="BF40"/>
      <c r="BG40"/>
      <c r="BH40"/>
      <c r="BI40"/>
      <c r="BJ40"/>
      <c r="BK40"/>
      <c r="BL40"/>
      <c r="BM40"/>
      <c r="BN40" s="114"/>
      <c r="BO40"/>
      <c r="BP40"/>
      <c r="BQ40">
        <v>6</v>
      </c>
      <c r="BR40" t="s">
        <v>536</v>
      </c>
      <c r="BS40" t="s">
        <v>182</v>
      </c>
      <c r="BT40" t="s">
        <v>1402</v>
      </c>
      <c r="BU40" s="115">
        <v>45870</v>
      </c>
      <c r="BV40">
        <v>37283</v>
      </c>
      <c r="BW40" s="116"/>
      <c r="BX40" t="s">
        <v>172</v>
      </c>
      <c r="BY40" t="s">
        <v>173</v>
      </c>
      <c r="BZ40"/>
      <c r="CA40"/>
      <c r="CB40" t="s">
        <v>173</v>
      </c>
      <c r="CC40" t="s">
        <v>173</v>
      </c>
      <c r="CD40"/>
      <c r="CE40"/>
      <c r="CF40"/>
      <c r="CG40"/>
      <c r="CH40"/>
      <c r="CI40"/>
      <c r="CJ40"/>
      <c r="CK40" t="s">
        <v>259</v>
      </c>
      <c r="CL40"/>
      <c r="CM40">
        <v>1</v>
      </c>
      <c r="CN40" t="s">
        <v>260</v>
      </c>
      <c r="CO40"/>
      <c r="CP40">
        <v>376</v>
      </c>
      <c r="CQ40">
        <v>280.8</v>
      </c>
      <c r="CR40">
        <v>156</v>
      </c>
      <c r="CS40" t="s">
        <v>261</v>
      </c>
      <c r="CT40"/>
      <c r="CU40"/>
      <c r="CV40" t="s">
        <v>262</v>
      </c>
      <c r="CW40"/>
      <c r="CX40" t="s">
        <v>263</v>
      </c>
      <c r="CY40" t="s">
        <v>172</v>
      </c>
      <c r="CZ40"/>
      <c r="DA40"/>
      <c r="DB40"/>
      <c r="DC40" t="s">
        <v>1412</v>
      </c>
      <c r="DD40">
        <v>2</v>
      </c>
      <c r="DE40" t="s">
        <v>307</v>
      </c>
      <c r="DF40" t="s">
        <v>308</v>
      </c>
      <c r="DG40" t="s">
        <v>1407</v>
      </c>
      <c r="DH40"/>
      <c r="DI40"/>
      <c r="DJ40"/>
      <c r="DK40"/>
      <c r="DL40" t="s">
        <v>173</v>
      </c>
      <c r="DM40" t="s">
        <v>172</v>
      </c>
      <c r="DN40"/>
      <c r="DO40"/>
      <c r="DP40" t="s">
        <v>173</v>
      </c>
      <c r="DQ40" t="s">
        <v>189</v>
      </c>
      <c r="DR40"/>
      <c r="DS40"/>
      <c r="DT40"/>
      <c r="DU40"/>
      <c r="DV40"/>
      <c r="DW40"/>
      <c r="DX40"/>
      <c r="DY40"/>
      <c r="DZ40"/>
      <c r="EA40" s="117"/>
      <c r="EB40">
        <v>9</v>
      </c>
      <c r="EC40">
        <v>10</v>
      </c>
      <c r="ED40"/>
      <c r="EE40" t="s">
        <v>1718</v>
      </c>
      <c r="EF40">
        <v>10</v>
      </c>
      <c r="EG40"/>
      <c r="EH40"/>
      <c r="EI40"/>
      <c r="EJ40"/>
      <c r="EK40"/>
      <c r="EL40"/>
      <c r="EM40"/>
      <c r="EN40"/>
      <c r="EO40"/>
      <c r="EP40"/>
      <c r="EQ40"/>
      <c r="ER40"/>
      <c r="ES40"/>
      <c r="ET40"/>
      <c r="EU40">
        <v>3500</v>
      </c>
      <c r="EV40"/>
      <c r="EW40">
        <v>0</v>
      </c>
      <c r="EX40">
        <v>0</v>
      </c>
      <c r="EY40">
        <v>0</v>
      </c>
      <c r="EZ40"/>
      <c r="FA40">
        <v>10</v>
      </c>
      <c r="FB40"/>
      <c r="FC40"/>
      <c r="FD40"/>
      <c r="FE40"/>
      <c r="FF40"/>
      <c r="FG40" s="94">
        <v>302</v>
      </c>
      <c r="FH40" s="94">
        <v>321</v>
      </c>
      <c r="FI40" s="94">
        <v>311</v>
      </c>
    </row>
    <row r="41" spans="1:165" s="66" customFormat="1" x14ac:dyDescent="0.35">
      <c r="A41" s="19"/>
      <c r="B41" s="19"/>
      <c r="C41" s="19"/>
      <c r="D41" s="19"/>
      <c r="E41" s="19"/>
      <c r="F41" s="128"/>
      <c r="G41" s="19"/>
      <c r="H41" s="19"/>
      <c r="I41" s="19"/>
      <c r="J41" s="19"/>
      <c r="K41" s="19" t="str">
        <f>_xlfn.CONCAT(A42," ",C42," ",D42)</f>
        <v>2026 BMW i7 xDrive60 Sedan (20'' Wheels)</v>
      </c>
      <c r="L41" s="19"/>
      <c r="M41" s="19"/>
      <c r="N41" s="19"/>
      <c r="O41" s="19"/>
      <c r="P41" s="19"/>
      <c r="Q41" s="19"/>
      <c r="R41" s="19"/>
      <c r="S41" s="19"/>
      <c r="T41" s="19"/>
      <c r="U41" s="19"/>
      <c r="V41" s="19"/>
      <c r="W41" s="19"/>
      <c r="X41" s="19"/>
      <c r="Y41" s="19"/>
      <c r="Z41" s="19"/>
      <c r="AA41" s="19"/>
      <c r="AB41" s="19" t="str">
        <f>$K41</f>
        <v>2026 BMW i7 xDrive60 Sedan (20'' Wheels)</v>
      </c>
      <c r="AC41" s="19"/>
      <c r="AD41" s="19"/>
      <c r="AE41" s="19"/>
      <c r="AF41" s="19"/>
      <c r="AG41" s="19"/>
      <c r="AH41" s="19"/>
      <c r="AI41" s="19"/>
      <c r="AJ41" s="19"/>
      <c r="AK41" s="19"/>
      <c r="AL41" s="19"/>
      <c r="AM41" s="19"/>
      <c r="AN41" s="19"/>
      <c r="AO41" s="19"/>
      <c r="AP41" s="19"/>
      <c r="AQ41" s="19"/>
      <c r="AR41" s="19" t="str">
        <f>$K41</f>
        <v>2026 BMW i7 xDrive60 Sedan (20'' Wheels)</v>
      </c>
      <c r="AS41" s="19"/>
      <c r="AT41" s="19"/>
      <c r="AU41" s="19"/>
      <c r="AV41" s="19"/>
      <c r="AW41" s="19"/>
      <c r="AX41" s="19"/>
      <c r="AY41" s="19"/>
      <c r="AZ41" s="19"/>
      <c r="BA41" s="19"/>
      <c r="BB41" s="19"/>
      <c r="BC41" s="19"/>
      <c r="BD41" s="19"/>
      <c r="BE41" s="19"/>
      <c r="BF41" s="19"/>
      <c r="BG41" s="19" t="str">
        <f>$K41</f>
        <v>2026 BMW i7 xDrive60 Sedan (20'' Wheels)</v>
      </c>
      <c r="BH41" s="19"/>
      <c r="BI41" s="19"/>
      <c r="BJ41" s="19"/>
      <c r="BK41" s="19"/>
      <c r="BL41" s="19"/>
      <c r="BM41" s="129"/>
      <c r="BN41" s="19"/>
      <c r="BO41" s="19"/>
      <c r="BP41" s="19"/>
      <c r="BQ41" s="19"/>
      <c r="BR41" s="19"/>
      <c r="BS41" s="19"/>
      <c r="BT41" s="130"/>
      <c r="BU41" s="19"/>
      <c r="BV41" s="19"/>
      <c r="BW41" s="116"/>
      <c r="BX41" s="19"/>
      <c r="BY41" s="19"/>
      <c r="BZ41" s="19"/>
      <c r="CA41" s="19"/>
      <c r="CB41" s="19"/>
      <c r="CC41" s="19"/>
      <c r="CD41" s="19"/>
      <c r="CE41" s="19"/>
      <c r="CF41" s="19"/>
      <c r="CG41" s="19"/>
      <c r="CH41" s="19"/>
      <c r="CI41" s="19"/>
      <c r="CJ41" s="19"/>
      <c r="CK41" s="19"/>
      <c r="CL41" s="19"/>
      <c r="CM41" s="19" t="str">
        <f>$K41</f>
        <v>2026 BMW i7 xDrive60 Sedan (20'' Wheels)</v>
      </c>
      <c r="CN41" s="19"/>
      <c r="CO41" s="19"/>
      <c r="CP41" s="19"/>
      <c r="CQ41" s="19"/>
      <c r="CR41" s="19"/>
      <c r="CS41" s="19"/>
      <c r="CT41" s="19"/>
      <c r="CU41" s="19"/>
      <c r="CV41" s="19"/>
      <c r="CW41" s="19"/>
      <c r="CX41" s="19"/>
      <c r="CY41" s="19"/>
      <c r="CZ41" s="19"/>
      <c r="DA41" s="19"/>
      <c r="DB41" s="19"/>
      <c r="DC41" s="19"/>
      <c r="DD41" s="19" t="str">
        <f>$K41</f>
        <v>2026 BMW i7 xDrive60 Sedan (20'' Wheels)</v>
      </c>
      <c r="DE41" s="19"/>
      <c r="DF41" s="19"/>
      <c r="DG41" s="19"/>
      <c r="DH41" s="19"/>
      <c r="DI41" s="19"/>
      <c r="DJ41" s="19"/>
      <c r="DK41" s="19"/>
      <c r="DL41" s="19"/>
      <c r="DM41" s="19"/>
      <c r="DN41" s="19"/>
      <c r="DO41" s="19"/>
      <c r="DP41" s="19"/>
      <c r="DQ41" s="19"/>
      <c r="DR41" s="19"/>
      <c r="DS41" s="19"/>
      <c r="DT41" s="19"/>
      <c r="DU41" s="19" t="str">
        <f>$K41</f>
        <v>2026 BMW i7 xDrive60 Sedan (20'' Wheels)</v>
      </c>
      <c r="DV41" s="19"/>
      <c r="DW41" s="19"/>
      <c r="DX41" s="19"/>
      <c r="DY41" s="19"/>
      <c r="DZ41" s="19"/>
      <c r="EA41" s="117"/>
      <c r="EB41" s="19"/>
      <c r="EC41" s="19"/>
      <c r="ED41" s="19"/>
      <c r="EE41" s="19"/>
      <c r="EF41" s="19"/>
      <c r="EG41"/>
      <c r="EH41"/>
      <c r="EI41"/>
      <c r="EJ41"/>
      <c r="EK41"/>
      <c r="EL41"/>
      <c r="EM41"/>
      <c r="EN41"/>
      <c r="EO41"/>
      <c r="EP41"/>
      <c r="EQ41"/>
      <c r="ER41"/>
      <c r="ES41"/>
      <c r="ET41"/>
      <c r="EU41"/>
      <c r="EV41"/>
      <c r="EW41"/>
      <c r="EX41" s="19" t="s">
        <v>1945</v>
      </c>
      <c r="EY41"/>
      <c r="EZ41"/>
      <c r="FA41"/>
      <c r="FB41"/>
      <c r="FC41"/>
      <c r="FD41"/>
      <c r="FE41"/>
      <c r="FF41"/>
      <c r="FG41"/>
      <c r="FH41"/>
      <c r="FI41"/>
    </row>
    <row r="42" spans="1:165" s="66" customFormat="1" x14ac:dyDescent="0.35">
      <c r="A42">
        <v>2026</v>
      </c>
      <c r="B42" t="s">
        <v>192</v>
      </c>
      <c r="C42" s="112" t="s">
        <v>192</v>
      </c>
      <c r="D42" t="s">
        <v>1719</v>
      </c>
      <c r="E42" t="s">
        <v>194</v>
      </c>
      <c r="F42">
        <v>720</v>
      </c>
      <c r="G42" s="113">
        <v>0</v>
      </c>
      <c r="H42"/>
      <c r="I42" t="s">
        <v>1391</v>
      </c>
      <c r="J42">
        <v>81</v>
      </c>
      <c r="K42">
        <v>85</v>
      </c>
      <c r="L42">
        <v>83</v>
      </c>
      <c r="M42">
        <v>115.1</v>
      </c>
      <c r="N42">
        <v>122.1</v>
      </c>
      <c r="O42">
        <v>118.148</v>
      </c>
      <c r="P42">
        <v>80.569999999999993</v>
      </c>
      <c r="Q42">
        <v>85.47</v>
      </c>
      <c r="R42">
        <v>82.703599999999994</v>
      </c>
      <c r="S42"/>
      <c r="T42"/>
      <c r="U42"/>
      <c r="V42" t="s">
        <v>170</v>
      </c>
      <c r="W42" t="s">
        <v>171</v>
      </c>
      <c r="X42"/>
      <c r="Y42">
        <v>1</v>
      </c>
      <c r="Z42" t="s">
        <v>173</v>
      </c>
      <c r="AA42" t="s">
        <v>173</v>
      </c>
      <c r="AB42" t="s">
        <v>170</v>
      </c>
      <c r="AC42" t="s">
        <v>232</v>
      </c>
      <c r="AD42"/>
      <c r="AE42"/>
      <c r="AF42">
        <v>296</v>
      </c>
      <c r="AG42" t="s">
        <v>1392</v>
      </c>
      <c r="AH42" t="s">
        <v>1393</v>
      </c>
      <c r="AI42" t="s">
        <v>178</v>
      </c>
      <c r="AJ42" t="s">
        <v>179</v>
      </c>
      <c r="AK42" t="s">
        <v>173</v>
      </c>
      <c r="AL42" t="s">
        <v>180</v>
      </c>
      <c r="AM42"/>
      <c r="AN42"/>
      <c r="AO42">
        <v>109</v>
      </c>
      <c r="AP42">
        <v>14</v>
      </c>
      <c r="AQ42"/>
      <c r="AR42"/>
      <c r="AS42">
        <v>1050</v>
      </c>
      <c r="AT42">
        <v>1050</v>
      </c>
      <c r="AU42"/>
      <c r="AV42"/>
      <c r="AW42"/>
      <c r="AX42"/>
      <c r="AY42"/>
      <c r="AZ42"/>
      <c r="BA42"/>
      <c r="BB42"/>
      <c r="BC42"/>
      <c r="BD42"/>
      <c r="BE42"/>
      <c r="BF42"/>
      <c r="BG42"/>
      <c r="BH42"/>
      <c r="BI42"/>
      <c r="BJ42"/>
      <c r="BK42"/>
      <c r="BL42"/>
      <c r="BM42"/>
      <c r="BN42" s="114"/>
      <c r="BO42"/>
      <c r="BP42"/>
      <c r="BQ42">
        <v>6</v>
      </c>
      <c r="BR42" t="s">
        <v>536</v>
      </c>
      <c r="BS42" t="s">
        <v>182</v>
      </c>
      <c r="BT42" t="s">
        <v>1402</v>
      </c>
      <c r="BU42" s="115">
        <v>45870</v>
      </c>
      <c r="BV42">
        <v>37284</v>
      </c>
      <c r="BW42" s="116"/>
      <c r="BX42" t="s">
        <v>172</v>
      </c>
      <c r="BY42" t="s">
        <v>173</v>
      </c>
      <c r="BZ42"/>
      <c r="CA42"/>
      <c r="CB42" t="s">
        <v>173</v>
      </c>
      <c r="CC42" t="s">
        <v>173</v>
      </c>
      <c r="CD42"/>
      <c r="CE42"/>
      <c r="CF42"/>
      <c r="CG42"/>
      <c r="CH42"/>
      <c r="CI42"/>
      <c r="CJ42"/>
      <c r="CK42" t="s">
        <v>259</v>
      </c>
      <c r="CL42"/>
      <c r="CM42">
        <v>1</v>
      </c>
      <c r="CN42" t="s">
        <v>260</v>
      </c>
      <c r="CO42"/>
      <c r="CP42">
        <v>376</v>
      </c>
      <c r="CQ42">
        <v>280.8</v>
      </c>
      <c r="CR42">
        <v>156</v>
      </c>
      <c r="CS42" t="s">
        <v>261</v>
      </c>
      <c r="CT42"/>
      <c r="CU42"/>
      <c r="CV42" t="s">
        <v>262</v>
      </c>
      <c r="CW42"/>
      <c r="CX42" t="s">
        <v>263</v>
      </c>
      <c r="CY42" t="s">
        <v>172</v>
      </c>
      <c r="CZ42"/>
      <c r="DA42"/>
      <c r="DB42"/>
      <c r="DC42" t="s">
        <v>1412</v>
      </c>
      <c r="DD42">
        <v>2</v>
      </c>
      <c r="DE42" t="s">
        <v>307</v>
      </c>
      <c r="DF42" t="s">
        <v>308</v>
      </c>
      <c r="DG42" t="s">
        <v>1407</v>
      </c>
      <c r="DH42"/>
      <c r="DI42"/>
      <c r="DJ42"/>
      <c r="DK42"/>
      <c r="DL42" t="s">
        <v>173</v>
      </c>
      <c r="DM42" t="s">
        <v>172</v>
      </c>
      <c r="DN42"/>
      <c r="DO42"/>
      <c r="DP42" t="s">
        <v>173</v>
      </c>
      <c r="DQ42" t="s">
        <v>189</v>
      </c>
      <c r="DR42"/>
      <c r="DS42"/>
      <c r="DT42"/>
      <c r="DU42"/>
      <c r="DV42"/>
      <c r="DW42"/>
      <c r="DX42"/>
      <c r="DY42"/>
      <c r="DZ42"/>
      <c r="EA42" s="117"/>
      <c r="EB42">
        <v>9</v>
      </c>
      <c r="EC42">
        <v>10</v>
      </c>
      <c r="ED42"/>
      <c r="EE42" t="s">
        <v>1718</v>
      </c>
      <c r="EF42">
        <v>10</v>
      </c>
      <c r="EG42"/>
      <c r="EH42"/>
      <c r="EI42"/>
      <c r="EJ42"/>
      <c r="EK42"/>
      <c r="EL42"/>
      <c r="EM42"/>
      <c r="EN42"/>
      <c r="EO42"/>
      <c r="EP42"/>
      <c r="EQ42"/>
      <c r="ER42"/>
      <c r="ES42"/>
      <c r="ET42"/>
      <c r="EU42">
        <v>3250</v>
      </c>
      <c r="EV42"/>
      <c r="EW42">
        <v>0</v>
      </c>
      <c r="EX42">
        <v>0</v>
      </c>
      <c r="EY42">
        <v>0</v>
      </c>
      <c r="EZ42"/>
      <c r="FA42">
        <v>10</v>
      </c>
      <c r="FB42"/>
      <c r="FC42"/>
      <c r="FD42"/>
      <c r="FE42"/>
      <c r="FF42"/>
      <c r="FG42" s="94">
        <v>288</v>
      </c>
      <c r="FH42" s="94">
        <v>306</v>
      </c>
      <c r="FI42" s="94">
        <v>296</v>
      </c>
    </row>
    <row r="43" spans="1:165" s="66" customFormat="1" x14ac:dyDescent="0.35">
      <c r="A43">
        <v>2026</v>
      </c>
      <c r="B43" t="s">
        <v>192</v>
      </c>
      <c r="C43" s="112" t="s">
        <v>192</v>
      </c>
      <c r="D43" t="s">
        <v>1719</v>
      </c>
      <c r="E43" t="s">
        <v>194</v>
      </c>
      <c r="F43">
        <v>720</v>
      </c>
      <c r="G43" s="113">
        <v>0</v>
      </c>
      <c r="H43"/>
      <c r="I43" t="s">
        <v>1391</v>
      </c>
      <c r="J43">
        <v>42</v>
      </c>
      <c r="K43">
        <v>39</v>
      </c>
      <c r="L43">
        <v>41</v>
      </c>
      <c r="M43">
        <v>29.272400000000001</v>
      </c>
      <c r="N43">
        <v>27.606300000000001</v>
      </c>
      <c r="O43">
        <v>28.522600000000001</v>
      </c>
      <c r="P43">
        <v>41.833199999999998</v>
      </c>
      <c r="Q43">
        <v>39.434899999999999</v>
      </c>
      <c r="R43">
        <v>40.753999999999998</v>
      </c>
      <c r="S43"/>
      <c r="T43"/>
      <c r="U43"/>
      <c r="V43" t="s">
        <v>170</v>
      </c>
      <c r="W43" t="s">
        <v>171</v>
      </c>
      <c r="X43"/>
      <c r="Y43">
        <v>1</v>
      </c>
      <c r="Z43" t="s">
        <v>173</v>
      </c>
      <c r="AA43" t="s">
        <v>173</v>
      </c>
      <c r="AB43" t="s">
        <v>170</v>
      </c>
      <c r="AC43" t="s">
        <v>232</v>
      </c>
      <c r="AD43"/>
      <c r="AE43"/>
      <c r="AF43">
        <v>296</v>
      </c>
      <c r="AG43" t="s">
        <v>1392</v>
      </c>
      <c r="AH43" t="s">
        <v>1393</v>
      </c>
      <c r="AI43" t="s">
        <v>1399</v>
      </c>
      <c r="AJ43" t="s">
        <v>1400</v>
      </c>
      <c r="AK43" t="s">
        <v>173</v>
      </c>
      <c r="AL43" t="s">
        <v>180</v>
      </c>
      <c r="AM43"/>
      <c r="AN43"/>
      <c r="AO43">
        <v>109</v>
      </c>
      <c r="AP43">
        <v>14</v>
      </c>
      <c r="AQ43"/>
      <c r="AR43"/>
      <c r="AS43">
        <v>1050</v>
      </c>
      <c r="AT43">
        <v>1050</v>
      </c>
      <c r="AU43"/>
      <c r="AV43"/>
      <c r="AW43"/>
      <c r="AX43"/>
      <c r="AY43"/>
      <c r="AZ43"/>
      <c r="BA43"/>
      <c r="BB43"/>
      <c r="BC43"/>
      <c r="BD43"/>
      <c r="BE43"/>
      <c r="BF43"/>
      <c r="BG43"/>
      <c r="BH43"/>
      <c r="BI43"/>
      <c r="BJ43"/>
      <c r="BK43"/>
      <c r="BL43"/>
      <c r="BM43"/>
      <c r="BN43" s="114"/>
      <c r="BO43"/>
      <c r="BP43"/>
      <c r="BQ43">
        <v>6</v>
      </c>
      <c r="BR43" t="s">
        <v>536</v>
      </c>
      <c r="BS43" t="s">
        <v>182</v>
      </c>
      <c r="BT43" t="s">
        <v>1402</v>
      </c>
      <c r="BU43" s="115">
        <v>45870</v>
      </c>
      <c r="BV43">
        <v>37284</v>
      </c>
      <c r="BW43" s="116"/>
      <c r="BX43" t="s">
        <v>172</v>
      </c>
      <c r="BY43" t="s">
        <v>173</v>
      </c>
      <c r="BZ43"/>
      <c r="CA43"/>
      <c r="CB43" t="s">
        <v>173</v>
      </c>
      <c r="CC43" t="s">
        <v>173</v>
      </c>
      <c r="CD43"/>
      <c r="CE43"/>
      <c r="CF43"/>
      <c r="CG43"/>
      <c r="CH43"/>
      <c r="CI43"/>
      <c r="CJ43"/>
      <c r="CK43" t="s">
        <v>259</v>
      </c>
      <c r="CL43"/>
      <c r="CM43">
        <v>1</v>
      </c>
      <c r="CN43" t="s">
        <v>260</v>
      </c>
      <c r="CO43"/>
      <c r="CP43">
        <v>376</v>
      </c>
      <c r="CQ43">
        <v>280.8</v>
      </c>
      <c r="CR43">
        <v>156</v>
      </c>
      <c r="CS43" t="s">
        <v>261</v>
      </c>
      <c r="CT43"/>
      <c r="CU43"/>
      <c r="CV43" t="s">
        <v>262</v>
      </c>
      <c r="CW43"/>
      <c r="CX43" t="s">
        <v>263</v>
      </c>
      <c r="CY43" t="s">
        <v>172</v>
      </c>
      <c r="CZ43"/>
      <c r="DA43"/>
      <c r="DB43"/>
      <c r="DC43" t="s">
        <v>1412</v>
      </c>
      <c r="DD43">
        <v>2</v>
      </c>
      <c r="DE43" t="s">
        <v>307</v>
      </c>
      <c r="DF43" t="s">
        <v>308</v>
      </c>
      <c r="DG43" t="s">
        <v>1407</v>
      </c>
      <c r="DH43"/>
      <c r="DI43"/>
      <c r="DJ43"/>
      <c r="DK43"/>
      <c r="DL43" t="s">
        <v>173</v>
      </c>
      <c r="DM43" t="s">
        <v>172</v>
      </c>
      <c r="DN43"/>
      <c r="DO43"/>
      <c r="DP43" t="s">
        <v>173</v>
      </c>
      <c r="DQ43" t="s">
        <v>189</v>
      </c>
      <c r="DR43"/>
      <c r="DS43"/>
      <c r="DT43"/>
      <c r="DU43"/>
      <c r="DV43"/>
      <c r="DW43"/>
      <c r="DX43"/>
      <c r="DY43"/>
      <c r="DZ43"/>
      <c r="EA43" s="117"/>
      <c r="EB43">
        <v>9</v>
      </c>
      <c r="EC43">
        <v>10</v>
      </c>
      <c r="ED43"/>
      <c r="EE43" t="s">
        <v>1718</v>
      </c>
      <c r="EF43">
        <v>10</v>
      </c>
      <c r="EG43"/>
      <c r="EH43"/>
      <c r="EI43"/>
      <c r="EJ43"/>
      <c r="EK43"/>
      <c r="EL43"/>
      <c r="EM43"/>
      <c r="EN43"/>
      <c r="EO43"/>
      <c r="EP43"/>
      <c r="EQ43"/>
      <c r="ER43"/>
      <c r="ES43"/>
      <c r="ET43"/>
      <c r="EU43">
        <v>3250</v>
      </c>
      <c r="EV43"/>
      <c r="EW43">
        <v>0</v>
      </c>
      <c r="EX43">
        <v>0</v>
      </c>
      <c r="EY43">
        <v>0</v>
      </c>
      <c r="EZ43"/>
      <c r="FA43">
        <v>10</v>
      </c>
      <c r="FB43"/>
      <c r="FC43"/>
      <c r="FD43"/>
      <c r="FE43"/>
      <c r="FF43"/>
      <c r="FG43" s="94">
        <v>288</v>
      </c>
      <c r="FH43" s="94">
        <v>306</v>
      </c>
      <c r="FI43" s="94">
        <v>296</v>
      </c>
    </row>
    <row r="44" spans="1:165" s="66" customFormat="1" x14ac:dyDescent="0.35">
      <c r="A44" s="19"/>
      <c r="B44" s="19"/>
      <c r="C44" s="19"/>
      <c r="D44" s="19"/>
      <c r="E44" s="19"/>
      <c r="F44" s="128"/>
      <c r="G44" s="19"/>
      <c r="H44" s="19"/>
      <c r="I44" s="19"/>
      <c r="J44" s="19"/>
      <c r="K44" s="19" t="str">
        <f>_xlfn.CONCAT(A45," ",C45," ",D45)</f>
        <v>2026 BMW i7 xDrive60 Sedan (21'' Wheels)</v>
      </c>
      <c r="L44" s="19"/>
      <c r="M44" s="19"/>
      <c r="N44" s="19"/>
      <c r="O44" s="19"/>
      <c r="P44" s="19"/>
      <c r="Q44" s="19"/>
      <c r="R44" s="19"/>
      <c r="S44" s="19"/>
      <c r="T44" s="19"/>
      <c r="U44" s="19"/>
      <c r="V44" s="19"/>
      <c r="W44" s="19"/>
      <c r="X44" s="19"/>
      <c r="Y44" s="19"/>
      <c r="Z44" s="19"/>
      <c r="AA44" s="19"/>
      <c r="AB44" s="19" t="str">
        <f>$K44</f>
        <v>2026 BMW i7 xDrive60 Sedan (21'' Wheels)</v>
      </c>
      <c r="AC44" s="19"/>
      <c r="AD44" s="19"/>
      <c r="AE44" s="19"/>
      <c r="AF44" s="19"/>
      <c r="AG44" s="19"/>
      <c r="AH44" s="19"/>
      <c r="AI44" s="19"/>
      <c r="AJ44" s="19"/>
      <c r="AK44" s="19"/>
      <c r="AL44" s="19"/>
      <c r="AM44" s="19"/>
      <c r="AN44" s="19"/>
      <c r="AO44" s="19"/>
      <c r="AP44" s="19"/>
      <c r="AQ44" s="19"/>
      <c r="AR44" s="19" t="str">
        <f>$K44</f>
        <v>2026 BMW i7 xDrive60 Sedan (21'' Wheels)</v>
      </c>
      <c r="AS44" s="19"/>
      <c r="AT44" s="19"/>
      <c r="AU44" s="19"/>
      <c r="AV44" s="19"/>
      <c r="AW44" s="19"/>
      <c r="AX44" s="19"/>
      <c r="AY44" s="19"/>
      <c r="AZ44" s="19"/>
      <c r="BA44" s="19"/>
      <c r="BB44" s="19"/>
      <c r="BC44" s="19"/>
      <c r="BD44" s="19"/>
      <c r="BE44" s="19"/>
      <c r="BF44" s="19"/>
      <c r="BG44" s="19" t="str">
        <f>$K44</f>
        <v>2026 BMW i7 xDrive60 Sedan (21'' Wheels)</v>
      </c>
      <c r="BH44" s="19"/>
      <c r="BI44" s="19"/>
      <c r="BJ44" s="19"/>
      <c r="BK44" s="19"/>
      <c r="BL44" s="19"/>
      <c r="BM44" s="129"/>
      <c r="BN44" s="19"/>
      <c r="BO44" s="19"/>
      <c r="BP44" s="19"/>
      <c r="BQ44" s="19"/>
      <c r="BR44" s="19"/>
      <c r="BS44" s="19"/>
      <c r="BT44" s="130"/>
      <c r="BU44" s="19"/>
      <c r="BV44" s="19"/>
      <c r="BW44" s="116"/>
      <c r="BX44" s="19"/>
      <c r="BY44" s="19"/>
      <c r="BZ44" s="19"/>
      <c r="CA44" s="19"/>
      <c r="CB44" s="19"/>
      <c r="CC44" s="19"/>
      <c r="CD44" s="19"/>
      <c r="CE44" s="19"/>
      <c r="CF44" s="19"/>
      <c r="CG44" s="19"/>
      <c r="CH44" s="19"/>
      <c r="CI44" s="19"/>
      <c r="CJ44" s="19"/>
      <c r="CK44" s="19"/>
      <c r="CL44" s="19"/>
      <c r="CM44" s="19" t="str">
        <f>$K44</f>
        <v>2026 BMW i7 xDrive60 Sedan (21'' Wheels)</v>
      </c>
      <c r="CN44" s="19"/>
      <c r="CO44" s="19"/>
      <c r="CP44" s="19"/>
      <c r="CQ44" s="19"/>
      <c r="CR44" s="19"/>
      <c r="CS44" s="19"/>
      <c r="CT44" s="19"/>
      <c r="CU44" s="19"/>
      <c r="CV44" s="19"/>
      <c r="CW44" s="19"/>
      <c r="CX44" s="19"/>
      <c r="CY44" s="19"/>
      <c r="CZ44" s="19"/>
      <c r="DA44" s="19"/>
      <c r="DB44" s="19"/>
      <c r="DC44" s="19"/>
      <c r="DD44" s="19" t="str">
        <f>$K44</f>
        <v>2026 BMW i7 xDrive60 Sedan (21'' Wheels)</v>
      </c>
      <c r="DE44" s="19"/>
      <c r="DF44" s="19"/>
      <c r="DG44" s="19"/>
      <c r="DH44" s="19"/>
      <c r="DI44" s="19"/>
      <c r="DJ44" s="19"/>
      <c r="DK44" s="19"/>
      <c r="DL44" s="19"/>
      <c r="DM44" s="19"/>
      <c r="DN44" s="19"/>
      <c r="DO44" s="19"/>
      <c r="DP44" s="19"/>
      <c r="DQ44" s="19"/>
      <c r="DR44" s="19"/>
      <c r="DS44" s="19"/>
      <c r="DT44" s="19"/>
      <c r="DU44" s="19" t="str">
        <f>$K44</f>
        <v>2026 BMW i7 xDrive60 Sedan (21'' Wheels)</v>
      </c>
      <c r="DV44" s="19"/>
      <c r="DW44" s="19"/>
      <c r="DX44" s="19"/>
      <c r="DY44" s="19"/>
      <c r="DZ44" s="19"/>
      <c r="EA44" s="117"/>
      <c r="EB44" s="19"/>
      <c r="EC44" s="19"/>
      <c r="ED44" s="19"/>
      <c r="EE44" s="19"/>
      <c r="EF44" s="19"/>
      <c r="EG44"/>
      <c r="EH44"/>
      <c r="EI44"/>
      <c r="EJ44"/>
      <c r="EK44"/>
      <c r="EL44"/>
      <c r="EM44"/>
      <c r="EN44"/>
      <c r="EO44"/>
      <c r="EP44"/>
      <c r="EQ44"/>
      <c r="ER44"/>
      <c r="ES44"/>
      <c r="ET44"/>
      <c r="EU44"/>
      <c r="EV44"/>
      <c r="EW44"/>
      <c r="EX44" s="19" t="s">
        <v>1946</v>
      </c>
      <c r="EY44"/>
      <c r="EZ44"/>
      <c r="FA44"/>
      <c r="FB44"/>
      <c r="FC44"/>
      <c r="FD44"/>
      <c r="FE44"/>
      <c r="FF44"/>
      <c r="FG44"/>
      <c r="FH44"/>
      <c r="FI44"/>
    </row>
    <row r="45" spans="1:165" s="66" customFormat="1" x14ac:dyDescent="0.35">
      <c r="A45">
        <v>2026</v>
      </c>
      <c r="B45" t="s">
        <v>192</v>
      </c>
      <c r="C45" s="112" t="s">
        <v>192</v>
      </c>
      <c r="D45" t="s">
        <v>1720</v>
      </c>
      <c r="E45" t="s">
        <v>194</v>
      </c>
      <c r="F45">
        <v>721</v>
      </c>
      <c r="G45" s="113">
        <v>0</v>
      </c>
      <c r="H45"/>
      <c r="I45" t="s">
        <v>1391</v>
      </c>
      <c r="J45">
        <v>85</v>
      </c>
      <c r="K45">
        <v>89</v>
      </c>
      <c r="L45">
        <v>87</v>
      </c>
      <c r="M45">
        <v>121.4</v>
      </c>
      <c r="N45">
        <v>127.8</v>
      </c>
      <c r="O45">
        <v>124.19880000000001</v>
      </c>
      <c r="P45">
        <v>84.98</v>
      </c>
      <c r="Q45">
        <v>89.46</v>
      </c>
      <c r="R45">
        <v>86.9392</v>
      </c>
      <c r="S45"/>
      <c r="T45"/>
      <c r="U45"/>
      <c r="V45" t="s">
        <v>170</v>
      </c>
      <c r="W45" t="s">
        <v>171</v>
      </c>
      <c r="X45"/>
      <c r="Y45">
        <v>1</v>
      </c>
      <c r="Z45" t="s">
        <v>173</v>
      </c>
      <c r="AA45" t="s">
        <v>173</v>
      </c>
      <c r="AB45" t="s">
        <v>170</v>
      </c>
      <c r="AC45" t="s">
        <v>232</v>
      </c>
      <c r="AD45"/>
      <c r="AE45"/>
      <c r="AF45">
        <v>308</v>
      </c>
      <c r="AG45" t="s">
        <v>1392</v>
      </c>
      <c r="AH45" t="s">
        <v>1393</v>
      </c>
      <c r="AI45" t="s">
        <v>178</v>
      </c>
      <c r="AJ45" t="s">
        <v>179</v>
      </c>
      <c r="AK45" t="s">
        <v>173</v>
      </c>
      <c r="AL45" t="s">
        <v>180</v>
      </c>
      <c r="AM45"/>
      <c r="AN45"/>
      <c r="AO45">
        <v>109</v>
      </c>
      <c r="AP45">
        <v>14</v>
      </c>
      <c r="AQ45"/>
      <c r="AR45"/>
      <c r="AS45">
        <v>1000</v>
      </c>
      <c r="AT45">
        <v>1000</v>
      </c>
      <c r="AU45"/>
      <c r="AV45"/>
      <c r="AW45"/>
      <c r="AX45"/>
      <c r="AY45"/>
      <c r="AZ45"/>
      <c r="BA45"/>
      <c r="BB45"/>
      <c r="BC45"/>
      <c r="BD45"/>
      <c r="BE45"/>
      <c r="BF45"/>
      <c r="BG45"/>
      <c r="BH45"/>
      <c r="BI45"/>
      <c r="BJ45"/>
      <c r="BK45"/>
      <c r="BL45"/>
      <c r="BM45"/>
      <c r="BN45" s="114"/>
      <c r="BO45"/>
      <c r="BP45"/>
      <c r="BQ45">
        <v>6</v>
      </c>
      <c r="BR45" t="s">
        <v>536</v>
      </c>
      <c r="BS45" t="s">
        <v>182</v>
      </c>
      <c r="BT45" t="s">
        <v>1402</v>
      </c>
      <c r="BU45" s="115">
        <v>45870</v>
      </c>
      <c r="BV45">
        <v>37285</v>
      </c>
      <c r="BW45" s="116"/>
      <c r="BX45" t="s">
        <v>172</v>
      </c>
      <c r="BY45" t="s">
        <v>173</v>
      </c>
      <c r="BZ45"/>
      <c r="CA45"/>
      <c r="CB45" t="s">
        <v>173</v>
      </c>
      <c r="CC45" t="s">
        <v>173</v>
      </c>
      <c r="CD45"/>
      <c r="CE45"/>
      <c r="CF45"/>
      <c r="CG45"/>
      <c r="CH45"/>
      <c r="CI45"/>
      <c r="CJ45"/>
      <c r="CK45" t="s">
        <v>259</v>
      </c>
      <c r="CL45"/>
      <c r="CM45">
        <v>1</v>
      </c>
      <c r="CN45" t="s">
        <v>260</v>
      </c>
      <c r="CO45"/>
      <c r="CP45">
        <v>376</v>
      </c>
      <c r="CQ45">
        <v>280.8</v>
      </c>
      <c r="CR45">
        <v>156</v>
      </c>
      <c r="CS45" t="s">
        <v>261</v>
      </c>
      <c r="CT45"/>
      <c r="CU45"/>
      <c r="CV45" t="s">
        <v>262</v>
      </c>
      <c r="CW45"/>
      <c r="CX45" t="s">
        <v>263</v>
      </c>
      <c r="CY45" t="s">
        <v>172</v>
      </c>
      <c r="CZ45"/>
      <c r="DA45"/>
      <c r="DB45"/>
      <c r="DC45" t="s">
        <v>1412</v>
      </c>
      <c r="DD45">
        <v>2</v>
      </c>
      <c r="DE45" t="s">
        <v>307</v>
      </c>
      <c r="DF45" t="s">
        <v>308</v>
      </c>
      <c r="DG45" t="s">
        <v>1407</v>
      </c>
      <c r="DH45"/>
      <c r="DI45"/>
      <c r="DJ45"/>
      <c r="DK45"/>
      <c r="DL45" t="s">
        <v>173</v>
      </c>
      <c r="DM45" t="s">
        <v>172</v>
      </c>
      <c r="DN45"/>
      <c r="DO45"/>
      <c r="DP45" t="s">
        <v>173</v>
      </c>
      <c r="DQ45" t="s">
        <v>189</v>
      </c>
      <c r="DR45"/>
      <c r="DS45"/>
      <c r="DT45"/>
      <c r="DU45"/>
      <c r="DV45"/>
      <c r="DW45"/>
      <c r="DX45"/>
      <c r="DY45"/>
      <c r="DZ45"/>
      <c r="EA45" s="117"/>
      <c r="EB45">
        <v>9</v>
      </c>
      <c r="EC45">
        <v>10</v>
      </c>
      <c r="ED45"/>
      <c r="EE45" t="s">
        <v>1718</v>
      </c>
      <c r="EF45">
        <v>10</v>
      </c>
      <c r="EG45"/>
      <c r="EH45"/>
      <c r="EI45"/>
      <c r="EJ45"/>
      <c r="EK45"/>
      <c r="EL45"/>
      <c r="EM45"/>
      <c r="EN45"/>
      <c r="EO45"/>
      <c r="EP45"/>
      <c r="EQ45"/>
      <c r="ER45"/>
      <c r="ES45"/>
      <c r="ET45"/>
      <c r="EU45">
        <v>3500</v>
      </c>
      <c r="EV45"/>
      <c r="EW45">
        <v>0</v>
      </c>
      <c r="EX45">
        <v>0</v>
      </c>
      <c r="EY45">
        <v>0</v>
      </c>
      <c r="EZ45"/>
      <c r="FA45">
        <v>10</v>
      </c>
      <c r="FB45"/>
      <c r="FC45"/>
      <c r="FD45"/>
      <c r="FE45"/>
      <c r="FF45"/>
      <c r="FG45" s="94">
        <v>301</v>
      </c>
      <c r="FH45" s="94">
        <v>317</v>
      </c>
      <c r="FI45" s="94">
        <v>308</v>
      </c>
    </row>
    <row r="46" spans="1:165" s="66" customFormat="1" x14ac:dyDescent="0.35">
      <c r="A46">
        <v>2026</v>
      </c>
      <c r="B46" t="s">
        <v>192</v>
      </c>
      <c r="C46" s="112" t="s">
        <v>192</v>
      </c>
      <c r="D46" t="s">
        <v>1720</v>
      </c>
      <c r="E46" t="s">
        <v>194</v>
      </c>
      <c r="F46">
        <v>721</v>
      </c>
      <c r="G46" s="113">
        <v>0</v>
      </c>
      <c r="H46"/>
      <c r="I46" t="s">
        <v>1391</v>
      </c>
      <c r="J46">
        <v>40</v>
      </c>
      <c r="K46">
        <v>38</v>
      </c>
      <c r="L46">
        <v>39</v>
      </c>
      <c r="M46">
        <v>27.771100000000001</v>
      </c>
      <c r="N46">
        <v>26.370999999999999</v>
      </c>
      <c r="O46">
        <v>27.141100000000002</v>
      </c>
      <c r="P46">
        <v>39.662300000000002</v>
      </c>
      <c r="Q46">
        <v>37.676099999999998</v>
      </c>
      <c r="R46">
        <v>38.768500000000003</v>
      </c>
      <c r="S46"/>
      <c r="T46"/>
      <c r="U46"/>
      <c r="V46" t="s">
        <v>170</v>
      </c>
      <c r="W46" t="s">
        <v>171</v>
      </c>
      <c r="X46"/>
      <c r="Y46">
        <v>1</v>
      </c>
      <c r="Z46" t="s">
        <v>173</v>
      </c>
      <c r="AA46" t="s">
        <v>173</v>
      </c>
      <c r="AB46" t="s">
        <v>170</v>
      </c>
      <c r="AC46" t="s">
        <v>232</v>
      </c>
      <c r="AD46"/>
      <c r="AE46"/>
      <c r="AF46">
        <v>308</v>
      </c>
      <c r="AG46" t="s">
        <v>1392</v>
      </c>
      <c r="AH46" t="s">
        <v>1393</v>
      </c>
      <c r="AI46" t="s">
        <v>1399</v>
      </c>
      <c r="AJ46" t="s">
        <v>1400</v>
      </c>
      <c r="AK46" t="s">
        <v>173</v>
      </c>
      <c r="AL46" t="s">
        <v>180</v>
      </c>
      <c r="AM46"/>
      <c r="AN46"/>
      <c r="AO46">
        <v>109</v>
      </c>
      <c r="AP46">
        <v>14</v>
      </c>
      <c r="AQ46"/>
      <c r="AR46"/>
      <c r="AS46">
        <v>1000</v>
      </c>
      <c r="AT46">
        <v>1000</v>
      </c>
      <c r="AU46"/>
      <c r="AV46"/>
      <c r="AW46"/>
      <c r="AX46"/>
      <c r="AY46"/>
      <c r="AZ46"/>
      <c r="BA46"/>
      <c r="BB46"/>
      <c r="BC46"/>
      <c r="BD46"/>
      <c r="BE46"/>
      <c r="BF46"/>
      <c r="BG46"/>
      <c r="BH46"/>
      <c r="BI46"/>
      <c r="BJ46"/>
      <c r="BK46"/>
      <c r="BL46"/>
      <c r="BM46"/>
      <c r="BN46" s="114"/>
      <c r="BO46"/>
      <c r="BP46"/>
      <c r="BQ46">
        <v>6</v>
      </c>
      <c r="BR46" t="s">
        <v>536</v>
      </c>
      <c r="BS46" t="s">
        <v>182</v>
      </c>
      <c r="BT46" t="s">
        <v>1402</v>
      </c>
      <c r="BU46" s="115">
        <v>45870</v>
      </c>
      <c r="BV46">
        <v>37285</v>
      </c>
      <c r="BW46" s="116"/>
      <c r="BX46" t="s">
        <v>172</v>
      </c>
      <c r="BY46" t="s">
        <v>173</v>
      </c>
      <c r="BZ46"/>
      <c r="CA46"/>
      <c r="CB46" t="s">
        <v>173</v>
      </c>
      <c r="CC46" t="s">
        <v>173</v>
      </c>
      <c r="CD46"/>
      <c r="CE46"/>
      <c r="CF46"/>
      <c r="CG46"/>
      <c r="CH46"/>
      <c r="CI46"/>
      <c r="CJ46"/>
      <c r="CK46" t="s">
        <v>259</v>
      </c>
      <c r="CL46"/>
      <c r="CM46">
        <v>1</v>
      </c>
      <c r="CN46" t="s">
        <v>260</v>
      </c>
      <c r="CO46"/>
      <c r="CP46">
        <v>376</v>
      </c>
      <c r="CQ46">
        <v>280.8</v>
      </c>
      <c r="CR46">
        <v>156</v>
      </c>
      <c r="CS46" t="s">
        <v>261</v>
      </c>
      <c r="CT46"/>
      <c r="CU46"/>
      <c r="CV46" t="s">
        <v>262</v>
      </c>
      <c r="CW46"/>
      <c r="CX46" t="s">
        <v>263</v>
      </c>
      <c r="CY46" t="s">
        <v>172</v>
      </c>
      <c r="CZ46"/>
      <c r="DA46"/>
      <c r="DB46"/>
      <c r="DC46" t="s">
        <v>1412</v>
      </c>
      <c r="DD46">
        <v>2</v>
      </c>
      <c r="DE46" t="s">
        <v>307</v>
      </c>
      <c r="DF46" t="s">
        <v>308</v>
      </c>
      <c r="DG46" t="s">
        <v>1407</v>
      </c>
      <c r="DH46"/>
      <c r="DI46"/>
      <c r="DJ46"/>
      <c r="DK46"/>
      <c r="DL46" t="s">
        <v>173</v>
      </c>
      <c r="DM46" t="s">
        <v>172</v>
      </c>
      <c r="DN46"/>
      <c r="DO46"/>
      <c r="DP46" t="s">
        <v>173</v>
      </c>
      <c r="DQ46" t="s">
        <v>189</v>
      </c>
      <c r="DR46"/>
      <c r="DS46"/>
      <c r="DT46"/>
      <c r="DU46"/>
      <c r="DV46"/>
      <c r="DW46"/>
      <c r="DX46"/>
      <c r="DY46"/>
      <c r="DZ46"/>
      <c r="EA46" s="117"/>
      <c r="EB46">
        <v>9</v>
      </c>
      <c r="EC46">
        <v>10</v>
      </c>
      <c r="ED46"/>
      <c r="EE46" t="s">
        <v>1718</v>
      </c>
      <c r="EF46">
        <v>10</v>
      </c>
      <c r="EG46"/>
      <c r="EH46"/>
      <c r="EI46"/>
      <c r="EJ46"/>
      <c r="EK46"/>
      <c r="EL46"/>
      <c r="EM46"/>
      <c r="EN46"/>
      <c r="EO46"/>
      <c r="EP46"/>
      <c r="EQ46"/>
      <c r="ER46"/>
      <c r="ES46"/>
      <c r="ET46"/>
      <c r="EU46">
        <v>3500</v>
      </c>
      <c r="EV46"/>
      <c r="EW46">
        <v>0</v>
      </c>
      <c r="EX46">
        <v>0</v>
      </c>
      <c r="EY46">
        <v>0</v>
      </c>
      <c r="EZ46"/>
      <c r="FA46">
        <v>10</v>
      </c>
      <c r="FB46"/>
      <c r="FC46"/>
      <c r="FD46"/>
      <c r="FE46"/>
      <c r="FF46"/>
      <c r="FG46" s="94">
        <v>301</v>
      </c>
      <c r="FH46" s="94">
        <v>317</v>
      </c>
      <c r="FI46" s="94">
        <v>308</v>
      </c>
    </row>
    <row r="47" spans="1:165" s="66" customFormat="1" x14ac:dyDescent="0.35">
      <c r="A47" s="19"/>
      <c r="B47" s="19"/>
      <c r="C47" s="19"/>
      <c r="D47" s="19"/>
      <c r="E47" s="19"/>
      <c r="F47" s="128"/>
      <c r="G47" s="19"/>
      <c r="H47" s="19"/>
      <c r="I47" s="19"/>
      <c r="J47" s="19"/>
      <c r="K47" s="19" t="str">
        <f>_xlfn.CONCAT(A48," ",C48," ",D48)</f>
        <v>2026 BMW iX M70 (21'' Wheels)</v>
      </c>
      <c r="L47" s="19"/>
      <c r="M47" s="19"/>
      <c r="N47" s="19"/>
      <c r="O47" s="19"/>
      <c r="P47" s="19"/>
      <c r="Q47" s="19"/>
      <c r="R47" s="19"/>
      <c r="S47" s="19"/>
      <c r="T47" s="19"/>
      <c r="U47" s="19"/>
      <c r="V47" s="19"/>
      <c r="W47" s="19"/>
      <c r="X47" s="19"/>
      <c r="Y47" s="19"/>
      <c r="Z47" s="19"/>
      <c r="AA47" s="19"/>
      <c r="AB47" s="19" t="str">
        <f>$K47</f>
        <v>2026 BMW iX M70 (21'' Wheels)</v>
      </c>
      <c r="AC47" s="19"/>
      <c r="AD47" s="19"/>
      <c r="AE47" s="19"/>
      <c r="AF47" s="19"/>
      <c r="AG47" s="19"/>
      <c r="AH47" s="19"/>
      <c r="AI47" s="19"/>
      <c r="AJ47" s="19"/>
      <c r="AK47" s="19"/>
      <c r="AL47" s="19"/>
      <c r="AM47" s="19"/>
      <c r="AN47" s="19"/>
      <c r="AO47" s="19"/>
      <c r="AP47" s="19"/>
      <c r="AQ47" s="19"/>
      <c r="AR47" s="19" t="str">
        <f>$K47</f>
        <v>2026 BMW iX M70 (21'' Wheels)</v>
      </c>
      <c r="AS47" s="19"/>
      <c r="AT47" s="19"/>
      <c r="AU47" s="19"/>
      <c r="AV47" s="19"/>
      <c r="AW47" s="19"/>
      <c r="AX47" s="19"/>
      <c r="AY47" s="19"/>
      <c r="AZ47" s="19"/>
      <c r="BA47" s="19"/>
      <c r="BB47" s="19"/>
      <c r="BC47" s="19"/>
      <c r="BD47" s="19"/>
      <c r="BE47" s="19"/>
      <c r="BF47" s="19"/>
      <c r="BG47" s="19" t="str">
        <f>$K47</f>
        <v>2026 BMW iX M70 (21'' Wheels)</v>
      </c>
      <c r="BH47" s="19"/>
      <c r="BI47" s="19"/>
      <c r="BJ47" s="19"/>
      <c r="BK47" s="19"/>
      <c r="BL47" s="19"/>
      <c r="BM47" s="129"/>
      <c r="BN47" s="19"/>
      <c r="BO47" s="19"/>
      <c r="BP47" s="19"/>
      <c r="BQ47" s="19"/>
      <c r="BR47" s="19"/>
      <c r="BS47" s="19"/>
      <c r="BT47" s="130"/>
      <c r="BU47" s="19"/>
      <c r="BV47" s="19"/>
      <c r="BW47" s="116"/>
      <c r="BX47" s="19"/>
      <c r="BY47" s="19"/>
      <c r="BZ47" s="19"/>
      <c r="CA47" s="19"/>
      <c r="CB47" s="19"/>
      <c r="CC47" s="19"/>
      <c r="CD47" s="19"/>
      <c r="CE47" s="19"/>
      <c r="CF47" s="19"/>
      <c r="CG47" s="19"/>
      <c r="CH47" s="19"/>
      <c r="CI47" s="19"/>
      <c r="CJ47" s="19"/>
      <c r="CK47" s="19"/>
      <c r="CL47" s="19"/>
      <c r="CM47" s="19" t="str">
        <f>$K47</f>
        <v>2026 BMW iX M70 (21'' Wheels)</v>
      </c>
      <c r="CN47" s="19"/>
      <c r="CO47" s="19"/>
      <c r="CP47" s="19"/>
      <c r="CQ47" s="19"/>
      <c r="CR47" s="19"/>
      <c r="CS47" s="19"/>
      <c r="CT47" s="19"/>
      <c r="CU47" s="19"/>
      <c r="CV47" s="19"/>
      <c r="CW47" s="19"/>
      <c r="CX47" s="19"/>
      <c r="CY47" s="19"/>
      <c r="CZ47" s="19"/>
      <c r="DA47" s="19"/>
      <c r="DB47" s="19"/>
      <c r="DC47" s="19"/>
      <c r="DD47" s="19" t="str">
        <f>$K47</f>
        <v>2026 BMW iX M70 (21'' Wheels)</v>
      </c>
      <c r="DE47" s="19"/>
      <c r="DF47" s="19"/>
      <c r="DG47" s="19"/>
      <c r="DH47" s="19"/>
      <c r="DI47" s="19"/>
      <c r="DJ47" s="19"/>
      <c r="DK47" s="19"/>
      <c r="DL47" s="19"/>
      <c r="DM47" s="19"/>
      <c r="DN47" s="19"/>
      <c r="DO47" s="19"/>
      <c r="DP47" s="19"/>
      <c r="DQ47" s="19"/>
      <c r="DR47" s="19"/>
      <c r="DS47" s="19"/>
      <c r="DT47" s="19"/>
      <c r="DU47" s="19" t="str">
        <f>$K47</f>
        <v>2026 BMW iX M70 (21'' Wheels)</v>
      </c>
      <c r="DV47" s="19"/>
      <c r="DW47" s="19"/>
      <c r="DX47" s="19"/>
      <c r="DY47" s="19"/>
      <c r="DZ47" s="19"/>
      <c r="EA47" s="117"/>
      <c r="EB47" s="19"/>
      <c r="EC47" s="19"/>
      <c r="ED47" s="19"/>
      <c r="EE47" s="19"/>
      <c r="EF47" s="19"/>
      <c r="EG47"/>
      <c r="EH47"/>
      <c r="EI47"/>
      <c r="EJ47"/>
      <c r="EK47"/>
      <c r="EL47"/>
      <c r="EM47"/>
      <c r="EN47"/>
      <c r="EO47"/>
      <c r="EP47"/>
      <c r="EQ47"/>
      <c r="ER47"/>
      <c r="ES47"/>
      <c r="ET47"/>
      <c r="EU47"/>
      <c r="EV47"/>
      <c r="EW47"/>
      <c r="EX47" s="19" t="s">
        <v>1947</v>
      </c>
      <c r="EY47"/>
      <c r="EZ47"/>
      <c r="FA47"/>
      <c r="FB47"/>
      <c r="FC47"/>
      <c r="FD47"/>
      <c r="FE47"/>
      <c r="FF47"/>
      <c r="FG47"/>
      <c r="FH47"/>
      <c r="FI47"/>
    </row>
    <row r="48" spans="1:165" s="66" customFormat="1" x14ac:dyDescent="0.35">
      <c r="A48">
        <v>2026</v>
      </c>
      <c r="B48" t="s">
        <v>192</v>
      </c>
      <c r="C48" s="112" t="s">
        <v>192</v>
      </c>
      <c r="D48" t="s">
        <v>1423</v>
      </c>
      <c r="E48" t="s">
        <v>194</v>
      </c>
      <c r="F48">
        <v>131</v>
      </c>
      <c r="G48" s="113">
        <v>0</v>
      </c>
      <c r="H48"/>
      <c r="I48" t="s">
        <v>1391</v>
      </c>
      <c r="J48">
        <v>79</v>
      </c>
      <c r="K48">
        <v>82</v>
      </c>
      <c r="L48">
        <v>80</v>
      </c>
      <c r="M48">
        <v>112.4</v>
      </c>
      <c r="N48">
        <v>117.6</v>
      </c>
      <c r="O48">
        <v>114.6819</v>
      </c>
      <c r="P48">
        <v>78.680000000000007</v>
      </c>
      <c r="Q48">
        <v>82.32</v>
      </c>
      <c r="R48">
        <v>80.277299999999997</v>
      </c>
      <c r="S48"/>
      <c r="T48"/>
      <c r="U48"/>
      <c r="V48" t="s">
        <v>170</v>
      </c>
      <c r="W48" t="s">
        <v>171</v>
      </c>
      <c r="X48"/>
      <c r="Y48">
        <v>1</v>
      </c>
      <c r="Z48" t="s">
        <v>173</v>
      </c>
      <c r="AA48" t="s">
        <v>173</v>
      </c>
      <c r="AB48" t="s">
        <v>170</v>
      </c>
      <c r="AC48" t="s">
        <v>232</v>
      </c>
      <c r="AD48"/>
      <c r="AE48"/>
      <c r="AF48">
        <v>303</v>
      </c>
      <c r="AG48" t="s">
        <v>1392</v>
      </c>
      <c r="AH48" t="s">
        <v>1393</v>
      </c>
      <c r="AI48" t="s">
        <v>178</v>
      </c>
      <c r="AJ48" t="s">
        <v>179</v>
      </c>
      <c r="AK48" t="s">
        <v>664</v>
      </c>
      <c r="AL48" t="s">
        <v>665</v>
      </c>
      <c r="AM48"/>
      <c r="AN48"/>
      <c r="AO48"/>
      <c r="AP48"/>
      <c r="AQ48"/>
      <c r="AR48"/>
      <c r="AS48">
        <v>1050</v>
      </c>
      <c r="AT48">
        <v>1050</v>
      </c>
      <c r="AU48"/>
      <c r="AV48"/>
      <c r="AW48"/>
      <c r="AX48"/>
      <c r="AY48"/>
      <c r="AZ48"/>
      <c r="BA48"/>
      <c r="BB48"/>
      <c r="BC48"/>
      <c r="BD48"/>
      <c r="BE48"/>
      <c r="BF48"/>
      <c r="BG48"/>
      <c r="BH48"/>
      <c r="BI48"/>
      <c r="BJ48"/>
      <c r="BK48"/>
      <c r="BL48"/>
      <c r="BM48"/>
      <c r="BN48" s="114"/>
      <c r="BO48"/>
      <c r="BP48"/>
      <c r="BQ48">
        <v>33</v>
      </c>
      <c r="BR48" t="s">
        <v>1062</v>
      </c>
      <c r="BS48"/>
      <c r="BT48" t="s">
        <v>1402</v>
      </c>
      <c r="BU48" s="115">
        <v>45748</v>
      </c>
      <c r="BV48">
        <v>36353</v>
      </c>
      <c r="BW48" s="116"/>
      <c r="BX48" t="s">
        <v>172</v>
      </c>
      <c r="BY48" t="s">
        <v>173</v>
      </c>
      <c r="BZ48"/>
      <c r="CA48"/>
      <c r="CB48" t="s">
        <v>173</v>
      </c>
      <c r="CC48" t="s">
        <v>173</v>
      </c>
      <c r="CD48"/>
      <c r="CE48"/>
      <c r="CF48"/>
      <c r="CG48"/>
      <c r="CH48"/>
      <c r="CI48"/>
      <c r="CJ48"/>
      <c r="CK48" t="s">
        <v>259</v>
      </c>
      <c r="CL48"/>
      <c r="CM48">
        <v>1</v>
      </c>
      <c r="CN48" t="s">
        <v>260</v>
      </c>
      <c r="CO48"/>
      <c r="CP48">
        <v>369</v>
      </c>
      <c r="CQ48">
        <v>303</v>
      </c>
      <c r="CR48">
        <v>175</v>
      </c>
      <c r="CS48" t="s">
        <v>261</v>
      </c>
      <c r="CT48"/>
      <c r="CU48"/>
      <c r="CV48" t="s">
        <v>262</v>
      </c>
      <c r="CW48"/>
      <c r="CX48" t="s">
        <v>263</v>
      </c>
      <c r="CY48" t="s">
        <v>172</v>
      </c>
      <c r="CZ48"/>
      <c r="DA48"/>
      <c r="DB48"/>
      <c r="DC48" t="s">
        <v>1412</v>
      </c>
      <c r="DD48">
        <v>2</v>
      </c>
      <c r="DE48" t="s">
        <v>307</v>
      </c>
      <c r="DF48" t="s">
        <v>308</v>
      </c>
      <c r="DG48" t="s">
        <v>1424</v>
      </c>
      <c r="DH48"/>
      <c r="DI48"/>
      <c r="DJ48"/>
      <c r="DK48"/>
      <c r="DL48" t="s">
        <v>173</v>
      </c>
      <c r="DM48" t="s">
        <v>172</v>
      </c>
      <c r="DN48"/>
      <c r="DO48"/>
      <c r="DP48" t="s">
        <v>173</v>
      </c>
      <c r="DQ48" t="s">
        <v>189</v>
      </c>
      <c r="DR48"/>
      <c r="DS48"/>
      <c r="DT48"/>
      <c r="DU48"/>
      <c r="DV48"/>
      <c r="DW48"/>
      <c r="DX48"/>
      <c r="DY48"/>
      <c r="DZ48"/>
      <c r="EA48" s="117"/>
      <c r="EB48">
        <v>9</v>
      </c>
      <c r="EC48">
        <v>10</v>
      </c>
      <c r="ED48"/>
      <c r="EE48" t="s">
        <v>1425</v>
      </c>
      <c r="EF48">
        <v>10</v>
      </c>
      <c r="EG48"/>
      <c r="EH48"/>
      <c r="EI48"/>
      <c r="EJ48"/>
      <c r="EK48"/>
      <c r="EL48"/>
      <c r="EM48"/>
      <c r="EN48"/>
      <c r="EO48"/>
      <c r="EP48"/>
      <c r="EQ48"/>
      <c r="ER48"/>
      <c r="ES48"/>
      <c r="ET48"/>
      <c r="EU48">
        <v>3250</v>
      </c>
      <c r="EV48"/>
      <c r="EW48">
        <v>0</v>
      </c>
      <c r="EX48">
        <v>0</v>
      </c>
      <c r="EY48">
        <v>0</v>
      </c>
      <c r="EZ48"/>
      <c r="FA48">
        <v>11</v>
      </c>
      <c r="FB48"/>
      <c r="FC48"/>
      <c r="FD48"/>
      <c r="FE48"/>
      <c r="FF48"/>
      <c r="FG48" s="94">
        <v>297</v>
      </c>
      <c r="FH48" s="94">
        <v>311</v>
      </c>
      <c r="FI48" s="94">
        <v>303</v>
      </c>
    </row>
    <row r="49" spans="1:165" s="66" customFormat="1" x14ac:dyDescent="0.35">
      <c r="A49">
        <v>2026</v>
      </c>
      <c r="B49" t="s">
        <v>192</v>
      </c>
      <c r="C49" s="112" t="s">
        <v>192</v>
      </c>
      <c r="D49" t="s">
        <v>1423</v>
      </c>
      <c r="E49" t="s">
        <v>194</v>
      </c>
      <c r="F49">
        <v>131</v>
      </c>
      <c r="G49" s="113">
        <v>0</v>
      </c>
      <c r="H49"/>
      <c r="I49" t="s">
        <v>1391</v>
      </c>
      <c r="J49">
        <v>43</v>
      </c>
      <c r="K49">
        <v>41</v>
      </c>
      <c r="L49">
        <v>42</v>
      </c>
      <c r="M49">
        <v>29.995100000000001</v>
      </c>
      <c r="N49">
        <v>28.6722</v>
      </c>
      <c r="O49">
        <v>29.399799999999999</v>
      </c>
      <c r="P49">
        <v>42.838099999999997</v>
      </c>
      <c r="Q49">
        <v>40.943899999999999</v>
      </c>
      <c r="R49">
        <v>41.985700000000001</v>
      </c>
      <c r="S49"/>
      <c r="T49"/>
      <c r="U49"/>
      <c r="V49" t="s">
        <v>170</v>
      </c>
      <c r="W49" t="s">
        <v>171</v>
      </c>
      <c r="X49"/>
      <c r="Y49">
        <v>1</v>
      </c>
      <c r="Z49" t="s">
        <v>173</v>
      </c>
      <c r="AA49" t="s">
        <v>173</v>
      </c>
      <c r="AB49" t="s">
        <v>170</v>
      </c>
      <c r="AC49" t="s">
        <v>232</v>
      </c>
      <c r="AD49"/>
      <c r="AE49"/>
      <c r="AF49">
        <v>303</v>
      </c>
      <c r="AG49" t="s">
        <v>1392</v>
      </c>
      <c r="AH49" t="s">
        <v>1393</v>
      </c>
      <c r="AI49" t="s">
        <v>1399</v>
      </c>
      <c r="AJ49" t="s">
        <v>1400</v>
      </c>
      <c r="AK49" t="s">
        <v>664</v>
      </c>
      <c r="AL49" t="s">
        <v>665</v>
      </c>
      <c r="AM49"/>
      <c r="AN49"/>
      <c r="AO49"/>
      <c r="AP49"/>
      <c r="AQ49"/>
      <c r="AR49"/>
      <c r="AS49">
        <v>1050</v>
      </c>
      <c r="AT49">
        <v>1050</v>
      </c>
      <c r="AU49"/>
      <c r="AV49"/>
      <c r="AW49"/>
      <c r="AX49"/>
      <c r="AY49"/>
      <c r="AZ49"/>
      <c r="BA49"/>
      <c r="BB49"/>
      <c r="BC49"/>
      <c r="BD49"/>
      <c r="BE49"/>
      <c r="BF49"/>
      <c r="BG49"/>
      <c r="BH49"/>
      <c r="BI49"/>
      <c r="BJ49"/>
      <c r="BK49"/>
      <c r="BL49"/>
      <c r="BM49"/>
      <c r="BN49" s="114"/>
      <c r="BO49"/>
      <c r="BP49"/>
      <c r="BQ49">
        <v>33</v>
      </c>
      <c r="BR49" t="s">
        <v>1062</v>
      </c>
      <c r="BS49"/>
      <c r="BT49" t="s">
        <v>1402</v>
      </c>
      <c r="BU49" s="115">
        <v>45748</v>
      </c>
      <c r="BV49">
        <v>36353</v>
      </c>
      <c r="BW49" s="116"/>
      <c r="BX49" t="s">
        <v>172</v>
      </c>
      <c r="BY49" t="s">
        <v>173</v>
      </c>
      <c r="BZ49"/>
      <c r="CA49"/>
      <c r="CB49" t="s">
        <v>173</v>
      </c>
      <c r="CC49" t="s">
        <v>173</v>
      </c>
      <c r="CD49"/>
      <c r="CE49"/>
      <c r="CF49"/>
      <c r="CG49"/>
      <c r="CH49"/>
      <c r="CI49"/>
      <c r="CJ49"/>
      <c r="CK49" t="s">
        <v>259</v>
      </c>
      <c r="CL49"/>
      <c r="CM49">
        <v>1</v>
      </c>
      <c r="CN49" t="s">
        <v>260</v>
      </c>
      <c r="CO49"/>
      <c r="CP49">
        <v>369</v>
      </c>
      <c r="CQ49">
        <v>303</v>
      </c>
      <c r="CR49">
        <v>175</v>
      </c>
      <c r="CS49" t="s">
        <v>261</v>
      </c>
      <c r="CT49"/>
      <c r="CU49"/>
      <c r="CV49" t="s">
        <v>262</v>
      </c>
      <c r="CW49"/>
      <c r="CX49" t="s">
        <v>263</v>
      </c>
      <c r="CY49" t="s">
        <v>172</v>
      </c>
      <c r="CZ49"/>
      <c r="DA49"/>
      <c r="DB49"/>
      <c r="DC49" t="s">
        <v>1412</v>
      </c>
      <c r="DD49">
        <v>2</v>
      </c>
      <c r="DE49" t="s">
        <v>307</v>
      </c>
      <c r="DF49" t="s">
        <v>308</v>
      </c>
      <c r="DG49" t="s">
        <v>1424</v>
      </c>
      <c r="DH49"/>
      <c r="DI49"/>
      <c r="DJ49"/>
      <c r="DK49"/>
      <c r="DL49" t="s">
        <v>173</v>
      </c>
      <c r="DM49" t="s">
        <v>172</v>
      </c>
      <c r="DN49"/>
      <c r="DO49"/>
      <c r="DP49" t="s">
        <v>173</v>
      </c>
      <c r="DQ49" t="s">
        <v>189</v>
      </c>
      <c r="DR49"/>
      <c r="DS49"/>
      <c r="DT49"/>
      <c r="DU49"/>
      <c r="DV49"/>
      <c r="DW49"/>
      <c r="DX49"/>
      <c r="DY49"/>
      <c r="DZ49"/>
      <c r="EA49" s="117"/>
      <c r="EB49">
        <v>9</v>
      </c>
      <c r="EC49">
        <v>10</v>
      </c>
      <c r="ED49"/>
      <c r="EE49" t="s">
        <v>1425</v>
      </c>
      <c r="EF49">
        <v>10</v>
      </c>
      <c r="EG49"/>
      <c r="EH49"/>
      <c r="EI49"/>
      <c r="EJ49"/>
      <c r="EK49"/>
      <c r="EL49"/>
      <c r="EM49"/>
      <c r="EN49"/>
      <c r="EO49"/>
      <c r="EP49"/>
      <c r="EQ49"/>
      <c r="ER49"/>
      <c r="ES49"/>
      <c r="ET49"/>
      <c r="EU49">
        <v>3250</v>
      </c>
      <c r="EV49"/>
      <c r="EW49">
        <v>0</v>
      </c>
      <c r="EX49">
        <v>0</v>
      </c>
      <c r="EY49">
        <v>0</v>
      </c>
      <c r="EZ49"/>
      <c r="FA49">
        <v>11</v>
      </c>
      <c r="FB49"/>
      <c r="FC49"/>
      <c r="FD49"/>
      <c r="FE49"/>
      <c r="FF49"/>
      <c r="FG49" s="94">
        <v>297</v>
      </c>
      <c r="FH49" s="94">
        <v>311</v>
      </c>
      <c r="FI49" s="94">
        <v>303</v>
      </c>
    </row>
    <row r="50" spans="1:165" s="66" customFormat="1" x14ac:dyDescent="0.35">
      <c r="A50" s="19"/>
      <c r="B50" s="19"/>
      <c r="C50" s="19"/>
      <c r="D50" s="19"/>
      <c r="E50" s="19"/>
      <c r="F50" s="128"/>
      <c r="G50" s="19"/>
      <c r="H50" s="19"/>
      <c r="I50" s="19"/>
      <c r="J50" s="19"/>
      <c r="K50" s="19" t="str">
        <f>_xlfn.CONCAT(A51," ",C51," ",D51)</f>
        <v>2026 BMW iX M70 (22'' Wheels)</v>
      </c>
      <c r="L50" s="19"/>
      <c r="M50" s="19"/>
      <c r="N50" s="19"/>
      <c r="O50" s="19"/>
      <c r="P50" s="19"/>
      <c r="Q50" s="19"/>
      <c r="R50" s="19"/>
      <c r="S50" s="19"/>
      <c r="T50" s="19"/>
      <c r="U50" s="19"/>
      <c r="V50" s="19"/>
      <c r="W50" s="19"/>
      <c r="X50" s="19"/>
      <c r="Y50" s="19"/>
      <c r="Z50" s="19"/>
      <c r="AA50" s="19"/>
      <c r="AB50" s="19" t="str">
        <f>$K50</f>
        <v>2026 BMW iX M70 (22'' Wheels)</v>
      </c>
      <c r="AC50" s="19"/>
      <c r="AD50" s="19"/>
      <c r="AE50" s="19"/>
      <c r="AF50" s="19"/>
      <c r="AG50" s="19"/>
      <c r="AH50" s="19"/>
      <c r="AI50" s="19"/>
      <c r="AJ50" s="19"/>
      <c r="AK50" s="19"/>
      <c r="AL50" s="19"/>
      <c r="AM50" s="19"/>
      <c r="AN50" s="19"/>
      <c r="AO50" s="19"/>
      <c r="AP50" s="19"/>
      <c r="AQ50" s="19"/>
      <c r="AR50" s="19" t="str">
        <f>$K50</f>
        <v>2026 BMW iX M70 (22'' Wheels)</v>
      </c>
      <c r="AS50" s="19"/>
      <c r="AT50" s="19"/>
      <c r="AU50" s="19"/>
      <c r="AV50" s="19"/>
      <c r="AW50" s="19"/>
      <c r="AX50" s="19"/>
      <c r="AY50" s="19"/>
      <c r="AZ50" s="19"/>
      <c r="BA50" s="19"/>
      <c r="BB50" s="19"/>
      <c r="BC50" s="19"/>
      <c r="BD50" s="19"/>
      <c r="BE50" s="19"/>
      <c r="BF50" s="19"/>
      <c r="BG50" s="19" t="str">
        <f>$K50</f>
        <v>2026 BMW iX M70 (22'' Wheels)</v>
      </c>
      <c r="BH50" s="19"/>
      <c r="BI50" s="19"/>
      <c r="BJ50" s="19"/>
      <c r="BK50" s="19"/>
      <c r="BL50" s="19"/>
      <c r="BM50" s="129"/>
      <c r="BN50" s="19"/>
      <c r="BO50" s="19"/>
      <c r="BP50" s="19"/>
      <c r="BQ50" s="19"/>
      <c r="BR50" s="19"/>
      <c r="BS50" s="19"/>
      <c r="BT50" s="130"/>
      <c r="BU50" s="19"/>
      <c r="BV50" s="19"/>
      <c r="BW50" s="116"/>
      <c r="BX50" s="19"/>
      <c r="BY50" s="19"/>
      <c r="BZ50" s="19"/>
      <c r="CA50" s="19"/>
      <c r="CB50" s="19"/>
      <c r="CC50" s="19"/>
      <c r="CD50" s="19"/>
      <c r="CE50" s="19"/>
      <c r="CF50" s="19"/>
      <c r="CG50" s="19"/>
      <c r="CH50" s="19"/>
      <c r="CI50" s="19"/>
      <c r="CJ50" s="19"/>
      <c r="CK50" s="19"/>
      <c r="CL50" s="19"/>
      <c r="CM50" s="19" t="str">
        <f>$K50</f>
        <v>2026 BMW iX M70 (22'' Wheels)</v>
      </c>
      <c r="CN50" s="19"/>
      <c r="CO50" s="19"/>
      <c r="CP50" s="19"/>
      <c r="CQ50" s="19"/>
      <c r="CR50" s="19"/>
      <c r="CS50" s="19"/>
      <c r="CT50" s="19"/>
      <c r="CU50" s="19"/>
      <c r="CV50" s="19"/>
      <c r="CW50" s="19"/>
      <c r="CX50" s="19"/>
      <c r="CY50" s="19"/>
      <c r="CZ50" s="19"/>
      <c r="DA50" s="19"/>
      <c r="DB50" s="19"/>
      <c r="DC50" s="19"/>
      <c r="DD50" s="19" t="str">
        <f>$K50</f>
        <v>2026 BMW iX M70 (22'' Wheels)</v>
      </c>
      <c r="DE50" s="19"/>
      <c r="DF50" s="19"/>
      <c r="DG50" s="19"/>
      <c r="DH50" s="19"/>
      <c r="DI50" s="19"/>
      <c r="DJ50" s="19"/>
      <c r="DK50" s="19"/>
      <c r="DL50" s="19"/>
      <c r="DM50" s="19"/>
      <c r="DN50" s="19"/>
      <c r="DO50" s="19"/>
      <c r="DP50" s="19"/>
      <c r="DQ50" s="19"/>
      <c r="DR50" s="19"/>
      <c r="DS50" s="19"/>
      <c r="DT50" s="19"/>
      <c r="DU50" s="19" t="str">
        <f>$K50</f>
        <v>2026 BMW iX M70 (22'' Wheels)</v>
      </c>
      <c r="DV50" s="19"/>
      <c r="DW50" s="19"/>
      <c r="DX50" s="19"/>
      <c r="DY50" s="19"/>
      <c r="DZ50" s="19"/>
      <c r="EA50" s="117"/>
      <c r="EB50" s="19"/>
      <c r="EC50" s="19"/>
      <c r="ED50" s="19"/>
      <c r="EE50" s="19"/>
      <c r="EF50" s="19"/>
      <c r="EG50"/>
      <c r="EH50"/>
      <c r="EI50"/>
      <c r="EJ50"/>
      <c r="EK50"/>
      <c r="EL50"/>
      <c r="EM50"/>
      <c r="EN50"/>
      <c r="EO50"/>
      <c r="EP50"/>
      <c r="EQ50"/>
      <c r="ER50"/>
      <c r="ES50"/>
      <c r="ET50"/>
      <c r="EU50"/>
      <c r="EV50"/>
      <c r="EW50"/>
      <c r="EX50" s="19" t="s">
        <v>1948</v>
      </c>
      <c r="EY50"/>
      <c r="EZ50"/>
      <c r="FA50"/>
      <c r="FB50"/>
      <c r="FC50"/>
      <c r="FD50"/>
      <c r="FE50"/>
      <c r="FF50"/>
      <c r="FG50"/>
      <c r="FH50"/>
      <c r="FI50"/>
    </row>
    <row r="51" spans="1:165" s="66" customFormat="1" x14ac:dyDescent="0.35">
      <c r="A51">
        <v>2026</v>
      </c>
      <c r="B51" t="s">
        <v>192</v>
      </c>
      <c r="C51" s="112" t="s">
        <v>192</v>
      </c>
      <c r="D51" t="s">
        <v>1426</v>
      </c>
      <c r="E51" t="s">
        <v>194</v>
      </c>
      <c r="F51">
        <v>132</v>
      </c>
      <c r="G51" s="113">
        <v>0</v>
      </c>
      <c r="H51"/>
      <c r="I51" t="s">
        <v>1391</v>
      </c>
      <c r="J51">
        <v>74</v>
      </c>
      <c r="K51">
        <v>78</v>
      </c>
      <c r="L51">
        <v>76</v>
      </c>
      <c r="M51">
        <v>105.8</v>
      </c>
      <c r="N51">
        <v>111.4</v>
      </c>
      <c r="O51">
        <v>108.2487</v>
      </c>
      <c r="P51">
        <v>74.06</v>
      </c>
      <c r="Q51">
        <v>77.98</v>
      </c>
      <c r="R51">
        <v>75.774100000000004</v>
      </c>
      <c r="S51"/>
      <c r="T51"/>
      <c r="U51"/>
      <c r="V51" t="s">
        <v>170</v>
      </c>
      <c r="W51" t="s">
        <v>171</v>
      </c>
      <c r="X51"/>
      <c r="Y51">
        <v>1</v>
      </c>
      <c r="Z51" t="s">
        <v>173</v>
      </c>
      <c r="AA51" t="s">
        <v>173</v>
      </c>
      <c r="AB51" t="s">
        <v>170</v>
      </c>
      <c r="AC51" t="s">
        <v>232</v>
      </c>
      <c r="AD51"/>
      <c r="AE51"/>
      <c r="AF51">
        <v>284</v>
      </c>
      <c r="AG51" t="s">
        <v>1392</v>
      </c>
      <c r="AH51" t="s">
        <v>1393</v>
      </c>
      <c r="AI51" t="s">
        <v>178</v>
      </c>
      <c r="AJ51" t="s">
        <v>179</v>
      </c>
      <c r="AK51" t="s">
        <v>664</v>
      </c>
      <c r="AL51" t="s">
        <v>665</v>
      </c>
      <c r="AM51"/>
      <c r="AN51"/>
      <c r="AO51"/>
      <c r="AP51"/>
      <c r="AQ51"/>
      <c r="AR51"/>
      <c r="AS51">
        <v>1150</v>
      </c>
      <c r="AT51">
        <v>1150</v>
      </c>
      <c r="AU51"/>
      <c r="AV51"/>
      <c r="AW51"/>
      <c r="AX51"/>
      <c r="AY51"/>
      <c r="AZ51"/>
      <c r="BA51"/>
      <c r="BB51"/>
      <c r="BC51"/>
      <c r="BD51"/>
      <c r="BE51"/>
      <c r="BF51"/>
      <c r="BG51"/>
      <c r="BH51"/>
      <c r="BI51"/>
      <c r="BJ51"/>
      <c r="BK51"/>
      <c r="BL51"/>
      <c r="BM51"/>
      <c r="BN51" s="114"/>
      <c r="BO51"/>
      <c r="BP51"/>
      <c r="BQ51">
        <v>33</v>
      </c>
      <c r="BR51" t="s">
        <v>1062</v>
      </c>
      <c r="BS51"/>
      <c r="BT51" t="s">
        <v>1402</v>
      </c>
      <c r="BU51" s="115">
        <v>45748</v>
      </c>
      <c r="BV51">
        <v>36354</v>
      </c>
      <c r="BW51" s="116"/>
      <c r="BX51" t="s">
        <v>172</v>
      </c>
      <c r="BY51" t="s">
        <v>173</v>
      </c>
      <c r="BZ51"/>
      <c r="CA51"/>
      <c r="CB51" t="s">
        <v>173</v>
      </c>
      <c r="CC51" t="s">
        <v>173</v>
      </c>
      <c r="CD51"/>
      <c r="CE51"/>
      <c r="CF51"/>
      <c r="CG51"/>
      <c r="CH51"/>
      <c r="CI51"/>
      <c r="CJ51"/>
      <c r="CK51" t="s">
        <v>259</v>
      </c>
      <c r="CL51"/>
      <c r="CM51">
        <v>1</v>
      </c>
      <c r="CN51" t="s">
        <v>260</v>
      </c>
      <c r="CO51"/>
      <c r="CP51">
        <v>369</v>
      </c>
      <c r="CQ51">
        <v>303</v>
      </c>
      <c r="CR51">
        <v>175</v>
      </c>
      <c r="CS51" t="s">
        <v>261</v>
      </c>
      <c r="CT51"/>
      <c r="CU51"/>
      <c r="CV51" t="s">
        <v>262</v>
      </c>
      <c r="CW51"/>
      <c r="CX51" t="s">
        <v>263</v>
      </c>
      <c r="CY51" t="s">
        <v>172</v>
      </c>
      <c r="CZ51"/>
      <c r="DA51"/>
      <c r="DB51"/>
      <c r="DC51" t="s">
        <v>1412</v>
      </c>
      <c r="DD51">
        <v>2</v>
      </c>
      <c r="DE51" t="s">
        <v>307</v>
      </c>
      <c r="DF51" t="s">
        <v>308</v>
      </c>
      <c r="DG51" t="s">
        <v>1424</v>
      </c>
      <c r="DH51"/>
      <c r="DI51"/>
      <c r="DJ51"/>
      <c r="DK51"/>
      <c r="DL51" t="s">
        <v>173</v>
      </c>
      <c r="DM51" t="s">
        <v>172</v>
      </c>
      <c r="DN51"/>
      <c r="DO51"/>
      <c r="DP51" t="s">
        <v>173</v>
      </c>
      <c r="DQ51" t="s">
        <v>189</v>
      </c>
      <c r="DR51"/>
      <c r="DS51"/>
      <c r="DT51"/>
      <c r="DU51"/>
      <c r="DV51"/>
      <c r="DW51"/>
      <c r="DX51"/>
      <c r="DY51"/>
      <c r="DZ51"/>
      <c r="EA51" s="117"/>
      <c r="EB51">
        <v>9</v>
      </c>
      <c r="EC51">
        <v>10</v>
      </c>
      <c r="ED51"/>
      <c r="EE51" t="s">
        <v>1425</v>
      </c>
      <c r="EF51">
        <v>10</v>
      </c>
      <c r="EG51"/>
      <c r="EH51"/>
      <c r="EI51"/>
      <c r="EJ51"/>
      <c r="EK51"/>
      <c r="EL51"/>
      <c r="EM51"/>
      <c r="EN51"/>
      <c r="EO51"/>
      <c r="EP51"/>
      <c r="EQ51"/>
      <c r="ER51"/>
      <c r="ES51"/>
      <c r="ET51"/>
      <c r="EU51">
        <v>2750</v>
      </c>
      <c r="EV51"/>
      <c r="EW51">
        <v>0</v>
      </c>
      <c r="EX51">
        <v>0</v>
      </c>
      <c r="EY51">
        <v>0</v>
      </c>
      <c r="EZ51"/>
      <c r="FA51">
        <v>11</v>
      </c>
      <c r="FB51"/>
      <c r="FC51"/>
      <c r="FD51"/>
      <c r="FE51"/>
      <c r="FF51"/>
      <c r="FG51" s="94">
        <v>277</v>
      </c>
      <c r="FH51" s="94">
        <v>292</v>
      </c>
      <c r="FI51" s="94">
        <v>284</v>
      </c>
    </row>
    <row r="52" spans="1:165" s="66" customFormat="1" x14ac:dyDescent="0.35">
      <c r="A52">
        <v>2026</v>
      </c>
      <c r="B52" t="s">
        <v>192</v>
      </c>
      <c r="C52" s="112" t="s">
        <v>192</v>
      </c>
      <c r="D52" t="s">
        <v>1426</v>
      </c>
      <c r="E52" t="s">
        <v>194</v>
      </c>
      <c r="F52">
        <v>132</v>
      </c>
      <c r="G52" s="113">
        <v>0</v>
      </c>
      <c r="H52"/>
      <c r="I52" t="s">
        <v>1391</v>
      </c>
      <c r="J52">
        <v>46</v>
      </c>
      <c r="K52">
        <v>43</v>
      </c>
      <c r="L52">
        <v>44</v>
      </c>
      <c r="M52">
        <v>31.871500000000001</v>
      </c>
      <c r="N52">
        <v>30.2668</v>
      </c>
      <c r="O52">
        <v>31.1494</v>
      </c>
      <c r="P52">
        <v>45.510399999999997</v>
      </c>
      <c r="Q52">
        <v>43.2226</v>
      </c>
      <c r="R52">
        <v>44.480899999999998</v>
      </c>
      <c r="S52"/>
      <c r="T52"/>
      <c r="U52"/>
      <c r="V52" t="s">
        <v>170</v>
      </c>
      <c r="W52" t="s">
        <v>171</v>
      </c>
      <c r="X52"/>
      <c r="Y52">
        <v>1</v>
      </c>
      <c r="Z52" t="s">
        <v>173</v>
      </c>
      <c r="AA52" t="s">
        <v>173</v>
      </c>
      <c r="AB52" t="s">
        <v>170</v>
      </c>
      <c r="AC52" t="s">
        <v>232</v>
      </c>
      <c r="AD52"/>
      <c r="AE52"/>
      <c r="AF52">
        <v>284</v>
      </c>
      <c r="AG52" t="s">
        <v>1392</v>
      </c>
      <c r="AH52" t="s">
        <v>1393</v>
      </c>
      <c r="AI52" t="s">
        <v>1399</v>
      </c>
      <c r="AJ52" t="s">
        <v>1400</v>
      </c>
      <c r="AK52" t="s">
        <v>664</v>
      </c>
      <c r="AL52" t="s">
        <v>665</v>
      </c>
      <c r="AM52"/>
      <c r="AN52"/>
      <c r="AO52"/>
      <c r="AP52"/>
      <c r="AQ52"/>
      <c r="AR52"/>
      <c r="AS52">
        <v>1150</v>
      </c>
      <c r="AT52">
        <v>1150</v>
      </c>
      <c r="AU52"/>
      <c r="AV52"/>
      <c r="AW52"/>
      <c r="AX52"/>
      <c r="AY52"/>
      <c r="AZ52"/>
      <c r="BA52"/>
      <c r="BB52"/>
      <c r="BC52"/>
      <c r="BD52"/>
      <c r="BE52"/>
      <c r="BF52"/>
      <c r="BG52"/>
      <c r="BH52"/>
      <c r="BI52"/>
      <c r="BJ52"/>
      <c r="BK52"/>
      <c r="BL52"/>
      <c r="BM52"/>
      <c r="BN52" s="114"/>
      <c r="BO52"/>
      <c r="BP52"/>
      <c r="BQ52">
        <v>33</v>
      </c>
      <c r="BR52" t="s">
        <v>1062</v>
      </c>
      <c r="BS52"/>
      <c r="BT52" t="s">
        <v>1402</v>
      </c>
      <c r="BU52" s="115">
        <v>45748</v>
      </c>
      <c r="BV52">
        <v>36354</v>
      </c>
      <c r="BW52" s="116"/>
      <c r="BX52" t="s">
        <v>172</v>
      </c>
      <c r="BY52" t="s">
        <v>173</v>
      </c>
      <c r="BZ52"/>
      <c r="CA52"/>
      <c r="CB52" t="s">
        <v>173</v>
      </c>
      <c r="CC52" t="s">
        <v>173</v>
      </c>
      <c r="CD52"/>
      <c r="CE52"/>
      <c r="CF52"/>
      <c r="CG52"/>
      <c r="CH52"/>
      <c r="CI52"/>
      <c r="CJ52"/>
      <c r="CK52" t="s">
        <v>259</v>
      </c>
      <c r="CL52"/>
      <c r="CM52">
        <v>1</v>
      </c>
      <c r="CN52" t="s">
        <v>260</v>
      </c>
      <c r="CO52"/>
      <c r="CP52">
        <v>369</v>
      </c>
      <c r="CQ52">
        <v>303</v>
      </c>
      <c r="CR52">
        <v>175</v>
      </c>
      <c r="CS52" t="s">
        <v>261</v>
      </c>
      <c r="CT52"/>
      <c r="CU52"/>
      <c r="CV52" t="s">
        <v>262</v>
      </c>
      <c r="CW52"/>
      <c r="CX52" t="s">
        <v>263</v>
      </c>
      <c r="CY52" t="s">
        <v>172</v>
      </c>
      <c r="CZ52"/>
      <c r="DA52"/>
      <c r="DB52"/>
      <c r="DC52" t="s">
        <v>1412</v>
      </c>
      <c r="DD52">
        <v>2</v>
      </c>
      <c r="DE52" t="s">
        <v>307</v>
      </c>
      <c r="DF52" t="s">
        <v>308</v>
      </c>
      <c r="DG52" t="s">
        <v>1424</v>
      </c>
      <c r="DH52"/>
      <c r="DI52"/>
      <c r="DJ52"/>
      <c r="DK52"/>
      <c r="DL52" t="s">
        <v>173</v>
      </c>
      <c r="DM52" t="s">
        <v>172</v>
      </c>
      <c r="DN52"/>
      <c r="DO52"/>
      <c r="DP52" t="s">
        <v>173</v>
      </c>
      <c r="DQ52" t="s">
        <v>189</v>
      </c>
      <c r="DR52"/>
      <c r="DS52"/>
      <c r="DT52"/>
      <c r="DU52"/>
      <c r="DV52"/>
      <c r="DW52"/>
      <c r="DX52"/>
      <c r="DY52"/>
      <c r="DZ52"/>
      <c r="EA52" s="117"/>
      <c r="EB52">
        <v>9</v>
      </c>
      <c r="EC52">
        <v>10</v>
      </c>
      <c r="ED52"/>
      <c r="EE52" t="s">
        <v>1425</v>
      </c>
      <c r="EF52">
        <v>10</v>
      </c>
      <c r="EG52"/>
      <c r="EH52"/>
      <c r="EI52"/>
      <c r="EJ52"/>
      <c r="EK52"/>
      <c r="EL52"/>
      <c r="EM52"/>
      <c r="EN52"/>
      <c r="EO52"/>
      <c r="EP52"/>
      <c r="EQ52"/>
      <c r="ER52"/>
      <c r="ES52"/>
      <c r="ET52"/>
      <c r="EU52">
        <v>2750</v>
      </c>
      <c r="EV52"/>
      <c r="EW52">
        <v>0</v>
      </c>
      <c r="EX52">
        <v>0</v>
      </c>
      <c r="EY52">
        <v>0</v>
      </c>
      <c r="EZ52"/>
      <c r="FA52">
        <v>11</v>
      </c>
      <c r="FB52"/>
      <c r="FC52"/>
      <c r="FD52"/>
      <c r="FE52"/>
      <c r="FF52"/>
      <c r="FG52" s="94">
        <v>277</v>
      </c>
      <c r="FH52" s="94">
        <v>292</v>
      </c>
      <c r="FI52" s="94">
        <v>284</v>
      </c>
    </row>
    <row r="53" spans="1:165" s="66" customFormat="1" x14ac:dyDescent="0.35">
      <c r="A53" s="19"/>
      <c r="B53" s="19"/>
      <c r="C53" s="19"/>
      <c r="D53" s="19"/>
      <c r="E53" s="19"/>
      <c r="F53" s="128"/>
      <c r="G53" s="19"/>
      <c r="H53" s="19"/>
      <c r="I53" s="19"/>
      <c r="J53" s="19"/>
      <c r="K53" s="19" t="str">
        <f>_xlfn.CONCAT(A54," ",C54," ",D54)</f>
        <v>2026 BMW iX M70 (23'' Wheels)</v>
      </c>
      <c r="L53" s="19"/>
      <c r="M53" s="19"/>
      <c r="N53" s="19"/>
      <c r="O53" s="19"/>
      <c r="P53" s="19"/>
      <c r="Q53" s="19"/>
      <c r="R53" s="19"/>
      <c r="S53" s="19"/>
      <c r="T53" s="19"/>
      <c r="U53" s="19"/>
      <c r="V53" s="19"/>
      <c r="W53" s="19"/>
      <c r="X53" s="19"/>
      <c r="Y53" s="19"/>
      <c r="Z53" s="19"/>
      <c r="AA53" s="19"/>
      <c r="AB53" s="19" t="str">
        <f>$K53</f>
        <v>2026 BMW iX M70 (23'' Wheels)</v>
      </c>
      <c r="AC53" s="19"/>
      <c r="AD53" s="19"/>
      <c r="AE53" s="19"/>
      <c r="AF53" s="19"/>
      <c r="AG53" s="19"/>
      <c r="AH53" s="19"/>
      <c r="AI53" s="19"/>
      <c r="AJ53" s="19"/>
      <c r="AK53" s="19"/>
      <c r="AL53" s="19"/>
      <c r="AM53" s="19"/>
      <c r="AN53" s="19"/>
      <c r="AO53" s="19"/>
      <c r="AP53" s="19"/>
      <c r="AQ53" s="19"/>
      <c r="AR53" s="19" t="str">
        <f>$K53</f>
        <v>2026 BMW iX M70 (23'' Wheels)</v>
      </c>
      <c r="AS53" s="19"/>
      <c r="AT53" s="19"/>
      <c r="AU53" s="19"/>
      <c r="AV53" s="19"/>
      <c r="AW53" s="19"/>
      <c r="AX53" s="19"/>
      <c r="AY53" s="19"/>
      <c r="AZ53" s="19"/>
      <c r="BA53" s="19"/>
      <c r="BB53" s="19"/>
      <c r="BC53" s="19"/>
      <c r="BD53" s="19"/>
      <c r="BE53" s="19"/>
      <c r="BF53" s="19"/>
      <c r="BG53" s="19" t="str">
        <f>$K53</f>
        <v>2026 BMW iX M70 (23'' Wheels)</v>
      </c>
      <c r="BH53" s="19"/>
      <c r="BI53" s="19"/>
      <c r="BJ53" s="19"/>
      <c r="BK53" s="19"/>
      <c r="BL53" s="19"/>
      <c r="BM53" s="129"/>
      <c r="BN53" s="19"/>
      <c r="BO53" s="19"/>
      <c r="BP53" s="19"/>
      <c r="BQ53" s="19"/>
      <c r="BR53" s="19"/>
      <c r="BS53" s="19"/>
      <c r="BT53" s="130"/>
      <c r="BU53" s="19"/>
      <c r="BV53" s="19"/>
      <c r="BW53" s="116"/>
      <c r="BX53" s="19"/>
      <c r="BY53" s="19"/>
      <c r="BZ53" s="19"/>
      <c r="CA53" s="19"/>
      <c r="CB53" s="19"/>
      <c r="CC53" s="19"/>
      <c r="CD53" s="19"/>
      <c r="CE53" s="19"/>
      <c r="CF53" s="19"/>
      <c r="CG53" s="19"/>
      <c r="CH53" s="19"/>
      <c r="CI53" s="19"/>
      <c r="CJ53" s="19"/>
      <c r="CK53" s="19"/>
      <c r="CL53" s="19"/>
      <c r="CM53" s="19" t="str">
        <f>$K53</f>
        <v>2026 BMW iX M70 (23'' Wheels)</v>
      </c>
      <c r="CN53" s="19"/>
      <c r="CO53" s="19"/>
      <c r="CP53" s="19"/>
      <c r="CQ53" s="19"/>
      <c r="CR53" s="19"/>
      <c r="CS53" s="19"/>
      <c r="CT53" s="19"/>
      <c r="CU53" s="19"/>
      <c r="CV53" s="19"/>
      <c r="CW53" s="19"/>
      <c r="CX53" s="19"/>
      <c r="CY53" s="19"/>
      <c r="CZ53" s="19"/>
      <c r="DA53" s="19"/>
      <c r="DB53" s="19"/>
      <c r="DC53" s="19"/>
      <c r="DD53" s="19" t="str">
        <f>$K53</f>
        <v>2026 BMW iX M70 (23'' Wheels)</v>
      </c>
      <c r="DE53" s="19"/>
      <c r="DF53" s="19"/>
      <c r="DG53" s="19"/>
      <c r="DH53" s="19"/>
      <c r="DI53" s="19"/>
      <c r="DJ53" s="19"/>
      <c r="DK53" s="19"/>
      <c r="DL53" s="19"/>
      <c r="DM53" s="19"/>
      <c r="DN53" s="19"/>
      <c r="DO53" s="19"/>
      <c r="DP53" s="19"/>
      <c r="DQ53" s="19"/>
      <c r="DR53" s="19"/>
      <c r="DS53" s="19"/>
      <c r="DT53" s="19"/>
      <c r="DU53" s="19" t="str">
        <f>$K53</f>
        <v>2026 BMW iX M70 (23'' Wheels)</v>
      </c>
      <c r="DV53" s="19"/>
      <c r="DW53" s="19"/>
      <c r="DX53" s="19"/>
      <c r="DY53" s="19"/>
      <c r="DZ53" s="19"/>
      <c r="EA53" s="117"/>
      <c r="EB53" s="19"/>
      <c r="EC53" s="19"/>
      <c r="ED53" s="19"/>
      <c r="EE53" s="19"/>
      <c r="EF53" s="19"/>
      <c r="EG53"/>
      <c r="EH53"/>
      <c r="EI53"/>
      <c r="EJ53"/>
      <c r="EK53"/>
      <c r="EL53"/>
      <c r="EM53"/>
      <c r="EN53"/>
      <c r="EO53"/>
      <c r="EP53"/>
      <c r="EQ53"/>
      <c r="ER53"/>
      <c r="ES53"/>
      <c r="ET53"/>
      <c r="EU53"/>
      <c r="EV53"/>
      <c r="EW53"/>
      <c r="EX53" s="19" t="s">
        <v>1949</v>
      </c>
      <c r="EY53"/>
      <c r="EZ53"/>
      <c r="FA53"/>
      <c r="FB53"/>
      <c r="FC53"/>
      <c r="FD53"/>
      <c r="FE53"/>
      <c r="FF53"/>
      <c r="FG53"/>
      <c r="FH53"/>
      <c r="FI53"/>
    </row>
    <row r="54" spans="1:165" s="66" customFormat="1" x14ac:dyDescent="0.35">
      <c r="A54">
        <v>2026</v>
      </c>
      <c r="B54" t="s">
        <v>192</v>
      </c>
      <c r="C54" s="112" t="s">
        <v>192</v>
      </c>
      <c r="D54" t="s">
        <v>1427</v>
      </c>
      <c r="E54" t="s">
        <v>194</v>
      </c>
      <c r="F54">
        <v>133</v>
      </c>
      <c r="G54" s="113">
        <v>0</v>
      </c>
      <c r="H54"/>
      <c r="I54" t="s">
        <v>1391</v>
      </c>
      <c r="J54">
        <v>74</v>
      </c>
      <c r="K54">
        <v>76</v>
      </c>
      <c r="L54">
        <v>75</v>
      </c>
      <c r="M54">
        <v>106.2</v>
      </c>
      <c r="N54">
        <v>109</v>
      </c>
      <c r="O54">
        <v>107.44199999999999</v>
      </c>
      <c r="P54">
        <v>74.34</v>
      </c>
      <c r="Q54">
        <v>76.3</v>
      </c>
      <c r="R54">
        <v>75.209400000000002</v>
      </c>
      <c r="S54"/>
      <c r="T54"/>
      <c r="U54"/>
      <c r="V54" t="s">
        <v>170</v>
      </c>
      <c r="W54" t="s">
        <v>171</v>
      </c>
      <c r="X54"/>
      <c r="Y54">
        <v>1</v>
      </c>
      <c r="Z54" t="s">
        <v>173</v>
      </c>
      <c r="AA54" t="s">
        <v>173</v>
      </c>
      <c r="AB54" t="s">
        <v>170</v>
      </c>
      <c r="AC54" t="s">
        <v>232</v>
      </c>
      <c r="AD54"/>
      <c r="AE54"/>
      <c r="AF54">
        <v>283</v>
      </c>
      <c r="AG54" t="s">
        <v>1392</v>
      </c>
      <c r="AH54" t="s">
        <v>1393</v>
      </c>
      <c r="AI54" t="s">
        <v>178</v>
      </c>
      <c r="AJ54" t="s">
        <v>179</v>
      </c>
      <c r="AK54" t="s">
        <v>664</v>
      </c>
      <c r="AL54" t="s">
        <v>665</v>
      </c>
      <c r="AM54"/>
      <c r="AN54"/>
      <c r="AO54"/>
      <c r="AP54"/>
      <c r="AQ54"/>
      <c r="AR54"/>
      <c r="AS54">
        <v>1150</v>
      </c>
      <c r="AT54">
        <v>1150</v>
      </c>
      <c r="AU54"/>
      <c r="AV54"/>
      <c r="AW54"/>
      <c r="AX54"/>
      <c r="AY54"/>
      <c r="AZ54"/>
      <c r="BA54"/>
      <c r="BB54"/>
      <c r="BC54"/>
      <c r="BD54"/>
      <c r="BE54"/>
      <c r="BF54"/>
      <c r="BG54"/>
      <c r="BH54"/>
      <c r="BI54"/>
      <c r="BJ54"/>
      <c r="BK54"/>
      <c r="BL54"/>
      <c r="BM54"/>
      <c r="BN54" s="114"/>
      <c r="BO54"/>
      <c r="BP54"/>
      <c r="BQ54">
        <v>33</v>
      </c>
      <c r="BR54" t="s">
        <v>1062</v>
      </c>
      <c r="BS54"/>
      <c r="BT54" t="s">
        <v>1402</v>
      </c>
      <c r="BU54" s="115">
        <v>45748</v>
      </c>
      <c r="BV54">
        <v>36355</v>
      </c>
      <c r="BW54" s="116"/>
      <c r="BX54" t="s">
        <v>172</v>
      </c>
      <c r="BY54" t="s">
        <v>173</v>
      </c>
      <c r="BZ54"/>
      <c r="CA54"/>
      <c r="CB54" t="s">
        <v>173</v>
      </c>
      <c r="CC54" t="s">
        <v>173</v>
      </c>
      <c r="CD54"/>
      <c r="CE54"/>
      <c r="CF54"/>
      <c r="CG54"/>
      <c r="CH54"/>
      <c r="CI54"/>
      <c r="CJ54"/>
      <c r="CK54" t="s">
        <v>259</v>
      </c>
      <c r="CL54"/>
      <c r="CM54">
        <v>1</v>
      </c>
      <c r="CN54" t="s">
        <v>260</v>
      </c>
      <c r="CO54"/>
      <c r="CP54">
        <v>369</v>
      </c>
      <c r="CQ54">
        <v>303</v>
      </c>
      <c r="CR54">
        <v>175</v>
      </c>
      <c r="CS54" t="s">
        <v>261</v>
      </c>
      <c r="CT54"/>
      <c r="CU54"/>
      <c r="CV54" t="s">
        <v>262</v>
      </c>
      <c r="CW54"/>
      <c r="CX54" t="s">
        <v>263</v>
      </c>
      <c r="CY54" t="s">
        <v>172</v>
      </c>
      <c r="CZ54"/>
      <c r="DA54"/>
      <c r="DB54"/>
      <c r="DC54" t="s">
        <v>1412</v>
      </c>
      <c r="DD54">
        <v>2</v>
      </c>
      <c r="DE54" t="s">
        <v>307</v>
      </c>
      <c r="DF54" t="s">
        <v>308</v>
      </c>
      <c r="DG54" t="s">
        <v>1424</v>
      </c>
      <c r="DH54"/>
      <c r="DI54"/>
      <c r="DJ54"/>
      <c r="DK54"/>
      <c r="DL54" t="s">
        <v>173</v>
      </c>
      <c r="DM54" t="s">
        <v>172</v>
      </c>
      <c r="DN54"/>
      <c r="DO54"/>
      <c r="DP54" t="s">
        <v>173</v>
      </c>
      <c r="DQ54" t="s">
        <v>189</v>
      </c>
      <c r="DR54"/>
      <c r="DS54"/>
      <c r="DT54"/>
      <c r="DU54"/>
      <c r="DV54"/>
      <c r="DW54"/>
      <c r="DX54"/>
      <c r="DY54"/>
      <c r="DZ54"/>
      <c r="EA54" s="117"/>
      <c r="EB54">
        <v>9</v>
      </c>
      <c r="EC54">
        <v>10</v>
      </c>
      <c r="ED54"/>
      <c r="EE54" t="s">
        <v>1425</v>
      </c>
      <c r="EF54">
        <v>10</v>
      </c>
      <c r="EG54"/>
      <c r="EH54"/>
      <c r="EI54"/>
      <c r="EJ54"/>
      <c r="EK54"/>
      <c r="EL54"/>
      <c r="EM54"/>
      <c r="EN54"/>
      <c r="EO54"/>
      <c r="EP54"/>
      <c r="EQ54"/>
      <c r="ER54"/>
      <c r="ES54"/>
      <c r="ET54"/>
      <c r="EU54">
        <v>2750</v>
      </c>
      <c r="EV54"/>
      <c r="EW54">
        <v>0</v>
      </c>
      <c r="EX54">
        <v>0</v>
      </c>
      <c r="EY54">
        <v>0</v>
      </c>
      <c r="EZ54"/>
      <c r="FA54">
        <v>11</v>
      </c>
      <c r="FB54"/>
      <c r="FC54"/>
      <c r="FD54"/>
      <c r="FE54"/>
      <c r="FF54"/>
      <c r="FG54" s="94">
        <v>280</v>
      </c>
      <c r="FH54" s="94">
        <v>287</v>
      </c>
      <c r="FI54" s="94">
        <v>283</v>
      </c>
    </row>
    <row r="55" spans="1:165" s="66" customFormat="1" x14ac:dyDescent="0.35">
      <c r="A55">
        <v>2026</v>
      </c>
      <c r="B55" t="s">
        <v>192</v>
      </c>
      <c r="C55" s="112" t="s">
        <v>192</v>
      </c>
      <c r="D55" t="s">
        <v>1427</v>
      </c>
      <c r="E55" t="s">
        <v>194</v>
      </c>
      <c r="F55">
        <v>133</v>
      </c>
      <c r="G55" s="113">
        <v>0</v>
      </c>
      <c r="H55"/>
      <c r="I55" t="s">
        <v>1391</v>
      </c>
      <c r="J55">
        <v>45</v>
      </c>
      <c r="K55">
        <v>44</v>
      </c>
      <c r="L55">
        <v>45</v>
      </c>
      <c r="M55">
        <v>31.750699999999998</v>
      </c>
      <c r="N55">
        <v>30.908000000000001</v>
      </c>
      <c r="O55">
        <v>31.371500000000001</v>
      </c>
      <c r="P55">
        <v>45.338999999999999</v>
      </c>
      <c r="Q55">
        <v>44.174300000000002</v>
      </c>
      <c r="R55">
        <v>44.814900000000002</v>
      </c>
      <c r="S55"/>
      <c r="T55"/>
      <c r="U55"/>
      <c r="V55" t="s">
        <v>170</v>
      </c>
      <c r="W55" t="s">
        <v>171</v>
      </c>
      <c r="X55"/>
      <c r="Y55">
        <v>1</v>
      </c>
      <c r="Z55" t="s">
        <v>173</v>
      </c>
      <c r="AA55" t="s">
        <v>173</v>
      </c>
      <c r="AB55" t="s">
        <v>170</v>
      </c>
      <c r="AC55" t="s">
        <v>232</v>
      </c>
      <c r="AD55"/>
      <c r="AE55"/>
      <c r="AF55">
        <v>283</v>
      </c>
      <c r="AG55" t="s">
        <v>1392</v>
      </c>
      <c r="AH55" t="s">
        <v>1393</v>
      </c>
      <c r="AI55" t="s">
        <v>1399</v>
      </c>
      <c r="AJ55" t="s">
        <v>1400</v>
      </c>
      <c r="AK55" t="s">
        <v>664</v>
      </c>
      <c r="AL55" t="s">
        <v>665</v>
      </c>
      <c r="AM55"/>
      <c r="AN55"/>
      <c r="AO55"/>
      <c r="AP55"/>
      <c r="AQ55"/>
      <c r="AR55"/>
      <c r="AS55">
        <v>1150</v>
      </c>
      <c r="AT55">
        <v>1150</v>
      </c>
      <c r="AU55"/>
      <c r="AV55"/>
      <c r="AW55"/>
      <c r="AX55"/>
      <c r="AY55"/>
      <c r="AZ55"/>
      <c r="BA55"/>
      <c r="BB55"/>
      <c r="BC55"/>
      <c r="BD55"/>
      <c r="BE55"/>
      <c r="BF55"/>
      <c r="BG55"/>
      <c r="BH55"/>
      <c r="BI55"/>
      <c r="BJ55"/>
      <c r="BK55"/>
      <c r="BL55"/>
      <c r="BM55"/>
      <c r="BN55" s="114"/>
      <c r="BO55"/>
      <c r="BP55"/>
      <c r="BQ55">
        <v>33</v>
      </c>
      <c r="BR55" t="s">
        <v>1062</v>
      </c>
      <c r="BS55"/>
      <c r="BT55" t="s">
        <v>1402</v>
      </c>
      <c r="BU55" s="115">
        <v>45748</v>
      </c>
      <c r="BV55">
        <v>36355</v>
      </c>
      <c r="BW55" s="116"/>
      <c r="BX55" t="s">
        <v>172</v>
      </c>
      <c r="BY55" t="s">
        <v>173</v>
      </c>
      <c r="BZ55"/>
      <c r="CA55"/>
      <c r="CB55" t="s">
        <v>173</v>
      </c>
      <c r="CC55" t="s">
        <v>173</v>
      </c>
      <c r="CD55"/>
      <c r="CE55"/>
      <c r="CF55"/>
      <c r="CG55"/>
      <c r="CH55"/>
      <c r="CI55"/>
      <c r="CJ55"/>
      <c r="CK55" t="s">
        <v>259</v>
      </c>
      <c r="CL55"/>
      <c r="CM55">
        <v>1</v>
      </c>
      <c r="CN55" t="s">
        <v>260</v>
      </c>
      <c r="CO55"/>
      <c r="CP55">
        <v>369</v>
      </c>
      <c r="CQ55">
        <v>303</v>
      </c>
      <c r="CR55">
        <v>175</v>
      </c>
      <c r="CS55" t="s">
        <v>261</v>
      </c>
      <c r="CT55"/>
      <c r="CU55"/>
      <c r="CV55" t="s">
        <v>262</v>
      </c>
      <c r="CW55"/>
      <c r="CX55" t="s">
        <v>263</v>
      </c>
      <c r="CY55" t="s">
        <v>172</v>
      </c>
      <c r="CZ55"/>
      <c r="DA55"/>
      <c r="DB55"/>
      <c r="DC55" t="s">
        <v>1412</v>
      </c>
      <c r="DD55">
        <v>2</v>
      </c>
      <c r="DE55" t="s">
        <v>307</v>
      </c>
      <c r="DF55" t="s">
        <v>308</v>
      </c>
      <c r="DG55" t="s">
        <v>1424</v>
      </c>
      <c r="DH55"/>
      <c r="DI55"/>
      <c r="DJ55"/>
      <c r="DK55"/>
      <c r="DL55" t="s">
        <v>173</v>
      </c>
      <c r="DM55" t="s">
        <v>172</v>
      </c>
      <c r="DN55"/>
      <c r="DO55"/>
      <c r="DP55" t="s">
        <v>173</v>
      </c>
      <c r="DQ55" t="s">
        <v>189</v>
      </c>
      <c r="DR55"/>
      <c r="DS55"/>
      <c r="DT55"/>
      <c r="DU55"/>
      <c r="DV55"/>
      <c r="DW55"/>
      <c r="DX55"/>
      <c r="DY55"/>
      <c r="DZ55"/>
      <c r="EA55" s="117"/>
      <c r="EB55">
        <v>9</v>
      </c>
      <c r="EC55">
        <v>10</v>
      </c>
      <c r="ED55"/>
      <c r="EE55" t="s">
        <v>1425</v>
      </c>
      <c r="EF55">
        <v>10</v>
      </c>
      <c r="EG55"/>
      <c r="EH55"/>
      <c r="EI55"/>
      <c r="EJ55"/>
      <c r="EK55"/>
      <c r="EL55"/>
      <c r="EM55"/>
      <c r="EN55"/>
      <c r="EO55"/>
      <c r="EP55"/>
      <c r="EQ55"/>
      <c r="ER55"/>
      <c r="ES55"/>
      <c r="ET55"/>
      <c r="EU55">
        <v>2750</v>
      </c>
      <c r="EV55"/>
      <c r="EW55">
        <v>0</v>
      </c>
      <c r="EX55">
        <v>0</v>
      </c>
      <c r="EY55">
        <v>0</v>
      </c>
      <c r="EZ55"/>
      <c r="FA55">
        <v>11</v>
      </c>
      <c r="FB55"/>
      <c r="FC55"/>
      <c r="FD55"/>
      <c r="FE55"/>
      <c r="FF55"/>
      <c r="FG55" s="94">
        <v>280</v>
      </c>
      <c r="FH55" s="94">
        <v>287</v>
      </c>
      <c r="FI55" s="94">
        <v>283</v>
      </c>
    </row>
    <row r="56" spans="1:165" s="66" customFormat="1" x14ac:dyDescent="0.35">
      <c r="A56" s="19"/>
      <c r="B56" s="19"/>
      <c r="C56" s="19"/>
      <c r="D56" s="19"/>
      <c r="E56" s="19"/>
      <c r="F56" s="128"/>
      <c r="G56" s="19"/>
      <c r="H56" s="19"/>
      <c r="I56" s="19"/>
      <c r="J56" s="19"/>
      <c r="K56" s="19" t="str">
        <f>_xlfn.CONCAT(A57," ",C57," ",D57)</f>
        <v>2026 BMW iX xDrive45 (20'' Wheels)</v>
      </c>
      <c r="L56" s="19"/>
      <c r="M56" s="19"/>
      <c r="N56" s="19"/>
      <c r="O56" s="19"/>
      <c r="P56" s="19"/>
      <c r="Q56" s="19"/>
      <c r="R56" s="19"/>
      <c r="S56" s="19"/>
      <c r="T56" s="19"/>
      <c r="U56" s="19"/>
      <c r="V56" s="19"/>
      <c r="W56" s="19"/>
      <c r="X56" s="19"/>
      <c r="Y56" s="19"/>
      <c r="Z56" s="19"/>
      <c r="AA56" s="19"/>
      <c r="AB56" s="19" t="str">
        <f>$K56</f>
        <v>2026 BMW iX xDrive45 (20'' Wheels)</v>
      </c>
      <c r="AC56" s="19"/>
      <c r="AD56" s="19"/>
      <c r="AE56" s="19"/>
      <c r="AF56" s="19"/>
      <c r="AG56" s="19"/>
      <c r="AH56" s="19"/>
      <c r="AI56" s="19"/>
      <c r="AJ56" s="19"/>
      <c r="AK56" s="19"/>
      <c r="AL56" s="19"/>
      <c r="AM56" s="19"/>
      <c r="AN56" s="19"/>
      <c r="AO56" s="19"/>
      <c r="AP56" s="19"/>
      <c r="AQ56" s="19"/>
      <c r="AR56" s="19" t="str">
        <f>$K56</f>
        <v>2026 BMW iX xDrive45 (20'' Wheels)</v>
      </c>
      <c r="AS56" s="19"/>
      <c r="AT56" s="19"/>
      <c r="AU56" s="19"/>
      <c r="AV56" s="19"/>
      <c r="AW56" s="19"/>
      <c r="AX56" s="19"/>
      <c r="AY56" s="19"/>
      <c r="AZ56" s="19"/>
      <c r="BA56" s="19"/>
      <c r="BB56" s="19"/>
      <c r="BC56" s="19"/>
      <c r="BD56" s="19"/>
      <c r="BE56" s="19"/>
      <c r="BF56" s="19"/>
      <c r="BG56" s="19" t="str">
        <f>$K56</f>
        <v>2026 BMW iX xDrive45 (20'' Wheels)</v>
      </c>
      <c r="BH56" s="19"/>
      <c r="BI56" s="19"/>
      <c r="BJ56" s="19"/>
      <c r="BK56" s="19"/>
      <c r="BL56" s="19"/>
      <c r="BM56" s="129"/>
      <c r="BN56" s="19"/>
      <c r="BO56" s="19"/>
      <c r="BP56" s="19"/>
      <c r="BQ56" s="19"/>
      <c r="BR56" s="19"/>
      <c r="BS56" s="19"/>
      <c r="BT56" s="130"/>
      <c r="BU56" s="19"/>
      <c r="BV56" s="19"/>
      <c r="BW56" s="116"/>
      <c r="BX56" s="19"/>
      <c r="BY56" s="19"/>
      <c r="BZ56" s="19"/>
      <c r="CA56" s="19"/>
      <c r="CB56" s="19"/>
      <c r="CC56" s="19"/>
      <c r="CD56" s="19"/>
      <c r="CE56" s="19"/>
      <c r="CF56" s="19"/>
      <c r="CG56" s="19"/>
      <c r="CH56" s="19"/>
      <c r="CI56" s="19"/>
      <c r="CJ56" s="19"/>
      <c r="CK56" s="19"/>
      <c r="CL56" s="19"/>
      <c r="CM56" s="19" t="str">
        <f>$K56</f>
        <v>2026 BMW iX xDrive45 (20'' Wheels)</v>
      </c>
      <c r="CN56" s="19"/>
      <c r="CO56" s="19"/>
      <c r="CP56" s="19"/>
      <c r="CQ56" s="19"/>
      <c r="CR56" s="19"/>
      <c r="CS56" s="19"/>
      <c r="CT56" s="19"/>
      <c r="CU56" s="19"/>
      <c r="CV56" s="19"/>
      <c r="CW56" s="19"/>
      <c r="CX56" s="19"/>
      <c r="CY56" s="19"/>
      <c r="CZ56" s="19"/>
      <c r="DA56" s="19"/>
      <c r="DB56" s="19"/>
      <c r="DC56" s="19"/>
      <c r="DD56" s="19" t="str">
        <f>$K56</f>
        <v>2026 BMW iX xDrive45 (20'' Wheels)</v>
      </c>
      <c r="DE56" s="19"/>
      <c r="DF56" s="19"/>
      <c r="DG56" s="19"/>
      <c r="DH56" s="19"/>
      <c r="DI56" s="19"/>
      <c r="DJ56" s="19"/>
      <c r="DK56" s="19"/>
      <c r="DL56" s="19"/>
      <c r="DM56" s="19"/>
      <c r="DN56" s="19"/>
      <c r="DO56" s="19"/>
      <c r="DP56" s="19"/>
      <c r="DQ56" s="19"/>
      <c r="DR56" s="19"/>
      <c r="DS56" s="19"/>
      <c r="DT56" s="19"/>
      <c r="DU56" s="19" t="str">
        <f>$K56</f>
        <v>2026 BMW iX xDrive45 (20'' Wheels)</v>
      </c>
      <c r="DV56" s="19"/>
      <c r="DW56" s="19"/>
      <c r="DX56" s="19"/>
      <c r="DY56" s="19"/>
      <c r="DZ56" s="19"/>
      <c r="EA56" s="117"/>
      <c r="EB56" s="19"/>
      <c r="EC56" s="19"/>
      <c r="ED56" s="19"/>
      <c r="EE56" s="19"/>
      <c r="EF56" s="19"/>
      <c r="EG56"/>
      <c r="EH56"/>
      <c r="EI56"/>
      <c r="EJ56"/>
      <c r="EK56"/>
      <c r="EL56"/>
      <c r="EM56"/>
      <c r="EN56"/>
      <c r="EO56"/>
      <c r="EP56"/>
      <c r="EQ56"/>
      <c r="ER56"/>
      <c r="ES56"/>
      <c r="ET56"/>
      <c r="EU56"/>
      <c r="EV56"/>
      <c r="EW56"/>
      <c r="EX56" s="19" t="s">
        <v>1950</v>
      </c>
      <c r="EY56"/>
      <c r="EZ56"/>
      <c r="FA56"/>
      <c r="FB56"/>
      <c r="FC56"/>
      <c r="FD56"/>
      <c r="FE56"/>
      <c r="FF56"/>
      <c r="FG56"/>
      <c r="FH56"/>
      <c r="FI56"/>
    </row>
    <row r="57" spans="1:165" s="66" customFormat="1" x14ac:dyDescent="0.35">
      <c r="A57">
        <v>2026</v>
      </c>
      <c r="B57" t="s">
        <v>192</v>
      </c>
      <c r="C57" s="112" t="s">
        <v>192</v>
      </c>
      <c r="D57" t="s">
        <v>1411</v>
      </c>
      <c r="E57" t="s">
        <v>194</v>
      </c>
      <c r="F57">
        <v>110</v>
      </c>
      <c r="G57" s="113">
        <v>0</v>
      </c>
      <c r="H57"/>
      <c r="I57" t="s">
        <v>1391</v>
      </c>
      <c r="J57">
        <v>94</v>
      </c>
      <c r="K57">
        <v>93</v>
      </c>
      <c r="L57">
        <v>94</v>
      </c>
      <c r="M57">
        <v>134.5</v>
      </c>
      <c r="N57">
        <v>132.9</v>
      </c>
      <c r="O57">
        <v>133.77529999999999</v>
      </c>
      <c r="P57">
        <v>94.15</v>
      </c>
      <c r="Q57">
        <v>93.03</v>
      </c>
      <c r="R57">
        <v>93.642700000000005</v>
      </c>
      <c r="S57"/>
      <c r="T57"/>
      <c r="U57"/>
      <c r="V57" t="s">
        <v>170</v>
      </c>
      <c r="W57" t="s">
        <v>171</v>
      </c>
      <c r="X57"/>
      <c r="Y57">
        <v>1</v>
      </c>
      <c r="Z57" t="s">
        <v>173</v>
      </c>
      <c r="AA57" t="s">
        <v>173</v>
      </c>
      <c r="AB57" t="s">
        <v>170</v>
      </c>
      <c r="AC57" t="s">
        <v>232</v>
      </c>
      <c r="AD57"/>
      <c r="AE57"/>
      <c r="AF57">
        <v>312</v>
      </c>
      <c r="AG57" t="s">
        <v>1392</v>
      </c>
      <c r="AH57" t="s">
        <v>1393</v>
      </c>
      <c r="AI57" t="s">
        <v>178</v>
      </c>
      <c r="AJ57" t="s">
        <v>179</v>
      </c>
      <c r="AK57" t="s">
        <v>664</v>
      </c>
      <c r="AL57" t="s">
        <v>665</v>
      </c>
      <c r="AM57"/>
      <c r="AN57"/>
      <c r="AO57"/>
      <c r="AP57"/>
      <c r="AQ57"/>
      <c r="AR57"/>
      <c r="AS57">
        <v>900</v>
      </c>
      <c r="AT57">
        <v>900</v>
      </c>
      <c r="AU57"/>
      <c r="AV57"/>
      <c r="AW57"/>
      <c r="AX57"/>
      <c r="AY57"/>
      <c r="AZ57"/>
      <c r="BA57"/>
      <c r="BB57"/>
      <c r="BC57"/>
      <c r="BD57"/>
      <c r="BE57"/>
      <c r="BF57"/>
      <c r="BG57"/>
      <c r="BH57"/>
      <c r="BI57"/>
      <c r="BJ57"/>
      <c r="BK57"/>
      <c r="BL57"/>
      <c r="BM57"/>
      <c r="BN57" s="114"/>
      <c r="BO57"/>
      <c r="BP57"/>
      <c r="BQ57">
        <v>33</v>
      </c>
      <c r="BR57" t="s">
        <v>1062</v>
      </c>
      <c r="BS57"/>
      <c r="BT57" t="s">
        <v>1402</v>
      </c>
      <c r="BU57" s="115">
        <v>45748</v>
      </c>
      <c r="BV57">
        <v>36345</v>
      </c>
      <c r="BW57" s="116"/>
      <c r="BX57" t="s">
        <v>172</v>
      </c>
      <c r="BY57" t="s">
        <v>173</v>
      </c>
      <c r="BZ57"/>
      <c r="CA57"/>
      <c r="CB57" t="s">
        <v>173</v>
      </c>
      <c r="CC57" t="s">
        <v>173</v>
      </c>
      <c r="CD57"/>
      <c r="CE57"/>
      <c r="CF57"/>
      <c r="CG57"/>
      <c r="CH57"/>
      <c r="CI57"/>
      <c r="CJ57"/>
      <c r="CK57" t="s">
        <v>259</v>
      </c>
      <c r="CL57"/>
      <c r="CM57">
        <v>1</v>
      </c>
      <c r="CN57" t="s">
        <v>260</v>
      </c>
      <c r="CO57"/>
      <c r="CP57">
        <v>332</v>
      </c>
      <c r="CQ57">
        <v>303</v>
      </c>
      <c r="CR57">
        <v>170</v>
      </c>
      <c r="CS57" t="s">
        <v>261</v>
      </c>
      <c r="CT57"/>
      <c r="CU57"/>
      <c r="CV57" t="s">
        <v>262</v>
      </c>
      <c r="CW57"/>
      <c r="CX57" t="s">
        <v>263</v>
      </c>
      <c r="CY57" t="s">
        <v>172</v>
      </c>
      <c r="CZ57"/>
      <c r="DA57"/>
      <c r="DB57"/>
      <c r="DC57" t="s">
        <v>1412</v>
      </c>
      <c r="DD57">
        <v>2</v>
      </c>
      <c r="DE57" t="s">
        <v>307</v>
      </c>
      <c r="DF57" t="s">
        <v>308</v>
      </c>
      <c r="DG57" t="s">
        <v>1413</v>
      </c>
      <c r="DH57"/>
      <c r="DI57"/>
      <c r="DJ57"/>
      <c r="DK57"/>
      <c r="DL57" t="s">
        <v>173</v>
      </c>
      <c r="DM57" t="s">
        <v>172</v>
      </c>
      <c r="DN57"/>
      <c r="DO57"/>
      <c r="DP57" t="s">
        <v>173</v>
      </c>
      <c r="DQ57" t="s">
        <v>189</v>
      </c>
      <c r="DR57"/>
      <c r="DS57"/>
      <c r="DT57"/>
      <c r="DU57"/>
      <c r="DV57"/>
      <c r="DW57"/>
      <c r="DX57"/>
      <c r="DY57"/>
      <c r="DZ57"/>
      <c r="EA57" s="117"/>
      <c r="EB57">
        <v>9</v>
      </c>
      <c r="EC57">
        <v>10</v>
      </c>
      <c r="ED57"/>
      <c r="EE57" t="s">
        <v>1414</v>
      </c>
      <c r="EF57">
        <v>10</v>
      </c>
      <c r="EG57"/>
      <c r="EH57"/>
      <c r="EI57"/>
      <c r="EJ57"/>
      <c r="EK57"/>
      <c r="EL57"/>
      <c r="EM57"/>
      <c r="EN57"/>
      <c r="EO57"/>
      <c r="EP57"/>
      <c r="EQ57"/>
      <c r="ER57"/>
      <c r="ES57"/>
      <c r="ET57"/>
      <c r="EU57">
        <v>4000</v>
      </c>
      <c r="EV57"/>
      <c r="EW57">
        <v>0</v>
      </c>
      <c r="EX57">
        <v>0</v>
      </c>
      <c r="EY57">
        <v>0</v>
      </c>
      <c r="EZ57"/>
      <c r="FA57">
        <v>10</v>
      </c>
      <c r="FB57"/>
      <c r="FC57"/>
      <c r="FD57"/>
      <c r="FE57"/>
      <c r="FF57"/>
      <c r="FG57" s="94">
        <v>314</v>
      </c>
      <c r="FH57" s="94">
        <v>310</v>
      </c>
      <c r="FI57" s="94">
        <v>312</v>
      </c>
    </row>
    <row r="58" spans="1:165" s="66" customFormat="1" x14ac:dyDescent="0.35">
      <c r="A58">
        <v>2026</v>
      </c>
      <c r="B58" t="s">
        <v>192</v>
      </c>
      <c r="C58" s="112" t="s">
        <v>192</v>
      </c>
      <c r="D58" t="s">
        <v>1411</v>
      </c>
      <c r="E58" t="s">
        <v>194</v>
      </c>
      <c r="F58">
        <v>110</v>
      </c>
      <c r="G58" s="113">
        <v>0</v>
      </c>
      <c r="H58"/>
      <c r="I58" t="s">
        <v>1391</v>
      </c>
      <c r="J58">
        <v>36</v>
      </c>
      <c r="K58">
        <v>36</v>
      </c>
      <c r="L58">
        <v>36</v>
      </c>
      <c r="M58">
        <v>25.059899999999999</v>
      </c>
      <c r="N58">
        <v>25.357800000000001</v>
      </c>
      <c r="O58">
        <v>25.193899999999999</v>
      </c>
      <c r="P58">
        <v>35.799300000000002</v>
      </c>
      <c r="Q58">
        <v>36.230200000000004</v>
      </c>
      <c r="R58">
        <v>35.993200000000002</v>
      </c>
      <c r="S58"/>
      <c r="T58"/>
      <c r="U58"/>
      <c r="V58" t="s">
        <v>170</v>
      </c>
      <c r="W58" t="s">
        <v>171</v>
      </c>
      <c r="X58"/>
      <c r="Y58">
        <v>1</v>
      </c>
      <c r="Z58" t="s">
        <v>173</v>
      </c>
      <c r="AA58" t="s">
        <v>173</v>
      </c>
      <c r="AB58" t="s">
        <v>170</v>
      </c>
      <c r="AC58" t="s">
        <v>232</v>
      </c>
      <c r="AD58"/>
      <c r="AE58"/>
      <c r="AF58">
        <v>312</v>
      </c>
      <c r="AG58" t="s">
        <v>1392</v>
      </c>
      <c r="AH58" t="s">
        <v>1393</v>
      </c>
      <c r="AI58" t="s">
        <v>1399</v>
      </c>
      <c r="AJ58" t="s">
        <v>1400</v>
      </c>
      <c r="AK58" t="s">
        <v>664</v>
      </c>
      <c r="AL58" t="s">
        <v>665</v>
      </c>
      <c r="AM58"/>
      <c r="AN58"/>
      <c r="AO58"/>
      <c r="AP58"/>
      <c r="AQ58"/>
      <c r="AR58"/>
      <c r="AS58">
        <v>900</v>
      </c>
      <c r="AT58">
        <v>900</v>
      </c>
      <c r="AU58"/>
      <c r="AV58"/>
      <c r="AW58"/>
      <c r="AX58"/>
      <c r="AY58"/>
      <c r="AZ58"/>
      <c r="BA58"/>
      <c r="BB58"/>
      <c r="BC58"/>
      <c r="BD58"/>
      <c r="BE58"/>
      <c r="BF58"/>
      <c r="BG58"/>
      <c r="BH58"/>
      <c r="BI58"/>
      <c r="BJ58"/>
      <c r="BK58"/>
      <c r="BL58"/>
      <c r="BM58"/>
      <c r="BN58" s="114"/>
      <c r="BO58"/>
      <c r="BP58"/>
      <c r="BQ58">
        <v>33</v>
      </c>
      <c r="BR58" t="s">
        <v>1062</v>
      </c>
      <c r="BS58"/>
      <c r="BT58" t="s">
        <v>1402</v>
      </c>
      <c r="BU58" s="115">
        <v>45748</v>
      </c>
      <c r="BV58">
        <v>36345</v>
      </c>
      <c r="BW58" s="116"/>
      <c r="BX58" t="s">
        <v>172</v>
      </c>
      <c r="BY58" t="s">
        <v>173</v>
      </c>
      <c r="BZ58"/>
      <c r="CA58"/>
      <c r="CB58" t="s">
        <v>173</v>
      </c>
      <c r="CC58" t="s">
        <v>173</v>
      </c>
      <c r="CD58"/>
      <c r="CE58"/>
      <c r="CF58"/>
      <c r="CG58"/>
      <c r="CH58"/>
      <c r="CI58"/>
      <c r="CJ58"/>
      <c r="CK58" t="s">
        <v>259</v>
      </c>
      <c r="CL58"/>
      <c r="CM58">
        <v>1</v>
      </c>
      <c r="CN58" t="s">
        <v>260</v>
      </c>
      <c r="CO58"/>
      <c r="CP58">
        <v>332</v>
      </c>
      <c r="CQ58">
        <v>303</v>
      </c>
      <c r="CR58">
        <v>170</v>
      </c>
      <c r="CS58" t="s">
        <v>261</v>
      </c>
      <c r="CT58"/>
      <c r="CU58"/>
      <c r="CV58" t="s">
        <v>262</v>
      </c>
      <c r="CW58"/>
      <c r="CX58" t="s">
        <v>263</v>
      </c>
      <c r="CY58" t="s">
        <v>172</v>
      </c>
      <c r="CZ58"/>
      <c r="DA58"/>
      <c r="DB58"/>
      <c r="DC58" t="s">
        <v>1412</v>
      </c>
      <c r="DD58">
        <v>2</v>
      </c>
      <c r="DE58" t="s">
        <v>307</v>
      </c>
      <c r="DF58" t="s">
        <v>308</v>
      </c>
      <c r="DG58" t="s">
        <v>1413</v>
      </c>
      <c r="DH58"/>
      <c r="DI58"/>
      <c r="DJ58"/>
      <c r="DK58"/>
      <c r="DL58" t="s">
        <v>173</v>
      </c>
      <c r="DM58" t="s">
        <v>172</v>
      </c>
      <c r="DN58"/>
      <c r="DO58"/>
      <c r="DP58" t="s">
        <v>173</v>
      </c>
      <c r="DQ58" t="s">
        <v>189</v>
      </c>
      <c r="DR58"/>
      <c r="DS58"/>
      <c r="DT58"/>
      <c r="DU58"/>
      <c r="DV58"/>
      <c r="DW58"/>
      <c r="DX58"/>
      <c r="DY58"/>
      <c r="DZ58"/>
      <c r="EA58" s="117"/>
      <c r="EB58">
        <v>9</v>
      </c>
      <c r="EC58">
        <v>10</v>
      </c>
      <c r="ED58"/>
      <c r="EE58" t="s">
        <v>1414</v>
      </c>
      <c r="EF58">
        <v>10</v>
      </c>
      <c r="EG58"/>
      <c r="EH58"/>
      <c r="EI58"/>
      <c r="EJ58"/>
      <c r="EK58"/>
      <c r="EL58"/>
      <c r="EM58"/>
      <c r="EN58"/>
      <c r="EO58"/>
      <c r="EP58"/>
      <c r="EQ58"/>
      <c r="ER58"/>
      <c r="ES58"/>
      <c r="ET58"/>
      <c r="EU58">
        <v>4000</v>
      </c>
      <c r="EV58"/>
      <c r="EW58">
        <v>0</v>
      </c>
      <c r="EX58">
        <v>0</v>
      </c>
      <c r="EY58">
        <v>0</v>
      </c>
      <c r="EZ58"/>
      <c r="FA58">
        <v>10</v>
      </c>
      <c r="FB58"/>
      <c r="FC58"/>
      <c r="FD58"/>
      <c r="FE58"/>
      <c r="FF58"/>
      <c r="FG58" s="94">
        <v>314</v>
      </c>
      <c r="FH58" s="94">
        <v>310</v>
      </c>
      <c r="FI58" s="94">
        <v>312</v>
      </c>
    </row>
    <row r="59" spans="1:165" s="66" customFormat="1" x14ac:dyDescent="0.35">
      <c r="A59" s="19"/>
      <c r="B59" s="19"/>
      <c r="C59" s="19"/>
      <c r="D59" s="19"/>
      <c r="E59" s="19"/>
      <c r="F59" s="128"/>
      <c r="G59" s="19"/>
      <c r="H59" s="19"/>
      <c r="I59" s="19"/>
      <c r="J59" s="19"/>
      <c r="K59" s="19" t="str">
        <f>_xlfn.CONCAT(A60," ",C60," ",D60)</f>
        <v>2026 BMW iX xDrive45 (21'' Wheels)</v>
      </c>
      <c r="L59" s="19"/>
      <c r="M59" s="19"/>
      <c r="N59" s="19"/>
      <c r="O59" s="19"/>
      <c r="P59" s="19"/>
      <c r="Q59" s="19"/>
      <c r="R59" s="19"/>
      <c r="S59" s="19"/>
      <c r="T59" s="19"/>
      <c r="U59" s="19"/>
      <c r="V59" s="19"/>
      <c r="W59" s="19"/>
      <c r="X59" s="19"/>
      <c r="Y59" s="19"/>
      <c r="Z59" s="19"/>
      <c r="AA59" s="19"/>
      <c r="AB59" s="19" t="str">
        <f>$K59</f>
        <v>2026 BMW iX xDrive45 (21'' Wheels)</v>
      </c>
      <c r="AC59" s="19"/>
      <c r="AD59" s="19"/>
      <c r="AE59" s="19"/>
      <c r="AF59" s="19"/>
      <c r="AG59" s="19"/>
      <c r="AH59" s="19"/>
      <c r="AI59" s="19"/>
      <c r="AJ59" s="19"/>
      <c r="AK59" s="19"/>
      <c r="AL59" s="19"/>
      <c r="AM59" s="19"/>
      <c r="AN59" s="19"/>
      <c r="AO59" s="19"/>
      <c r="AP59" s="19"/>
      <c r="AQ59" s="19"/>
      <c r="AR59" s="19" t="str">
        <f>$K59</f>
        <v>2026 BMW iX xDrive45 (21'' Wheels)</v>
      </c>
      <c r="AS59" s="19"/>
      <c r="AT59" s="19"/>
      <c r="AU59" s="19"/>
      <c r="AV59" s="19"/>
      <c r="AW59" s="19"/>
      <c r="AX59" s="19"/>
      <c r="AY59" s="19"/>
      <c r="AZ59" s="19"/>
      <c r="BA59" s="19"/>
      <c r="BB59" s="19"/>
      <c r="BC59" s="19"/>
      <c r="BD59" s="19"/>
      <c r="BE59" s="19"/>
      <c r="BF59" s="19"/>
      <c r="BG59" s="19" t="str">
        <f>$K59</f>
        <v>2026 BMW iX xDrive45 (21'' Wheels)</v>
      </c>
      <c r="BH59" s="19"/>
      <c r="BI59" s="19"/>
      <c r="BJ59" s="19"/>
      <c r="BK59" s="19"/>
      <c r="BL59" s="19"/>
      <c r="BM59" s="129"/>
      <c r="BN59" s="19"/>
      <c r="BO59" s="19"/>
      <c r="BP59" s="19"/>
      <c r="BQ59" s="19"/>
      <c r="BR59" s="19"/>
      <c r="BS59" s="19"/>
      <c r="BT59" s="130"/>
      <c r="BU59" s="19"/>
      <c r="BV59" s="19"/>
      <c r="BW59" s="116"/>
      <c r="BX59" s="19"/>
      <c r="BY59" s="19"/>
      <c r="BZ59" s="19"/>
      <c r="CA59" s="19"/>
      <c r="CB59" s="19"/>
      <c r="CC59" s="19"/>
      <c r="CD59" s="19"/>
      <c r="CE59" s="19"/>
      <c r="CF59" s="19"/>
      <c r="CG59" s="19"/>
      <c r="CH59" s="19"/>
      <c r="CI59" s="19"/>
      <c r="CJ59" s="19"/>
      <c r="CK59" s="19"/>
      <c r="CL59" s="19"/>
      <c r="CM59" s="19" t="str">
        <f>$K59</f>
        <v>2026 BMW iX xDrive45 (21'' Wheels)</v>
      </c>
      <c r="CN59" s="19"/>
      <c r="CO59" s="19"/>
      <c r="CP59" s="19"/>
      <c r="CQ59" s="19"/>
      <c r="CR59" s="19"/>
      <c r="CS59" s="19"/>
      <c r="CT59" s="19"/>
      <c r="CU59" s="19"/>
      <c r="CV59" s="19"/>
      <c r="CW59" s="19"/>
      <c r="CX59" s="19"/>
      <c r="CY59" s="19"/>
      <c r="CZ59" s="19"/>
      <c r="DA59" s="19"/>
      <c r="DB59" s="19"/>
      <c r="DC59" s="19"/>
      <c r="DD59" s="19" t="str">
        <f>$K59</f>
        <v>2026 BMW iX xDrive45 (21'' Wheels)</v>
      </c>
      <c r="DE59" s="19"/>
      <c r="DF59" s="19"/>
      <c r="DG59" s="19"/>
      <c r="DH59" s="19"/>
      <c r="DI59" s="19"/>
      <c r="DJ59" s="19"/>
      <c r="DK59" s="19"/>
      <c r="DL59" s="19"/>
      <c r="DM59" s="19"/>
      <c r="DN59" s="19"/>
      <c r="DO59" s="19"/>
      <c r="DP59" s="19"/>
      <c r="DQ59" s="19"/>
      <c r="DR59" s="19"/>
      <c r="DS59" s="19"/>
      <c r="DT59" s="19"/>
      <c r="DU59" s="19" t="str">
        <f>$K59</f>
        <v>2026 BMW iX xDrive45 (21'' Wheels)</v>
      </c>
      <c r="DV59" s="19"/>
      <c r="DW59" s="19"/>
      <c r="DX59" s="19"/>
      <c r="DY59" s="19"/>
      <c r="DZ59" s="19"/>
      <c r="EA59" s="117"/>
      <c r="EB59" s="19"/>
      <c r="EC59" s="19"/>
      <c r="ED59" s="19"/>
      <c r="EE59" s="19"/>
      <c r="EF59" s="19"/>
      <c r="EG59"/>
      <c r="EH59"/>
      <c r="EI59"/>
      <c r="EJ59"/>
      <c r="EK59"/>
      <c r="EL59"/>
      <c r="EM59"/>
      <c r="EN59"/>
      <c r="EO59"/>
      <c r="EP59"/>
      <c r="EQ59"/>
      <c r="ER59"/>
      <c r="ES59"/>
      <c r="ET59"/>
      <c r="EU59"/>
      <c r="EV59"/>
      <c r="EW59"/>
      <c r="EX59" s="19" t="s">
        <v>1951</v>
      </c>
      <c r="EY59"/>
      <c r="EZ59"/>
      <c r="FA59"/>
      <c r="FB59"/>
      <c r="FC59"/>
      <c r="FD59"/>
      <c r="FE59"/>
      <c r="FF59"/>
      <c r="FG59"/>
      <c r="FH59"/>
      <c r="FI59"/>
    </row>
    <row r="60" spans="1:165" s="66" customFormat="1" x14ac:dyDescent="0.35">
      <c r="A60">
        <v>2026</v>
      </c>
      <c r="B60" t="s">
        <v>192</v>
      </c>
      <c r="C60" s="112" t="s">
        <v>192</v>
      </c>
      <c r="D60" t="s">
        <v>1415</v>
      </c>
      <c r="E60" t="s">
        <v>194</v>
      </c>
      <c r="F60">
        <v>111</v>
      </c>
      <c r="G60" s="113">
        <v>0</v>
      </c>
      <c r="H60"/>
      <c r="I60" t="s">
        <v>1391</v>
      </c>
      <c r="J60">
        <v>91</v>
      </c>
      <c r="K60">
        <v>88</v>
      </c>
      <c r="L60">
        <v>89</v>
      </c>
      <c r="M60">
        <v>129.30000000000001</v>
      </c>
      <c r="N60">
        <v>125.7</v>
      </c>
      <c r="O60">
        <v>127.65479999999999</v>
      </c>
      <c r="P60">
        <v>90.51</v>
      </c>
      <c r="Q60">
        <v>87.99</v>
      </c>
      <c r="R60">
        <v>89.358400000000003</v>
      </c>
      <c r="S60"/>
      <c r="T60"/>
      <c r="U60"/>
      <c r="V60" t="s">
        <v>170</v>
      </c>
      <c r="W60" t="s">
        <v>171</v>
      </c>
      <c r="X60"/>
      <c r="Y60">
        <v>1</v>
      </c>
      <c r="Z60" t="s">
        <v>173</v>
      </c>
      <c r="AA60" t="s">
        <v>173</v>
      </c>
      <c r="AB60" t="s">
        <v>170</v>
      </c>
      <c r="AC60" t="s">
        <v>232</v>
      </c>
      <c r="AD60"/>
      <c r="AE60"/>
      <c r="AF60">
        <v>297</v>
      </c>
      <c r="AG60" t="s">
        <v>1392</v>
      </c>
      <c r="AH60" t="s">
        <v>1393</v>
      </c>
      <c r="AI60" t="s">
        <v>178</v>
      </c>
      <c r="AJ60" t="s">
        <v>179</v>
      </c>
      <c r="AK60" t="s">
        <v>664</v>
      </c>
      <c r="AL60" t="s">
        <v>665</v>
      </c>
      <c r="AM60"/>
      <c r="AN60"/>
      <c r="AO60"/>
      <c r="AP60"/>
      <c r="AQ60"/>
      <c r="AR60"/>
      <c r="AS60">
        <v>950</v>
      </c>
      <c r="AT60">
        <v>950</v>
      </c>
      <c r="AU60"/>
      <c r="AV60"/>
      <c r="AW60"/>
      <c r="AX60"/>
      <c r="AY60"/>
      <c r="AZ60"/>
      <c r="BA60"/>
      <c r="BB60"/>
      <c r="BC60"/>
      <c r="BD60"/>
      <c r="BE60"/>
      <c r="BF60"/>
      <c r="BG60"/>
      <c r="BH60"/>
      <c r="BI60"/>
      <c r="BJ60"/>
      <c r="BK60"/>
      <c r="BL60"/>
      <c r="BM60"/>
      <c r="BN60" s="114"/>
      <c r="BO60"/>
      <c r="BP60"/>
      <c r="BQ60">
        <v>33</v>
      </c>
      <c r="BR60" t="s">
        <v>1062</v>
      </c>
      <c r="BS60"/>
      <c r="BT60" t="s">
        <v>1402</v>
      </c>
      <c r="BU60" s="115">
        <v>45748</v>
      </c>
      <c r="BV60">
        <v>36346</v>
      </c>
      <c r="BW60" s="116"/>
      <c r="BX60" t="s">
        <v>172</v>
      </c>
      <c r="BY60" t="s">
        <v>173</v>
      </c>
      <c r="BZ60"/>
      <c r="CA60"/>
      <c r="CB60" t="s">
        <v>173</v>
      </c>
      <c r="CC60" t="s">
        <v>173</v>
      </c>
      <c r="CD60"/>
      <c r="CE60"/>
      <c r="CF60"/>
      <c r="CG60"/>
      <c r="CH60"/>
      <c r="CI60"/>
      <c r="CJ60"/>
      <c r="CK60" t="s">
        <v>259</v>
      </c>
      <c r="CL60"/>
      <c r="CM60">
        <v>1</v>
      </c>
      <c r="CN60" t="s">
        <v>260</v>
      </c>
      <c r="CO60"/>
      <c r="CP60">
        <v>332</v>
      </c>
      <c r="CQ60">
        <v>303</v>
      </c>
      <c r="CR60">
        <v>170</v>
      </c>
      <c r="CS60" t="s">
        <v>261</v>
      </c>
      <c r="CT60"/>
      <c r="CU60"/>
      <c r="CV60" t="s">
        <v>262</v>
      </c>
      <c r="CW60"/>
      <c r="CX60" t="s">
        <v>263</v>
      </c>
      <c r="CY60" t="s">
        <v>172</v>
      </c>
      <c r="CZ60"/>
      <c r="DA60"/>
      <c r="DB60"/>
      <c r="DC60" t="s">
        <v>1412</v>
      </c>
      <c r="DD60">
        <v>2</v>
      </c>
      <c r="DE60" t="s">
        <v>307</v>
      </c>
      <c r="DF60" t="s">
        <v>308</v>
      </c>
      <c r="DG60" t="s">
        <v>1413</v>
      </c>
      <c r="DH60"/>
      <c r="DI60"/>
      <c r="DJ60"/>
      <c r="DK60"/>
      <c r="DL60" t="s">
        <v>173</v>
      </c>
      <c r="DM60" t="s">
        <v>172</v>
      </c>
      <c r="DN60"/>
      <c r="DO60"/>
      <c r="DP60" t="s">
        <v>173</v>
      </c>
      <c r="DQ60" t="s">
        <v>189</v>
      </c>
      <c r="DR60"/>
      <c r="DS60"/>
      <c r="DT60"/>
      <c r="DU60"/>
      <c r="DV60"/>
      <c r="DW60"/>
      <c r="DX60"/>
      <c r="DY60"/>
      <c r="DZ60"/>
      <c r="EA60" s="117"/>
      <c r="EB60">
        <v>9</v>
      </c>
      <c r="EC60">
        <v>10</v>
      </c>
      <c r="ED60"/>
      <c r="EE60" t="s">
        <v>1414</v>
      </c>
      <c r="EF60">
        <v>10</v>
      </c>
      <c r="EG60"/>
      <c r="EH60"/>
      <c r="EI60"/>
      <c r="EJ60"/>
      <c r="EK60"/>
      <c r="EL60"/>
      <c r="EM60"/>
      <c r="EN60"/>
      <c r="EO60"/>
      <c r="EP60"/>
      <c r="EQ60"/>
      <c r="ER60"/>
      <c r="ES60"/>
      <c r="ET60"/>
      <c r="EU60">
        <v>3750</v>
      </c>
      <c r="EV60"/>
      <c r="EW60">
        <v>0</v>
      </c>
      <c r="EX60">
        <v>0</v>
      </c>
      <c r="EY60">
        <v>0</v>
      </c>
      <c r="EZ60"/>
      <c r="FA60">
        <v>10</v>
      </c>
      <c r="FB60"/>
      <c r="FC60"/>
      <c r="FD60"/>
      <c r="FE60"/>
      <c r="FF60"/>
      <c r="FG60" s="94">
        <v>301</v>
      </c>
      <c r="FH60" s="94">
        <v>292</v>
      </c>
      <c r="FI60" s="94">
        <v>297</v>
      </c>
    </row>
    <row r="61" spans="1:165" s="66" customFormat="1" x14ac:dyDescent="0.35">
      <c r="A61">
        <v>2026</v>
      </c>
      <c r="B61" t="s">
        <v>192</v>
      </c>
      <c r="C61" s="112" t="s">
        <v>192</v>
      </c>
      <c r="D61" t="s">
        <v>1415</v>
      </c>
      <c r="E61" t="s">
        <v>194</v>
      </c>
      <c r="F61">
        <v>111</v>
      </c>
      <c r="G61" s="113">
        <v>0</v>
      </c>
      <c r="H61"/>
      <c r="I61" t="s">
        <v>1391</v>
      </c>
      <c r="J61">
        <v>37</v>
      </c>
      <c r="K61">
        <v>38</v>
      </c>
      <c r="L61">
        <v>38</v>
      </c>
      <c r="M61">
        <v>26.062200000000001</v>
      </c>
      <c r="N61">
        <v>26.804600000000001</v>
      </c>
      <c r="O61">
        <v>26.3963</v>
      </c>
      <c r="P61">
        <v>37.238999999999997</v>
      </c>
      <c r="Q61">
        <v>38.305500000000002</v>
      </c>
      <c r="R61">
        <v>37.718899999999998</v>
      </c>
      <c r="S61"/>
      <c r="T61"/>
      <c r="U61"/>
      <c r="V61" t="s">
        <v>170</v>
      </c>
      <c r="W61" t="s">
        <v>171</v>
      </c>
      <c r="X61"/>
      <c r="Y61">
        <v>1</v>
      </c>
      <c r="Z61" t="s">
        <v>173</v>
      </c>
      <c r="AA61" t="s">
        <v>173</v>
      </c>
      <c r="AB61" t="s">
        <v>170</v>
      </c>
      <c r="AC61" t="s">
        <v>232</v>
      </c>
      <c r="AD61"/>
      <c r="AE61"/>
      <c r="AF61">
        <v>297</v>
      </c>
      <c r="AG61" t="s">
        <v>1392</v>
      </c>
      <c r="AH61" t="s">
        <v>1393</v>
      </c>
      <c r="AI61" t="s">
        <v>1399</v>
      </c>
      <c r="AJ61" t="s">
        <v>1400</v>
      </c>
      <c r="AK61" t="s">
        <v>664</v>
      </c>
      <c r="AL61" t="s">
        <v>665</v>
      </c>
      <c r="AM61"/>
      <c r="AN61"/>
      <c r="AO61"/>
      <c r="AP61"/>
      <c r="AQ61"/>
      <c r="AR61"/>
      <c r="AS61">
        <v>950</v>
      </c>
      <c r="AT61">
        <v>950</v>
      </c>
      <c r="AU61"/>
      <c r="AV61"/>
      <c r="AW61"/>
      <c r="AX61"/>
      <c r="AY61"/>
      <c r="AZ61"/>
      <c r="BA61"/>
      <c r="BB61"/>
      <c r="BC61"/>
      <c r="BD61"/>
      <c r="BE61"/>
      <c r="BF61"/>
      <c r="BG61"/>
      <c r="BH61"/>
      <c r="BI61"/>
      <c r="BJ61"/>
      <c r="BK61"/>
      <c r="BL61"/>
      <c r="BM61"/>
      <c r="BN61" s="114"/>
      <c r="BO61"/>
      <c r="BP61"/>
      <c r="BQ61">
        <v>33</v>
      </c>
      <c r="BR61" t="s">
        <v>1062</v>
      </c>
      <c r="BS61"/>
      <c r="BT61" t="s">
        <v>1402</v>
      </c>
      <c r="BU61" s="115">
        <v>45748</v>
      </c>
      <c r="BV61">
        <v>36346</v>
      </c>
      <c r="BW61" s="116"/>
      <c r="BX61" t="s">
        <v>172</v>
      </c>
      <c r="BY61" t="s">
        <v>173</v>
      </c>
      <c r="BZ61"/>
      <c r="CA61"/>
      <c r="CB61" t="s">
        <v>173</v>
      </c>
      <c r="CC61" t="s">
        <v>173</v>
      </c>
      <c r="CD61"/>
      <c r="CE61"/>
      <c r="CF61"/>
      <c r="CG61"/>
      <c r="CH61"/>
      <c r="CI61"/>
      <c r="CJ61"/>
      <c r="CK61" t="s">
        <v>259</v>
      </c>
      <c r="CL61"/>
      <c r="CM61">
        <v>1</v>
      </c>
      <c r="CN61" t="s">
        <v>260</v>
      </c>
      <c r="CO61"/>
      <c r="CP61">
        <v>332</v>
      </c>
      <c r="CQ61">
        <v>303</v>
      </c>
      <c r="CR61">
        <v>170</v>
      </c>
      <c r="CS61" t="s">
        <v>261</v>
      </c>
      <c r="CT61"/>
      <c r="CU61"/>
      <c r="CV61" t="s">
        <v>262</v>
      </c>
      <c r="CW61"/>
      <c r="CX61" t="s">
        <v>263</v>
      </c>
      <c r="CY61" t="s">
        <v>172</v>
      </c>
      <c r="CZ61"/>
      <c r="DA61"/>
      <c r="DB61"/>
      <c r="DC61" t="s">
        <v>1412</v>
      </c>
      <c r="DD61">
        <v>2</v>
      </c>
      <c r="DE61" t="s">
        <v>307</v>
      </c>
      <c r="DF61" t="s">
        <v>308</v>
      </c>
      <c r="DG61" t="s">
        <v>1413</v>
      </c>
      <c r="DH61"/>
      <c r="DI61"/>
      <c r="DJ61"/>
      <c r="DK61"/>
      <c r="DL61" t="s">
        <v>173</v>
      </c>
      <c r="DM61" t="s">
        <v>172</v>
      </c>
      <c r="DN61"/>
      <c r="DO61"/>
      <c r="DP61" t="s">
        <v>173</v>
      </c>
      <c r="DQ61" t="s">
        <v>189</v>
      </c>
      <c r="DR61"/>
      <c r="DS61"/>
      <c r="DT61"/>
      <c r="DU61"/>
      <c r="DV61"/>
      <c r="DW61"/>
      <c r="DX61"/>
      <c r="DY61"/>
      <c r="DZ61"/>
      <c r="EA61" s="117"/>
      <c r="EB61">
        <v>9</v>
      </c>
      <c r="EC61">
        <v>10</v>
      </c>
      <c r="ED61"/>
      <c r="EE61" t="s">
        <v>1414</v>
      </c>
      <c r="EF61">
        <v>10</v>
      </c>
      <c r="EG61"/>
      <c r="EH61"/>
      <c r="EI61"/>
      <c r="EJ61"/>
      <c r="EK61"/>
      <c r="EL61"/>
      <c r="EM61"/>
      <c r="EN61"/>
      <c r="EO61"/>
      <c r="EP61"/>
      <c r="EQ61"/>
      <c r="ER61"/>
      <c r="ES61"/>
      <c r="ET61"/>
      <c r="EU61">
        <v>3750</v>
      </c>
      <c r="EV61"/>
      <c r="EW61">
        <v>0</v>
      </c>
      <c r="EX61">
        <v>0</v>
      </c>
      <c r="EY61">
        <v>0</v>
      </c>
      <c r="EZ61"/>
      <c r="FA61">
        <v>10</v>
      </c>
      <c r="FB61"/>
      <c r="FC61"/>
      <c r="FD61"/>
      <c r="FE61"/>
      <c r="FF61"/>
      <c r="FG61" s="94">
        <v>301</v>
      </c>
      <c r="FH61" s="94">
        <v>292</v>
      </c>
      <c r="FI61" s="94">
        <v>297</v>
      </c>
    </row>
    <row r="62" spans="1:165" s="66" customFormat="1" x14ac:dyDescent="0.35">
      <c r="A62" s="19"/>
      <c r="B62" s="19"/>
      <c r="C62" s="19"/>
      <c r="D62" s="19"/>
      <c r="E62" s="19"/>
      <c r="F62" s="128"/>
      <c r="G62" s="19"/>
      <c r="H62" s="19"/>
      <c r="I62" s="19"/>
      <c r="J62" s="19"/>
      <c r="K62" s="19" t="str">
        <f>_xlfn.CONCAT(A63," ",C63," ",D63)</f>
        <v>2026 BMW iX xDrive45 (22'' Wheels)</v>
      </c>
      <c r="L62" s="19"/>
      <c r="M62" s="19"/>
      <c r="N62" s="19"/>
      <c r="O62" s="19"/>
      <c r="P62" s="19"/>
      <c r="Q62" s="19"/>
      <c r="R62" s="19"/>
      <c r="S62" s="19"/>
      <c r="T62" s="19"/>
      <c r="U62" s="19"/>
      <c r="V62" s="19"/>
      <c r="W62" s="19"/>
      <c r="X62" s="19"/>
      <c r="Y62" s="19"/>
      <c r="Z62" s="19"/>
      <c r="AA62" s="19"/>
      <c r="AB62" s="19" t="str">
        <f>$K62</f>
        <v>2026 BMW iX xDrive45 (22'' Wheels)</v>
      </c>
      <c r="AC62" s="19"/>
      <c r="AD62" s="19"/>
      <c r="AE62" s="19"/>
      <c r="AF62" s="19"/>
      <c r="AG62" s="19"/>
      <c r="AH62" s="19"/>
      <c r="AI62" s="19"/>
      <c r="AJ62" s="19"/>
      <c r="AK62" s="19"/>
      <c r="AL62" s="19"/>
      <c r="AM62" s="19"/>
      <c r="AN62" s="19"/>
      <c r="AO62" s="19"/>
      <c r="AP62" s="19"/>
      <c r="AQ62" s="19"/>
      <c r="AR62" s="19" t="str">
        <f>$K62</f>
        <v>2026 BMW iX xDrive45 (22'' Wheels)</v>
      </c>
      <c r="AS62" s="19"/>
      <c r="AT62" s="19"/>
      <c r="AU62" s="19"/>
      <c r="AV62" s="19"/>
      <c r="AW62" s="19"/>
      <c r="AX62" s="19"/>
      <c r="AY62" s="19"/>
      <c r="AZ62" s="19"/>
      <c r="BA62" s="19"/>
      <c r="BB62" s="19"/>
      <c r="BC62" s="19"/>
      <c r="BD62" s="19"/>
      <c r="BE62" s="19"/>
      <c r="BF62" s="19"/>
      <c r="BG62" s="19" t="str">
        <f>$K62</f>
        <v>2026 BMW iX xDrive45 (22'' Wheels)</v>
      </c>
      <c r="BH62" s="19"/>
      <c r="BI62" s="19"/>
      <c r="BJ62" s="19"/>
      <c r="BK62" s="19"/>
      <c r="BL62" s="19"/>
      <c r="BM62" s="129"/>
      <c r="BN62" s="19"/>
      <c r="BO62" s="19"/>
      <c r="BP62" s="19"/>
      <c r="BQ62" s="19"/>
      <c r="BR62" s="19"/>
      <c r="BS62" s="19"/>
      <c r="BT62" s="130"/>
      <c r="BU62" s="19"/>
      <c r="BV62" s="19"/>
      <c r="BW62" s="116"/>
      <c r="BX62" s="19"/>
      <c r="BY62" s="19"/>
      <c r="BZ62" s="19"/>
      <c r="CA62" s="19"/>
      <c r="CB62" s="19"/>
      <c r="CC62" s="19"/>
      <c r="CD62" s="19"/>
      <c r="CE62" s="19"/>
      <c r="CF62" s="19"/>
      <c r="CG62" s="19"/>
      <c r="CH62" s="19"/>
      <c r="CI62" s="19"/>
      <c r="CJ62" s="19"/>
      <c r="CK62" s="19"/>
      <c r="CL62" s="19"/>
      <c r="CM62" s="19" t="str">
        <f>$K62</f>
        <v>2026 BMW iX xDrive45 (22'' Wheels)</v>
      </c>
      <c r="CN62" s="19"/>
      <c r="CO62" s="19"/>
      <c r="CP62" s="19"/>
      <c r="CQ62" s="19"/>
      <c r="CR62" s="19"/>
      <c r="CS62" s="19"/>
      <c r="CT62" s="19"/>
      <c r="CU62" s="19"/>
      <c r="CV62" s="19"/>
      <c r="CW62" s="19"/>
      <c r="CX62" s="19"/>
      <c r="CY62" s="19"/>
      <c r="CZ62" s="19"/>
      <c r="DA62" s="19"/>
      <c r="DB62" s="19"/>
      <c r="DC62" s="19"/>
      <c r="DD62" s="19" t="str">
        <f>$K62</f>
        <v>2026 BMW iX xDrive45 (22'' Wheels)</v>
      </c>
      <c r="DE62" s="19"/>
      <c r="DF62" s="19"/>
      <c r="DG62" s="19"/>
      <c r="DH62" s="19"/>
      <c r="DI62" s="19"/>
      <c r="DJ62" s="19"/>
      <c r="DK62" s="19"/>
      <c r="DL62" s="19"/>
      <c r="DM62" s="19"/>
      <c r="DN62" s="19"/>
      <c r="DO62" s="19"/>
      <c r="DP62" s="19"/>
      <c r="DQ62" s="19"/>
      <c r="DR62" s="19"/>
      <c r="DS62" s="19"/>
      <c r="DT62" s="19"/>
      <c r="DU62" s="19" t="str">
        <f>$K62</f>
        <v>2026 BMW iX xDrive45 (22'' Wheels)</v>
      </c>
      <c r="DV62" s="19"/>
      <c r="DW62" s="19"/>
      <c r="DX62" s="19"/>
      <c r="DY62" s="19"/>
      <c r="DZ62" s="19"/>
      <c r="EA62" s="117"/>
      <c r="EB62" s="19"/>
      <c r="EC62" s="19"/>
      <c r="ED62" s="19"/>
      <c r="EE62" s="19"/>
      <c r="EF62" s="19"/>
      <c r="EG62"/>
      <c r="EH62"/>
      <c r="EI62"/>
      <c r="EJ62"/>
      <c r="EK62"/>
      <c r="EL62"/>
      <c r="EM62"/>
      <c r="EN62"/>
      <c r="EO62"/>
      <c r="EP62"/>
      <c r="EQ62"/>
      <c r="ER62"/>
      <c r="ES62"/>
      <c r="ET62"/>
      <c r="EU62"/>
      <c r="EV62"/>
      <c r="EW62"/>
      <c r="EX62" s="19" t="s">
        <v>1952</v>
      </c>
      <c r="EY62"/>
      <c r="EZ62"/>
      <c r="FA62"/>
      <c r="FB62"/>
      <c r="FC62"/>
      <c r="FD62"/>
      <c r="FE62"/>
      <c r="FF62"/>
      <c r="FG62"/>
      <c r="FH62"/>
      <c r="FI62"/>
    </row>
    <row r="63" spans="1:165" s="66" customFormat="1" x14ac:dyDescent="0.35">
      <c r="A63">
        <v>2026</v>
      </c>
      <c r="B63" t="s">
        <v>192</v>
      </c>
      <c r="C63" s="112" t="s">
        <v>192</v>
      </c>
      <c r="D63" t="s">
        <v>1416</v>
      </c>
      <c r="E63" t="s">
        <v>194</v>
      </c>
      <c r="F63">
        <v>112</v>
      </c>
      <c r="G63" s="113">
        <v>0</v>
      </c>
      <c r="H63"/>
      <c r="I63" t="s">
        <v>1391</v>
      </c>
      <c r="J63">
        <v>85</v>
      </c>
      <c r="K63">
        <v>82</v>
      </c>
      <c r="L63">
        <v>84</v>
      </c>
      <c r="M63">
        <v>121.6</v>
      </c>
      <c r="N63">
        <v>117.2</v>
      </c>
      <c r="O63">
        <v>119.57980000000001</v>
      </c>
      <c r="P63">
        <v>85.12</v>
      </c>
      <c r="Q63">
        <v>82.04</v>
      </c>
      <c r="R63">
        <v>83.7059</v>
      </c>
      <c r="S63"/>
      <c r="T63"/>
      <c r="U63"/>
      <c r="V63" t="s">
        <v>170</v>
      </c>
      <c r="W63" t="s">
        <v>171</v>
      </c>
      <c r="X63"/>
      <c r="Y63">
        <v>1</v>
      </c>
      <c r="Z63" t="s">
        <v>173</v>
      </c>
      <c r="AA63" t="s">
        <v>173</v>
      </c>
      <c r="AB63" t="s">
        <v>170</v>
      </c>
      <c r="AC63" t="s">
        <v>232</v>
      </c>
      <c r="AD63"/>
      <c r="AE63"/>
      <c r="AF63">
        <v>279</v>
      </c>
      <c r="AG63" t="s">
        <v>1392</v>
      </c>
      <c r="AH63" t="s">
        <v>1393</v>
      </c>
      <c r="AI63" t="s">
        <v>178</v>
      </c>
      <c r="AJ63" t="s">
        <v>179</v>
      </c>
      <c r="AK63" t="s">
        <v>664</v>
      </c>
      <c r="AL63" t="s">
        <v>665</v>
      </c>
      <c r="AM63"/>
      <c r="AN63"/>
      <c r="AO63"/>
      <c r="AP63"/>
      <c r="AQ63"/>
      <c r="AR63"/>
      <c r="AS63">
        <v>1050</v>
      </c>
      <c r="AT63">
        <v>1050</v>
      </c>
      <c r="AU63"/>
      <c r="AV63"/>
      <c r="AW63"/>
      <c r="AX63"/>
      <c r="AY63"/>
      <c r="AZ63"/>
      <c r="BA63"/>
      <c r="BB63"/>
      <c r="BC63"/>
      <c r="BD63"/>
      <c r="BE63"/>
      <c r="BF63"/>
      <c r="BG63"/>
      <c r="BH63"/>
      <c r="BI63"/>
      <c r="BJ63"/>
      <c r="BK63"/>
      <c r="BL63"/>
      <c r="BM63"/>
      <c r="BN63" s="114"/>
      <c r="BO63"/>
      <c r="BP63"/>
      <c r="BQ63">
        <v>33</v>
      </c>
      <c r="BR63" t="s">
        <v>1062</v>
      </c>
      <c r="BS63"/>
      <c r="BT63" t="s">
        <v>1402</v>
      </c>
      <c r="BU63" s="115">
        <v>45748</v>
      </c>
      <c r="BV63">
        <v>36347</v>
      </c>
      <c r="BW63" s="116"/>
      <c r="BX63" t="s">
        <v>172</v>
      </c>
      <c r="BY63" t="s">
        <v>173</v>
      </c>
      <c r="BZ63"/>
      <c r="CA63"/>
      <c r="CB63" t="s">
        <v>173</v>
      </c>
      <c r="CC63" t="s">
        <v>173</v>
      </c>
      <c r="CD63"/>
      <c r="CE63"/>
      <c r="CF63"/>
      <c r="CG63"/>
      <c r="CH63"/>
      <c r="CI63"/>
      <c r="CJ63"/>
      <c r="CK63" t="s">
        <v>259</v>
      </c>
      <c r="CL63"/>
      <c r="CM63">
        <v>1</v>
      </c>
      <c r="CN63" t="s">
        <v>260</v>
      </c>
      <c r="CO63"/>
      <c r="CP63">
        <v>332</v>
      </c>
      <c r="CQ63">
        <v>303</v>
      </c>
      <c r="CR63">
        <v>170</v>
      </c>
      <c r="CS63" t="s">
        <v>261</v>
      </c>
      <c r="CT63"/>
      <c r="CU63"/>
      <c r="CV63" t="s">
        <v>262</v>
      </c>
      <c r="CW63"/>
      <c r="CX63" t="s">
        <v>263</v>
      </c>
      <c r="CY63" t="s">
        <v>172</v>
      </c>
      <c r="CZ63"/>
      <c r="DA63"/>
      <c r="DB63"/>
      <c r="DC63" t="s">
        <v>1412</v>
      </c>
      <c r="DD63">
        <v>2</v>
      </c>
      <c r="DE63" t="s">
        <v>307</v>
      </c>
      <c r="DF63" t="s">
        <v>308</v>
      </c>
      <c r="DG63" t="s">
        <v>1413</v>
      </c>
      <c r="DH63"/>
      <c r="DI63"/>
      <c r="DJ63"/>
      <c r="DK63"/>
      <c r="DL63" t="s">
        <v>173</v>
      </c>
      <c r="DM63" t="s">
        <v>172</v>
      </c>
      <c r="DN63"/>
      <c r="DO63"/>
      <c r="DP63" t="s">
        <v>173</v>
      </c>
      <c r="DQ63" t="s">
        <v>189</v>
      </c>
      <c r="DR63"/>
      <c r="DS63"/>
      <c r="DT63"/>
      <c r="DU63"/>
      <c r="DV63"/>
      <c r="DW63"/>
      <c r="DX63"/>
      <c r="DY63"/>
      <c r="DZ63"/>
      <c r="EA63" s="117"/>
      <c r="EB63">
        <v>9</v>
      </c>
      <c r="EC63">
        <v>10</v>
      </c>
      <c r="ED63"/>
      <c r="EE63" t="s">
        <v>1414</v>
      </c>
      <c r="EF63">
        <v>10</v>
      </c>
      <c r="EG63"/>
      <c r="EH63"/>
      <c r="EI63"/>
      <c r="EJ63"/>
      <c r="EK63"/>
      <c r="EL63"/>
      <c r="EM63"/>
      <c r="EN63"/>
      <c r="EO63"/>
      <c r="EP63"/>
      <c r="EQ63"/>
      <c r="ER63"/>
      <c r="ES63"/>
      <c r="ET63"/>
      <c r="EU63">
        <v>3250</v>
      </c>
      <c r="EV63"/>
      <c r="EW63">
        <v>0</v>
      </c>
      <c r="EX63">
        <v>0</v>
      </c>
      <c r="EY63">
        <v>0</v>
      </c>
      <c r="EZ63"/>
      <c r="FA63">
        <v>10</v>
      </c>
      <c r="FB63"/>
      <c r="FC63"/>
      <c r="FD63"/>
      <c r="FE63"/>
      <c r="FF63"/>
      <c r="FG63" s="94">
        <v>284</v>
      </c>
      <c r="FH63" s="94">
        <v>273</v>
      </c>
      <c r="FI63" s="94">
        <v>279</v>
      </c>
    </row>
    <row r="64" spans="1:165" s="66" customFormat="1" x14ac:dyDescent="0.35">
      <c r="A64">
        <v>2026</v>
      </c>
      <c r="B64" t="s">
        <v>192</v>
      </c>
      <c r="C64" s="112" t="s">
        <v>192</v>
      </c>
      <c r="D64" t="s">
        <v>1416</v>
      </c>
      <c r="E64" t="s">
        <v>194</v>
      </c>
      <c r="F64">
        <v>112</v>
      </c>
      <c r="G64" s="113">
        <v>0</v>
      </c>
      <c r="H64"/>
      <c r="I64" t="s">
        <v>1391</v>
      </c>
      <c r="J64">
        <v>40</v>
      </c>
      <c r="K64">
        <v>41</v>
      </c>
      <c r="L64">
        <v>40</v>
      </c>
      <c r="M64">
        <v>27.71</v>
      </c>
      <c r="N64">
        <v>28.750699999999998</v>
      </c>
      <c r="O64">
        <v>28.1783</v>
      </c>
      <c r="P64">
        <v>39.597000000000001</v>
      </c>
      <c r="Q64">
        <v>41.083599999999997</v>
      </c>
      <c r="R64">
        <v>40.265999999999998</v>
      </c>
      <c r="S64"/>
      <c r="T64"/>
      <c r="U64"/>
      <c r="V64" t="s">
        <v>170</v>
      </c>
      <c r="W64" t="s">
        <v>171</v>
      </c>
      <c r="X64"/>
      <c r="Y64">
        <v>1</v>
      </c>
      <c r="Z64" t="s">
        <v>173</v>
      </c>
      <c r="AA64" t="s">
        <v>173</v>
      </c>
      <c r="AB64" t="s">
        <v>170</v>
      </c>
      <c r="AC64" t="s">
        <v>232</v>
      </c>
      <c r="AD64"/>
      <c r="AE64"/>
      <c r="AF64">
        <v>279</v>
      </c>
      <c r="AG64" t="s">
        <v>1392</v>
      </c>
      <c r="AH64" t="s">
        <v>1393</v>
      </c>
      <c r="AI64" t="s">
        <v>1399</v>
      </c>
      <c r="AJ64" t="s">
        <v>1400</v>
      </c>
      <c r="AK64" t="s">
        <v>664</v>
      </c>
      <c r="AL64" t="s">
        <v>665</v>
      </c>
      <c r="AM64"/>
      <c r="AN64"/>
      <c r="AO64"/>
      <c r="AP64"/>
      <c r="AQ64"/>
      <c r="AR64"/>
      <c r="AS64">
        <v>1050</v>
      </c>
      <c r="AT64">
        <v>1050</v>
      </c>
      <c r="AU64"/>
      <c r="AV64"/>
      <c r="AW64"/>
      <c r="AX64"/>
      <c r="AY64"/>
      <c r="AZ64"/>
      <c r="BA64"/>
      <c r="BB64"/>
      <c r="BC64"/>
      <c r="BD64"/>
      <c r="BE64"/>
      <c r="BF64"/>
      <c r="BG64"/>
      <c r="BH64"/>
      <c r="BI64"/>
      <c r="BJ64"/>
      <c r="BK64"/>
      <c r="BL64"/>
      <c r="BM64"/>
      <c r="BN64" s="114"/>
      <c r="BO64"/>
      <c r="BP64"/>
      <c r="BQ64">
        <v>33</v>
      </c>
      <c r="BR64" t="s">
        <v>1062</v>
      </c>
      <c r="BS64"/>
      <c r="BT64" t="s">
        <v>1402</v>
      </c>
      <c r="BU64" s="115">
        <v>45748</v>
      </c>
      <c r="BV64">
        <v>36347</v>
      </c>
      <c r="BW64" s="116"/>
      <c r="BX64" t="s">
        <v>172</v>
      </c>
      <c r="BY64" t="s">
        <v>173</v>
      </c>
      <c r="BZ64"/>
      <c r="CA64"/>
      <c r="CB64" t="s">
        <v>173</v>
      </c>
      <c r="CC64" t="s">
        <v>173</v>
      </c>
      <c r="CD64"/>
      <c r="CE64"/>
      <c r="CF64"/>
      <c r="CG64"/>
      <c r="CH64"/>
      <c r="CI64"/>
      <c r="CJ64"/>
      <c r="CK64" t="s">
        <v>259</v>
      </c>
      <c r="CL64"/>
      <c r="CM64">
        <v>1</v>
      </c>
      <c r="CN64" t="s">
        <v>260</v>
      </c>
      <c r="CO64"/>
      <c r="CP64">
        <v>332</v>
      </c>
      <c r="CQ64">
        <v>303</v>
      </c>
      <c r="CR64">
        <v>170</v>
      </c>
      <c r="CS64" t="s">
        <v>261</v>
      </c>
      <c r="CT64"/>
      <c r="CU64"/>
      <c r="CV64" t="s">
        <v>262</v>
      </c>
      <c r="CW64"/>
      <c r="CX64" t="s">
        <v>263</v>
      </c>
      <c r="CY64" t="s">
        <v>172</v>
      </c>
      <c r="CZ64"/>
      <c r="DA64"/>
      <c r="DB64"/>
      <c r="DC64" t="s">
        <v>1412</v>
      </c>
      <c r="DD64">
        <v>2</v>
      </c>
      <c r="DE64" t="s">
        <v>307</v>
      </c>
      <c r="DF64" t="s">
        <v>308</v>
      </c>
      <c r="DG64" t="s">
        <v>1413</v>
      </c>
      <c r="DH64"/>
      <c r="DI64"/>
      <c r="DJ64"/>
      <c r="DK64"/>
      <c r="DL64" t="s">
        <v>173</v>
      </c>
      <c r="DM64" t="s">
        <v>172</v>
      </c>
      <c r="DN64"/>
      <c r="DO64"/>
      <c r="DP64" t="s">
        <v>173</v>
      </c>
      <c r="DQ64" t="s">
        <v>189</v>
      </c>
      <c r="DR64"/>
      <c r="DS64"/>
      <c r="DT64"/>
      <c r="DU64"/>
      <c r="DV64"/>
      <c r="DW64"/>
      <c r="DX64"/>
      <c r="DY64"/>
      <c r="DZ64"/>
      <c r="EA64" s="117"/>
      <c r="EB64">
        <v>9</v>
      </c>
      <c r="EC64">
        <v>10</v>
      </c>
      <c r="ED64"/>
      <c r="EE64" t="s">
        <v>1414</v>
      </c>
      <c r="EF64">
        <v>10</v>
      </c>
      <c r="EG64"/>
      <c r="EH64"/>
      <c r="EI64"/>
      <c r="EJ64"/>
      <c r="EK64"/>
      <c r="EL64"/>
      <c r="EM64"/>
      <c r="EN64"/>
      <c r="EO64"/>
      <c r="EP64"/>
      <c r="EQ64"/>
      <c r="ER64"/>
      <c r="ES64"/>
      <c r="ET64"/>
      <c r="EU64">
        <v>3250</v>
      </c>
      <c r="EV64"/>
      <c r="EW64">
        <v>0</v>
      </c>
      <c r="EX64">
        <v>0</v>
      </c>
      <c r="EY64">
        <v>0</v>
      </c>
      <c r="EZ64"/>
      <c r="FA64">
        <v>10</v>
      </c>
      <c r="FB64"/>
      <c r="FC64"/>
      <c r="FD64"/>
      <c r="FE64"/>
      <c r="FF64"/>
      <c r="FG64" s="94">
        <v>284</v>
      </c>
      <c r="FH64" s="94">
        <v>273</v>
      </c>
      <c r="FI64" s="94">
        <v>279</v>
      </c>
    </row>
    <row r="65" spans="1:165" s="66" customFormat="1" x14ac:dyDescent="0.35">
      <c r="A65" s="19"/>
      <c r="B65" s="19"/>
      <c r="C65" s="19"/>
      <c r="D65" s="19"/>
      <c r="E65" s="19"/>
      <c r="F65" s="128"/>
      <c r="G65" s="19"/>
      <c r="H65" s="19"/>
      <c r="I65" s="19"/>
      <c r="J65" s="19"/>
      <c r="K65" s="19" t="str">
        <f>_xlfn.CONCAT(A66," ",C66," ",D66)</f>
        <v>2026 BMW iX xDrive45 (23'' Wheels)</v>
      </c>
      <c r="L65" s="19"/>
      <c r="M65" s="19"/>
      <c r="N65" s="19"/>
      <c r="O65" s="19"/>
      <c r="P65" s="19"/>
      <c r="Q65" s="19"/>
      <c r="R65" s="19"/>
      <c r="S65" s="19"/>
      <c r="T65" s="19"/>
      <c r="U65" s="19"/>
      <c r="V65" s="19"/>
      <c r="W65" s="19"/>
      <c r="X65" s="19"/>
      <c r="Y65" s="19"/>
      <c r="Z65" s="19"/>
      <c r="AA65" s="19"/>
      <c r="AB65" s="19" t="str">
        <f>$K65</f>
        <v>2026 BMW iX xDrive45 (23'' Wheels)</v>
      </c>
      <c r="AC65" s="19"/>
      <c r="AD65" s="19"/>
      <c r="AE65" s="19"/>
      <c r="AF65" s="19"/>
      <c r="AG65" s="19"/>
      <c r="AH65" s="19"/>
      <c r="AI65" s="19"/>
      <c r="AJ65" s="19"/>
      <c r="AK65" s="19"/>
      <c r="AL65" s="19"/>
      <c r="AM65" s="19"/>
      <c r="AN65" s="19"/>
      <c r="AO65" s="19"/>
      <c r="AP65" s="19"/>
      <c r="AQ65" s="19"/>
      <c r="AR65" s="19" t="str">
        <f>$K65</f>
        <v>2026 BMW iX xDrive45 (23'' Wheels)</v>
      </c>
      <c r="AS65" s="19"/>
      <c r="AT65" s="19"/>
      <c r="AU65" s="19"/>
      <c r="AV65" s="19"/>
      <c r="AW65" s="19"/>
      <c r="AX65" s="19"/>
      <c r="AY65" s="19"/>
      <c r="AZ65" s="19"/>
      <c r="BA65" s="19"/>
      <c r="BB65" s="19"/>
      <c r="BC65" s="19"/>
      <c r="BD65" s="19"/>
      <c r="BE65" s="19"/>
      <c r="BF65" s="19"/>
      <c r="BG65" s="19" t="str">
        <f>$K65</f>
        <v>2026 BMW iX xDrive45 (23'' Wheels)</v>
      </c>
      <c r="BH65" s="19"/>
      <c r="BI65" s="19"/>
      <c r="BJ65" s="19"/>
      <c r="BK65" s="19"/>
      <c r="BL65" s="19"/>
      <c r="BM65" s="129"/>
      <c r="BN65" s="19"/>
      <c r="BO65" s="19"/>
      <c r="BP65" s="19"/>
      <c r="BQ65" s="19"/>
      <c r="BR65" s="19"/>
      <c r="BS65" s="19"/>
      <c r="BT65" s="130"/>
      <c r="BU65" s="19"/>
      <c r="BV65" s="19"/>
      <c r="BW65" s="116"/>
      <c r="BX65" s="19"/>
      <c r="BY65" s="19"/>
      <c r="BZ65" s="19"/>
      <c r="CA65" s="19"/>
      <c r="CB65" s="19"/>
      <c r="CC65" s="19"/>
      <c r="CD65" s="19"/>
      <c r="CE65" s="19"/>
      <c r="CF65" s="19"/>
      <c r="CG65" s="19"/>
      <c r="CH65" s="19"/>
      <c r="CI65" s="19"/>
      <c r="CJ65" s="19"/>
      <c r="CK65" s="19"/>
      <c r="CL65" s="19"/>
      <c r="CM65" s="19" t="str">
        <f>$K65</f>
        <v>2026 BMW iX xDrive45 (23'' Wheels)</v>
      </c>
      <c r="CN65" s="19"/>
      <c r="CO65" s="19"/>
      <c r="CP65" s="19"/>
      <c r="CQ65" s="19"/>
      <c r="CR65" s="19"/>
      <c r="CS65" s="19"/>
      <c r="CT65" s="19"/>
      <c r="CU65" s="19"/>
      <c r="CV65" s="19"/>
      <c r="CW65" s="19"/>
      <c r="CX65" s="19"/>
      <c r="CY65" s="19"/>
      <c r="CZ65" s="19"/>
      <c r="DA65" s="19"/>
      <c r="DB65" s="19"/>
      <c r="DC65" s="19"/>
      <c r="DD65" s="19" t="str">
        <f>$K65</f>
        <v>2026 BMW iX xDrive45 (23'' Wheels)</v>
      </c>
      <c r="DE65" s="19"/>
      <c r="DF65" s="19"/>
      <c r="DG65" s="19"/>
      <c r="DH65" s="19"/>
      <c r="DI65" s="19"/>
      <c r="DJ65" s="19"/>
      <c r="DK65" s="19"/>
      <c r="DL65" s="19"/>
      <c r="DM65" s="19"/>
      <c r="DN65" s="19"/>
      <c r="DO65" s="19"/>
      <c r="DP65" s="19"/>
      <c r="DQ65" s="19"/>
      <c r="DR65" s="19"/>
      <c r="DS65" s="19"/>
      <c r="DT65" s="19"/>
      <c r="DU65" s="19" t="str">
        <f>$K65</f>
        <v>2026 BMW iX xDrive45 (23'' Wheels)</v>
      </c>
      <c r="DV65" s="19"/>
      <c r="DW65" s="19"/>
      <c r="DX65" s="19"/>
      <c r="DY65" s="19"/>
      <c r="DZ65" s="19"/>
      <c r="EA65" s="117"/>
      <c r="EB65" s="19"/>
      <c r="EC65" s="19"/>
      <c r="ED65" s="19"/>
      <c r="EE65" s="19"/>
      <c r="EF65" s="19"/>
      <c r="EG65"/>
      <c r="EH65"/>
      <c r="EI65"/>
      <c r="EJ65"/>
      <c r="EK65"/>
      <c r="EL65"/>
      <c r="EM65"/>
      <c r="EN65"/>
      <c r="EO65"/>
      <c r="EP65"/>
      <c r="EQ65"/>
      <c r="ER65"/>
      <c r="ES65"/>
      <c r="ET65"/>
      <c r="EU65"/>
      <c r="EV65"/>
      <c r="EW65"/>
      <c r="EX65" s="19" t="s">
        <v>1953</v>
      </c>
      <c r="EY65"/>
      <c r="EZ65"/>
      <c r="FA65"/>
      <c r="FB65"/>
      <c r="FC65"/>
      <c r="FD65"/>
      <c r="FE65"/>
      <c r="FF65"/>
      <c r="FG65"/>
      <c r="FH65"/>
      <c r="FI65"/>
    </row>
    <row r="66" spans="1:165" s="66" customFormat="1" x14ac:dyDescent="0.35">
      <c r="A66">
        <v>2026</v>
      </c>
      <c r="B66" t="s">
        <v>192</v>
      </c>
      <c r="C66" s="112" t="s">
        <v>192</v>
      </c>
      <c r="D66" t="s">
        <v>1417</v>
      </c>
      <c r="E66" t="s">
        <v>194</v>
      </c>
      <c r="F66">
        <v>113</v>
      </c>
      <c r="G66" s="113">
        <v>0</v>
      </c>
      <c r="H66"/>
      <c r="I66" t="s">
        <v>1391</v>
      </c>
      <c r="J66">
        <v>89</v>
      </c>
      <c r="K66">
        <v>85</v>
      </c>
      <c r="L66">
        <v>87</v>
      </c>
      <c r="M66">
        <v>126.7</v>
      </c>
      <c r="N66">
        <v>122.1</v>
      </c>
      <c r="O66">
        <v>124.5878</v>
      </c>
      <c r="P66">
        <v>88.69</v>
      </c>
      <c r="Q66">
        <v>85.47</v>
      </c>
      <c r="R66">
        <v>87.211500000000001</v>
      </c>
      <c r="S66"/>
      <c r="T66"/>
      <c r="U66"/>
      <c r="V66" t="s">
        <v>170</v>
      </c>
      <c r="W66" t="s">
        <v>171</v>
      </c>
      <c r="X66"/>
      <c r="Y66">
        <v>1</v>
      </c>
      <c r="Z66" t="s">
        <v>173</v>
      </c>
      <c r="AA66" t="s">
        <v>173</v>
      </c>
      <c r="AB66" t="s">
        <v>170</v>
      </c>
      <c r="AC66" t="s">
        <v>232</v>
      </c>
      <c r="AD66"/>
      <c r="AE66"/>
      <c r="AF66">
        <v>290</v>
      </c>
      <c r="AG66" t="s">
        <v>1392</v>
      </c>
      <c r="AH66" t="s">
        <v>1393</v>
      </c>
      <c r="AI66" t="s">
        <v>178</v>
      </c>
      <c r="AJ66" t="s">
        <v>179</v>
      </c>
      <c r="AK66" t="s">
        <v>664</v>
      </c>
      <c r="AL66" t="s">
        <v>665</v>
      </c>
      <c r="AM66"/>
      <c r="AN66"/>
      <c r="AO66"/>
      <c r="AP66"/>
      <c r="AQ66"/>
      <c r="AR66"/>
      <c r="AS66">
        <v>1000</v>
      </c>
      <c r="AT66">
        <v>1000</v>
      </c>
      <c r="AU66"/>
      <c r="AV66"/>
      <c r="AW66"/>
      <c r="AX66"/>
      <c r="AY66"/>
      <c r="AZ66"/>
      <c r="BA66"/>
      <c r="BB66"/>
      <c r="BC66"/>
      <c r="BD66"/>
      <c r="BE66"/>
      <c r="BF66"/>
      <c r="BG66"/>
      <c r="BH66"/>
      <c r="BI66"/>
      <c r="BJ66"/>
      <c r="BK66"/>
      <c r="BL66"/>
      <c r="BM66"/>
      <c r="BN66" s="114"/>
      <c r="BO66"/>
      <c r="BP66"/>
      <c r="BQ66">
        <v>33</v>
      </c>
      <c r="BR66" t="s">
        <v>1062</v>
      </c>
      <c r="BS66"/>
      <c r="BT66" t="s">
        <v>1402</v>
      </c>
      <c r="BU66" s="115">
        <v>45748</v>
      </c>
      <c r="BV66">
        <v>36348</v>
      </c>
      <c r="BW66" s="116"/>
      <c r="BX66" t="s">
        <v>172</v>
      </c>
      <c r="BY66" t="s">
        <v>173</v>
      </c>
      <c r="BZ66"/>
      <c r="CA66"/>
      <c r="CB66" t="s">
        <v>173</v>
      </c>
      <c r="CC66" t="s">
        <v>173</v>
      </c>
      <c r="CD66"/>
      <c r="CE66"/>
      <c r="CF66"/>
      <c r="CG66"/>
      <c r="CH66"/>
      <c r="CI66"/>
      <c r="CJ66"/>
      <c r="CK66" t="s">
        <v>259</v>
      </c>
      <c r="CL66"/>
      <c r="CM66">
        <v>1</v>
      </c>
      <c r="CN66" t="s">
        <v>260</v>
      </c>
      <c r="CO66"/>
      <c r="CP66">
        <v>332</v>
      </c>
      <c r="CQ66">
        <v>303</v>
      </c>
      <c r="CR66">
        <v>170</v>
      </c>
      <c r="CS66" t="s">
        <v>261</v>
      </c>
      <c r="CT66"/>
      <c r="CU66"/>
      <c r="CV66" t="s">
        <v>262</v>
      </c>
      <c r="CW66"/>
      <c r="CX66" t="s">
        <v>263</v>
      </c>
      <c r="CY66" t="s">
        <v>172</v>
      </c>
      <c r="CZ66"/>
      <c r="DA66"/>
      <c r="DB66"/>
      <c r="DC66" t="s">
        <v>1412</v>
      </c>
      <c r="DD66">
        <v>2</v>
      </c>
      <c r="DE66" t="s">
        <v>307</v>
      </c>
      <c r="DF66" t="s">
        <v>308</v>
      </c>
      <c r="DG66" t="s">
        <v>1413</v>
      </c>
      <c r="DH66"/>
      <c r="DI66"/>
      <c r="DJ66"/>
      <c r="DK66"/>
      <c r="DL66" t="s">
        <v>173</v>
      </c>
      <c r="DM66" t="s">
        <v>172</v>
      </c>
      <c r="DN66"/>
      <c r="DO66"/>
      <c r="DP66" t="s">
        <v>173</v>
      </c>
      <c r="DQ66" t="s">
        <v>189</v>
      </c>
      <c r="DR66"/>
      <c r="DS66"/>
      <c r="DT66"/>
      <c r="DU66"/>
      <c r="DV66"/>
      <c r="DW66"/>
      <c r="DX66"/>
      <c r="DY66"/>
      <c r="DZ66"/>
      <c r="EA66" s="117"/>
      <c r="EB66">
        <v>9</v>
      </c>
      <c r="EC66">
        <v>10</v>
      </c>
      <c r="ED66"/>
      <c r="EE66" t="s">
        <v>1414</v>
      </c>
      <c r="EF66">
        <v>10</v>
      </c>
      <c r="EG66"/>
      <c r="EH66"/>
      <c r="EI66"/>
      <c r="EJ66"/>
      <c r="EK66"/>
      <c r="EL66"/>
      <c r="EM66"/>
      <c r="EN66"/>
      <c r="EO66"/>
      <c r="EP66"/>
      <c r="EQ66"/>
      <c r="ER66"/>
      <c r="ES66"/>
      <c r="ET66"/>
      <c r="EU66">
        <v>3500</v>
      </c>
      <c r="EV66"/>
      <c r="EW66">
        <v>0</v>
      </c>
      <c r="EX66">
        <v>0</v>
      </c>
      <c r="EY66">
        <v>0</v>
      </c>
      <c r="EZ66"/>
      <c r="FA66">
        <v>10</v>
      </c>
      <c r="FB66"/>
      <c r="FC66"/>
      <c r="FD66"/>
      <c r="FE66"/>
      <c r="FF66"/>
      <c r="FG66" s="94">
        <v>295</v>
      </c>
      <c r="FH66" s="94">
        <v>284</v>
      </c>
      <c r="FI66" s="94">
        <v>290</v>
      </c>
    </row>
    <row r="67" spans="1:165" s="66" customFormat="1" x14ac:dyDescent="0.35">
      <c r="A67">
        <v>2026</v>
      </c>
      <c r="B67" t="s">
        <v>192</v>
      </c>
      <c r="C67" s="112" t="s">
        <v>192</v>
      </c>
      <c r="D67" t="s">
        <v>1417</v>
      </c>
      <c r="E67" t="s">
        <v>194</v>
      </c>
      <c r="F67">
        <v>113</v>
      </c>
      <c r="G67" s="113">
        <v>0</v>
      </c>
      <c r="H67"/>
      <c r="I67" t="s">
        <v>1391</v>
      </c>
      <c r="J67">
        <v>38</v>
      </c>
      <c r="K67">
        <v>39</v>
      </c>
      <c r="L67">
        <v>39</v>
      </c>
      <c r="M67">
        <v>26.607099999999999</v>
      </c>
      <c r="N67">
        <v>27.6112</v>
      </c>
      <c r="O67">
        <v>27.059000000000001</v>
      </c>
      <c r="P67">
        <v>38.0032</v>
      </c>
      <c r="Q67">
        <v>39.434899999999999</v>
      </c>
      <c r="R67">
        <v>38.647399999999998</v>
      </c>
      <c r="S67"/>
      <c r="T67"/>
      <c r="U67"/>
      <c r="V67" t="s">
        <v>170</v>
      </c>
      <c r="W67" t="s">
        <v>171</v>
      </c>
      <c r="X67"/>
      <c r="Y67">
        <v>1</v>
      </c>
      <c r="Z67" t="s">
        <v>173</v>
      </c>
      <c r="AA67" t="s">
        <v>173</v>
      </c>
      <c r="AB67" t="s">
        <v>170</v>
      </c>
      <c r="AC67" t="s">
        <v>232</v>
      </c>
      <c r="AD67"/>
      <c r="AE67"/>
      <c r="AF67">
        <v>290</v>
      </c>
      <c r="AG67" t="s">
        <v>1392</v>
      </c>
      <c r="AH67" t="s">
        <v>1393</v>
      </c>
      <c r="AI67" t="s">
        <v>1399</v>
      </c>
      <c r="AJ67" t="s">
        <v>1400</v>
      </c>
      <c r="AK67" t="s">
        <v>664</v>
      </c>
      <c r="AL67" t="s">
        <v>665</v>
      </c>
      <c r="AM67"/>
      <c r="AN67"/>
      <c r="AO67"/>
      <c r="AP67"/>
      <c r="AQ67"/>
      <c r="AR67"/>
      <c r="AS67">
        <v>1000</v>
      </c>
      <c r="AT67">
        <v>1000</v>
      </c>
      <c r="AU67"/>
      <c r="AV67"/>
      <c r="AW67"/>
      <c r="AX67"/>
      <c r="AY67"/>
      <c r="AZ67"/>
      <c r="BA67"/>
      <c r="BB67"/>
      <c r="BC67"/>
      <c r="BD67"/>
      <c r="BE67"/>
      <c r="BF67"/>
      <c r="BG67"/>
      <c r="BH67"/>
      <c r="BI67"/>
      <c r="BJ67"/>
      <c r="BK67"/>
      <c r="BL67"/>
      <c r="BM67"/>
      <c r="BN67" s="114"/>
      <c r="BO67"/>
      <c r="BP67"/>
      <c r="BQ67">
        <v>33</v>
      </c>
      <c r="BR67" t="s">
        <v>1062</v>
      </c>
      <c r="BS67"/>
      <c r="BT67" t="s">
        <v>1402</v>
      </c>
      <c r="BU67" s="115">
        <v>45748</v>
      </c>
      <c r="BV67">
        <v>36348</v>
      </c>
      <c r="BW67" s="116"/>
      <c r="BX67" t="s">
        <v>172</v>
      </c>
      <c r="BY67" t="s">
        <v>173</v>
      </c>
      <c r="BZ67"/>
      <c r="CA67"/>
      <c r="CB67" t="s">
        <v>173</v>
      </c>
      <c r="CC67" t="s">
        <v>173</v>
      </c>
      <c r="CD67"/>
      <c r="CE67"/>
      <c r="CF67"/>
      <c r="CG67"/>
      <c r="CH67"/>
      <c r="CI67"/>
      <c r="CJ67"/>
      <c r="CK67" t="s">
        <v>259</v>
      </c>
      <c r="CL67"/>
      <c r="CM67">
        <v>1</v>
      </c>
      <c r="CN67" t="s">
        <v>260</v>
      </c>
      <c r="CO67"/>
      <c r="CP67">
        <v>332</v>
      </c>
      <c r="CQ67">
        <v>303</v>
      </c>
      <c r="CR67">
        <v>170</v>
      </c>
      <c r="CS67" t="s">
        <v>261</v>
      </c>
      <c r="CT67"/>
      <c r="CU67"/>
      <c r="CV67" t="s">
        <v>262</v>
      </c>
      <c r="CW67"/>
      <c r="CX67" t="s">
        <v>263</v>
      </c>
      <c r="CY67" t="s">
        <v>172</v>
      </c>
      <c r="CZ67"/>
      <c r="DA67"/>
      <c r="DB67"/>
      <c r="DC67" t="s">
        <v>1412</v>
      </c>
      <c r="DD67">
        <v>2</v>
      </c>
      <c r="DE67" t="s">
        <v>307</v>
      </c>
      <c r="DF67" t="s">
        <v>308</v>
      </c>
      <c r="DG67" t="s">
        <v>1413</v>
      </c>
      <c r="DH67"/>
      <c r="DI67"/>
      <c r="DJ67"/>
      <c r="DK67"/>
      <c r="DL67" t="s">
        <v>173</v>
      </c>
      <c r="DM67" t="s">
        <v>172</v>
      </c>
      <c r="DN67"/>
      <c r="DO67"/>
      <c r="DP67" t="s">
        <v>173</v>
      </c>
      <c r="DQ67" t="s">
        <v>189</v>
      </c>
      <c r="DR67"/>
      <c r="DS67"/>
      <c r="DT67"/>
      <c r="DU67"/>
      <c r="DV67"/>
      <c r="DW67"/>
      <c r="DX67"/>
      <c r="DY67"/>
      <c r="DZ67"/>
      <c r="EA67" s="117"/>
      <c r="EB67">
        <v>9</v>
      </c>
      <c r="EC67">
        <v>10</v>
      </c>
      <c r="ED67"/>
      <c r="EE67" t="s">
        <v>1414</v>
      </c>
      <c r="EF67">
        <v>10</v>
      </c>
      <c r="EG67"/>
      <c r="EH67"/>
      <c r="EI67"/>
      <c r="EJ67"/>
      <c r="EK67"/>
      <c r="EL67"/>
      <c r="EM67"/>
      <c r="EN67"/>
      <c r="EO67"/>
      <c r="EP67"/>
      <c r="EQ67"/>
      <c r="ER67"/>
      <c r="ES67"/>
      <c r="ET67"/>
      <c r="EU67">
        <v>3500</v>
      </c>
      <c r="EV67"/>
      <c r="EW67">
        <v>0</v>
      </c>
      <c r="EX67">
        <v>0</v>
      </c>
      <c r="EY67">
        <v>0</v>
      </c>
      <c r="EZ67"/>
      <c r="FA67">
        <v>10</v>
      </c>
      <c r="FB67"/>
      <c r="FC67"/>
      <c r="FD67"/>
      <c r="FE67"/>
      <c r="FF67"/>
      <c r="FG67" s="94">
        <v>295</v>
      </c>
      <c r="FH67" s="94">
        <v>284</v>
      </c>
      <c r="FI67" s="94">
        <v>290</v>
      </c>
    </row>
    <row r="68" spans="1:165" s="66" customFormat="1" x14ac:dyDescent="0.35">
      <c r="A68" s="19"/>
      <c r="B68" s="19"/>
      <c r="C68" s="19"/>
      <c r="D68" s="19"/>
      <c r="E68" s="19"/>
      <c r="F68" s="128"/>
      <c r="G68" s="19"/>
      <c r="H68" s="19"/>
      <c r="I68" s="19"/>
      <c r="J68" s="19"/>
      <c r="K68" s="19" t="str">
        <f>_xlfn.CONCAT(A69," ",C69," ",D69)</f>
        <v>2026 BMW iX xDrive60 (20'' Wheels)</v>
      </c>
      <c r="L68" s="19"/>
      <c r="M68" s="19"/>
      <c r="N68" s="19"/>
      <c r="O68" s="19"/>
      <c r="P68" s="19"/>
      <c r="Q68" s="19"/>
      <c r="R68" s="19"/>
      <c r="S68" s="19"/>
      <c r="T68" s="19"/>
      <c r="U68" s="19"/>
      <c r="V68" s="19"/>
      <c r="W68" s="19"/>
      <c r="X68" s="19"/>
      <c r="Y68" s="19"/>
      <c r="Z68" s="19"/>
      <c r="AA68" s="19"/>
      <c r="AB68" s="19" t="str">
        <f>$K68</f>
        <v>2026 BMW iX xDrive60 (20'' Wheels)</v>
      </c>
      <c r="AC68" s="19"/>
      <c r="AD68" s="19"/>
      <c r="AE68" s="19"/>
      <c r="AF68" s="19"/>
      <c r="AG68" s="19"/>
      <c r="AH68" s="19"/>
      <c r="AI68" s="19"/>
      <c r="AJ68" s="19"/>
      <c r="AK68" s="19"/>
      <c r="AL68" s="19"/>
      <c r="AM68" s="19"/>
      <c r="AN68" s="19"/>
      <c r="AO68" s="19"/>
      <c r="AP68" s="19"/>
      <c r="AQ68" s="19"/>
      <c r="AR68" s="19" t="str">
        <f>$K68</f>
        <v>2026 BMW iX xDrive60 (20'' Wheels)</v>
      </c>
      <c r="AS68" s="19"/>
      <c r="AT68" s="19"/>
      <c r="AU68" s="19"/>
      <c r="AV68" s="19"/>
      <c r="AW68" s="19"/>
      <c r="AX68" s="19"/>
      <c r="AY68" s="19"/>
      <c r="AZ68" s="19"/>
      <c r="BA68" s="19"/>
      <c r="BB68" s="19"/>
      <c r="BC68" s="19"/>
      <c r="BD68" s="19"/>
      <c r="BE68" s="19"/>
      <c r="BF68" s="19"/>
      <c r="BG68" s="19" t="str">
        <f>$K68</f>
        <v>2026 BMW iX xDrive60 (20'' Wheels)</v>
      </c>
      <c r="BH68" s="19"/>
      <c r="BI68" s="19"/>
      <c r="BJ68" s="19"/>
      <c r="BK68" s="19"/>
      <c r="BL68" s="19"/>
      <c r="BM68" s="129"/>
      <c r="BN68" s="19"/>
      <c r="BO68" s="19"/>
      <c r="BP68" s="19"/>
      <c r="BQ68" s="19"/>
      <c r="BR68" s="19"/>
      <c r="BS68" s="19"/>
      <c r="BT68" s="130"/>
      <c r="BU68" s="19"/>
      <c r="BV68" s="19"/>
      <c r="BW68" s="116"/>
      <c r="BX68" s="19"/>
      <c r="BY68" s="19"/>
      <c r="BZ68" s="19"/>
      <c r="CA68" s="19"/>
      <c r="CB68" s="19"/>
      <c r="CC68" s="19"/>
      <c r="CD68" s="19"/>
      <c r="CE68" s="19"/>
      <c r="CF68" s="19"/>
      <c r="CG68" s="19"/>
      <c r="CH68" s="19"/>
      <c r="CI68" s="19"/>
      <c r="CJ68" s="19"/>
      <c r="CK68" s="19"/>
      <c r="CL68" s="19"/>
      <c r="CM68" s="19" t="str">
        <f>$K68</f>
        <v>2026 BMW iX xDrive60 (20'' Wheels)</v>
      </c>
      <c r="CN68" s="19"/>
      <c r="CO68" s="19"/>
      <c r="CP68" s="19"/>
      <c r="CQ68" s="19"/>
      <c r="CR68" s="19"/>
      <c r="CS68" s="19"/>
      <c r="CT68" s="19"/>
      <c r="CU68" s="19"/>
      <c r="CV68" s="19"/>
      <c r="CW68" s="19"/>
      <c r="CX68" s="19"/>
      <c r="CY68" s="19"/>
      <c r="CZ68" s="19"/>
      <c r="DA68" s="19"/>
      <c r="DB68" s="19"/>
      <c r="DC68" s="19"/>
      <c r="DD68" s="19" t="str">
        <f>$K68</f>
        <v>2026 BMW iX xDrive60 (20'' Wheels)</v>
      </c>
      <c r="DE68" s="19"/>
      <c r="DF68" s="19"/>
      <c r="DG68" s="19"/>
      <c r="DH68" s="19"/>
      <c r="DI68" s="19"/>
      <c r="DJ68" s="19"/>
      <c r="DK68" s="19"/>
      <c r="DL68" s="19"/>
      <c r="DM68" s="19"/>
      <c r="DN68" s="19"/>
      <c r="DO68" s="19"/>
      <c r="DP68" s="19"/>
      <c r="DQ68" s="19"/>
      <c r="DR68" s="19"/>
      <c r="DS68" s="19"/>
      <c r="DT68" s="19"/>
      <c r="DU68" s="19" t="str">
        <f>$K68</f>
        <v>2026 BMW iX xDrive60 (20'' Wheels)</v>
      </c>
      <c r="DV68" s="19"/>
      <c r="DW68" s="19"/>
      <c r="DX68" s="19"/>
      <c r="DY68" s="19"/>
      <c r="DZ68" s="19"/>
      <c r="EA68" s="117"/>
      <c r="EB68" s="19"/>
      <c r="EC68" s="19"/>
      <c r="ED68" s="19"/>
      <c r="EE68" s="19"/>
      <c r="EF68" s="19"/>
      <c r="EG68"/>
      <c r="EH68"/>
      <c r="EI68"/>
      <c r="EJ68"/>
      <c r="EK68"/>
      <c r="EL68"/>
      <c r="EM68"/>
      <c r="EN68"/>
      <c r="EO68"/>
      <c r="EP68"/>
      <c r="EQ68"/>
      <c r="ER68"/>
      <c r="ES68"/>
      <c r="ET68"/>
      <c r="EU68"/>
      <c r="EV68"/>
      <c r="EW68"/>
      <c r="EX68" s="19" t="s">
        <v>1954</v>
      </c>
      <c r="EY68"/>
      <c r="EZ68"/>
      <c r="FA68"/>
      <c r="FB68"/>
      <c r="FC68"/>
      <c r="FD68"/>
      <c r="FE68"/>
      <c r="FF68"/>
      <c r="FG68"/>
      <c r="FH68"/>
      <c r="FI68"/>
    </row>
    <row r="69" spans="1:165" s="66" customFormat="1" x14ac:dyDescent="0.35">
      <c r="A69">
        <v>2026</v>
      </c>
      <c r="B69" t="s">
        <v>192</v>
      </c>
      <c r="C69" s="112" t="s">
        <v>192</v>
      </c>
      <c r="D69" t="s">
        <v>1418</v>
      </c>
      <c r="E69" t="s">
        <v>194</v>
      </c>
      <c r="F69">
        <v>120</v>
      </c>
      <c r="G69" s="113">
        <v>0</v>
      </c>
      <c r="H69"/>
      <c r="I69" t="s">
        <v>1391</v>
      </c>
      <c r="J69">
        <v>99</v>
      </c>
      <c r="K69">
        <v>94</v>
      </c>
      <c r="L69">
        <v>97</v>
      </c>
      <c r="M69">
        <v>142</v>
      </c>
      <c r="N69">
        <v>134.9</v>
      </c>
      <c r="O69">
        <v>138.71469999999999</v>
      </c>
      <c r="P69">
        <v>99.4</v>
      </c>
      <c r="Q69">
        <v>94.43</v>
      </c>
      <c r="R69">
        <v>97.100300000000004</v>
      </c>
      <c r="S69"/>
      <c r="T69"/>
      <c r="U69"/>
      <c r="V69" t="s">
        <v>170</v>
      </c>
      <c r="W69" t="s">
        <v>171</v>
      </c>
      <c r="X69"/>
      <c r="Y69">
        <v>1</v>
      </c>
      <c r="Z69" t="s">
        <v>173</v>
      </c>
      <c r="AA69" t="s">
        <v>173</v>
      </c>
      <c r="AB69" t="s">
        <v>170</v>
      </c>
      <c r="AC69" t="s">
        <v>232</v>
      </c>
      <c r="AD69"/>
      <c r="AE69"/>
      <c r="AF69">
        <v>364</v>
      </c>
      <c r="AG69" t="s">
        <v>1392</v>
      </c>
      <c r="AH69" t="s">
        <v>1393</v>
      </c>
      <c r="AI69" t="s">
        <v>178</v>
      </c>
      <c r="AJ69" t="s">
        <v>179</v>
      </c>
      <c r="AK69" t="s">
        <v>664</v>
      </c>
      <c r="AL69" t="s">
        <v>665</v>
      </c>
      <c r="AM69"/>
      <c r="AN69"/>
      <c r="AO69"/>
      <c r="AP69"/>
      <c r="AQ69"/>
      <c r="AR69"/>
      <c r="AS69">
        <v>900</v>
      </c>
      <c r="AT69">
        <v>900</v>
      </c>
      <c r="AU69"/>
      <c r="AV69"/>
      <c r="AW69"/>
      <c r="AX69"/>
      <c r="AY69"/>
      <c r="AZ69"/>
      <c r="BA69"/>
      <c r="BB69"/>
      <c r="BC69"/>
      <c r="BD69"/>
      <c r="BE69"/>
      <c r="BF69"/>
      <c r="BG69"/>
      <c r="BH69"/>
      <c r="BI69"/>
      <c r="BJ69"/>
      <c r="BK69"/>
      <c r="BL69"/>
      <c r="BM69"/>
      <c r="BN69" s="114"/>
      <c r="BO69"/>
      <c r="BP69"/>
      <c r="BQ69">
        <v>33</v>
      </c>
      <c r="BR69" t="s">
        <v>1062</v>
      </c>
      <c r="BS69"/>
      <c r="BT69" t="s">
        <v>1402</v>
      </c>
      <c r="BU69" s="115">
        <v>45748</v>
      </c>
      <c r="BV69">
        <v>36349</v>
      </c>
      <c r="BW69" s="116"/>
      <c r="BX69" t="s">
        <v>172</v>
      </c>
      <c r="BY69" t="s">
        <v>173</v>
      </c>
      <c r="BZ69"/>
      <c r="CA69"/>
      <c r="CB69" t="s">
        <v>173</v>
      </c>
      <c r="CC69" t="s">
        <v>173</v>
      </c>
      <c r="CD69"/>
      <c r="CE69"/>
      <c r="CF69"/>
      <c r="CG69"/>
      <c r="CH69"/>
      <c r="CI69"/>
      <c r="CJ69"/>
      <c r="CK69" t="s">
        <v>259</v>
      </c>
      <c r="CL69"/>
      <c r="CM69">
        <v>1</v>
      </c>
      <c r="CN69" t="s">
        <v>260</v>
      </c>
      <c r="CO69"/>
      <c r="CP69">
        <v>369</v>
      </c>
      <c r="CQ69">
        <v>303</v>
      </c>
      <c r="CR69">
        <v>175</v>
      </c>
      <c r="CS69" t="s">
        <v>261</v>
      </c>
      <c r="CT69"/>
      <c r="CU69"/>
      <c r="CV69" t="s">
        <v>262</v>
      </c>
      <c r="CW69"/>
      <c r="CX69" t="s">
        <v>263</v>
      </c>
      <c r="CY69" t="s">
        <v>172</v>
      </c>
      <c r="CZ69"/>
      <c r="DA69"/>
      <c r="DB69"/>
      <c r="DC69" t="s">
        <v>1412</v>
      </c>
      <c r="DD69">
        <v>2</v>
      </c>
      <c r="DE69" t="s">
        <v>307</v>
      </c>
      <c r="DF69" t="s">
        <v>308</v>
      </c>
      <c r="DG69" t="s">
        <v>1407</v>
      </c>
      <c r="DH69"/>
      <c r="DI69"/>
      <c r="DJ69"/>
      <c r="DK69"/>
      <c r="DL69" t="s">
        <v>173</v>
      </c>
      <c r="DM69" t="s">
        <v>172</v>
      </c>
      <c r="DN69"/>
      <c r="DO69"/>
      <c r="DP69" t="s">
        <v>173</v>
      </c>
      <c r="DQ69" t="s">
        <v>189</v>
      </c>
      <c r="DR69"/>
      <c r="DS69"/>
      <c r="DT69"/>
      <c r="DU69"/>
      <c r="DV69"/>
      <c r="DW69"/>
      <c r="DX69"/>
      <c r="DY69"/>
      <c r="DZ69"/>
      <c r="EA69" s="117"/>
      <c r="EB69">
        <v>9</v>
      </c>
      <c r="EC69">
        <v>10</v>
      </c>
      <c r="ED69"/>
      <c r="EE69" t="s">
        <v>1419</v>
      </c>
      <c r="EF69">
        <v>10</v>
      </c>
      <c r="EG69"/>
      <c r="EH69"/>
      <c r="EI69"/>
      <c r="EJ69"/>
      <c r="EK69"/>
      <c r="EL69"/>
      <c r="EM69"/>
      <c r="EN69"/>
      <c r="EO69"/>
      <c r="EP69"/>
      <c r="EQ69"/>
      <c r="ER69"/>
      <c r="ES69"/>
      <c r="ET69"/>
      <c r="EU69">
        <v>4000</v>
      </c>
      <c r="EV69"/>
      <c r="EW69">
        <v>0</v>
      </c>
      <c r="EX69">
        <v>0</v>
      </c>
      <c r="EY69">
        <v>0</v>
      </c>
      <c r="EZ69"/>
      <c r="FA69">
        <v>11</v>
      </c>
      <c r="FB69"/>
      <c r="FC69"/>
      <c r="FD69"/>
      <c r="FE69"/>
      <c r="FF69"/>
      <c r="FG69" s="94">
        <v>372</v>
      </c>
      <c r="FH69" s="94">
        <v>354</v>
      </c>
      <c r="FI69" s="94">
        <v>364</v>
      </c>
    </row>
    <row r="70" spans="1:165" s="66" customFormat="1" x14ac:dyDescent="0.35">
      <c r="A70">
        <v>2026</v>
      </c>
      <c r="B70" t="s">
        <v>192</v>
      </c>
      <c r="C70" s="112" t="s">
        <v>192</v>
      </c>
      <c r="D70" t="s">
        <v>1418</v>
      </c>
      <c r="E70" t="s">
        <v>194</v>
      </c>
      <c r="F70">
        <v>120</v>
      </c>
      <c r="G70" s="113">
        <v>0</v>
      </c>
      <c r="H70"/>
      <c r="I70" t="s">
        <v>1391</v>
      </c>
      <c r="J70">
        <v>34</v>
      </c>
      <c r="K70">
        <v>36</v>
      </c>
      <c r="L70">
        <v>35</v>
      </c>
      <c r="M70">
        <v>23.74</v>
      </c>
      <c r="N70">
        <v>24.989899999999999</v>
      </c>
      <c r="O70">
        <v>24.302499999999998</v>
      </c>
      <c r="P70">
        <v>33.908499999999997</v>
      </c>
      <c r="Q70">
        <v>35.693100000000001</v>
      </c>
      <c r="R70">
        <v>34.711500000000001</v>
      </c>
      <c r="S70"/>
      <c r="T70"/>
      <c r="U70"/>
      <c r="V70" t="s">
        <v>170</v>
      </c>
      <c r="W70" t="s">
        <v>171</v>
      </c>
      <c r="X70"/>
      <c r="Y70">
        <v>1</v>
      </c>
      <c r="Z70" t="s">
        <v>173</v>
      </c>
      <c r="AA70" t="s">
        <v>173</v>
      </c>
      <c r="AB70" t="s">
        <v>170</v>
      </c>
      <c r="AC70" t="s">
        <v>232</v>
      </c>
      <c r="AD70"/>
      <c r="AE70"/>
      <c r="AF70">
        <v>364</v>
      </c>
      <c r="AG70" t="s">
        <v>1392</v>
      </c>
      <c r="AH70" t="s">
        <v>1393</v>
      </c>
      <c r="AI70" t="s">
        <v>1399</v>
      </c>
      <c r="AJ70" t="s">
        <v>1400</v>
      </c>
      <c r="AK70" t="s">
        <v>664</v>
      </c>
      <c r="AL70" t="s">
        <v>665</v>
      </c>
      <c r="AM70"/>
      <c r="AN70"/>
      <c r="AO70"/>
      <c r="AP70"/>
      <c r="AQ70"/>
      <c r="AR70"/>
      <c r="AS70">
        <v>900</v>
      </c>
      <c r="AT70">
        <v>900</v>
      </c>
      <c r="AU70"/>
      <c r="AV70"/>
      <c r="AW70"/>
      <c r="AX70"/>
      <c r="AY70"/>
      <c r="AZ70"/>
      <c r="BA70"/>
      <c r="BB70"/>
      <c r="BC70"/>
      <c r="BD70"/>
      <c r="BE70"/>
      <c r="BF70"/>
      <c r="BG70"/>
      <c r="BH70"/>
      <c r="BI70"/>
      <c r="BJ70"/>
      <c r="BK70"/>
      <c r="BL70"/>
      <c r="BM70"/>
      <c r="BN70" s="114"/>
      <c r="BO70"/>
      <c r="BP70"/>
      <c r="BQ70">
        <v>33</v>
      </c>
      <c r="BR70" t="s">
        <v>1062</v>
      </c>
      <c r="BS70"/>
      <c r="BT70" t="s">
        <v>1402</v>
      </c>
      <c r="BU70" s="115">
        <v>45748</v>
      </c>
      <c r="BV70">
        <v>36349</v>
      </c>
      <c r="BW70" s="116"/>
      <c r="BX70" t="s">
        <v>172</v>
      </c>
      <c r="BY70" t="s">
        <v>173</v>
      </c>
      <c r="BZ70"/>
      <c r="CA70"/>
      <c r="CB70" t="s">
        <v>173</v>
      </c>
      <c r="CC70" t="s">
        <v>173</v>
      </c>
      <c r="CD70"/>
      <c r="CE70"/>
      <c r="CF70"/>
      <c r="CG70"/>
      <c r="CH70"/>
      <c r="CI70"/>
      <c r="CJ70"/>
      <c r="CK70" t="s">
        <v>259</v>
      </c>
      <c r="CL70"/>
      <c r="CM70">
        <v>1</v>
      </c>
      <c r="CN70" t="s">
        <v>260</v>
      </c>
      <c r="CO70"/>
      <c r="CP70">
        <v>369</v>
      </c>
      <c r="CQ70">
        <v>303</v>
      </c>
      <c r="CR70">
        <v>175</v>
      </c>
      <c r="CS70" t="s">
        <v>261</v>
      </c>
      <c r="CT70"/>
      <c r="CU70"/>
      <c r="CV70" t="s">
        <v>262</v>
      </c>
      <c r="CW70"/>
      <c r="CX70" t="s">
        <v>263</v>
      </c>
      <c r="CY70" t="s">
        <v>172</v>
      </c>
      <c r="CZ70"/>
      <c r="DA70"/>
      <c r="DB70"/>
      <c r="DC70" t="s">
        <v>1412</v>
      </c>
      <c r="DD70">
        <v>2</v>
      </c>
      <c r="DE70" t="s">
        <v>307</v>
      </c>
      <c r="DF70" t="s">
        <v>308</v>
      </c>
      <c r="DG70" t="s">
        <v>1407</v>
      </c>
      <c r="DH70"/>
      <c r="DI70"/>
      <c r="DJ70"/>
      <c r="DK70"/>
      <c r="DL70" t="s">
        <v>173</v>
      </c>
      <c r="DM70" t="s">
        <v>172</v>
      </c>
      <c r="DN70"/>
      <c r="DO70"/>
      <c r="DP70" t="s">
        <v>173</v>
      </c>
      <c r="DQ70" t="s">
        <v>189</v>
      </c>
      <c r="DR70"/>
      <c r="DS70"/>
      <c r="DT70"/>
      <c r="DU70"/>
      <c r="DV70"/>
      <c r="DW70"/>
      <c r="DX70"/>
      <c r="DY70"/>
      <c r="DZ70"/>
      <c r="EA70" s="117"/>
      <c r="EB70">
        <v>9</v>
      </c>
      <c r="EC70">
        <v>10</v>
      </c>
      <c r="ED70"/>
      <c r="EE70" t="s">
        <v>1419</v>
      </c>
      <c r="EF70">
        <v>10</v>
      </c>
      <c r="EG70"/>
      <c r="EH70"/>
      <c r="EI70"/>
      <c r="EJ70"/>
      <c r="EK70"/>
      <c r="EL70"/>
      <c r="EM70"/>
      <c r="EN70"/>
      <c r="EO70"/>
      <c r="EP70"/>
      <c r="EQ70"/>
      <c r="ER70"/>
      <c r="ES70"/>
      <c r="ET70"/>
      <c r="EU70">
        <v>4000</v>
      </c>
      <c r="EV70"/>
      <c r="EW70">
        <v>0</v>
      </c>
      <c r="EX70">
        <v>0</v>
      </c>
      <c r="EY70">
        <v>0</v>
      </c>
      <c r="EZ70"/>
      <c r="FA70">
        <v>11</v>
      </c>
      <c r="FB70"/>
      <c r="FC70"/>
      <c r="FD70"/>
      <c r="FE70"/>
      <c r="FF70"/>
      <c r="FG70" s="94">
        <v>372</v>
      </c>
      <c r="FH70" s="94">
        <v>354</v>
      </c>
      <c r="FI70" s="94">
        <v>364</v>
      </c>
    </row>
    <row r="71" spans="1:165" s="66" customFormat="1" x14ac:dyDescent="0.35">
      <c r="A71" s="19"/>
      <c r="B71" s="19"/>
      <c r="C71" s="19"/>
      <c r="D71" s="19"/>
      <c r="E71" s="19"/>
      <c r="F71" s="128"/>
      <c r="G71" s="19"/>
      <c r="H71" s="19"/>
      <c r="I71" s="19"/>
      <c r="J71" s="19"/>
      <c r="K71" s="19" t="str">
        <f>_xlfn.CONCAT(A72," ",C72," ",D72)</f>
        <v>2026 BMW iX xDrive60 (21'' Wheels)</v>
      </c>
      <c r="L71" s="19"/>
      <c r="M71" s="19"/>
      <c r="N71" s="19"/>
      <c r="O71" s="19"/>
      <c r="P71" s="19"/>
      <c r="Q71" s="19"/>
      <c r="R71" s="19"/>
      <c r="S71" s="19"/>
      <c r="T71" s="19"/>
      <c r="U71" s="19"/>
      <c r="V71" s="19"/>
      <c r="W71" s="19"/>
      <c r="X71" s="19"/>
      <c r="Y71" s="19"/>
      <c r="Z71" s="19"/>
      <c r="AA71" s="19"/>
      <c r="AB71" s="19" t="str">
        <f>$K71</f>
        <v>2026 BMW iX xDrive60 (21'' Wheels)</v>
      </c>
      <c r="AC71" s="19"/>
      <c r="AD71" s="19"/>
      <c r="AE71" s="19"/>
      <c r="AF71" s="19"/>
      <c r="AG71" s="19"/>
      <c r="AH71" s="19"/>
      <c r="AI71" s="19"/>
      <c r="AJ71" s="19"/>
      <c r="AK71" s="19"/>
      <c r="AL71" s="19"/>
      <c r="AM71" s="19"/>
      <c r="AN71" s="19"/>
      <c r="AO71" s="19"/>
      <c r="AP71" s="19"/>
      <c r="AQ71" s="19"/>
      <c r="AR71" s="19" t="str">
        <f>$K71</f>
        <v>2026 BMW iX xDrive60 (21'' Wheels)</v>
      </c>
      <c r="AS71" s="19"/>
      <c r="AT71" s="19"/>
      <c r="AU71" s="19"/>
      <c r="AV71" s="19"/>
      <c r="AW71" s="19"/>
      <c r="AX71" s="19"/>
      <c r="AY71" s="19"/>
      <c r="AZ71" s="19"/>
      <c r="BA71" s="19"/>
      <c r="BB71" s="19"/>
      <c r="BC71" s="19"/>
      <c r="BD71" s="19"/>
      <c r="BE71" s="19"/>
      <c r="BF71" s="19"/>
      <c r="BG71" s="19" t="str">
        <f>$K71</f>
        <v>2026 BMW iX xDrive60 (21'' Wheels)</v>
      </c>
      <c r="BH71" s="19"/>
      <c r="BI71" s="19"/>
      <c r="BJ71" s="19"/>
      <c r="BK71" s="19"/>
      <c r="BL71" s="19"/>
      <c r="BM71" s="129"/>
      <c r="BN71" s="19"/>
      <c r="BO71" s="19"/>
      <c r="BP71" s="19"/>
      <c r="BQ71" s="19"/>
      <c r="BR71" s="19"/>
      <c r="BS71" s="19"/>
      <c r="BT71" s="130"/>
      <c r="BU71" s="19"/>
      <c r="BV71" s="19"/>
      <c r="BW71" s="116"/>
      <c r="BX71" s="19"/>
      <c r="BY71" s="19"/>
      <c r="BZ71" s="19"/>
      <c r="CA71" s="19"/>
      <c r="CB71" s="19"/>
      <c r="CC71" s="19"/>
      <c r="CD71" s="19"/>
      <c r="CE71" s="19"/>
      <c r="CF71" s="19"/>
      <c r="CG71" s="19"/>
      <c r="CH71" s="19"/>
      <c r="CI71" s="19"/>
      <c r="CJ71" s="19"/>
      <c r="CK71" s="19"/>
      <c r="CL71" s="19"/>
      <c r="CM71" s="19" t="str">
        <f>$K71</f>
        <v>2026 BMW iX xDrive60 (21'' Wheels)</v>
      </c>
      <c r="CN71" s="19"/>
      <c r="CO71" s="19"/>
      <c r="CP71" s="19"/>
      <c r="CQ71" s="19"/>
      <c r="CR71" s="19"/>
      <c r="CS71" s="19"/>
      <c r="CT71" s="19"/>
      <c r="CU71" s="19"/>
      <c r="CV71" s="19"/>
      <c r="CW71" s="19"/>
      <c r="CX71" s="19"/>
      <c r="CY71" s="19"/>
      <c r="CZ71" s="19"/>
      <c r="DA71" s="19"/>
      <c r="DB71" s="19"/>
      <c r="DC71" s="19"/>
      <c r="DD71" s="19" t="str">
        <f>$K71</f>
        <v>2026 BMW iX xDrive60 (21'' Wheels)</v>
      </c>
      <c r="DE71" s="19"/>
      <c r="DF71" s="19"/>
      <c r="DG71" s="19"/>
      <c r="DH71" s="19"/>
      <c r="DI71" s="19"/>
      <c r="DJ71" s="19"/>
      <c r="DK71" s="19"/>
      <c r="DL71" s="19"/>
      <c r="DM71" s="19"/>
      <c r="DN71" s="19"/>
      <c r="DO71" s="19"/>
      <c r="DP71" s="19"/>
      <c r="DQ71" s="19"/>
      <c r="DR71" s="19"/>
      <c r="DS71" s="19"/>
      <c r="DT71" s="19"/>
      <c r="DU71" s="19" t="str">
        <f>$K71</f>
        <v>2026 BMW iX xDrive60 (21'' Wheels)</v>
      </c>
      <c r="DV71" s="19"/>
      <c r="DW71" s="19"/>
      <c r="DX71" s="19"/>
      <c r="DY71" s="19"/>
      <c r="DZ71" s="19"/>
      <c r="EA71" s="117"/>
      <c r="EB71" s="19"/>
      <c r="EC71" s="19"/>
      <c r="ED71" s="19"/>
      <c r="EE71" s="19"/>
      <c r="EF71" s="19"/>
      <c r="EG71"/>
      <c r="EH71"/>
      <c r="EI71"/>
      <c r="EJ71"/>
      <c r="EK71"/>
      <c r="EL71"/>
      <c r="EM71"/>
      <c r="EN71"/>
      <c r="EO71"/>
      <c r="EP71"/>
      <c r="EQ71"/>
      <c r="ER71"/>
      <c r="ES71"/>
      <c r="ET71"/>
      <c r="EU71"/>
      <c r="EV71"/>
      <c r="EW71"/>
      <c r="EX71" s="19" t="s">
        <v>1955</v>
      </c>
      <c r="EY71"/>
      <c r="EZ71"/>
      <c r="FA71"/>
      <c r="FB71"/>
      <c r="FC71"/>
      <c r="FD71"/>
      <c r="FE71"/>
      <c r="FF71"/>
      <c r="FG71"/>
      <c r="FH71"/>
      <c r="FI71"/>
    </row>
    <row r="72" spans="1:165" s="66" customFormat="1" x14ac:dyDescent="0.35">
      <c r="A72">
        <v>2026</v>
      </c>
      <c r="B72" t="s">
        <v>192</v>
      </c>
      <c r="C72" s="112" t="s">
        <v>192</v>
      </c>
      <c r="D72" t="s">
        <v>1420</v>
      </c>
      <c r="E72" t="s">
        <v>194</v>
      </c>
      <c r="F72">
        <v>121</v>
      </c>
      <c r="G72" s="113">
        <v>0</v>
      </c>
      <c r="H72"/>
      <c r="I72" t="s">
        <v>1391</v>
      </c>
      <c r="J72">
        <v>92</v>
      </c>
      <c r="K72">
        <v>89</v>
      </c>
      <c r="L72">
        <v>91</v>
      </c>
      <c r="M72">
        <v>131.80000000000001</v>
      </c>
      <c r="N72">
        <v>126.5</v>
      </c>
      <c r="O72">
        <v>129.36109999999999</v>
      </c>
      <c r="P72">
        <v>92.26</v>
      </c>
      <c r="Q72">
        <v>88.55</v>
      </c>
      <c r="R72">
        <v>90.552800000000005</v>
      </c>
      <c r="S72"/>
      <c r="T72"/>
      <c r="U72"/>
      <c r="V72" t="s">
        <v>170</v>
      </c>
      <c r="W72" t="s">
        <v>171</v>
      </c>
      <c r="X72"/>
      <c r="Y72">
        <v>1</v>
      </c>
      <c r="Z72" t="s">
        <v>173</v>
      </c>
      <c r="AA72" t="s">
        <v>173</v>
      </c>
      <c r="AB72" t="s">
        <v>170</v>
      </c>
      <c r="AC72" t="s">
        <v>232</v>
      </c>
      <c r="AD72"/>
      <c r="AE72"/>
      <c r="AF72">
        <v>341</v>
      </c>
      <c r="AG72" t="s">
        <v>1392</v>
      </c>
      <c r="AH72" t="s">
        <v>1393</v>
      </c>
      <c r="AI72" t="s">
        <v>178</v>
      </c>
      <c r="AJ72" t="s">
        <v>179</v>
      </c>
      <c r="AK72" t="s">
        <v>664</v>
      </c>
      <c r="AL72" t="s">
        <v>665</v>
      </c>
      <c r="AM72"/>
      <c r="AN72"/>
      <c r="AO72"/>
      <c r="AP72"/>
      <c r="AQ72"/>
      <c r="AR72"/>
      <c r="AS72">
        <v>950</v>
      </c>
      <c r="AT72">
        <v>950</v>
      </c>
      <c r="AU72"/>
      <c r="AV72"/>
      <c r="AW72"/>
      <c r="AX72"/>
      <c r="AY72"/>
      <c r="AZ72"/>
      <c r="BA72"/>
      <c r="BB72"/>
      <c r="BC72"/>
      <c r="BD72"/>
      <c r="BE72"/>
      <c r="BF72"/>
      <c r="BG72"/>
      <c r="BH72"/>
      <c r="BI72"/>
      <c r="BJ72"/>
      <c r="BK72"/>
      <c r="BL72"/>
      <c r="BM72"/>
      <c r="BN72" s="114"/>
      <c r="BO72"/>
      <c r="BP72"/>
      <c r="BQ72">
        <v>33</v>
      </c>
      <c r="BR72" t="s">
        <v>1062</v>
      </c>
      <c r="BS72"/>
      <c r="BT72" t="s">
        <v>1402</v>
      </c>
      <c r="BU72" s="115">
        <v>45748</v>
      </c>
      <c r="BV72">
        <v>36350</v>
      </c>
      <c r="BW72" s="116"/>
      <c r="BX72" t="s">
        <v>172</v>
      </c>
      <c r="BY72" t="s">
        <v>173</v>
      </c>
      <c r="BZ72"/>
      <c r="CA72"/>
      <c r="CB72" t="s">
        <v>173</v>
      </c>
      <c r="CC72" t="s">
        <v>173</v>
      </c>
      <c r="CD72"/>
      <c r="CE72"/>
      <c r="CF72"/>
      <c r="CG72"/>
      <c r="CH72"/>
      <c r="CI72"/>
      <c r="CJ72"/>
      <c r="CK72" t="s">
        <v>259</v>
      </c>
      <c r="CL72"/>
      <c r="CM72">
        <v>1</v>
      </c>
      <c r="CN72" t="s">
        <v>260</v>
      </c>
      <c r="CO72"/>
      <c r="CP72">
        <v>369</v>
      </c>
      <c r="CQ72">
        <v>303</v>
      </c>
      <c r="CR72">
        <v>175</v>
      </c>
      <c r="CS72" t="s">
        <v>261</v>
      </c>
      <c r="CT72"/>
      <c r="CU72"/>
      <c r="CV72" t="s">
        <v>262</v>
      </c>
      <c r="CW72"/>
      <c r="CX72" t="s">
        <v>263</v>
      </c>
      <c r="CY72" t="s">
        <v>172</v>
      </c>
      <c r="CZ72"/>
      <c r="DA72"/>
      <c r="DB72"/>
      <c r="DC72" t="s">
        <v>1412</v>
      </c>
      <c r="DD72">
        <v>2</v>
      </c>
      <c r="DE72" t="s">
        <v>307</v>
      </c>
      <c r="DF72" t="s">
        <v>308</v>
      </c>
      <c r="DG72" t="s">
        <v>1407</v>
      </c>
      <c r="DH72"/>
      <c r="DI72"/>
      <c r="DJ72"/>
      <c r="DK72"/>
      <c r="DL72" t="s">
        <v>173</v>
      </c>
      <c r="DM72" t="s">
        <v>172</v>
      </c>
      <c r="DN72"/>
      <c r="DO72"/>
      <c r="DP72" t="s">
        <v>173</v>
      </c>
      <c r="DQ72" t="s">
        <v>189</v>
      </c>
      <c r="DR72"/>
      <c r="DS72"/>
      <c r="DT72"/>
      <c r="DU72"/>
      <c r="DV72"/>
      <c r="DW72"/>
      <c r="DX72"/>
      <c r="DY72"/>
      <c r="DZ72"/>
      <c r="EA72" s="117"/>
      <c r="EB72">
        <v>9</v>
      </c>
      <c r="EC72">
        <v>10</v>
      </c>
      <c r="ED72"/>
      <c r="EE72" t="s">
        <v>1419</v>
      </c>
      <c r="EF72">
        <v>10</v>
      </c>
      <c r="EG72"/>
      <c r="EH72"/>
      <c r="EI72"/>
      <c r="EJ72"/>
      <c r="EK72"/>
      <c r="EL72"/>
      <c r="EM72"/>
      <c r="EN72"/>
      <c r="EO72"/>
      <c r="EP72"/>
      <c r="EQ72"/>
      <c r="ER72"/>
      <c r="ES72"/>
      <c r="ET72"/>
      <c r="EU72">
        <v>3750</v>
      </c>
      <c r="EV72"/>
      <c r="EW72">
        <v>0</v>
      </c>
      <c r="EX72">
        <v>0</v>
      </c>
      <c r="EY72">
        <v>0</v>
      </c>
      <c r="EZ72"/>
      <c r="FA72">
        <v>11</v>
      </c>
      <c r="FB72"/>
      <c r="FC72"/>
      <c r="FD72"/>
      <c r="FE72"/>
      <c r="FF72"/>
      <c r="FG72" s="94">
        <v>347</v>
      </c>
      <c r="FH72" s="94">
        <v>333</v>
      </c>
      <c r="FI72" s="94">
        <v>341</v>
      </c>
    </row>
    <row r="73" spans="1:165" s="66" customFormat="1" x14ac:dyDescent="0.35">
      <c r="A73">
        <v>2026</v>
      </c>
      <c r="B73" t="s">
        <v>192</v>
      </c>
      <c r="C73" s="112" t="s">
        <v>192</v>
      </c>
      <c r="D73" t="s">
        <v>1420</v>
      </c>
      <c r="E73" t="s">
        <v>194</v>
      </c>
      <c r="F73">
        <v>121</v>
      </c>
      <c r="G73" s="113">
        <v>0</v>
      </c>
      <c r="H73"/>
      <c r="I73" t="s">
        <v>1391</v>
      </c>
      <c r="J73">
        <v>37</v>
      </c>
      <c r="K73">
        <v>38</v>
      </c>
      <c r="L73">
        <v>37</v>
      </c>
      <c r="M73">
        <v>25.570699999999999</v>
      </c>
      <c r="N73">
        <v>26.6494</v>
      </c>
      <c r="O73">
        <v>26.056100000000001</v>
      </c>
      <c r="P73">
        <v>36.532600000000002</v>
      </c>
      <c r="Q73">
        <v>38.063200000000002</v>
      </c>
      <c r="R73">
        <v>37.221400000000003</v>
      </c>
      <c r="S73"/>
      <c r="T73"/>
      <c r="U73"/>
      <c r="V73" t="s">
        <v>170</v>
      </c>
      <c r="W73" t="s">
        <v>171</v>
      </c>
      <c r="X73"/>
      <c r="Y73">
        <v>1</v>
      </c>
      <c r="Z73" t="s">
        <v>173</v>
      </c>
      <c r="AA73" t="s">
        <v>173</v>
      </c>
      <c r="AB73" t="s">
        <v>170</v>
      </c>
      <c r="AC73" t="s">
        <v>232</v>
      </c>
      <c r="AD73"/>
      <c r="AE73"/>
      <c r="AF73">
        <v>341</v>
      </c>
      <c r="AG73" t="s">
        <v>1392</v>
      </c>
      <c r="AH73" t="s">
        <v>1393</v>
      </c>
      <c r="AI73" t="s">
        <v>1399</v>
      </c>
      <c r="AJ73" t="s">
        <v>1400</v>
      </c>
      <c r="AK73" t="s">
        <v>664</v>
      </c>
      <c r="AL73" t="s">
        <v>665</v>
      </c>
      <c r="AM73"/>
      <c r="AN73"/>
      <c r="AO73"/>
      <c r="AP73"/>
      <c r="AQ73"/>
      <c r="AR73"/>
      <c r="AS73">
        <v>950</v>
      </c>
      <c r="AT73">
        <v>950</v>
      </c>
      <c r="AU73"/>
      <c r="AV73"/>
      <c r="AW73"/>
      <c r="AX73"/>
      <c r="AY73"/>
      <c r="AZ73"/>
      <c r="BA73"/>
      <c r="BB73"/>
      <c r="BC73"/>
      <c r="BD73"/>
      <c r="BE73"/>
      <c r="BF73"/>
      <c r="BG73"/>
      <c r="BH73"/>
      <c r="BI73"/>
      <c r="BJ73"/>
      <c r="BK73"/>
      <c r="BL73"/>
      <c r="BM73"/>
      <c r="BN73" s="114"/>
      <c r="BO73"/>
      <c r="BP73"/>
      <c r="BQ73">
        <v>33</v>
      </c>
      <c r="BR73" t="s">
        <v>1062</v>
      </c>
      <c r="BS73"/>
      <c r="BT73" t="s">
        <v>1402</v>
      </c>
      <c r="BU73" s="115">
        <v>45748</v>
      </c>
      <c r="BV73">
        <v>36350</v>
      </c>
      <c r="BW73" s="116"/>
      <c r="BX73" t="s">
        <v>172</v>
      </c>
      <c r="BY73" t="s">
        <v>173</v>
      </c>
      <c r="BZ73"/>
      <c r="CA73"/>
      <c r="CB73" t="s">
        <v>173</v>
      </c>
      <c r="CC73" t="s">
        <v>173</v>
      </c>
      <c r="CD73"/>
      <c r="CE73"/>
      <c r="CF73"/>
      <c r="CG73"/>
      <c r="CH73"/>
      <c r="CI73"/>
      <c r="CJ73"/>
      <c r="CK73" t="s">
        <v>259</v>
      </c>
      <c r="CL73"/>
      <c r="CM73">
        <v>1</v>
      </c>
      <c r="CN73" t="s">
        <v>260</v>
      </c>
      <c r="CO73"/>
      <c r="CP73">
        <v>369</v>
      </c>
      <c r="CQ73">
        <v>303</v>
      </c>
      <c r="CR73">
        <v>175</v>
      </c>
      <c r="CS73" t="s">
        <v>261</v>
      </c>
      <c r="CT73"/>
      <c r="CU73"/>
      <c r="CV73" t="s">
        <v>262</v>
      </c>
      <c r="CW73"/>
      <c r="CX73" t="s">
        <v>263</v>
      </c>
      <c r="CY73" t="s">
        <v>172</v>
      </c>
      <c r="CZ73"/>
      <c r="DA73"/>
      <c r="DB73"/>
      <c r="DC73" t="s">
        <v>1412</v>
      </c>
      <c r="DD73">
        <v>2</v>
      </c>
      <c r="DE73" t="s">
        <v>307</v>
      </c>
      <c r="DF73" t="s">
        <v>308</v>
      </c>
      <c r="DG73" t="s">
        <v>1407</v>
      </c>
      <c r="DH73"/>
      <c r="DI73"/>
      <c r="DJ73"/>
      <c r="DK73"/>
      <c r="DL73" t="s">
        <v>173</v>
      </c>
      <c r="DM73" t="s">
        <v>172</v>
      </c>
      <c r="DN73"/>
      <c r="DO73"/>
      <c r="DP73" t="s">
        <v>173</v>
      </c>
      <c r="DQ73" t="s">
        <v>189</v>
      </c>
      <c r="DR73"/>
      <c r="DS73"/>
      <c r="DT73"/>
      <c r="DU73"/>
      <c r="DV73"/>
      <c r="DW73"/>
      <c r="DX73"/>
      <c r="DY73"/>
      <c r="DZ73"/>
      <c r="EA73" s="117"/>
      <c r="EB73">
        <v>9</v>
      </c>
      <c r="EC73">
        <v>10</v>
      </c>
      <c r="ED73"/>
      <c r="EE73" t="s">
        <v>1419</v>
      </c>
      <c r="EF73">
        <v>10</v>
      </c>
      <c r="EG73"/>
      <c r="EH73"/>
      <c r="EI73"/>
      <c r="EJ73"/>
      <c r="EK73"/>
      <c r="EL73"/>
      <c r="EM73"/>
      <c r="EN73"/>
      <c r="EO73"/>
      <c r="EP73"/>
      <c r="EQ73"/>
      <c r="ER73"/>
      <c r="ES73"/>
      <c r="ET73"/>
      <c r="EU73">
        <v>3750</v>
      </c>
      <c r="EV73"/>
      <c r="EW73">
        <v>0</v>
      </c>
      <c r="EX73">
        <v>0</v>
      </c>
      <c r="EY73">
        <v>0</v>
      </c>
      <c r="EZ73"/>
      <c r="FA73">
        <v>11</v>
      </c>
      <c r="FB73"/>
      <c r="FC73"/>
      <c r="FD73"/>
      <c r="FE73"/>
      <c r="FF73"/>
      <c r="FG73" s="94">
        <v>347</v>
      </c>
      <c r="FH73" s="94">
        <v>333</v>
      </c>
      <c r="FI73" s="94">
        <v>341</v>
      </c>
    </row>
    <row r="74" spans="1:165" s="66" customFormat="1" x14ac:dyDescent="0.35">
      <c r="A74" s="19"/>
      <c r="B74" s="19"/>
      <c r="C74" s="19"/>
      <c r="D74" s="19"/>
      <c r="E74" s="19"/>
      <c r="F74" s="128"/>
      <c r="G74" s="19"/>
      <c r="H74" s="19"/>
      <c r="I74" s="19"/>
      <c r="J74" s="19"/>
      <c r="K74" s="19" t="str">
        <f>_xlfn.CONCAT(A75," ",C75," ",D75)</f>
        <v>2026 BMW iX xDrive60 (22'' Wheels)</v>
      </c>
      <c r="L74" s="19"/>
      <c r="M74" s="19"/>
      <c r="N74" s="19"/>
      <c r="O74" s="19"/>
      <c r="P74" s="19"/>
      <c r="Q74" s="19"/>
      <c r="R74" s="19"/>
      <c r="S74" s="19"/>
      <c r="T74" s="19"/>
      <c r="U74" s="19"/>
      <c r="V74" s="19"/>
      <c r="W74" s="19"/>
      <c r="X74" s="19"/>
      <c r="Y74" s="19"/>
      <c r="Z74" s="19"/>
      <c r="AA74" s="19"/>
      <c r="AB74" s="19" t="str">
        <f>$K74</f>
        <v>2026 BMW iX xDrive60 (22'' Wheels)</v>
      </c>
      <c r="AC74" s="19"/>
      <c r="AD74" s="19"/>
      <c r="AE74" s="19"/>
      <c r="AF74" s="19"/>
      <c r="AG74" s="19"/>
      <c r="AH74" s="19"/>
      <c r="AI74" s="19"/>
      <c r="AJ74" s="19"/>
      <c r="AK74" s="19"/>
      <c r="AL74" s="19"/>
      <c r="AM74" s="19"/>
      <c r="AN74" s="19"/>
      <c r="AO74" s="19"/>
      <c r="AP74" s="19"/>
      <c r="AQ74" s="19"/>
      <c r="AR74" s="19" t="str">
        <f>$K74</f>
        <v>2026 BMW iX xDrive60 (22'' Wheels)</v>
      </c>
      <c r="AS74" s="19"/>
      <c r="AT74" s="19"/>
      <c r="AU74" s="19"/>
      <c r="AV74" s="19"/>
      <c r="AW74" s="19"/>
      <c r="AX74" s="19"/>
      <c r="AY74" s="19"/>
      <c r="AZ74" s="19"/>
      <c r="BA74" s="19"/>
      <c r="BB74" s="19"/>
      <c r="BC74" s="19"/>
      <c r="BD74" s="19"/>
      <c r="BE74" s="19"/>
      <c r="BF74" s="19"/>
      <c r="BG74" s="19" t="str">
        <f>$K74</f>
        <v>2026 BMW iX xDrive60 (22'' Wheels)</v>
      </c>
      <c r="BH74" s="19"/>
      <c r="BI74" s="19"/>
      <c r="BJ74" s="19"/>
      <c r="BK74" s="19"/>
      <c r="BL74" s="19"/>
      <c r="BM74" s="129"/>
      <c r="BN74" s="19"/>
      <c r="BO74" s="19"/>
      <c r="BP74" s="19"/>
      <c r="BQ74" s="19"/>
      <c r="BR74" s="19"/>
      <c r="BS74" s="19"/>
      <c r="BT74" s="130"/>
      <c r="BU74" s="19"/>
      <c r="BV74" s="19"/>
      <c r="BW74" s="116"/>
      <c r="BX74" s="19"/>
      <c r="BY74" s="19"/>
      <c r="BZ74" s="19"/>
      <c r="CA74" s="19"/>
      <c r="CB74" s="19"/>
      <c r="CC74" s="19"/>
      <c r="CD74" s="19"/>
      <c r="CE74" s="19"/>
      <c r="CF74" s="19"/>
      <c r="CG74" s="19"/>
      <c r="CH74" s="19"/>
      <c r="CI74" s="19"/>
      <c r="CJ74" s="19"/>
      <c r="CK74" s="19"/>
      <c r="CL74" s="19"/>
      <c r="CM74" s="19" t="str">
        <f>$K74</f>
        <v>2026 BMW iX xDrive60 (22'' Wheels)</v>
      </c>
      <c r="CN74" s="19"/>
      <c r="CO74" s="19"/>
      <c r="CP74" s="19"/>
      <c r="CQ74" s="19"/>
      <c r="CR74" s="19"/>
      <c r="CS74" s="19"/>
      <c r="CT74" s="19"/>
      <c r="CU74" s="19"/>
      <c r="CV74" s="19"/>
      <c r="CW74" s="19"/>
      <c r="CX74" s="19"/>
      <c r="CY74" s="19"/>
      <c r="CZ74" s="19"/>
      <c r="DA74" s="19"/>
      <c r="DB74" s="19"/>
      <c r="DC74" s="19"/>
      <c r="DD74" s="19" t="str">
        <f>$K74</f>
        <v>2026 BMW iX xDrive60 (22'' Wheels)</v>
      </c>
      <c r="DE74" s="19"/>
      <c r="DF74" s="19"/>
      <c r="DG74" s="19"/>
      <c r="DH74" s="19"/>
      <c r="DI74" s="19"/>
      <c r="DJ74" s="19"/>
      <c r="DK74" s="19"/>
      <c r="DL74" s="19"/>
      <c r="DM74" s="19"/>
      <c r="DN74" s="19"/>
      <c r="DO74" s="19"/>
      <c r="DP74" s="19"/>
      <c r="DQ74" s="19"/>
      <c r="DR74" s="19"/>
      <c r="DS74" s="19"/>
      <c r="DT74" s="19"/>
      <c r="DU74" s="19" t="str">
        <f>$K74</f>
        <v>2026 BMW iX xDrive60 (22'' Wheels)</v>
      </c>
      <c r="DV74" s="19"/>
      <c r="DW74" s="19"/>
      <c r="DX74" s="19"/>
      <c r="DY74" s="19"/>
      <c r="DZ74" s="19"/>
      <c r="EA74" s="117"/>
      <c r="EB74" s="19"/>
      <c r="EC74" s="19"/>
      <c r="ED74" s="19"/>
      <c r="EE74" s="19"/>
      <c r="EF74" s="19"/>
      <c r="EG74"/>
      <c r="EH74"/>
      <c r="EI74"/>
      <c r="EJ74"/>
      <c r="EK74"/>
      <c r="EL74"/>
      <c r="EM74"/>
      <c r="EN74"/>
      <c r="EO74"/>
      <c r="EP74"/>
      <c r="EQ74"/>
      <c r="ER74"/>
      <c r="ES74"/>
      <c r="ET74"/>
      <c r="EU74"/>
      <c r="EV74"/>
      <c r="EW74"/>
      <c r="EX74" s="19" t="s">
        <v>1956</v>
      </c>
      <c r="EY74"/>
      <c r="EZ74"/>
      <c r="FA74"/>
      <c r="FB74"/>
      <c r="FC74"/>
      <c r="FD74"/>
      <c r="FE74"/>
      <c r="FF74"/>
      <c r="FG74"/>
      <c r="FH74"/>
      <c r="FI74"/>
    </row>
    <row r="75" spans="1:165" s="66" customFormat="1" x14ac:dyDescent="0.35">
      <c r="A75">
        <v>2026</v>
      </c>
      <c r="B75" t="s">
        <v>192</v>
      </c>
      <c r="C75" s="112" t="s">
        <v>192</v>
      </c>
      <c r="D75" t="s">
        <v>1421</v>
      </c>
      <c r="E75" t="s">
        <v>194</v>
      </c>
      <c r="F75">
        <v>122</v>
      </c>
      <c r="G75" s="113">
        <v>0</v>
      </c>
      <c r="H75"/>
      <c r="I75" t="s">
        <v>1391</v>
      </c>
      <c r="J75">
        <v>90</v>
      </c>
      <c r="K75">
        <v>85</v>
      </c>
      <c r="L75">
        <v>88</v>
      </c>
      <c r="M75">
        <v>128.4</v>
      </c>
      <c r="N75">
        <v>121.1</v>
      </c>
      <c r="O75">
        <v>125.009</v>
      </c>
      <c r="P75">
        <v>89.88</v>
      </c>
      <c r="Q75">
        <v>84.77</v>
      </c>
      <c r="R75">
        <v>87.506299999999996</v>
      </c>
      <c r="S75"/>
      <c r="T75"/>
      <c r="U75"/>
      <c r="V75" t="s">
        <v>170</v>
      </c>
      <c r="W75" t="s">
        <v>171</v>
      </c>
      <c r="X75"/>
      <c r="Y75">
        <v>1</v>
      </c>
      <c r="Z75" t="s">
        <v>173</v>
      </c>
      <c r="AA75" t="s">
        <v>173</v>
      </c>
      <c r="AB75" t="s">
        <v>170</v>
      </c>
      <c r="AC75" t="s">
        <v>232</v>
      </c>
      <c r="AD75"/>
      <c r="AE75"/>
      <c r="AF75">
        <v>327</v>
      </c>
      <c r="AG75" t="s">
        <v>1392</v>
      </c>
      <c r="AH75" t="s">
        <v>1393</v>
      </c>
      <c r="AI75" t="s">
        <v>178</v>
      </c>
      <c r="AJ75" t="s">
        <v>179</v>
      </c>
      <c r="AK75" t="s">
        <v>664</v>
      </c>
      <c r="AL75" t="s">
        <v>665</v>
      </c>
      <c r="AM75"/>
      <c r="AN75"/>
      <c r="AO75"/>
      <c r="AP75"/>
      <c r="AQ75"/>
      <c r="AR75"/>
      <c r="AS75">
        <v>1000</v>
      </c>
      <c r="AT75">
        <v>1000</v>
      </c>
      <c r="AU75"/>
      <c r="AV75"/>
      <c r="AW75"/>
      <c r="AX75"/>
      <c r="AY75"/>
      <c r="AZ75"/>
      <c r="BA75"/>
      <c r="BB75"/>
      <c r="BC75"/>
      <c r="BD75"/>
      <c r="BE75"/>
      <c r="BF75"/>
      <c r="BG75"/>
      <c r="BH75"/>
      <c r="BI75"/>
      <c r="BJ75"/>
      <c r="BK75"/>
      <c r="BL75"/>
      <c r="BM75"/>
      <c r="BN75" s="114"/>
      <c r="BO75"/>
      <c r="BP75"/>
      <c r="BQ75">
        <v>33</v>
      </c>
      <c r="BR75" t="s">
        <v>1062</v>
      </c>
      <c r="BS75"/>
      <c r="BT75" t="s">
        <v>1402</v>
      </c>
      <c r="BU75" s="115">
        <v>45748</v>
      </c>
      <c r="BV75">
        <v>36351</v>
      </c>
      <c r="BW75" s="116"/>
      <c r="BX75" t="s">
        <v>172</v>
      </c>
      <c r="BY75" t="s">
        <v>173</v>
      </c>
      <c r="BZ75"/>
      <c r="CA75"/>
      <c r="CB75" t="s">
        <v>173</v>
      </c>
      <c r="CC75" t="s">
        <v>173</v>
      </c>
      <c r="CD75"/>
      <c r="CE75"/>
      <c r="CF75"/>
      <c r="CG75"/>
      <c r="CH75"/>
      <c r="CI75"/>
      <c r="CJ75"/>
      <c r="CK75" t="s">
        <v>259</v>
      </c>
      <c r="CL75"/>
      <c r="CM75">
        <v>1</v>
      </c>
      <c r="CN75" t="s">
        <v>260</v>
      </c>
      <c r="CO75"/>
      <c r="CP75">
        <v>369</v>
      </c>
      <c r="CQ75">
        <v>303</v>
      </c>
      <c r="CR75">
        <v>175</v>
      </c>
      <c r="CS75" t="s">
        <v>261</v>
      </c>
      <c r="CT75"/>
      <c r="CU75"/>
      <c r="CV75" t="s">
        <v>262</v>
      </c>
      <c r="CW75"/>
      <c r="CX75" t="s">
        <v>263</v>
      </c>
      <c r="CY75" t="s">
        <v>172</v>
      </c>
      <c r="CZ75"/>
      <c r="DA75"/>
      <c r="DB75"/>
      <c r="DC75" t="s">
        <v>1412</v>
      </c>
      <c r="DD75">
        <v>2</v>
      </c>
      <c r="DE75" t="s">
        <v>307</v>
      </c>
      <c r="DF75" t="s">
        <v>308</v>
      </c>
      <c r="DG75" t="s">
        <v>1407</v>
      </c>
      <c r="DH75"/>
      <c r="DI75"/>
      <c r="DJ75"/>
      <c r="DK75"/>
      <c r="DL75" t="s">
        <v>173</v>
      </c>
      <c r="DM75" t="s">
        <v>172</v>
      </c>
      <c r="DN75"/>
      <c r="DO75"/>
      <c r="DP75" t="s">
        <v>173</v>
      </c>
      <c r="DQ75" t="s">
        <v>189</v>
      </c>
      <c r="DR75"/>
      <c r="DS75"/>
      <c r="DT75"/>
      <c r="DU75"/>
      <c r="DV75"/>
      <c r="DW75"/>
      <c r="DX75"/>
      <c r="DY75"/>
      <c r="DZ75"/>
      <c r="EA75" s="117"/>
      <c r="EB75">
        <v>9</v>
      </c>
      <c r="EC75">
        <v>10</v>
      </c>
      <c r="ED75"/>
      <c r="EE75" t="s">
        <v>1419</v>
      </c>
      <c r="EF75">
        <v>10</v>
      </c>
      <c r="EG75"/>
      <c r="EH75"/>
      <c r="EI75"/>
      <c r="EJ75"/>
      <c r="EK75"/>
      <c r="EL75"/>
      <c r="EM75"/>
      <c r="EN75"/>
      <c r="EO75"/>
      <c r="EP75"/>
      <c r="EQ75"/>
      <c r="ER75"/>
      <c r="ES75"/>
      <c r="ET75"/>
      <c r="EU75">
        <v>3500</v>
      </c>
      <c r="EV75"/>
      <c r="EW75">
        <v>0</v>
      </c>
      <c r="EX75">
        <v>0</v>
      </c>
      <c r="EY75">
        <v>0</v>
      </c>
      <c r="EZ75"/>
      <c r="FA75">
        <v>11</v>
      </c>
      <c r="FB75"/>
      <c r="FC75"/>
      <c r="FD75"/>
      <c r="FE75"/>
      <c r="FF75"/>
      <c r="FG75" s="94">
        <v>336</v>
      </c>
      <c r="FH75" s="94">
        <v>317</v>
      </c>
      <c r="FI75" s="94">
        <v>327</v>
      </c>
    </row>
    <row r="76" spans="1:165" s="66" customFormat="1" x14ac:dyDescent="0.35">
      <c r="A76">
        <v>2026</v>
      </c>
      <c r="B76" t="s">
        <v>192</v>
      </c>
      <c r="C76" s="112" t="s">
        <v>192</v>
      </c>
      <c r="D76" t="s">
        <v>1421</v>
      </c>
      <c r="E76" t="s">
        <v>194</v>
      </c>
      <c r="F76">
        <v>122</v>
      </c>
      <c r="G76" s="113">
        <v>0</v>
      </c>
      <c r="H76"/>
      <c r="I76" t="s">
        <v>1391</v>
      </c>
      <c r="J76">
        <v>38</v>
      </c>
      <c r="K76">
        <v>40</v>
      </c>
      <c r="L76">
        <v>39</v>
      </c>
      <c r="M76">
        <v>26.240200000000002</v>
      </c>
      <c r="N76">
        <v>27.832000000000001</v>
      </c>
      <c r="O76">
        <v>26.956499999999998</v>
      </c>
      <c r="P76">
        <v>37.5</v>
      </c>
      <c r="Q76">
        <v>39.7605</v>
      </c>
      <c r="R76">
        <v>38.517200000000003</v>
      </c>
      <c r="S76"/>
      <c r="T76"/>
      <c r="U76"/>
      <c r="V76" t="s">
        <v>170</v>
      </c>
      <c r="W76" t="s">
        <v>171</v>
      </c>
      <c r="X76"/>
      <c r="Y76">
        <v>1</v>
      </c>
      <c r="Z76" t="s">
        <v>173</v>
      </c>
      <c r="AA76" t="s">
        <v>173</v>
      </c>
      <c r="AB76" t="s">
        <v>170</v>
      </c>
      <c r="AC76" t="s">
        <v>232</v>
      </c>
      <c r="AD76"/>
      <c r="AE76"/>
      <c r="AF76">
        <v>327</v>
      </c>
      <c r="AG76" t="s">
        <v>1392</v>
      </c>
      <c r="AH76" t="s">
        <v>1393</v>
      </c>
      <c r="AI76" t="s">
        <v>1399</v>
      </c>
      <c r="AJ76" t="s">
        <v>1400</v>
      </c>
      <c r="AK76" t="s">
        <v>664</v>
      </c>
      <c r="AL76" t="s">
        <v>665</v>
      </c>
      <c r="AM76"/>
      <c r="AN76"/>
      <c r="AO76"/>
      <c r="AP76"/>
      <c r="AQ76"/>
      <c r="AR76"/>
      <c r="AS76">
        <v>1000</v>
      </c>
      <c r="AT76">
        <v>1000</v>
      </c>
      <c r="AU76"/>
      <c r="AV76"/>
      <c r="AW76"/>
      <c r="AX76"/>
      <c r="AY76"/>
      <c r="AZ76"/>
      <c r="BA76"/>
      <c r="BB76"/>
      <c r="BC76"/>
      <c r="BD76"/>
      <c r="BE76"/>
      <c r="BF76"/>
      <c r="BG76"/>
      <c r="BH76"/>
      <c r="BI76"/>
      <c r="BJ76"/>
      <c r="BK76"/>
      <c r="BL76"/>
      <c r="BM76"/>
      <c r="BN76" s="114"/>
      <c r="BO76"/>
      <c r="BP76"/>
      <c r="BQ76">
        <v>33</v>
      </c>
      <c r="BR76" t="s">
        <v>1062</v>
      </c>
      <c r="BS76"/>
      <c r="BT76" t="s">
        <v>1402</v>
      </c>
      <c r="BU76" s="115">
        <v>45748</v>
      </c>
      <c r="BV76">
        <v>36351</v>
      </c>
      <c r="BW76" s="116"/>
      <c r="BX76" t="s">
        <v>172</v>
      </c>
      <c r="BY76" t="s">
        <v>173</v>
      </c>
      <c r="BZ76"/>
      <c r="CA76"/>
      <c r="CB76" t="s">
        <v>173</v>
      </c>
      <c r="CC76" t="s">
        <v>173</v>
      </c>
      <c r="CD76"/>
      <c r="CE76"/>
      <c r="CF76"/>
      <c r="CG76"/>
      <c r="CH76"/>
      <c r="CI76"/>
      <c r="CJ76"/>
      <c r="CK76" t="s">
        <v>259</v>
      </c>
      <c r="CL76"/>
      <c r="CM76">
        <v>1</v>
      </c>
      <c r="CN76" t="s">
        <v>260</v>
      </c>
      <c r="CO76"/>
      <c r="CP76">
        <v>369</v>
      </c>
      <c r="CQ76">
        <v>303</v>
      </c>
      <c r="CR76">
        <v>175</v>
      </c>
      <c r="CS76" t="s">
        <v>261</v>
      </c>
      <c r="CT76"/>
      <c r="CU76"/>
      <c r="CV76" t="s">
        <v>262</v>
      </c>
      <c r="CW76"/>
      <c r="CX76" t="s">
        <v>263</v>
      </c>
      <c r="CY76" t="s">
        <v>172</v>
      </c>
      <c r="CZ76"/>
      <c r="DA76"/>
      <c r="DB76"/>
      <c r="DC76" t="s">
        <v>1412</v>
      </c>
      <c r="DD76">
        <v>2</v>
      </c>
      <c r="DE76" t="s">
        <v>307</v>
      </c>
      <c r="DF76" t="s">
        <v>308</v>
      </c>
      <c r="DG76" t="s">
        <v>1407</v>
      </c>
      <c r="DH76"/>
      <c r="DI76"/>
      <c r="DJ76"/>
      <c r="DK76"/>
      <c r="DL76" t="s">
        <v>173</v>
      </c>
      <c r="DM76" t="s">
        <v>172</v>
      </c>
      <c r="DN76"/>
      <c r="DO76"/>
      <c r="DP76" t="s">
        <v>173</v>
      </c>
      <c r="DQ76" t="s">
        <v>189</v>
      </c>
      <c r="DR76"/>
      <c r="DS76"/>
      <c r="DT76"/>
      <c r="DU76"/>
      <c r="DV76"/>
      <c r="DW76"/>
      <c r="DX76"/>
      <c r="DY76"/>
      <c r="DZ76"/>
      <c r="EA76" s="117"/>
      <c r="EB76">
        <v>9</v>
      </c>
      <c r="EC76">
        <v>10</v>
      </c>
      <c r="ED76"/>
      <c r="EE76" t="s">
        <v>1419</v>
      </c>
      <c r="EF76">
        <v>10</v>
      </c>
      <c r="EG76"/>
      <c r="EH76"/>
      <c r="EI76"/>
      <c r="EJ76"/>
      <c r="EK76"/>
      <c r="EL76"/>
      <c r="EM76"/>
      <c r="EN76"/>
      <c r="EO76"/>
      <c r="EP76"/>
      <c r="EQ76"/>
      <c r="ER76"/>
      <c r="ES76"/>
      <c r="ET76"/>
      <c r="EU76">
        <v>3500</v>
      </c>
      <c r="EV76"/>
      <c r="EW76">
        <v>0</v>
      </c>
      <c r="EX76">
        <v>0</v>
      </c>
      <c r="EY76">
        <v>0</v>
      </c>
      <c r="EZ76"/>
      <c r="FA76">
        <v>11</v>
      </c>
      <c r="FB76"/>
      <c r="FC76"/>
      <c r="FD76"/>
      <c r="FE76"/>
      <c r="FF76"/>
      <c r="FG76" s="94">
        <v>336</v>
      </c>
      <c r="FH76" s="94">
        <v>317</v>
      </c>
      <c r="FI76" s="94">
        <v>327</v>
      </c>
    </row>
    <row r="77" spans="1:165" s="66" customFormat="1" x14ac:dyDescent="0.35">
      <c r="A77" s="19"/>
      <c r="B77" s="19"/>
      <c r="C77" s="19"/>
      <c r="D77" s="19"/>
      <c r="E77" s="19"/>
      <c r="F77" s="128"/>
      <c r="G77" s="19"/>
      <c r="H77" s="19"/>
      <c r="I77" s="19"/>
      <c r="J77" s="19"/>
      <c r="K77" s="19" t="str">
        <f>_xlfn.CONCAT(A78," ",C78," ",D78)</f>
        <v>2026 BMW iX xDrive60 (23'' Wheels)</v>
      </c>
      <c r="L77" s="19"/>
      <c r="M77" s="19"/>
      <c r="N77" s="19"/>
      <c r="O77" s="19"/>
      <c r="P77" s="19"/>
      <c r="Q77" s="19"/>
      <c r="R77" s="19"/>
      <c r="S77" s="19"/>
      <c r="T77" s="19"/>
      <c r="U77" s="19"/>
      <c r="V77" s="19"/>
      <c r="W77" s="19"/>
      <c r="X77" s="19"/>
      <c r="Y77" s="19"/>
      <c r="Z77" s="19"/>
      <c r="AA77" s="19"/>
      <c r="AB77" s="19" t="str">
        <f>$K77</f>
        <v>2026 BMW iX xDrive60 (23'' Wheels)</v>
      </c>
      <c r="AC77" s="19"/>
      <c r="AD77" s="19"/>
      <c r="AE77" s="19"/>
      <c r="AF77" s="19"/>
      <c r="AG77" s="19"/>
      <c r="AH77" s="19"/>
      <c r="AI77" s="19"/>
      <c r="AJ77" s="19"/>
      <c r="AK77" s="19"/>
      <c r="AL77" s="19"/>
      <c r="AM77" s="19"/>
      <c r="AN77" s="19"/>
      <c r="AO77" s="19"/>
      <c r="AP77" s="19"/>
      <c r="AQ77" s="19"/>
      <c r="AR77" s="19" t="str">
        <f>$K77</f>
        <v>2026 BMW iX xDrive60 (23'' Wheels)</v>
      </c>
      <c r="AS77" s="19"/>
      <c r="AT77" s="19"/>
      <c r="AU77" s="19"/>
      <c r="AV77" s="19"/>
      <c r="AW77" s="19"/>
      <c r="AX77" s="19"/>
      <c r="AY77" s="19"/>
      <c r="AZ77" s="19"/>
      <c r="BA77" s="19"/>
      <c r="BB77" s="19"/>
      <c r="BC77" s="19"/>
      <c r="BD77" s="19"/>
      <c r="BE77" s="19"/>
      <c r="BF77" s="19"/>
      <c r="BG77" s="19" t="str">
        <f>$K77</f>
        <v>2026 BMW iX xDrive60 (23'' Wheels)</v>
      </c>
      <c r="BH77" s="19"/>
      <c r="BI77" s="19"/>
      <c r="BJ77" s="19"/>
      <c r="BK77" s="19"/>
      <c r="BL77" s="19"/>
      <c r="BM77" s="129"/>
      <c r="BN77" s="19"/>
      <c r="BO77" s="19"/>
      <c r="BP77" s="19"/>
      <c r="BQ77" s="19"/>
      <c r="BR77" s="19"/>
      <c r="BS77" s="19"/>
      <c r="BT77" s="130"/>
      <c r="BU77" s="19"/>
      <c r="BV77" s="19"/>
      <c r="BW77" s="116"/>
      <c r="BX77" s="19"/>
      <c r="BY77" s="19"/>
      <c r="BZ77" s="19"/>
      <c r="CA77" s="19"/>
      <c r="CB77" s="19"/>
      <c r="CC77" s="19"/>
      <c r="CD77" s="19"/>
      <c r="CE77" s="19"/>
      <c r="CF77" s="19"/>
      <c r="CG77" s="19"/>
      <c r="CH77" s="19"/>
      <c r="CI77" s="19"/>
      <c r="CJ77" s="19"/>
      <c r="CK77" s="19"/>
      <c r="CL77" s="19"/>
      <c r="CM77" s="19" t="str">
        <f>$K77</f>
        <v>2026 BMW iX xDrive60 (23'' Wheels)</v>
      </c>
      <c r="CN77" s="19"/>
      <c r="CO77" s="19"/>
      <c r="CP77" s="19"/>
      <c r="CQ77" s="19"/>
      <c r="CR77" s="19"/>
      <c r="CS77" s="19"/>
      <c r="CT77" s="19"/>
      <c r="CU77" s="19"/>
      <c r="CV77" s="19"/>
      <c r="CW77" s="19"/>
      <c r="CX77" s="19"/>
      <c r="CY77" s="19"/>
      <c r="CZ77" s="19"/>
      <c r="DA77" s="19"/>
      <c r="DB77" s="19"/>
      <c r="DC77" s="19"/>
      <c r="DD77" s="19" t="str">
        <f>$K77</f>
        <v>2026 BMW iX xDrive60 (23'' Wheels)</v>
      </c>
      <c r="DE77" s="19"/>
      <c r="DF77" s="19"/>
      <c r="DG77" s="19"/>
      <c r="DH77" s="19"/>
      <c r="DI77" s="19"/>
      <c r="DJ77" s="19"/>
      <c r="DK77" s="19"/>
      <c r="DL77" s="19"/>
      <c r="DM77" s="19"/>
      <c r="DN77" s="19"/>
      <c r="DO77" s="19"/>
      <c r="DP77" s="19"/>
      <c r="DQ77" s="19"/>
      <c r="DR77" s="19"/>
      <c r="DS77" s="19"/>
      <c r="DT77" s="19"/>
      <c r="DU77" s="19" t="str">
        <f>$K77</f>
        <v>2026 BMW iX xDrive60 (23'' Wheels)</v>
      </c>
      <c r="DV77" s="19"/>
      <c r="DW77" s="19"/>
      <c r="DX77" s="19"/>
      <c r="DY77" s="19"/>
      <c r="DZ77" s="19"/>
      <c r="EA77" s="117"/>
      <c r="EB77" s="19"/>
      <c r="EC77" s="19"/>
      <c r="ED77" s="19"/>
      <c r="EE77" s="19"/>
      <c r="EF77" s="19"/>
      <c r="EG77"/>
      <c r="EH77"/>
      <c r="EI77"/>
      <c r="EJ77"/>
      <c r="EK77"/>
      <c r="EL77"/>
      <c r="EM77"/>
      <c r="EN77"/>
      <c r="EO77"/>
      <c r="EP77"/>
      <c r="EQ77"/>
      <c r="ER77"/>
      <c r="ES77"/>
      <c r="ET77"/>
      <c r="EU77"/>
      <c r="EV77"/>
      <c r="EW77"/>
      <c r="EX77" s="19" t="s">
        <v>1957</v>
      </c>
      <c r="EY77"/>
      <c r="EZ77"/>
      <c r="FA77"/>
      <c r="FB77"/>
      <c r="FC77"/>
      <c r="FD77"/>
      <c r="FE77"/>
      <c r="FF77"/>
      <c r="FG77"/>
      <c r="FH77"/>
      <c r="FI77"/>
    </row>
    <row r="78" spans="1:165" s="66" customFormat="1" x14ac:dyDescent="0.35">
      <c r="A78">
        <v>2026</v>
      </c>
      <c r="B78" t="s">
        <v>192</v>
      </c>
      <c r="C78" s="112" t="s">
        <v>192</v>
      </c>
      <c r="D78" t="s">
        <v>1422</v>
      </c>
      <c r="E78" t="s">
        <v>194</v>
      </c>
      <c r="F78">
        <v>123</v>
      </c>
      <c r="G78" s="113">
        <v>0</v>
      </c>
      <c r="H78"/>
      <c r="I78" t="s">
        <v>1391</v>
      </c>
      <c r="J78">
        <v>87</v>
      </c>
      <c r="K78">
        <v>83</v>
      </c>
      <c r="L78">
        <v>85</v>
      </c>
      <c r="M78">
        <v>124.1</v>
      </c>
      <c r="N78">
        <v>118.9</v>
      </c>
      <c r="O78">
        <v>121.70480000000001</v>
      </c>
      <c r="P78">
        <v>86.87</v>
      </c>
      <c r="Q78">
        <v>83.23</v>
      </c>
      <c r="R78">
        <v>85.193399999999997</v>
      </c>
      <c r="S78"/>
      <c r="T78"/>
      <c r="U78"/>
      <c r="V78" t="s">
        <v>170</v>
      </c>
      <c r="W78" t="s">
        <v>171</v>
      </c>
      <c r="X78"/>
      <c r="Y78">
        <v>1</v>
      </c>
      <c r="Z78" t="s">
        <v>173</v>
      </c>
      <c r="AA78" t="s">
        <v>173</v>
      </c>
      <c r="AB78" t="s">
        <v>170</v>
      </c>
      <c r="AC78" t="s">
        <v>232</v>
      </c>
      <c r="AD78"/>
      <c r="AE78"/>
      <c r="AF78">
        <v>318</v>
      </c>
      <c r="AG78" t="s">
        <v>1392</v>
      </c>
      <c r="AH78" t="s">
        <v>1393</v>
      </c>
      <c r="AI78" t="s">
        <v>178</v>
      </c>
      <c r="AJ78" t="s">
        <v>179</v>
      </c>
      <c r="AK78" t="s">
        <v>664</v>
      </c>
      <c r="AL78" t="s">
        <v>665</v>
      </c>
      <c r="AM78"/>
      <c r="AN78"/>
      <c r="AO78"/>
      <c r="AP78"/>
      <c r="AQ78"/>
      <c r="AR78"/>
      <c r="AS78">
        <v>1000</v>
      </c>
      <c r="AT78">
        <v>1000</v>
      </c>
      <c r="AU78"/>
      <c r="AV78"/>
      <c r="AW78"/>
      <c r="AX78"/>
      <c r="AY78"/>
      <c r="AZ78"/>
      <c r="BA78"/>
      <c r="BB78"/>
      <c r="BC78"/>
      <c r="BD78"/>
      <c r="BE78"/>
      <c r="BF78"/>
      <c r="BG78"/>
      <c r="BH78"/>
      <c r="BI78"/>
      <c r="BJ78"/>
      <c r="BK78"/>
      <c r="BL78"/>
      <c r="BM78"/>
      <c r="BN78" s="114"/>
      <c r="BO78"/>
      <c r="BP78"/>
      <c r="BQ78">
        <v>33</v>
      </c>
      <c r="BR78" t="s">
        <v>1062</v>
      </c>
      <c r="BS78"/>
      <c r="BT78" t="s">
        <v>1402</v>
      </c>
      <c r="BU78" s="115">
        <v>45748</v>
      </c>
      <c r="BV78">
        <v>36352</v>
      </c>
      <c r="BW78" s="116"/>
      <c r="BX78" t="s">
        <v>172</v>
      </c>
      <c r="BY78" t="s">
        <v>173</v>
      </c>
      <c r="BZ78"/>
      <c r="CA78"/>
      <c r="CB78" t="s">
        <v>173</v>
      </c>
      <c r="CC78" t="s">
        <v>173</v>
      </c>
      <c r="CD78"/>
      <c r="CE78"/>
      <c r="CF78"/>
      <c r="CG78"/>
      <c r="CH78"/>
      <c r="CI78"/>
      <c r="CJ78"/>
      <c r="CK78" t="s">
        <v>259</v>
      </c>
      <c r="CL78"/>
      <c r="CM78">
        <v>1</v>
      </c>
      <c r="CN78" t="s">
        <v>260</v>
      </c>
      <c r="CO78"/>
      <c r="CP78">
        <v>369</v>
      </c>
      <c r="CQ78">
        <v>303</v>
      </c>
      <c r="CR78">
        <v>175</v>
      </c>
      <c r="CS78" t="s">
        <v>261</v>
      </c>
      <c r="CT78"/>
      <c r="CU78"/>
      <c r="CV78" t="s">
        <v>262</v>
      </c>
      <c r="CW78"/>
      <c r="CX78" t="s">
        <v>263</v>
      </c>
      <c r="CY78" t="s">
        <v>172</v>
      </c>
      <c r="CZ78"/>
      <c r="DA78"/>
      <c r="DB78"/>
      <c r="DC78" t="s">
        <v>1412</v>
      </c>
      <c r="DD78">
        <v>2</v>
      </c>
      <c r="DE78" t="s">
        <v>307</v>
      </c>
      <c r="DF78" t="s">
        <v>308</v>
      </c>
      <c r="DG78" t="s">
        <v>1407</v>
      </c>
      <c r="DH78"/>
      <c r="DI78"/>
      <c r="DJ78"/>
      <c r="DK78"/>
      <c r="DL78" t="s">
        <v>173</v>
      </c>
      <c r="DM78" t="s">
        <v>172</v>
      </c>
      <c r="DN78"/>
      <c r="DO78"/>
      <c r="DP78" t="s">
        <v>173</v>
      </c>
      <c r="DQ78" t="s">
        <v>189</v>
      </c>
      <c r="DR78"/>
      <c r="DS78"/>
      <c r="DT78"/>
      <c r="DU78"/>
      <c r="DV78"/>
      <c r="DW78"/>
      <c r="DX78"/>
      <c r="DY78"/>
      <c r="DZ78"/>
      <c r="EA78" s="117"/>
      <c r="EB78">
        <v>9</v>
      </c>
      <c r="EC78">
        <v>10</v>
      </c>
      <c r="ED78"/>
      <c r="EE78" t="s">
        <v>1419</v>
      </c>
      <c r="EF78">
        <v>10</v>
      </c>
      <c r="EG78"/>
      <c r="EH78"/>
      <c r="EI78"/>
      <c r="EJ78"/>
      <c r="EK78"/>
      <c r="EL78"/>
      <c r="EM78"/>
      <c r="EN78"/>
      <c r="EO78"/>
      <c r="EP78"/>
      <c r="EQ78"/>
      <c r="ER78"/>
      <c r="ES78"/>
      <c r="ET78"/>
      <c r="EU78">
        <v>3500</v>
      </c>
      <c r="EV78"/>
      <c r="EW78">
        <v>0</v>
      </c>
      <c r="EX78">
        <v>0</v>
      </c>
      <c r="EY78">
        <v>0</v>
      </c>
      <c r="EZ78"/>
      <c r="FA78">
        <v>11</v>
      </c>
      <c r="FB78"/>
      <c r="FC78"/>
      <c r="FD78"/>
      <c r="FE78"/>
      <c r="FF78"/>
      <c r="FG78" s="94">
        <v>324</v>
      </c>
      <c r="FH78" s="94">
        <v>311</v>
      </c>
      <c r="FI78" s="94">
        <v>318</v>
      </c>
    </row>
    <row r="79" spans="1:165" s="66" customFormat="1" x14ac:dyDescent="0.35">
      <c r="A79">
        <v>2026</v>
      </c>
      <c r="B79" t="s">
        <v>192</v>
      </c>
      <c r="C79" s="112" t="s">
        <v>192</v>
      </c>
      <c r="D79" t="s">
        <v>1422</v>
      </c>
      <c r="E79" t="s">
        <v>194</v>
      </c>
      <c r="F79">
        <v>123</v>
      </c>
      <c r="G79" s="113">
        <v>0</v>
      </c>
      <c r="H79"/>
      <c r="I79" t="s">
        <v>1391</v>
      </c>
      <c r="J79">
        <v>39</v>
      </c>
      <c r="K79">
        <v>40</v>
      </c>
      <c r="L79">
        <v>40</v>
      </c>
      <c r="M79">
        <v>27.166599999999999</v>
      </c>
      <c r="N79">
        <v>28.339600000000001</v>
      </c>
      <c r="O79">
        <v>27.694500000000001</v>
      </c>
      <c r="P79">
        <v>38.799399999999999</v>
      </c>
      <c r="Q79">
        <v>40.496200000000002</v>
      </c>
      <c r="R79">
        <v>39.562899999999999</v>
      </c>
      <c r="S79"/>
      <c r="T79"/>
      <c r="U79"/>
      <c r="V79" t="s">
        <v>170</v>
      </c>
      <c r="W79" t="s">
        <v>171</v>
      </c>
      <c r="X79"/>
      <c r="Y79">
        <v>1</v>
      </c>
      <c r="Z79" t="s">
        <v>173</v>
      </c>
      <c r="AA79" t="s">
        <v>173</v>
      </c>
      <c r="AB79" t="s">
        <v>170</v>
      </c>
      <c r="AC79" t="s">
        <v>232</v>
      </c>
      <c r="AD79"/>
      <c r="AE79"/>
      <c r="AF79">
        <v>318</v>
      </c>
      <c r="AG79" t="s">
        <v>1392</v>
      </c>
      <c r="AH79" t="s">
        <v>1393</v>
      </c>
      <c r="AI79" t="s">
        <v>1399</v>
      </c>
      <c r="AJ79" t="s">
        <v>1400</v>
      </c>
      <c r="AK79" t="s">
        <v>664</v>
      </c>
      <c r="AL79" t="s">
        <v>665</v>
      </c>
      <c r="AM79"/>
      <c r="AN79"/>
      <c r="AO79"/>
      <c r="AP79"/>
      <c r="AQ79"/>
      <c r="AR79"/>
      <c r="AS79">
        <v>1000</v>
      </c>
      <c r="AT79">
        <v>1000</v>
      </c>
      <c r="AU79"/>
      <c r="AV79"/>
      <c r="AW79"/>
      <c r="AX79"/>
      <c r="AY79"/>
      <c r="AZ79"/>
      <c r="BA79"/>
      <c r="BB79"/>
      <c r="BC79"/>
      <c r="BD79"/>
      <c r="BE79"/>
      <c r="BF79"/>
      <c r="BG79"/>
      <c r="BH79"/>
      <c r="BI79"/>
      <c r="BJ79"/>
      <c r="BK79"/>
      <c r="BL79"/>
      <c r="BM79"/>
      <c r="BN79" s="114"/>
      <c r="BO79"/>
      <c r="BP79"/>
      <c r="BQ79">
        <v>33</v>
      </c>
      <c r="BR79" t="s">
        <v>1062</v>
      </c>
      <c r="BS79"/>
      <c r="BT79" t="s">
        <v>1402</v>
      </c>
      <c r="BU79" s="115">
        <v>45748</v>
      </c>
      <c r="BV79">
        <v>36352</v>
      </c>
      <c r="BW79" s="116"/>
      <c r="BX79" t="s">
        <v>172</v>
      </c>
      <c r="BY79" t="s">
        <v>173</v>
      </c>
      <c r="BZ79"/>
      <c r="CA79"/>
      <c r="CB79" t="s">
        <v>173</v>
      </c>
      <c r="CC79" t="s">
        <v>173</v>
      </c>
      <c r="CD79"/>
      <c r="CE79"/>
      <c r="CF79"/>
      <c r="CG79"/>
      <c r="CH79"/>
      <c r="CI79"/>
      <c r="CJ79"/>
      <c r="CK79" t="s">
        <v>259</v>
      </c>
      <c r="CL79"/>
      <c r="CM79">
        <v>1</v>
      </c>
      <c r="CN79" t="s">
        <v>260</v>
      </c>
      <c r="CO79"/>
      <c r="CP79">
        <v>369</v>
      </c>
      <c r="CQ79">
        <v>303</v>
      </c>
      <c r="CR79">
        <v>175</v>
      </c>
      <c r="CS79" t="s">
        <v>261</v>
      </c>
      <c r="CT79"/>
      <c r="CU79"/>
      <c r="CV79" t="s">
        <v>262</v>
      </c>
      <c r="CW79"/>
      <c r="CX79" t="s">
        <v>263</v>
      </c>
      <c r="CY79" t="s">
        <v>172</v>
      </c>
      <c r="CZ79"/>
      <c r="DA79"/>
      <c r="DB79"/>
      <c r="DC79" t="s">
        <v>1412</v>
      </c>
      <c r="DD79">
        <v>2</v>
      </c>
      <c r="DE79" t="s">
        <v>307</v>
      </c>
      <c r="DF79" t="s">
        <v>308</v>
      </c>
      <c r="DG79" t="s">
        <v>1407</v>
      </c>
      <c r="DH79"/>
      <c r="DI79"/>
      <c r="DJ79"/>
      <c r="DK79"/>
      <c r="DL79" t="s">
        <v>173</v>
      </c>
      <c r="DM79" t="s">
        <v>172</v>
      </c>
      <c r="DN79"/>
      <c r="DO79"/>
      <c r="DP79" t="s">
        <v>173</v>
      </c>
      <c r="DQ79" t="s">
        <v>189</v>
      </c>
      <c r="DR79"/>
      <c r="DS79"/>
      <c r="DT79"/>
      <c r="DU79"/>
      <c r="DV79"/>
      <c r="DW79"/>
      <c r="DX79"/>
      <c r="DY79"/>
      <c r="DZ79"/>
      <c r="EA79" s="117"/>
      <c r="EB79">
        <v>9</v>
      </c>
      <c r="EC79">
        <v>10</v>
      </c>
      <c r="ED79"/>
      <c r="EE79" t="s">
        <v>1419</v>
      </c>
      <c r="EF79">
        <v>10</v>
      </c>
      <c r="EG79"/>
      <c r="EH79"/>
      <c r="EI79"/>
      <c r="EJ79"/>
      <c r="EK79"/>
      <c r="EL79"/>
      <c r="EM79"/>
      <c r="EN79"/>
      <c r="EO79"/>
      <c r="EP79"/>
      <c r="EQ79"/>
      <c r="ER79"/>
      <c r="ES79"/>
      <c r="ET79"/>
      <c r="EU79">
        <v>3500</v>
      </c>
      <c r="EV79"/>
      <c r="EW79">
        <v>0</v>
      </c>
      <c r="EX79">
        <v>0</v>
      </c>
      <c r="EY79">
        <v>0</v>
      </c>
      <c r="EZ79"/>
      <c r="FA79">
        <v>11</v>
      </c>
      <c r="FB79"/>
      <c r="FC79"/>
      <c r="FD79"/>
      <c r="FE79"/>
      <c r="FF79"/>
      <c r="FG79" s="94">
        <v>324</v>
      </c>
      <c r="FH79" s="94">
        <v>311</v>
      </c>
      <c r="FI79" s="94">
        <v>318</v>
      </c>
    </row>
    <row r="80" spans="1:165" s="66" customFormat="1" x14ac:dyDescent="0.35">
      <c r="A80" s="19"/>
      <c r="B80" s="19"/>
      <c r="C80" s="19"/>
      <c r="D80" s="19"/>
      <c r="E80" s="19"/>
      <c r="F80" s="128"/>
      <c r="G80" s="19"/>
      <c r="H80" s="19"/>
      <c r="I80" s="19"/>
      <c r="J80" s="19"/>
      <c r="K80" s="19" t="str">
        <f>_xlfn.CONCAT(A81," ",C81," ",D81)</f>
        <v>2026 Bugatti Rimac Nevera R</v>
      </c>
      <c r="L80" s="19"/>
      <c r="M80" s="19"/>
      <c r="N80" s="19"/>
      <c r="O80" s="19"/>
      <c r="P80" s="19"/>
      <c r="Q80" s="19"/>
      <c r="R80" s="19"/>
      <c r="S80" s="19"/>
      <c r="T80" s="19"/>
      <c r="U80" s="19"/>
      <c r="V80" s="19"/>
      <c r="W80" s="19"/>
      <c r="X80" s="19"/>
      <c r="Y80" s="19"/>
      <c r="Z80" s="19"/>
      <c r="AA80" s="19"/>
      <c r="AB80" s="19" t="str">
        <f>$K80</f>
        <v>2026 Bugatti Rimac Nevera R</v>
      </c>
      <c r="AC80" s="19"/>
      <c r="AD80" s="19"/>
      <c r="AE80" s="19"/>
      <c r="AF80" s="19"/>
      <c r="AG80" s="19"/>
      <c r="AH80" s="19"/>
      <c r="AI80" s="19"/>
      <c r="AJ80" s="19"/>
      <c r="AK80" s="19"/>
      <c r="AL80" s="19"/>
      <c r="AM80" s="19"/>
      <c r="AN80" s="19"/>
      <c r="AO80" s="19"/>
      <c r="AP80" s="19"/>
      <c r="AQ80" s="19"/>
      <c r="AR80" s="19" t="str">
        <f>$K80</f>
        <v>2026 Bugatti Rimac Nevera R</v>
      </c>
      <c r="AS80" s="19"/>
      <c r="AT80" s="19"/>
      <c r="AU80" s="19"/>
      <c r="AV80" s="19"/>
      <c r="AW80" s="19"/>
      <c r="AX80" s="19"/>
      <c r="AY80" s="19"/>
      <c r="AZ80" s="19"/>
      <c r="BA80" s="19"/>
      <c r="BB80" s="19"/>
      <c r="BC80" s="19"/>
      <c r="BD80" s="19"/>
      <c r="BE80" s="19"/>
      <c r="BF80" s="19"/>
      <c r="BG80" s="19" t="str">
        <f>$K80</f>
        <v>2026 Bugatti Rimac Nevera R</v>
      </c>
      <c r="BH80" s="19"/>
      <c r="BI80" s="19"/>
      <c r="BJ80" s="19"/>
      <c r="BK80" s="19"/>
      <c r="BL80" s="19"/>
      <c r="BM80" s="129"/>
      <c r="BN80" s="19"/>
      <c r="BO80" s="19"/>
      <c r="BP80" s="19"/>
      <c r="BQ80" s="19"/>
      <c r="BR80" s="19"/>
      <c r="BS80" s="19"/>
      <c r="BT80" s="130"/>
      <c r="BU80" s="19"/>
      <c r="BV80" s="19"/>
      <c r="BW80" s="116"/>
      <c r="BX80" s="19"/>
      <c r="BY80" s="19"/>
      <c r="BZ80" s="19"/>
      <c r="CA80" s="19"/>
      <c r="CB80" s="19"/>
      <c r="CC80" s="19"/>
      <c r="CD80" s="19"/>
      <c r="CE80" s="19"/>
      <c r="CF80" s="19"/>
      <c r="CG80" s="19"/>
      <c r="CH80" s="19"/>
      <c r="CI80" s="19"/>
      <c r="CJ80" s="19"/>
      <c r="CK80" s="19"/>
      <c r="CL80" s="19"/>
      <c r="CM80" s="19" t="str">
        <f>$K80</f>
        <v>2026 Bugatti Rimac Nevera R</v>
      </c>
      <c r="CN80" s="19"/>
      <c r="CO80" s="19"/>
      <c r="CP80" s="19"/>
      <c r="CQ80" s="19"/>
      <c r="CR80" s="19"/>
      <c r="CS80" s="19"/>
      <c r="CT80" s="19"/>
      <c r="CU80" s="19"/>
      <c r="CV80" s="19"/>
      <c r="CW80" s="19"/>
      <c r="CX80" s="19"/>
      <c r="CY80" s="19"/>
      <c r="CZ80" s="19"/>
      <c r="DA80" s="19"/>
      <c r="DB80" s="19"/>
      <c r="DC80" s="19"/>
      <c r="DD80" s="19" t="str">
        <f>$K80</f>
        <v>2026 Bugatti Rimac Nevera R</v>
      </c>
      <c r="DE80" s="19"/>
      <c r="DF80" s="19"/>
      <c r="DG80" s="19"/>
      <c r="DH80" s="19"/>
      <c r="DI80" s="19"/>
      <c r="DJ80" s="19"/>
      <c r="DK80" s="19"/>
      <c r="DL80" s="19"/>
      <c r="DM80" s="19"/>
      <c r="DN80" s="19"/>
      <c r="DO80" s="19"/>
      <c r="DP80" s="19"/>
      <c r="DQ80" s="19"/>
      <c r="DR80" s="19"/>
      <c r="DS80" s="19"/>
      <c r="DT80" s="19"/>
      <c r="DU80" s="19" t="str">
        <f>$K80</f>
        <v>2026 Bugatti Rimac Nevera R</v>
      </c>
      <c r="DV80" s="19"/>
      <c r="DW80" s="19"/>
      <c r="DX80" s="19"/>
      <c r="DY80" s="19"/>
      <c r="DZ80" s="19"/>
      <c r="EA80" s="117"/>
      <c r="EB80" s="19"/>
      <c r="EC80" s="19"/>
      <c r="ED80" s="19"/>
      <c r="EE80" s="19"/>
      <c r="EF80" s="19"/>
      <c r="EG80"/>
      <c r="EH80"/>
      <c r="EI80"/>
      <c r="EJ80"/>
      <c r="EK80"/>
      <c r="EL80"/>
      <c r="EM80"/>
      <c r="EN80"/>
      <c r="EO80"/>
      <c r="EP80"/>
      <c r="EQ80"/>
      <c r="ER80"/>
      <c r="ES80"/>
      <c r="ET80"/>
      <c r="EU80"/>
      <c r="EV80"/>
      <c r="EW80"/>
      <c r="EX80" s="19" t="s">
        <v>1958</v>
      </c>
      <c r="EY80"/>
      <c r="EZ80"/>
      <c r="FA80"/>
      <c r="FB80"/>
      <c r="FC80"/>
      <c r="FD80"/>
      <c r="FE80"/>
      <c r="FF80"/>
      <c r="FG80"/>
      <c r="FH80"/>
      <c r="FI80"/>
    </row>
    <row r="81" spans="1:165" s="66" customFormat="1" x14ac:dyDescent="0.35">
      <c r="A81">
        <v>2026</v>
      </c>
      <c r="B81" t="s">
        <v>1428</v>
      </c>
      <c r="C81" s="112" t="s">
        <v>1429</v>
      </c>
      <c r="D81" t="s">
        <v>1430</v>
      </c>
      <c r="E81" t="s">
        <v>1431</v>
      </c>
      <c r="F81">
        <v>666</v>
      </c>
      <c r="G81" s="113">
        <v>0</v>
      </c>
      <c r="H81"/>
      <c r="I81" t="s">
        <v>1391</v>
      </c>
      <c r="J81">
        <v>50</v>
      </c>
      <c r="K81">
        <v>51</v>
      </c>
      <c r="L81">
        <v>51</v>
      </c>
      <c r="M81">
        <v>71.7</v>
      </c>
      <c r="N81">
        <v>73.400000000000006</v>
      </c>
      <c r="O81">
        <v>72.455200000000005</v>
      </c>
      <c r="P81">
        <v>50.19</v>
      </c>
      <c r="Q81">
        <v>51.38</v>
      </c>
      <c r="R81">
        <v>50.718600000000002</v>
      </c>
      <c r="S81"/>
      <c r="T81"/>
      <c r="U81"/>
      <c r="V81" t="s">
        <v>170</v>
      </c>
      <c r="W81" t="s">
        <v>171</v>
      </c>
      <c r="X81"/>
      <c r="Y81">
        <v>1</v>
      </c>
      <c r="Z81" t="s">
        <v>173</v>
      </c>
      <c r="AA81" t="s">
        <v>173</v>
      </c>
      <c r="AB81">
        <v>4</v>
      </c>
      <c r="AC81" t="s">
        <v>423</v>
      </c>
      <c r="AD81"/>
      <c r="AE81"/>
      <c r="AF81">
        <v>174</v>
      </c>
      <c r="AG81" t="s">
        <v>1392</v>
      </c>
      <c r="AH81" t="s">
        <v>1393</v>
      </c>
      <c r="AI81" t="s">
        <v>178</v>
      </c>
      <c r="AJ81" t="s">
        <v>179</v>
      </c>
      <c r="AK81">
        <v>4</v>
      </c>
      <c r="AL81" t="s">
        <v>1394</v>
      </c>
      <c r="AM81">
        <v>45</v>
      </c>
      <c r="AN81">
        <v>4</v>
      </c>
      <c r="AO81"/>
      <c r="AP81"/>
      <c r="AQ81"/>
      <c r="AR81"/>
      <c r="AS81">
        <v>1700</v>
      </c>
      <c r="AT81">
        <v>1700</v>
      </c>
      <c r="AU81"/>
      <c r="AV81"/>
      <c r="AW81"/>
      <c r="AX81"/>
      <c r="AY81"/>
      <c r="AZ81"/>
      <c r="BA81"/>
      <c r="BB81"/>
      <c r="BC81"/>
      <c r="BD81"/>
      <c r="BE81"/>
      <c r="BF81"/>
      <c r="BG81"/>
      <c r="BH81"/>
      <c r="BI81"/>
      <c r="BJ81"/>
      <c r="BK81"/>
      <c r="BL81"/>
      <c r="BM81"/>
      <c r="BN81" s="114"/>
      <c r="BO81"/>
      <c r="BP81"/>
      <c r="BQ81">
        <v>1</v>
      </c>
      <c r="BR81" t="s">
        <v>181</v>
      </c>
      <c r="BS81" t="s">
        <v>182</v>
      </c>
      <c r="BT81" t="s">
        <v>1402</v>
      </c>
      <c r="BU81" s="115">
        <v>45821</v>
      </c>
      <c r="BV81">
        <v>36754</v>
      </c>
      <c r="BW81" s="116"/>
      <c r="BX81" t="s">
        <v>173</v>
      </c>
      <c r="BY81" t="s">
        <v>173</v>
      </c>
      <c r="BZ81"/>
      <c r="CA81"/>
      <c r="CB81" t="s">
        <v>173</v>
      </c>
      <c r="CC81" t="s">
        <v>173</v>
      </c>
      <c r="CD81"/>
      <c r="CE81"/>
      <c r="CF81"/>
      <c r="CG81"/>
      <c r="CH81"/>
      <c r="CI81"/>
      <c r="CJ81"/>
      <c r="CK81" t="s">
        <v>259</v>
      </c>
      <c r="CL81"/>
      <c r="CM81">
        <v>1</v>
      </c>
      <c r="CN81" t="s">
        <v>260</v>
      </c>
      <c r="CO81"/>
      <c r="CP81">
        <v>800</v>
      </c>
      <c r="CQ81">
        <v>180</v>
      </c>
      <c r="CR81">
        <v>158</v>
      </c>
      <c r="CS81" t="s">
        <v>261</v>
      </c>
      <c r="CT81"/>
      <c r="CU81"/>
      <c r="CV81" t="s">
        <v>262</v>
      </c>
      <c r="CW81"/>
      <c r="CX81" t="s">
        <v>263</v>
      </c>
      <c r="CY81" t="s">
        <v>172</v>
      </c>
      <c r="CZ81"/>
      <c r="DA81"/>
      <c r="DB81"/>
      <c r="DC81"/>
      <c r="DD81">
        <v>4</v>
      </c>
      <c r="DE81" t="s">
        <v>760</v>
      </c>
      <c r="DF81"/>
      <c r="DG81" t="s">
        <v>1432</v>
      </c>
      <c r="DH81"/>
      <c r="DI81"/>
      <c r="DJ81"/>
      <c r="DK81"/>
      <c r="DL81" t="s">
        <v>173</v>
      </c>
      <c r="DM81" t="s">
        <v>172</v>
      </c>
      <c r="DN81"/>
      <c r="DO81"/>
      <c r="DP81" t="s">
        <v>173</v>
      </c>
      <c r="DQ81" t="s">
        <v>189</v>
      </c>
      <c r="DR81" t="s">
        <v>1433</v>
      </c>
      <c r="DS81"/>
      <c r="DT81"/>
      <c r="DU81"/>
      <c r="DV81"/>
      <c r="DW81"/>
      <c r="DX81"/>
      <c r="DY81"/>
      <c r="DZ81"/>
      <c r="EA81" s="117"/>
      <c r="EB81">
        <v>8</v>
      </c>
      <c r="EC81">
        <v>10</v>
      </c>
      <c r="ED81"/>
      <c r="EE81" t="s">
        <v>1434</v>
      </c>
      <c r="EF81">
        <v>10</v>
      </c>
      <c r="EG81"/>
      <c r="EH81"/>
      <c r="EI81"/>
      <c r="EJ81"/>
      <c r="EK81"/>
      <c r="EL81"/>
      <c r="EM81"/>
      <c r="EN81"/>
      <c r="EO81"/>
      <c r="EP81"/>
      <c r="EQ81"/>
      <c r="ER81"/>
      <c r="ES81"/>
      <c r="ET81"/>
      <c r="EU81">
        <v>0</v>
      </c>
      <c r="EV81"/>
      <c r="EW81">
        <v>0</v>
      </c>
      <c r="EX81">
        <v>0</v>
      </c>
      <c r="EY81">
        <v>0</v>
      </c>
      <c r="EZ81"/>
      <c r="FA81">
        <v>17.600000000000001</v>
      </c>
      <c r="FB81"/>
      <c r="FC81"/>
      <c r="FD81"/>
      <c r="FE81"/>
      <c r="FF81"/>
      <c r="FG81" s="94">
        <v>172</v>
      </c>
      <c r="FH81" s="94">
        <v>176</v>
      </c>
      <c r="FI81" s="94">
        <v>174</v>
      </c>
    </row>
    <row r="82" spans="1:165" s="66" customFormat="1" x14ac:dyDescent="0.35">
      <c r="A82">
        <v>2026</v>
      </c>
      <c r="B82" t="s">
        <v>1428</v>
      </c>
      <c r="C82" s="112" t="s">
        <v>1429</v>
      </c>
      <c r="D82" t="s">
        <v>1430</v>
      </c>
      <c r="E82" t="s">
        <v>1431</v>
      </c>
      <c r="F82">
        <v>666</v>
      </c>
      <c r="G82" s="113">
        <v>0</v>
      </c>
      <c r="H82"/>
      <c r="I82" t="s">
        <v>1391</v>
      </c>
      <c r="J82">
        <v>67</v>
      </c>
      <c r="K82">
        <v>66</v>
      </c>
      <c r="L82">
        <v>66</v>
      </c>
      <c r="M82">
        <v>46.9878</v>
      </c>
      <c r="N82">
        <v>45.937899999999999</v>
      </c>
      <c r="O82">
        <v>46.515300000000003</v>
      </c>
      <c r="P82">
        <v>67.154799999999994</v>
      </c>
      <c r="Q82">
        <v>65.599500000000006</v>
      </c>
      <c r="R82">
        <v>66.454899999999995</v>
      </c>
      <c r="S82"/>
      <c r="T82"/>
      <c r="U82"/>
      <c r="V82" t="s">
        <v>170</v>
      </c>
      <c r="W82" t="s">
        <v>171</v>
      </c>
      <c r="X82"/>
      <c r="Y82">
        <v>1</v>
      </c>
      <c r="Z82" t="s">
        <v>173</v>
      </c>
      <c r="AA82" t="s">
        <v>173</v>
      </c>
      <c r="AB82">
        <v>4</v>
      </c>
      <c r="AC82" t="s">
        <v>423</v>
      </c>
      <c r="AD82"/>
      <c r="AE82"/>
      <c r="AF82">
        <v>174</v>
      </c>
      <c r="AG82" t="s">
        <v>1392</v>
      </c>
      <c r="AH82" t="s">
        <v>1393</v>
      </c>
      <c r="AI82" t="s">
        <v>1399</v>
      </c>
      <c r="AJ82" t="s">
        <v>1400</v>
      </c>
      <c r="AK82">
        <v>4</v>
      </c>
      <c r="AL82" t="s">
        <v>1394</v>
      </c>
      <c r="AM82">
        <v>45</v>
      </c>
      <c r="AN82">
        <v>4</v>
      </c>
      <c r="AO82"/>
      <c r="AP82"/>
      <c r="AQ82"/>
      <c r="AR82"/>
      <c r="AS82">
        <v>1700</v>
      </c>
      <c r="AT82">
        <v>1700</v>
      </c>
      <c r="AU82"/>
      <c r="AV82"/>
      <c r="AW82"/>
      <c r="AX82"/>
      <c r="AY82"/>
      <c r="AZ82"/>
      <c r="BA82"/>
      <c r="BB82"/>
      <c r="BC82"/>
      <c r="BD82"/>
      <c r="BE82"/>
      <c r="BF82"/>
      <c r="BG82"/>
      <c r="BH82"/>
      <c r="BI82"/>
      <c r="BJ82"/>
      <c r="BK82"/>
      <c r="BL82"/>
      <c r="BM82"/>
      <c r="BN82" s="114"/>
      <c r="BO82"/>
      <c r="BP82"/>
      <c r="BQ82">
        <v>1</v>
      </c>
      <c r="BR82" t="s">
        <v>181</v>
      </c>
      <c r="BS82" t="s">
        <v>182</v>
      </c>
      <c r="BT82" t="s">
        <v>1402</v>
      </c>
      <c r="BU82" s="115">
        <v>45821</v>
      </c>
      <c r="BV82">
        <v>36754</v>
      </c>
      <c r="BW82" s="116"/>
      <c r="BX82" t="s">
        <v>173</v>
      </c>
      <c r="BY82" t="s">
        <v>173</v>
      </c>
      <c r="BZ82"/>
      <c r="CA82"/>
      <c r="CB82" t="s">
        <v>173</v>
      </c>
      <c r="CC82" t="s">
        <v>173</v>
      </c>
      <c r="CD82"/>
      <c r="CE82"/>
      <c r="CF82"/>
      <c r="CG82"/>
      <c r="CH82"/>
      <c r="CI82"/>
      <c r="CJ82"/>
      <c r="CK82" t="s">
        <v>259</v>
      </c>
      <c r="CL82"/>
      <c r="CM82">
        <v>1</v>
      </c>
      <c r="CN82" t="s">
        <v>260</v>
      </c>
      <c r="CO82"/>
      <c r="CP82">
        <v>800</v>
      </c>
      <c r="CQ82">
        <v>180</v>
      </c>
      <c r="CR82">
        <v>158</v>
      </c>
      <c r="CS82" t="s">
        <v>261</v>
      </c>
      <c r="CT82"/>
      <c r="CU82"/>
      <c r="CV82" t="s">
        <v>262</v>
      </c>
      <c r="CW82"/>
      <c r="CX82" t="s">
        <v>263</v>
      </c>
      <c r="CY82" t="s">
        <v>172</v>
      </c>
      <c r="CZ82"/>
      <c r="DA82"/>
      <c r="DB82"/>
      <c r="DC82"/>
      <c r="DD82">
        <v>4</v>
      </c>
      <c r="DE82" t="s">
        <v>760</v>
      </c>
      <c r="DF82"/>
      <c r="DG82" t="s">
        <v>1432</v>
      </c>
      <c r="DH82"/>
      <c r="DI82"/>
      <c r="DJ82"/>
      <c r="DK82"/>
      <c r="DL82" t="s">
        <v>173</v>
      </c>
      <c r="DM82" t="s">
        <v>172</v>
      </c>
      <c r="DN82"/>
      <c r="DO82"/>
      <c r="DP82" t="s">
        <v>173</v>
      </c>
      <c r="DQ82" t="s">
        <v>189</v>
      </c>
      <c r="DR82" t="s">
        <v>1433</v>
      </c>
      <c r="DS82"/>
      <c r="DT82"/>
      <c r="DU82"/>
      <c r="DV82"/>
      <c r="DW82"/>
      <c r="DX82"/>
      <c r="DY82"/>
      <c r="DZ82"/>
      <c r="EA82" s="117"/>
      <c r="EB82">
        <v>8</v>
      </c>
      <c r="EC82">
        <v>10</v>
      </c>
      <c r="ED82"/>
      <c r="EE82" t="s">
        <v>1434</v>
      </c>
      <c r="EF82">
        <v>10</v>
      </c>
      <c r="EG82"/>
      <c r="EH82"/>
      <c r="EI82"/>
      <c r="EJ82"/>
      <c r="EK82"/>
      <c r="EL82"/>
      <c r="EM82"/>
      <c r="EN82"/>
      <c r="EO82"/>
      <c r="EP82"/>
      <c r="EQ82"/>
      <c r="ER82"/>
      <c r="ES82"/>
      <c r="ET82"/>
      <c r="EU82">
        <v>0</v>
      </c>
      <c r="EV82"/>
      <c r="EW82">
        <v>0</v>
      </c>
      <c r="EX82">
        <v>0</v>
      </c>
      <c r="EY82">
        <v>0</v>
      </c>
      <c r="EZ82"/>
      <c r="FA82">
        <v>17.600000000000001</v>
      </c>
      <c r="FB82"/>
      <c r="FC82"/>
      <c r="FD82"/>
      <c r="FE82"/>
      <c r="FF82"/>
      <c r="FG82" s="94">
        <v>172</v>
      </c>
      <c r="FH82" s="94">
        <v>176</v>
      </c>
      <c r="FI82" s="94">
        <v>174</v>
      </c>
    </row>
    <row r="83" spans="1:165" s="66" customFormat="1" x14ac:dyDescent="0.35">
      <c r="A83" s="19"/>
      <c r="B83" s="19"/>
      <c r="C83" s="19"/>
      <c r="D83" s="19"/>
      <c r="E83" s="19"/>
      <c r="F83" s="128"/>
      <c r="G83" s="19"/>
      <c r="H83" s="19"/>
      <c r="I83" s="19"/>
      <c r="J83" s="19"/>
      <c r="K83" s="19" t="str">
        <f>_xlfn.CONCAT(A84," ",C84," ",D84)</f>
        <v>2026 Cadillac LYRIQ</v>
      </c>
      <c r="L83" s="19"/>
      <c r="M83" s="19"/>
      <c r="N83" s="19"/>
      <c r="O83" s="19"/>
      <c r="P83" s="19"/>
      <c r="Q83" s="19"/>
      <c r="R83" s="19"/>
      <c r="S83" s="19"/>
      <c r="T83" s="19"/>
      <c r="U83" s="19"/>
      <c r="V83" s="19"/>
      <c r="W83" s="19"/>
      <c r="X83" s="19"/>
      <c r="Y83" s="19"/>
      <c r="Z83" s="19"/>
      <c r="AA83" s="19"/>
      <c r="AB83" s="19" t="str">
        <f>$K83</f>
        <v>2026 Cadillac LYRIQ</v>
      </c>
      <c r="AC83" s="19"/>
      <c r="AD83" s="19"/>
      <c r="AE83" s="19"/>
      <c r="AF83" s="19"/>
      <c r="AG83" s="19"/>
      <c r="AH83" s="19"/>
      <c r="AI83" s="19"/>
      <c r="AJ83" s="19"/>
      <c r="AK83" s="19"/>
      <c r="AL83" s="19"/>
      <c r="AM83" s="19"/>
      <c r="AN83" s="19"/>
      <c r="AO83" s="19"/>
      <c r="AP83" s="19"/>
      <c r="AQ83" s="19"/>
      <c r="AR83" s="19" t="str">
        <f>$K83</f>
        <v>2026 Cadillac LYRIQ</v>
      </c>
      <c r="AS83" s="19"/>
      <c r="AT83" s="19"/>
      <c r="AU83" s="19"/>
      <c r="AV83" s="19"/>
      <c r="AW83" s="19"/>
      <c r="AX83" s="19"/>
      <c r="AY83" s="19"/>
      <c r="AZ83" s="19"/>
      <c r="BA83" s="19"/>
      <c r="BB83" s="19"/>
      <c r="BC83" s="19"/>
      <c r="BD83" s="19"/>
      <c r="BE83" s="19"/>
      <c r="BF83" s="19"/>
      <c r="BG83" s="19" t="str">
        <f>$K83</f>
        <v>2026 Cadillac LYRIQ</v>
      </c>
      <c r="BH83" s="19"/>
      <c r="BI83" s="19"/>
      <c r="BJ83" s="19"/>
      <c r="BK83" s="19"/>
      <c r="BL83" s="19"/>
      <c r="BM83" s="129"/>
      <c r="BN83" s="19"/>
      <c r="BO83" s="19"/>
      <c r="BP83" s="19"/>
      <c r="BQ83" s="19"/>
      <c r="BR83" s="19"/>
      <c r="BS83" s="19"/>
      <c r="BT83" s="130"/>
      <c r="BU83" s="19"/>
      <c r="BV83" s="19"/>
      <c r="BW83" s="116"/>
      <c r="BX83" s="19"/>
      <c r="BY83" s="19"/>
      <c r="BZ83" s="19"/>
      <c r="CA83" s="19"/>
      <c r="CB83" s="19"/>
      <c r="CC83" s="19"/>
      <c r="CD83" s="19"/>
      <c r="CE83" s="19"/>
      <c r="CF83" s="19"/>
      <c r="CG83" s="19"/>
      <c r="CH83" s="19"/>
      <c r="CI83" s="19"/>
      <c r="CJ83" s="19"/>
      <c r="CK83" s="19"/>
      <c r="CL83" s="19"/>
      <c r="CM83" s="19" t="str">
        <f>$K83</f>
        <v>2026 Cadillac LYRIQ</v>
      </c>
      <c r="CN83" s="19"/>
      <c r="CO83" s="19"/>
      <c r="CP83" s="19"/>
      <c r="CQ83" s="19"/>
      <c r="CR83" s="19"/>
      <c r="CS83" s="19"/>
      <c r="CT83" s="19"/>
      <c r="CU83" s="19"/>
      <c r="CV83" s="19"/>
      <c r="CW83" s="19"/>
      <c r="CX83" s="19"/>
      <c r="CY83" s="19"/>
      <c r="CZ83" s="19"/>
      <c r="DA83" s="19"/>
      <c r="DB83" s="19"/>
      <c r="DC83" s="19"/>
      <c r="DD83" s="19" t="str">
        <f>$K83</f>
        <v>2026 Cadillac LYRIQ</v>
      </c>
      <c r="DE83" s="19"/>
      <c r="DF83" s="19"/>
      <c r="DG83" s="19"/>
      <c r="DH83" s="19"/>
      <c r="DI83" s="19"/>
      <c r="DJ83" s="19"/>
      <c r="DK83" s="19"/>
      <c r="DL83" s="19"/>
      <c r="DM83" s="19"/>
      <c r="DN83" s="19"/>
      <c r="DO83" s="19"/>
      <c r="DP83" s="19"/>
      <c r="DQ83" s="19"/>
      <c r="DR83" s="19"/>
      <c r="DS83" s="19"/>
      <c r="DT83" s="19"/>
      <c r="DU83" s="19" t="str">
        <f>$K83</f>
        <v>2026 Cadillac LYRIQ</v>
      </c>
      <c r="DV83" s="19"/>
      <c r="DW83" s="19"/>
      <c r="DX83" s="19"/>
      <c r="DY83" s="19"/>
      <c r="DZ83" s="19"/>
      <c r="EA83" s="117"/>
      <c r="EB83" s="19"/>
      <c r="EC83" s="19"/>
      <c r="ED83" s="19"/>
      <c r="EE83" s="19"/>
      <c r="EF83" s="19"/>
      <c r="EG83"/>
      <c r="EH83"/>
      <c r="EI83"/>
      <c r="EJ83"/>
      <c r="EK83"/>
      <c r="EL83"/>
      <c r="EM83"/>
      <c r="EN83"/>
      <c r="EO83"/>
      <c r="EP83"/>
      <c r="EQ83"/>
      <c r="ER83"/>
      <c r="ES83"/>
      <c r="ET83"/>
      <c r="EU83"/>
      <c r="EV83"/>
      <c r="EW83"/>
      <c r="EX83" s="19" t="s">
        <v>1959</v>
      </c>
      <c r="EY83"/>
      <c r="EZ83"/>
      <c r="FA83"/>
      <c r="FB83"/>
      <c r="FC83"/>
      <c r="FD83"/>
      <c r="FE83"/>
      <c r="FF83"/>
      <c r="FG83"/>
      <c r="FH83"/>
      <c r="FI83"/>
    </row>
    <row r="84" spans="1:165" s="66" customFormat="1" x14ac:dyDescent="0.35">
      <c r="A84">
        <v>2026</v>
      </c>
      <c r="B84" t="s">
        <v>211</v>
      </c>
      <c r="C84" s="112" t="s">
        <v>388</v>
      </c>
      <c r="D84" t="s">
        <v>1435</v>
      </c>
      <c r="E84" t="s">
        <v>214</v>
      </c>
      <c r="F84">
        <v>420</v>
      </c>
      <c r="G84" s="113">
        <v>0</v>
      </c>
      <c r="H84"/>
      <c r="I84" t="s">
        <v>1391</v>
      </c>
      <c r="J84">
        <v>100</v>
      </c>
      <c r="K84">
        <v>83</v>
      </c>
      <c r="L84">
        <v>92</v>
      </c>
      <c r="M84">
        <v>142.9479</v>
      </c>
      <c r="N84">
        <v>118.43680000000001</v>
      </c>
      <c r="O84">
        <v>130.76939999999999</v>
      </c>
      <c r="P84">
        <v>100.0635</v>
      </c>
      <c r="Q84">
        <v>82.905799999999999</v>
      </c>
      <c r="R84">
        <v>91.538600000000002</v>
      </c>
      <c r="S84"/>
      <c r="T84"/>
      <c r="U84"/>
      <c r="V84" t="s">
        <v>170</v>
      </c>
      <c r="W84" t="s">
        <v>171</v>
      </c>
      <c r="X84" t="s">
        <v>1436</v>
      </c>
      <c r="Y84">
        <v>1</v>
      </c>
      <c r="Z84" t="s">
        <v>173</v>
      </c>
      <c r="AA84" t="s">
        <v>173</v>
      </c>
      <c r="AB84" t="s">
        <v>174</v>
      </c>
      <c r="AC84" t="s">
        <v>175</v>
      </c>
      <c r="AD84"/>
      <c r="AE84"/>
      <c r="AF84">
        <v>326</v>
      </c>
      <c r="AG84" t="s">
        <v>1392</v>
      </c>
      <c r="AH84" t="s">
        <v>1393</v>
      </c>
      <c r="AI84" t="s">
        <v>178</v>
      </c>
      <c r="AJ84" t="s">
        <v>179</v>
      </c>
      <c r="AK84">
        <v>4</v>
      </c>
      <c r="AL84" t="s">
        <v>1394</v>
      </c>
      <c r="AM84"/>
      <c r="AN84"/>
      <c r="AO84">
        <v>105</v>
      </c>
      <c r="AP84">
        <v>24</v>
      </c>
      <c r="AQ84"/>
      <c r="AR84"/>
      <c r="AS84">
        <v>950</v>
      </c>
      <c r="AT84">
        <v>950</v>
      </c>
      <c r="AU84"/>
      <c r="AV84"/>
      <c r="AW84"/>
      <c r="AX84"/>
      <c r="AY84"/>
      <c r="AZ84"/>
      <c r="BA84"/>
      <c r="BB84"/>
      <c r="BC84"/>
      <c r="BD84"/>
      <c r="BE84"/>
      <c r="BF84"/>
      <c r="BG84"/>
      <c r="BH84"/>
      <c r="BI84"/>
      <c r="BJ84"/>
      <c r="BK84"/>
      <c r="BL84"/>
      <c r="BM84"/>
      <c r="BN84" s="114"/>
      <c r="BO84"/>
      <c r="BP84"/>
      <c r="BQ84">
        <v>30</v>
      </c>
      <c r="BR84" t="s">
        <v>798</v>
      </c>
      <c r="BS84"/>
      <c r="BT84" t="s">
        <v>1395</v>
      </c>
      <c r="BU84" s="115">
        <v>45873</v>
      </c>
      <c r="BV84">
        <v>37009</v>
      </c>
      <c r="BW84" s="116"/>
      <c r="BX84" t="s">
        <v>173</v>
      </c>
      <c r="BY84" t="s">
        <v>173</v>
      </c>
      <c r="BZ84"/>
      <c r="CA84"/>
      <c r="CB84" t="s">
        <v>173</v>
      </c>
      <c r="CC84" t="s">
        <v>173</v>
      </c>
      <c r="CD84"/>
      <c r="CE84"/>
      <c r="CF84"/>
      <c r="CG84"/>
      <c r="CH84"/>
      <c r="CI84"/>
      <c r="CJ84"/>
      <c r="CK84" t="s">
        <v>259</v>
      </c>
      <c r="CL84"/>
      <c r="CM84">
        <v>1</v>
      </c>
      <c r="CN84" t="s">
        <v>260</v>
      </c>
      <c r="CO84"/>
      <c r="CP84">
        <v>403</v>
      </c>
      <c r="CQ84">
        <v>290</v>
      </c>
      <c r="CR84">
        <v>156</v>
      </c>
      <c r="CS84" t="s">
        <v>1437</v>
      </c>
      <c r="CT84"/>
      <c r="CU84"/>
      <c r="CV84" t="s">
        <v>262</v>
      </c>
      <c r="CW84"/>
      <c r="CX84" t="s">
        <v>702</v>
      </c>
      <c r="CY84" t="s">
        <v>172</v>
      </c>
      <c r="CZ84"/>
      <c r="DA84"/>
      <c r="DB84"/>
      <c r="DC84"/>
      <c r="DD84">
        <v>1</v>
      </c>
      <c r="DE84" t="s">
        <v>307</v>
      </c>
      <c r="DF84" t="s">
        <v>988</v>
      </c>
      <c r="DG84">
        <v>255</v>
      </c>
      <c r="DH84"/>
      <c r="DI84"/>
      <c r="DJ84"/>
      <c r="DK84"/>
      <c r="DL84" t="s">
        <v>173</v>
      </c>
      <c r="DM84" t="s">
        <v>172</v>
      </c>
      <c r="DN84"/>
      <c r="DO84"/>
      <c r="DP84" t="s">
        <v>173</v>
      </c>
      <c r="DQ84" t="s">
        <v>189</v>
      </c>
      <c r="DR84" t="s">
        <v>1438</v>
      </c>
      <c r="DS84"/>
      <c r="DT84"/>
      <c r="DU84"/>
      <c r="DV84"/>
      <c r="DW84"/>
      <c r="DX84"/>
      <c r="DY84"/>
      <c r="DZ84"/>
      <c r="EA84" s="117"/>
      <c r="EB84">
        <v>9</v>
      </c>
      <c r="EC84">
        <v>10</v>
      </c>
      <c r="ED84"/>
      <c r="EE84" t="s">
        <v>1439</v>
      </c>
      <c r="EF84">
        <v>10</v>
      </c>
      <c r="EG84"/>
      <c r="EH84"/>
      <c r="EI84"/>
      <c r="EJ84"/>
      <c r="EK84"/>
      <c r="EL84"/>
      <c r="EM84"/>
      <c r="EN84"/>
      <c r="EO84"/>
      <c r="EP84"/>
      <c r="EQ84"/>
      <c r="ER84"/>
      <c r="ES84"/>
      <c r="ET84"/>
      <c r="EU84">
        <v>3750</v>
      </c>
      <c r="EV84"/>
      <c r="EW84">
        <v>0</v>
      </c>
      <c r="EX84">
        <v>0</v>
      </c>
      <c r="EY84">
        <v>0</v>
      </c>
      <c r="EZ84"/>
      <c r="FA84">
        <v>11.2</v>
      </c>
      <c r="FB84"/>
      <c r="FC84"/>
      <c r="FD84"/>
      <c r="FE84"/>
      <c r="FF84"/>
      <c r="FG84" s="94">
        <v>353</v>
      </c>
      <c r="FH84" s="94">
        <v>293</v>
      </c>
      <c r="FI84" s="94">
        <v>326</v>
      </c>
    </row>
    <row r="85" spans="1:165" s="66" customFormat="1" x14ac:dyDescent="0.35">
      <c r="A85">
        <v>2026</v>
      </c>
      <c r="B85" t="s">
        <v>211</v>
      </c>
      <c r="C85" s="112" t="s">
        <v>388</v>
      </c>
      <c r="D85" t="s">
        <v>1435</v>
      </c>
      <c r="E85" t="s">
        <v>214</v>
      </c>
      <c r="F85">
        <v>420</v>
      </c>
      <c r="G85" s="113">
        <v>0</v>
      </c>
      <c r="H85"/>
      <c r="I85" t="s">
        <v>1391</v>
      </c>
      <c r="J85">
        <v>34</v>
      </c>
      <c r="K85">
        <v>41</v>
      </c>
      <c r="L85">
        <v>37</v>
      </c>
      <c r="M85">
        <v>23.5764</v>
      </c>
      <c r="N85">
        <v>28.454899999999999</v>
      </c>
      <c r="O85">
        <v>25.771699999999999</v>
      </c>
      <c r="P85">
        <v>33.683599999999998</v>
      </c>
      <c r="Q85">
        <v>40.654600000000002</v>
      </c>
      <c r="R85">
        <v>36.820599999999999</v>
      </c>
      <c r="S85"/>
      <c r="T85"/>
      <c r="U85"/>
      <c r="V85" t="s">
        <v>170</v>
      </c>
      <c r="W85" t="s">
        <v>171</v>
      </c>
      <c r="X85" t="s">
        <v>1436</v>
      </c>
      <c r="Y85">
        <v>1</v>
      </c>
      <c r="Z85" t="s">
        <v>173</v>
      </c>
      <c r="AA85" t="s">
        <v>173</v>
      </c>
      <c r="AB85" t="s">
        <v>174</v>
      </c>
      <c r="AC85" t="s">
        <v>175</v>
      </c>
      <c r="AD85"/>
      <c r="AE85"/>
      <c r="AF85">
        <v>326</v>
      </c>
      <c r="AG85" t="s">
        <v>1392</v>
      </c>
      <c r="AH85" t="s">
        <v>1393</v>
      </c>
      <c r="AI85" t="s">
        <v>1399</v>
      </c>
      <c r="AJ85" t="s">
        <v>1400</v>
      </c>
      <c r="AK85">
        <v>4</v>
      </c>
      <c r="AL85" t="s">
        <v>1394</v>
      </c>
      <c r="AM85"/>
      <c r="AN85"/>
      <c r="AO85">
        <v>105</v>
      </c>
      <c r="AP85">
        <v>24</v>
      </c>
      <c r="AQ85"/>
      <c r="AR85"/>
      <c r="AS85">
        <v>950</v>
      </c>
      <c r="AT85">
        <v>950</v>
      </c>
      <c r="AU85"/>
      <c r="AV85"/>
      <c r="AW85"/>
      <c r="AX85"/>
      <c r="AY85"/>
      <c r="AZ85"/>
      <c r="BA85"/>
      <c r="BB85"/>
      <c r="BC85"/>
      <c r="BD85"/>
      <c r="BE85"/>
      <c r="BF85"/>
      <c r="BG85"/>
      <c r="BH85"/>
      <c r="BI85"/>
      <c r="BJ85"/>
      <c r="BK85"/>
      <c r="BL85"/>
      <c r="BM85"/>
      <c r="BN85" s="114"/>
      <c r="BO85"/>
      <c r="BP85"/>
      <c r="BQ85">
        <v>30</v>
      </c>
      <c r="BR85" t="s">
        <v>798</v>
      </c>
      <c r="BS85"/>
      <c r="BT85" t="s">
        <v>1395</v>
      </c>
      <c r="BU85" s="115">
        <v>45873</v>
      </c>
      <c r="BV85">
        <v>37009</v>
      </c>
      <c r="BW85" s="116"/>
      <c r="BX85" t="s">
        <v>173</v>
      </c>
      <c r="BY85" t="s">
        <v>173</v>
      </c>
      <c r="BZ85"/>
      <c r="CA85"/>
      <c r="CB85" t="s">
        <v>173</v>
      </c>
      <c r="CC85" t="s">
        <v>173</v>
      </c>
      <c r="CD85"/>
      <c r="CE85"/>
      <c r="CF85"/>
      <c r="CG85"/>
      <c r="CH85"/>
      <c r="CI85"/>
      <c r="CJ85"/>
      <c r="CK85" t="s">
        <v>259</v>
      </c>
      <c r="CL85"/>
      <c r="CM85">
        <v>1</v>
      </c>
      <c r="CN85" t="s">
        <v>260</v>
      </c>
      <c r="CO85"/>
      <c r="CP85">
        <v>403</v>
      </c>
      <c r="CQ85">
        <v>290</v>
      </c>
      <c r="CR85">
        <v>156</v>
      </c>
      <c r="CS85" t="s">
        <v>1437</v>
      </c>
      <c r="CT85"/>
      <c r="CU85"/>
      <c r="CV85" t="s">
        <v>262</v>
      </c>
      <c r="CW85"/>
      <c r="CX85" t="s">
        <v>702</v>
      </c>
      <c r="CY85" t="s">
        <v>172</v>
      </c>
      <c r="CZ85"/>
      <c r="DA85"/>
      <c r="DB85"/>
      <c r="DC85"/>
      <c r="DD85">
        <v>1</v>
      </c>
      <c r="DE85" t="s">
        <v>307</v>
      </c>
      <c r="DF85" t="s">
        <v>988</v>
      </c>
      <c r="DG85">
        <v>255</v>
      </c>
      <c r="DH85"/>
      <c r="DI85"/>
      <c r="DJ85"/>
      <c r="DK85"/>
      <c r="DL85" t="s">
        <v>173</v>
      </c>
      <c r="DM85" t="s">
        <v>172</v>
      </c>
      <c r="DN85"/>
      <c r="DO85"/>
      <c r="DP85" t="s">
        <v>173</v>
      </c>
      <c r="DQ85" t="s">
        <v>189</v>
      </c>
      <c r="DR85" t="s">
        <v>1438</v>
      </c>
      <c r="DS85"/>
      <c r="DT85"/>
      <c r="DU85"/>
      <c r="DV85"/>
      <c r="DW85"/>
      <c r="DX85"/>
      <c r="DY85"/>
      <c r="DZ85"/>
      <c r="EA85" s="117"/>
      <c r="EB85">
        <v>9</v>
      </c>
      <c r="EC85">
        <v>10</v>
      </c>
      <c r="ED85"/>
      <c r="EE85" t="s">
        <v>1439</v>
      </c>
      <c r="EF85">
        <v>10</v>
      </c>
      <c r="EG85"/>
      <c r="EH85"/>
      <c r="EI85"/>
      <c r="EJ85"/>
      <c r="EK85"/>
      <c r="EL85"/>
      <c r="EM85"/>
      <c r="EN85"/>
      <c r="EO85"/>
      <c r="EP85"/>
      <c r="EQ85"/>
      <c r="ER85"/>
      <c r="ES85"/>
      <c r="ET85"/>
      <c r="EU85">
        <v>3750</v>
      </c>
      <c r="EV85"/>
      <c r="EW85">
        <v>0</v>
      </c>
      <c r="EX85">
        <v>0</v>
      </c>
      <c r="EY85">
        <v>0</v>
      </c>
      <c r="EZ85"/>
      <c r="FA85">
        <v>11.2</v>
      </c>
      <c r="FB85"/>
      <c r="FC85"/>
      <c r="FD85"/>
      <c r="FE85"/>
      <c r="FF85"/>
      <c r="FG85" s="94">
        <v>353</v>
      </c>
      <c r="FH85" s="94">
        <v>293</v>
      </c>
      <c r="FI85" s="94">
        <v>326</v>
      </c>
    </row>
    <row r="86" spans="1:165" s="66" customFormat="1" x14ac:dyDescent="0.35">
      <c r="A86" s="19"/>
      <c r="B86" s="19"/>
      <c r="C86" s="19"/>
      <c r="D86" s="19"/>
      <c r="E86" s="19"/>
      <c r="F86" s="128"/>
      <c r="G86" s="19"/>
      <c r="H86" s="19"/>
      <c r="I86" s="19"/>
      <c r="J86" s="19"/>
      <c r="K86" s="19" t="str">
        <f>_xlfn.CONCAT(A87," ",C87," ",D87)</f>
        <v>2026 Cadillac LYRIQ</v>
      </c>
      <c r="L86" s="19"/>
      <c r="M86" s="19"/>
      <c r="N86" s="19"/>
      <c r="O86" s="19"/>
      <c r="P86" s="19"/>
      <c r="Q86" s="19"/>
      <c r="R86" s="19"/>
      <c r="S86" s="19"/>
      <c r="T86" s="19"/>
      <c r="U86" s="19"/>
      <c r="V86" s="19"/>
      <c r="W86" s="19"/>
      <c r="X86" s="19"/>
      <c r="Y86" s="19"/>
      <c r="Z86" s="19"/>
      <c r="AA86" s="19"/>
      <c r="AB86" s="19" t="str">
        <f>$K86</f>
        <v>2026 Cadillac LYRIQ</v>
      </c>
      <c r="AC86" s="19"/>
      <c r="AD86" s="19"/>
      <c r="AE86" s="19"/>
      <c r="AF86" s="19"/>
      <c r="AG86" s="19"/>
      <c r="AH86" s="19"/>
      <c r="AI86" s="19"/>
      <c r="AJ86" s="19"/>
      <c r="AK86" s="19"/>
      <c r="AL86" s="19"/>
      <c r="AM86" s="19"/>
      <c r="AN86" s="19"/>
      <c r="AO86" s="19"/>
      <c r="AP86" s="19"/>
      <c r="AQ86" s="19"/>
      <c r="AR86" s="19" t="str">
        <f>$K86</f>
        <v>2026 Cadillac LYRIQ</v>
      </c>
      <c r="AS86" s="19"/>
      <c r="AT86" s="19"/>
      <c r="AU86" s="19"/>
      <c r="AV86" s="19"/>
      <c r="AW86" s="19"/>
      <c r="AX86" s="19"/>
      <c r="AY86" s="19"/>
      <c r="AZ86" s="19"/>
      <c r="BA86" s="19"/>
      <c r="BB86" s="19"/>
      <c r="BC86" s="19"/>
      <c r="BD86" s="19"/>
      <c r="BE86" s="19"/>
      <c r="BF86" s="19"/>
      <c r="BG86" s="19" t="str">
        <f>$K86</f>
        <v>2026 Cadillac LYRIQ</v>
      </c>
      <c r="BH86" s="19"/>
      <c r="BI86" s="19"/>
      <c r="BJ86" s="19"/>
      <c r="BK86" s="19"/>
      <c r="BL86" s="19"/>
      <c r="BM86" s="129"/>
      <c r="BN86" s="19"/>
      <c r="BO86" s="19"/>
      <c r="BP86" s="19"/>
      <c r="BQ86" s="19"/>
      <c r="BR86" s="19"/>
      <c r="BS86" s="19"/>
      <c r="BT86" s="130"/>
      <c r="BU86" s="19"/>
      <c r="BV86" s="19"/>
      <c r="BW86" s="116"/>
      <c r="BX86" s="19"/>
      <c r="BY86" s="19"/>
      <c r="BZ86" s="19"/>
      <c r="CA86" s="19"/>
      <c r="CB86" s="19"/>
      <c r="CC86" s="19"/>
      <c r="CD86" s="19"/>
      <c r="CE86" s="19"/>
      <c r="CF86" s="19"/>
      <c r="CG86" s="19"/>
      <c r="CH86" s="19"/>
      <c r="CI86" s="19"/>
      <c r="CJ86" s="19"/>
      <c r="CK86" s="19"/>
      <c r="CL86" s="19"/>
      <c r="CM86" s="19" t="str">
        <f>$K86</f>
        <v>2026 Cadillac LYRIQ</v>
      </c>
      <c r="CN86" s="19"/>
      <c r="CO86" s="19"/>
      <c r="CP86" s="19"/>
      <c r="CQ86" s="19"/>
      <c r="CR86" s="19"/>
      <c r="CS86" s="19"/>
      <c r="CT86" s="19"/>
      <c r="CU86" s="19"/>
      <c r="CV86" s="19"/>
      <c r="CW86" s="19"/>
      <c r="CX86" s="19"/>
      <c r="CY86" s="19"/>
      <c r="CZ86" s="19"/>
      <c r="DA86" s="19"/>
      <c r="DB86" s="19"/>
      <c r="DC86" s="19"/>
      <c r="DD86" s="19" t="str">
        <f>$K86</f>
        <v>2026 Cadillac LYRIQ</v>
      </c>
      <c r="DE86" s="19"/>
      <c r="DF86" s="19"/>
      <c r="DG86" s="19"/>
      <c r="DH86" s="19"/>
      <c r="DI86" s="19"/>
      <c r="DJ86" s="19"/>
      <c r="DK86" s="19"/>
      <c r="DL86" s="19"/>
      <c r="DM86" s="19"/>
      <c r="DN86" s="19"/>
      <c r="DO86" s="19"/>
      <c r="DP86" s="19"/>
      <c r="DQ86" s="19"/>
      <c r="DR86" s="19"/>
      <c r="DS86" s="19"/>
      <c r="DT86" s="19"/>
      <c r="DU86" s="19" t="str">
        <f>$K86</f>
        <v>2026 Cadillac LYRIQ</v>
      </c>
      <c r="DV86" s="19"/>
      <c r="DW86" s="19"/>
      <c r="DX86" s="19"/>
      <c r="DY86" s="19"/>
      <c r="DZ86" s="19"/>
      <c r="EA86" s="117"/>
      <c r="EB86" s="19"/>
      <c r="EC86" s="19"/>
      <c r="ED86" s="19"/>
      <c r="EE86" s="19"/>
      <c r="EF86" s="19"/>
      <c r="EG86"/>
      <c r="EH86"/>
      <c r="EI86"/>
      <c r="EJ86"/>
      <c r="EK86"/>
      <c r="EL86"/>
      <c r="EM86"/>
      <c r="EN86"/>
      <c r="EO86"/>
      <c r="EP86"/>
      <c r="EQ86"/>
      <c r="ER86"/>
      <c r="ES86"/>
      <c r="ET86"/>
      <c r="EU86"/>
      <c r="EV86"/>
      <c r="EW86"/>
      <c r="EX86" s="19" t="s">
        <v>1959</v>
      </c>
      <c r="EY86"/>
      <c r="EZ86"/>
      <c r="FA86"/>
      <c r="FB86"/>
      <c r="FC86"/>
      <c r="FD86"/>
      <c r="FE86"/>
      <c r="FF86"/>
      <c r="FG86"/>
      <c r="FH86"/>
      <c r="FI86"/>
    </row>
    <row r="87" spans="1:165" s="66" customFormat="1" x14ac:dyDescent="0.35">
      <c r="A87">
        <v>2026</v>
      </c>
      <c r="B87" t="s">
        <v>211</v>
      </c>
      <c r="C87" s="112" t="s">
        <v>388</v>
      </c>
      <c r="D87" t="s">
        <v>1435</v>
      </c>
      <c r="E87" t="s">
        <v>214</v>
      </c>
      <c r="F87">
        <v>421</v>
      </c>
      <c r="G87" s="113">
        <v>0</v>
      </c>
      <c r="H87"/>
      <c r="I87" t="s">
        <v>1391</v>
      </c>
      <c r="J87">
        <v>100</v>
      </c>
      <c r="K87">
        <v>83</v>
      </c>
      <c r="L87">
        <v>91</v>
      </c>
      <c r="M87">
        <v>142.887</v>
      </c>
      <c r="N87">
        <v>118.38500000000001</v>
      </c>
      <c r="O87">
        <v>130.71289999999999</v>
      </c>
      <c r="P87">
        <v>100.0209</v>
      </c>
      <c r="Q87">
        <v>82.869500000000002</v>
      </c>
      <c r="R87">
        <v>91.498999999999995</v>
      </c>
      <c r="S87"/>
      <c r="T87"/>
      <c r="U87"/>
      <c r="V87" t="s">
        <v>170</v>
      </c>
      <c r="W87" t="s">
        <v>171</v>
      </c>
      <c r="X87" t="s">
        <v>1436</v>
      </c>
      <c r="Y87">
        <v>1</v>
      </c>
      <c r="Z87" t="s">
        <v>173</v>
      </c>
      <c r="AA87" t="s">
        <v>173</v>
      </c>
      <c r="AB87" t="s">
        <v>174</v>
      </c>
      <c r="AC87" t="s">
        <v>175</v>
      </c>
      <c r="AD87"/>
      <c r="AE87"/>
      <c r="AF87">
        <v>326</v>
      </c>
      <c r="AG87" t="s">
        <v>1392</v>
      </c>
      <c r="AH87" t="s">
        <v>1393</v>
      </c>
      <c r="AI87" t="s">
        <v>178</v>
      </c>
      <c r="AJ87" t="s">
        <v>179</v>
      </c>
      <c r="AK87">
        <v>4</v>
      </c>
      <c r="AL87" t="s">
        <v>1394</v>
      </c>
      <c r="AM87"/>
      <c r="AN87"/>
      <c r="AO87">
        <v>105</v>
      </c>
      <c r="AP87">
        <v>24</v>
      </c>
      <c r="AQ87"/>
      <c r="AR87"/>
      <c r="AS87">
        <v>950</v>
      </c>
      <c r="AT87">
        <v>950</v>
      </c>
      <c r="AU87"/>
      <c r="AV87"/>
      <c r="AW87"/>
      <c r="AX87"/>
      <c r="AY87"/>
      <c r="AZ87"/>
      <c r="BA87"/>
      <c r="BB87"/>
      <c r="BC87"/>
      <c r="BD87"/>
      <c r="BE87"/>
      <c r="BF87"/>
      <c r="BG87"/>
      <c r="BH87"/>
      <c r="BI87"/>
      <c r="BJ87"/>
      <c r="BK87"/>
      <c r="BL87"/>
      <c r="BM87"/>
      <c r="BN87" s="114"/>
      <c r="BO87"/>
      <c r="BP87"/>
      <c r="BQ87">
        <v>30</v>
      </c>
      <c r="BR87" t="s">
        <v>798</v>
      </c>
      <c r="BS87"/>
      <c r="BT87" t="s">
        <v>1395</v>
      </c>
      <c r="BU87" s="115">
        <v>45873</v>
      </c>
      <c r="BV87">
        <v>37008</v>
      </c>
      <c r="BW87" s="116"/>
      <c r="BX87" t="s">
        <v>173</v>
      </c>
      <c r="BY87" t="s">
        <v>173</v>
      </c>
      <c r="BZ87"/>
      <c r="CA87"/>
      <c r="CB87" t="s">
        <v>173</v>
      </c>
      <c r="CC87" t="s">
        <v>173</v>
      </c>
      <c r="CD87"/>
      <c r="CE87"/>
      <c r="CF87"/>
      <c r="CG87"/>
      <c r="CH87"/>
      <c r="CI87"/>
      <c r="CJ87"/>
      <c r="CK87" t="s">
        <v>259</v>
      </c>
      <c r="CL87"/>
      <c r="CM87">
        <v>1</v>
      </c>
      <c r="CN87" t="s">
        <v>260</v>
      </c>
      <c r="CO87"/>
      <c r="CP87">
        <v>403</v>
      </c>
      <c r="CQ87">
        <v>290</v>
      </c>
      <c r="CR87">
        <v>156</v>
      </c>
      <c r="CS87" t="s">
        <v>1437</v>
      </c>
      <c r="CT87"/>
      <c r="CU87"/>
      <c r="CV87" t="s">
        <v>262</v>
      </c>
      <c r="CW87"/>
      <c r="CX87" t="s">
        <v>702</v>
      </c>
      <c r="CY87" t="s">
        <v>172</v>
      </c>
      <c r="CZ87"/>
      <c r="DA87"/>
      <c r="DB87"/>
      <c r="DC87"/>
      <c r="DD87">
        <v>1</v>
      </c>
      <c r="DE87" t="s">
        <v>307</v>
      </c>
      <c r="DF87" t="s">
        <v>988</v>
      </c>
      <c r="DG87">
        <v>255</v>
      </c>
      <c r="DH87"/>
      <c r="DI87"/>
      <c r="DJ87"/>
      <c r="DK87"/>
      <c r="DL87" t="s">
        <v>173</v>
      </c>
      <c r="DM87" t="s">
        <v>172</v>
      </c>
      <c r="DN87"/>
      <c r="DO87"/>
      <c r="DP87" t="s">
        <v>173</v>
      </c>
      <c r="DQ87" t="s">
        <v>189</v>
      </c>
      <c r="DR87" t="s">
        <v>1438</v>
      </c>
      <c r="DS87"/>
      <c r="DT87"/>
      <c r="DU87"/>
      <c r="DV87"/>
      <c r="DW87"/>
      <c r="DX87"/>
      <c r="DY87"/>
      <c r="DZ87"/>
      <c r="EA87" s="117"/>
      <c r="EB87">
        <v>9</v>
      </c>
      <c r="EC87">
        <v>10</v>
      </c>
      <c r="ED87"/>
      <c r="EE87" t="s">
        <v>1439</v>
      </c>
      <c r="EF87">
        <v>10</v>
      </c>
      <c r="EG87"/>
      <c r="EH87"/>
      <c r="EI87"/>
      <c r="EJ87"/>
      <c r="EK87"/>
      <c r="EL87"/>
      <c r="EM87"/>
      <c r="EN87"/>
      <c r="EO87"/>
      <c r="EP87"/>
      <c r="EQ87"/>
      <c r="ER87"/>
      <c r="ES87"/>
      <c r="ET87"/>
      <c r="EU87">
        <v>3750</v>
      </c>
      <c r="EV87"/>
      <c r="EW87">
        <v>0</v>
      </c>
      <c r="EX87">
        <v>0</v>
      </c>
      <c r="EY87">
        <v>0</v>
      </c>
      <c r="EZ87"/>
      <c r="FA87">
        <v>7</v>
      </c>
      <c r="FB87"/>
      <c r="FC87"/>
      <c r="FD87"/>
      <c r="FE87"/>
      <c r="FF87"/>
      <c r="FG87" s="94">
        <v>353</v>
      </c>
      <c r="FH87" s="94">
        <v>293</v>
      </c>
      <c r="FI87" s="94">
        <v>326</v>
      </c>
    </row>
    <row r="88" spans="1:165" s="66" customFormat="1" x14ac:dyDescent="0.35">
      <c r="A88">
        <v>2026</v>
      </c>
      <c r="B88" t="s">
        <v>211</v>
      </c>
      <c r="C88" s="112" t="s">
        <v>388</v>
      </c>
      <c r="D88" t="s">
        <v>1435</v>
      </c>
      <c r="E88" t="s">
        <v>214</v>
      </c>
      <c r="F88">
        <v>421</v>
      </c>
      <c r="G88" s="113">
        <v>0</v>
      </c>
      <c r="H88"/>
      <c r="I88" t="s">
        <v>1391</v>
      </c>
      <c r="J88">
        <v>34</v>
      </c>
      <c r="K88">
        <v>41</v>
      </c>
      <c r="L88">
        <v>37</v>
      </c>
      <c r="M88">
        <v>23.586500000000001</v>
      </c>
      <c r="N88">
        <v>28.467300000000002</v>
      </c>
      <c r="O88">
        <v>25.782900000000001</v>
      </c>
      <c r="P88">
        <v>33.697899999999997</v>
      </c>
      <c r="Q88">
        <v>40.672400000000003</v>
      </c>
      <c r="R88">
        <v>36.836399999999998</v>
      </c>
      <c r="S88"/>
      <c r="T88"/>
      <c r="U88"/>
      <c r="V88" t="s">
        <v>170</v>
      </c>
      <c r="W88" t="s">
        <v>171</v>
      </c>
      <c r="X88" t="s">
        <v>1436</v>
      </c>
      <c r="Y88">
        <v>1</v>
      </c>
      <c r="Z88" t="s">
        <v>173</v>
      </c>
      <c r="AA88" t="s">
        <v>173</v>
      </c>
      <c r="AB88" t="s">
        <v>174</v>
      </c>
      <c r="AC88" t="s">
        <v>175</v>
      </c>
      <c r="AD88"/>
      <c r="AE88"/>
      <c r="AF88">
        <v>326</v>
      </c>
      <c r="AG88" t="s">
        <v>1392</v>
      </c>
      <c r="AH88" t="s">
        <v>1393</v>
      </c>
      <c r="AI88" t="s">
        <v>1399</v>
      </c>
      <c r="AJ88" t="s">
        <v>1400</v>
      </c>
      <c r="AK88">
        <v>4</v>
      </c>
      <c r="AL88" t="s">
        <v>1394</v>
      </c>
      <c r="AM88"/>
      <c r="AN88"/>
      <c r="AO88">
        <v>105</v>
      </c>
      <c r="AP88">
        <v>24</v>
      </c>
      <c r="AQ88"/>
      <c r="AR88"/>
      <c r="AS88">
        <v>950</v>
      </c>
      <c r="AT88">
        <v>950</v>
      </c>
      <c r="AU88"/>
      <c r="AV88"/>
      <c r="AW88"/>
      <c r="AX88"/>
      <c r="AY88"/>
      <c r="AZ88"/>
      <c r="BA88"/>
      <c r="BB88"/>
      <c r="BC88"/>
      <c r="BD88"/>
      <c r="BE88"/>
      <c r="BF88"/>
      <c r="BG88"/>
      <c r="BH88"/>
      <c r="BI88"/>
      <c r="BJ88"/>
      <c r="BK88"/>
      <c r="BL88"/>
      <c r="BM88"/>
      <c r="BN88" s="114"/>
      <c r="BO88"/>
      <c r="BP88"/>
      <c r="BQ88">
        <v>30</v>
      </c>
      <c r="BR88" t="s">
        <v>798</v>
      </c>
      <c r="BS88"/>
      <c r="BT88" t="s">
        <v>1395</v>
      </c>
      <c r="BU88" s="115">
        <v>45873</v>
      </c>
      <c r="BV88">
        <v>37008</v>
      </c>
      <c r="BW88" s="116"/>
      <c r="BX88" t="s">
        <v>173</v>
      </c>
      <c r="BY88" t="s">
        <v>173</v>
      </c>
      <c r="BZ88"/>
      <c r="CA88"/>
      <c r="CB88" t="s">
        <v>173</v>
      </c>
      <c r="CC88" t="s">
        <v>173</v>
      </c>
      <c r="CD88"/>
      <c r="CE88"/>
      <c r="CF88"/>
      <c r="CG88"/>
      <c r="CH88"/>
      <c r="CI88"/>
      <c r="CJ88"/>
      <c r="CK88" t="s">
        <v>259</v>
      </c>
      <c r="CL88"/>
      <c r="CM88">
        <v>1</v>
      </c>
      <c r="CN88" t="s">
        <v>260</v>
      </c>
      <c r="CO88"/>
      <c r="CP88">
        <v>403</v>
      </c>
      <c r="CQ88">
        <v>290</v>
      </c>
      <c r="CR88">
        <v>156</v>
      </c>
      <c r="CS88" t="s">
        <v>1437</v>
      </c>
      <c r="CT88"/>
      <c r="CU88"/>
      <c r="CV88" t="s">
        <v>262</v>
      </c>
      <c r="CW88"/>
      <c r="CX88" t="s">
        <v>702</v>
      </c>
      <c r="CY88" t="s">
        <v>172</v>
      </c>
      <c r="CZ88"/>
      <c r="DA88"/>
      <c r="DB88"/>
      <c r="DC88"/>
      <c r="DD88">
        <v>1</v>
      </c>
      <c r="DE88" t="s">
        <v>307</v>
      </c>
      <c r="DF88" t="s">
        <v>988</v>
      </c>
      <c r="DG88">
        <v>255</v>
      </c>
      <c r="DH88"/>
      <c r="DI88"/>
      <c r="DJ88"/>
      <c r="DK88"/>
      <c r="DL88" t="s">
        <v>173</v>
      </c>
      <c r="DM88" t="s">
        <v>172</v>
      </c>
      <c r="DN88"/>
      <c r="DO88"/>
      <c r="DP88" t="s">
        <v>173</v>
      </c>
      <c r="DQ88" t="s">
        <v>189</v>
      </c>
      <c r="DR88" t="s">
        <v>1438</v>
      </c>
      <c r="DS88"/>
      <c r="DT88"/>
      <c r="DU88"/>
      <c r="DV88"/>
      <c r="DW88"/>
      <c r="DX88"/>
      <c r="DY88"/>
      <c r="DZ88"/>
      <c r="EA88" s="117"/>
      <c r="EB88">
        <v>9</v>
      </c>
      <c r="EC88">
        <v>10</v>
      </c>
      <c r="ED88"/>
      <c r="EE88" t="s">
        <v>1439</v>
      </c>
      <c r="EF88">
        <v>10</v>
      </c>
      <c r="EG88"/>
      <c r="EH88"/>
      <c r="EI88"/>
      <c r="EJ88"/>
      <c r="EK88"/>
      <c r="EL88"/>
      <c r="EM88"/>
      <c r="EN88"/>
      <c r="EO88"/>
      <c r="EP88"/>
      <c r="EQ88"/>
      <c r="ER88"/>
      <c r="ES88"/>
      <c r="ET88"/>
      <c r="EU88">
        <v>3750</v>
      </c>
      <c r="EV88"/>
      <c r="EW88">
        <v>0</v>
      </c>
      <c r="EX88">
        <v>0</v>
      </c>
      <c r="EY88">
        <v>0</v>
      </c>
      <c r="EZ88"/>
      <c r="FA88">
        <v>7</v>
      </c>
      <c r="FB88"/>
      <c r="FC88"/>
      <c r="FD88"/>
      <c r="FE88"/>
      <c r="FF88"/>
      <c r="FG88" s="94">
        <v>353</v>
      </c>
      <c r="FH88" s="94">
        <v>293</v>
      </c>
      <c r="FI88" s="94">
        <v>326</v>
      </c>
    </row>
    <row r="89" spans="1:165" s="66" customFormat="1" x14ac:dyDescent="0.35">
      <c r="A89" s="19"/>
      <c r="B89" s="19"/>
      <c r="C89" s="19"/>
      <c r="D89" s="19"/>
      <c r="E89" s="19"/>
      <c r="F89" s="128"/>
      <c r="G89" s="19"/>
      <c r="H89" s="19"/>
      <c r="I89" s="19"/>
      <c r="J89" s="19"/>
      <c r="K89" s="19" t="str">
        <f>_xlfn.CONCAT(A90," ",C90," ",D90)</f>
        <v>2026 Cadillac LYRIQ AWD</v>
      </c>
      <c r="L89" s="19"/>
      <c r="M89" s="19"/>
      <c r="N89" s="19"/>
      <c r="O89" s="19"/>
      <c r="P89" s="19"/>
      <c r="Q89" s="19"/>
      <c r="R89" s="19"/>
      <c r="S89" s="19"/>
      <c r="T89" s="19"/>
      <c r="U89" s="19"/>
      <c r="V89" s="19"/>
      <c r="W89" s="19"/>
      <c r="X89" s="19"/>
      <c r="Y89" s="19"/>
      <c r="Z89" s="19"/>
      <c r="AA89" s="19"/>
      <c r="AB89" s="19" t="str">
        <f>$K89</f>
        <v>2026 Cadillac LYRIQ AWD</v>
      </c>
      <c r="AC89" s="19"/>
      <c r="AD89" s="19"/>
      <c r="AE89" s="19"/>
      <c r="AF89" s="19"/>
      <c r="AG89" s="19"/>
      <c r="AH89" s="19"/>
      <c r="AI89" s="19"/>
      <c r="AJ89" s="19"/>
      <c r="AK89" s="19"/>
      <c r="AL89" s="19"/>
      <c r="AM89" s="19"/>
      <c r="AN89" s="19"/>
      <c r="AO89" s="19"/>
      <c r="AP89" s="19"/>
      <c r="AQ89" s="19"/>
      <c r="AR89" s="19" t="str">
        <f>$K89</f>
        <v>2026 Cadillac LYRIQ AWD</v>
      </c>
      <c r="AS89" s="19"/>
      <c r="AT89" s="19"/>
      <c r="AU89" s="19"/>
      <c r="AV89" s="19"/>
      <c r="AW89" s="19"/>
      <c r="AX89" s="19"/>
      <c r="AY89" s="19"/>
      <c r="AZ89" s="19"/>
      <c r="BA89" s="19"/>
      <c r="BB89" s="19"/>
      <c r="BC89" s="19"/>
      <c r="BD89" s="19"/>
      <c r="BE89" s="19"/>
      <c r="BF89" s="19"/>
      <c r="BG89" s="19" t="str">
        <f>$K89</f>
        <v>2026 Cadillac LYRIQ AWD</v>
      </c>
      <c r="BH89" s="19"/>
      <c r="BI89" s="19"/>
      <c r="BJ89" s="19"/>
      <c r="BK89" s="19"/>
      <c r="BL89" s="19"/>
      <c r="BM89" s="129"/>
      <c r="BN89" s="19"/>
      <c r="BO89" s="19"/>
      <c r="BP89" s="19"/>
      <c r="BQ89" s="19"/>
      <c r="BR89" s="19"/>
      <c r="BS89" s="19"/>
      <c r="BT89" s="130"/>
      <c r="BU89" s="19"/>
      <c r="BV89" s="19"/>
      <c r="BW89"/>
      <c r="BX89" s="19"/>
      <c r="BY89" s="19"/>
      <c r="BZ89" s="19"/>
      <c r="CA89" s="19"/>
      <c r="CB89" s="19"/>
      <c r="CC89" s="19"/>
      <c r="CD89" s="19"/>
      <c r="CE89" s="19"/>
      <c r="CF89" s="19"/>
      <c r="CG89" s="19"/>
      <c r="CH89" s="19"/>
      <c r="CI89" s="19"/>
      <c r="CJ89" s="19"/>
      <c r="CK89" s="19"/>
      <c r="CL89" s="19"/>
      <c r="CM89" s="19" t="str">
        <f>$K89</f>
        <v>2026 Cadillac LYRIQ AWD</v>
      </c>
      <c r="CN89" s="19"/>
      <c r="CO89" s="19"/>
      <c r="CP89" s="19"/>
      <c r="CQ89" s="19"/>
      <c r="CR89" s="19"/>
      <c r="CS89" s="19"/>
      <c r="CT89" s="19"/>
      <c r="CU89" s="19"/>
      <c r="CV89" s="19"/>
      <c r="CW89" s="19"/>
      <c r="CX89" s="19"/>
      <c r="CY89" s="19"/>
      <c r="CZ89" s="19"/>
      <c r="DA89" s="19"/>
      <c r="DB89" s="19"/>
      <c r="DC89" s="19"/>
      <c r="DD89" s="19" t="str">
        <f>$K89</f>
        <v>2026 Cadillac LYRIQ AWD</v>
      </c>
      <c r="DE89" s="19"/>
      <c r="DF89" s="19"/>
      <c r="DG89" s="19"/>
      <c r="DH89" s="19"/>
      <c r="DI89" s="19"/>
      <c r="DJ89" s="19"/>
      <c r="DK89" s="19"/>
      <c r="DL89" s="19"/>
      <c r="DM89" s="19"/>
      <c r="DN89" s="19"/>
      <c r="DO89" s="19"/>
      <c r="DP89" s="19"/>
      <c r="DQ89" s="19"/>
      <c r="DR89" s="19"/>
      <c r="DS89" s="19"/>
      <c r="DT89" s="19"/>
      <c r="DU89" s="19" t="str">
        <f>$K89</f>
        <v>2026 Cadillac LYRIQ AWD</v>
      </c>
      <c r="DV89" s="19"/>
      <c r="DW89" s="19"/>
      <c r="DX89" s="19"/>
      <c r="DY89" s="19"/>
      <c r="DZ89" s="19"/>
      <c r="EA89"/>
      <c r="EB89" s="19"/>
      <c r="EC89" s="19"/>
      <c r="ED89" s="19"/>
      <c r="EE89" s="19"/>
      <c r="EF89" s="19"/>
      <c r="EG89"/>
      <c r="EH89"/>
      <c r="EI89"/>
      <c r="EJ89"/>
      <c r="EK89"/>
      <c r="EL89"/>
      <c r="EM89"/>
      <c r="EN89"/>
      <c r="EO89"/>
      <c r="EP89"/>
      <c r="EQ89"/>
      <c r="ER89"/>
      <c r="ES89"/>
      <c r="ET89"/>
      <c r="EU89"/>
      <c r="EV89"/>
      <c r="EW89"/>
      <c r="EX89" s="19" t="s">
        <v>1960</v>
      </c>
      <c r="EY89"/>
      <c r="EZ89"/>
      <c r="FA89"/>
      <c r="FB89"/>
      <c r="FC89"/>
      <c r="FD89"/>
      <c r="FE89"/>
      <c r="FF89"/>
      <c r="FG89"/>
      <c r="FH89"/>
      <c r="FI89"/>
    </row>
    <row r="90" spans="1:165" s="66" customFormat="1" x14ac:dyDescent="0.35">
      <c r="A90">
        <v>2026</v>
      </c>
      <c r="B90" t="s">
        <v>211</v>
      </c>
      <c r="C90" s="112" t="s">
        <v>388</v>
      </c>
      <c r="D90" t="s">
        <v>1445</v>
      </c>
      <c r="E90" t="s">
        <v>214</v>
      </c>
      <c r="F90">
        <v>415</v>
      </c>
      <c r="G90" s="113">
        <v>0</v>
      </c>
      <c r="H90"/>
      <c r="I90" t="s">
        <v>1391</v>
      </c>
      <c r="J90">
        <v>93</v>
      </c>
      <c r="K90">
        <v>77</v>
      </c>
      <c r="L90">
        <v>85</v>
      </c>
      <c r="M90">
        <v>132.30000000000001</v>
      </c>
      <c r="N90">
        <v>110</v>
      </c>
      <c r="O90">
        <v>121.2396</v>
      </c>
      <c r="P90">
        <v>92.61</v>
      </c>
      <c r="Q90">
        <v>77</v>
      </c>
      <c r="R90">
        <v>84.867699999999999</v>
      </c>
      <c r="S90"/>
      <c r="T90"/>
      <c r="U90"/>
      <c r="V90" t="s">
        <v>170</v>
      </c>
      <c r="W90" t="s">
        <v>171</v>
      </c>
      <c r="X90" t="s">
        <v>1436</v>
      </c>
      <c r="Y90">
        <v>1</v>
      </c>
      <c r="Z90" t="s">
        <v>173</v>
      </c>
      <c r="AA90" t="s">
        <v>173</v>
      </c>
      <c r="AB90" t="s">
        <v>170</v>
      </c>
      <c r="AC90" t="s">
        <v>232</v>
      </c>
      <c r="AD90"/>
      <c r="AE90"/>
      <c r="AF90">
        <v>303</v>
      </c>
      <c r="AG90" t="s">
        <v>1392</v>
      </c>
      <c r="AH90" t="s">
        <v>1393</v>
      </c>
      <c r="AI90" t="s">
        <v>178</v>
      </c>
      <c r="AJ90" t="s">
        <v>179</v>
      </c>
      <c r="AK90">
        <v>4</v>
      </c>
      <c r="AL90" t="s">
        <v>1394</v>
      </c>
      <c r="AM90"/>
      <c r="AN90"/>
      <c r="AO90">
        <v>105</v>
      </c>
      <c r="AP90">
        <v>24</v>
      </c>
      <c r="AQ90"/>
      <c r="AR90"/>
      <c r="AS90">
        <v>1000</v>
      </c>
      <c r="AT90">
        <v>1000</v>
      </c>
      <c r="AU90"/>
      <c r="AV90"/>
      <c r="AW90"/>
      <c r="AX90"/>
      <c r="AY90"/>
      <c r="AZ90"/>
      <c r="BA90"/>
      <c r="BB90"/>
      <c r="BC90"/>
      <c r="BD90"/>
      <c r="BE90"/>
      <c r="BF90"/>
      <c r="BG90"/>
      <c r="BH90"/>
      <c r="BI90"/>
      <c r="BJ90"/>
      <c r="BK90"/>
      <c r="BL90"/>
      <c r="BM90"/>
      <c r="BN90" s="114"/>
      <c r="BO90"/>
      <c r="BP90"/>
      <c r="BQ90">
        <v>31</v>
      </c>
      <c r="BR90" t="s">
        <v>887</v>
      </c>
      <c r="BS90"/>
      <c r="BT90" t="s">
        <v>1395</v>
      </c>
      <c r="BU90" s="115">
        <v>45873</v>
      </c>
      <c r="BV90">
        <v>37213</v>
      </c>
      <c r="BW90" s="116"/>
      <c r="BX90" t="s">
        <v>173</v>
      </c>
      <c r="BY90" t="s">
        <v>173</v>
      </c>
      <c r="BZ90"/>
      <c r="CA90"/>
      <c r="CB90" t="s">
        <v>173</v>
      </c>
      <c r="CC90" t="s">
        <v>173</v>
      </c>
      <c r="CD90"/>
      <c r="CE90"/>
      <c r="CF90"/>
      <c r="CG90"/>
      <c r="CH90"/>
      <c r="CI90"/>
      <c r="CJ90"/>
      <c r="CK90" t="s">
        <v>259</v>
      </c>
      <c r="CL90"/>
      <c r="CM90">
        <v>2</v>
      </c>
      <c r="CN90" t="s">
        <v>260</v>
      </c>
      <c r="CO90"/>
      <c r="CP90">
        <v>336</v>
      </c>
      <c r="CQ90">
        <v>290</v>
      </c>
      <c r="CR90">
        <v>155</v>
      </c>
      <c r="CS90" t="s">
        <v>1437</v>
      </c>
      <c r="CT90"/>
      <c r="CU90"/>
      <c r="CV90" t="s">
        <v>262</v>
      </c>
      <c r="CW90"/>
      <c r="CX90" t="s">
        <v>263</v>
      </c>
      <c r="CY90" t="s">
        <v>172</v>
      </c>
      <c r="CZ90"/>
      <c r="DA90"/>
      <c r="DB90"/>
      <c r="DC90"/>
      <c r="DD90">
        <v>4</v>
      </c>
      <c r="DE90" t="s">
        <v>307</v>
      </c>
      <c r="DF90" t="s">
        <v>988</v>
      </c>
      <c r="DG90" t="s">
        <v>1757</v>
      </c>
      <c r="DH90"/>
      <c r="DI90"/>
      <c r="DJ90"/>
      <c r="DK90"/>
      <c r="DL90" t="s">
        <v>173</v>
      </c>
      <c r="DM90" t="s">
        <v>173</v>
      </c>
      <c r="DN90"/>
      <c r="DO90"/>
      <c r="DP90" t="s">
        <v>173</v>
      </c>
      <c r="DQ90" t="s">
        <v>189</v>
      </c>
      <c r="DR90" t="s">
        <v>1445</v>
      </c>
      <c r="DS90"/>
      <c r="DT90"/>
      <c r="DU90"/>
      <c r="DV90"/>
      <c r="DW90"/>
      <c r="DX90"/>
      <c r="DY90"/>
      <c r="DZ90"/>
      <c r="EA90" s="117"/>
      <c r="EB90">
        <v>9</v>
      </c>
      <c r="EC90">
        <v>10</v>
      </c>
      <c r="ED90"/>
      <c r="EE90" t="s">
        <v>1443</v>
      </c>
      <c r="EF90">
        <v>10</v>
      </c>
      <c r="EG90"/>
      <c r="EH90"/>
      <c r="EI90"/>
      <c r="EJ90"/>
      <c r="EK90"/>
      <c r="EL90"/>
      <c r="EM90"/>
      <c r="EN90"/>
      <c r="EO90"/>
      <c r="EP90"/>
      <c r="EQ90"/>
      <c r="ER90"/>
      <c r="ES90"/>
      <c r="ET90"/>
      <c r="EU90">
        <v>3500</v>
      </c>
      <c r="EV90"/>
      <c r="EW90">
        <v>0</v>
      </c>
      <c r="EX90">
        <v>0</v>
      </c>
      <c r="EY90">
        <v>0</v>
      </c>
      <c r="EZ90"/>
      <c r="FA90">
        <v>7</v>
      </c>
      <c r="FB90"/>
      <c r="FC90"/>
      <c r="FD90"/>
      <c r="FE90"/>
      <c r="FF90"/>
      <c r="FG90" s="94">
        <v>328</v>
      </c>
      <c r="FH90" s="94">
        <v>273</v>
      </c>
      <c r="FI90" s="94">
        <v>303</v>
      </c>
    </row>
    <row r="91" spans="1:165" s="66" customFormat="1" x14ac:dyDescent="0.35">
      <c r="A91">
        <v>2026</v>
      </c>
      <c r="B91" t="s">
        <v>211</v>
      </c>
      <c r="C91" s="112" t="s">
        <v>388</v>
      </c>
      <c r="D91" t="s">
        <v>1445</v>
      </c>
      <c r="E91" t="s">
        <v>214</v>
      </c>
      <c r="F91">
        <v>415</v>
      </c>
      <c r="G91" s="113">
        <v>0</v>
      </c>
      <c r="H91"/>
      <c r="I91" t="s">
        <v>1391</v>
      </c>
      <c r="J91">
        <v>36</v>
      </c>
      <c r="K91">
        <v>44</v>
      </c>
      <c r="L91">
        <v>40</v>
      </c>
      <c r="M91">
        <v>25.476900000000001</v>
      </c>
      <c r="N91">
        <v>30.6312</v>
      </c>
      <c r="O91">
        <v>27.796299999999999</v>
      </c>
      <c r="P91">
        <v>36.394599999999997</v>
      </c>
      <c r="Q91">
        <v>43.7727</v>
      </c>
      <c r="R91">
        <v>39.714700000000001</v>
      </c>
      <c r="S91"/>
      <c r="T91"/>
      <c r="U91"/>
      <c r="V91" t="s">
        <v>170</v>
      </c>
      <c r="W91" t="s">
        <v>171</v>
      </c>
      <c r="X91" t="s">
        <v>1436</v>
      </c>
      <c r="Y91">
        <v>1</v>
      </c>
      <c r="Z91" t="s">
        <v>173</v>
      </c>
      <c r="AA91" t="s">
        <v>173</v>
      </c>
      <c r="AB91" t="s">
        <v>170</v>
      </c>
      <c r="AC91" t="s">
        <v>232</v>
      </c>
      <c r="AD91"/>
      <c r="AE91"/>
      <c r="AF91">
        <v>303</v>
      </c>
      <c r="AG91" t="s">
        <v>1392</v>
      </c>
      <c r="AH91" t="s">
        <v>1393</v>
      </c>
      <c r="AI91" t="s">
        <v>1399</v>
      </c>
      <c r="AJ91" t="s">
        <v>1400</v>
      </c>
      <c r="AK91">
        <v>4</v>
      </c>
      <c r="AL91" t="s">
        <v>1394</v>
      </c>
      <c r="AM91"/>
      <c r="AN91"/>
      <c r="AO91">
        <v>105</v>
      </c>
      <c r="AP91">
        <v>24</v>
      </c>
      <c r="AQ91"/>
      <c r="AR91"/>
      <c r="AS91">
        <v>1000</v>
      </c>
      <c r="AT91">
        <v>1000</v>
      </c>
      <c r="AU91"/>
      <c r="AV91"/>
      <c r="AW91"/>
      <c r="AX91"/>
      <c r="AY91"/>
      <c r="AZ91"/>
      <c r="BA91"/>
      <c r="BB91"/>
      <c r="BC91"/>
      <c r="BD91"/>
      <c r="BE91"/>
      <c r="BF91"/>
      <c r="BG91"/>
      <c r="BH91"/>
      <c r="BI91"/>
      <c r="BJ91"/>
      <c r="BK91"/>
      <c r="BL91"/>
      <c r="BM91"/>
      <c r="BN91" s="114"/>
      <c r="BO91"/>
      <c r="BP91"/>
      <c r="BQ91">
        <v>31</v>
      </c>
      <c r="BR91" t="s">
        <v>887</v>
      </c>
      <c r="BS91"/>
      <c r="BT91" t="s">
        <v>1395</v>
      </c>
      <c r="BU91" s="115">
        <v>45873</v>
      </c>
      <c r="BV91">
        <v>37213</v>
      </c>
      <c r="BW91" s="116"/>
      <c r="BX91" t="s">
        <v>173</v>
      </c>
      <c r="BY91" t="s">
        <v>173</v>
      </c>
      <c r="BZ91"/>
      <c r="CA91"/>
      <c r="CB91" t="s">
        <v>173</v>
      </c>
      <c r="CC91" t="s">
        <v>173</v>
      </c>
      <c r="CD91"/>
      <c r="CE91"/>
      <c r="CF91"/>
      <c r="CG91"/>
      <c r="CH91"/>
      <c r="CI91"/>
      <c r="CJ91"/>
      <c r="CK91" t="s">
        <v>259</v>
      </c>
      <c r="CL91"/>
      <c r="CM91">
        <v>2</v>
      </c>
      <c r="CN91" t="s">
        <v>260</v>
      </c>
      <c r="CO91"/>
      <c r="CP91">
        <v>336</v>
      </c>
      <c r="CQ91">
        <v>290</v>
      </c>
      <c r="CR91">
        <v>155</v>
      </c>
      <c r="CS91" t="s">
        <v>1437</v>
      </c>
      <c r="CT91"/>
      <c r="CU91"/>
      <c r="CV91" t="s">
        <v>262</v>
      </c>
      <c r="CW91"/>
      <c r="CX91" t="s">
        <v>263</v>
      </c>
      <c r="CY91" t="s">
        <v>172</v>
      </c>
      <c r="CZ91"/>
      <c r="DA91"/>
      <c r="DB91"/>
      <c r="DC91"/>
      <c r="DD91">
        <v>4</v>
      </c>
      <c r="DE91" t="s">
        <v>307</v>
      </c>
      <c r="DF91" t="s">
        <v>988</v>
      </c>
      <c r="DG91" t="s">
        <v>1757</v>
      </c>
      <c r="DH91"/>
      <c r="DI91"/>
      <c r="DJ91"/>
      <c r="DK91"/>
      <c r="DL91" t="s">
        <v>173</v>
      </c>
      <c r="DM91" t="s">
        <v>173</v>
      </c>
      <c r="DN91"/>
      <c r="DO91"/>
      <c r="DP91" t="s">
        <v>173</v>
      </c>
      <c r="DQ91" t="s">
        <v>189</v>
      </c>
      <c r="DR91" t="s">
        <v>1445</v>
      </c>
      <c r="DS91"/>
      <c r="DT91"/>
      <c r="DU91"/>
      <c r="DV91"/>
      <c r="DW91"/>
      <c r="DX91"/>
      <c r="DY91"/>
      <c r="DZ91"/>
      <c r="EA91" s="117"/>
      <c r="EB91">
        <v>9</v>
      </c>
      <c r="EC91">
        <v>10</v>
      </c>
      <c r="ED91"/>
      <c r="EE91" t="s">
        <v>1443</v>
      </c>
      <c r="EF91">
        <v>10</v>
      </c>
      <c r="EG91"/>
      <c r="EH91"/>
      <c r="EI91"/>
      <c r="EJ91"/>
      <c r="EK91"/>
      <c r="EL91"/>
      <c r="EM91"/>
      <c r="EN91"/>
      <c r="EO91"/>
      <c r="EP91"/>
      <c r="EQ91"/>
      <c r="ER91"/>
      <c r="ES91"/>
      <c r="ET91"/>
      <c r="EU91">
        <v>3500</v>
      </c>
      <c r="EV91"/>
      <c r="EW91">
        <v>0</v>
      </c>
      <c r="EX91">
        <v>0</v>
      </c>
      <c r="EY91">
        <v>0</v>
      </c>
      <c r="EZ91"/>
      <c r="FA91">
        <v>7</v>
      </c>
      <c r="FB91"/>
      <c r="FC91"/>
      <c r="FD91"/>
      <c r="FE91"/>
      <c r="FF91"/>
      <c r="FG91" s="94">
        <v>328</v>
      </c>
      <c r="FH91" s="94">
        <v>273</v>
      </c>
      <c r="FI91" s="94">
        <v>303</v>
      </c>
    </row>
    <row r="92" spans="1:165" s="66" customFormat="1" x14ac:dyDescent="0.35">
      <c r="A92" s="19"/>
      <c r="B92" s="19"/>
      <c r="C92" s="19"/>
      <c r="D92" s="19"/>
      <c r="E92" s="19"/>
      <c r="F92" s="128"/>
      <c r="G92" s="19"/>
      <c r="H92" s="19"/>
      <c r="I92" s="19"/>
      <c r="J92" s="19"/>
      <c r="K92" s="19" t="str">
        <f>_xlfn.CONCAT(A93," ",C93," ",D93)</f>
        <v>2026 Cadillac LYRIQ PAWD</v>
      </c>
      <c r="L92" s="19"/>
      <c r="M92" s="19"/>
      <c r="N92" s="19"/>
      <c r="O92" s="19"/>
      <c r="P92" s="19"/>
      <c r="Q92" s="19"/>
      <c r="R92" s="19"/>
      <c r="S92" s="19"/>
      <c r="T92" s="19"/>
      <c r="U92" s="19"/>
      <c r="V92" s="19"/>
      <c r="W92" s="19"/>
      <c r="X92" s="19"/>
      <c r="Y92" s="19"/>
      <c r="Z92" s="19"/>
      <c r="AA92" s="19"/>
      <c r="AB92" s="19" t="str">
        <f>$K92</f>
        <v>2026 Cadillac LYRIQ PAWD</v>
      </c>
      <c r="AC92" s="19"/>
      <c r="AD92" s="19"/>
      <c r="AE92" s="19"/>
      <c r="AF92" s="19"/>
      <c r="AG92" s="19"/>
      <c r="AH92" s="19"/>
      <c r="AI92" s="19"/>
      <c r="AJ92" s="19"/>
      <c r="AK92" s="19"/>
      <c r="AL92" s="19"/>
      <c r="AM92" s="19"/>
      <c r="AN92" s="19"/>
      <c r="AO92" s="19"/>
      <c r="AP92" s="19"/>
      <c r="AQ92" s="19"/>
      <c r="AR92" s="19" t="str">
        <f>$K92</f>
        <v>2026 Cadillac LYRIQ PAWD</v>
      </c>
      <c r="AS92" s="19"/>
      <c r="AT92" s="19"/>
      <c r="AU92" s="19"/>
      <c r="AV92" s="19"/>
      <c r="AW92" s="19"/>
      <c r="AX92" s="19"/>
      <c r="AY92" s="19"/>
      <c r="AZ92" s="19"/>
      <c r="BA92" s="19"/>
      <c r="BB92" s="19"/>
      <c r="BC92" s="19"/>
      <c r="BD92" s="19"/>
      <c r="BE92" s="19"/>
      <c r="BF92" s="19"/>
      <c r="BG92" s="19" t="str">
        <f>$K92</f>
        <v>2026 Cadillac LYRIQ PAWD</v>
      </c>
      <c r="BH92" s="19"/>
      <c r="BI92" s="19"/>
      <c r="BJ92" s="19"/>
      <c r="BK92" s="19"/>
      <c r="BL92" s="19"/>
      <c r="BM92" s="129"/>
      <c r="BN92" s="19"/>
      <c r="BO92" s="19"/>
      <c r="BP92" s="19"/>
      <c r="BQ92" s="19"/>
      <c r="BR92" s="19"/>
      <c r="BS92" s="19"/>
      <c r="BT92" s="130"/>
      <c r="BU92" s="19"/>
      <c r="BV92" s="19"/>
      <c r="BW92" s="116"/>
      <c r="BX92" s="19"/>
      <c r="BY92" s="19"/>
      <c r="BZ92" s="19"/>
      <c r="CA92" s="19"/>
      <c r="CB92" s="19"/>
      <c r="CC92" s="19"/>
      <c r="CD92" s="19"/>
      <c r="CE92" s="19"/>
      <c r="CF92" s="19"/>
      <c r="CG92" s="19"/>
      <c r="CH92" s="19"/>
      <c r="CI92" s="19"/>
      <c r="CJ92" s="19"/>
      <c r="CK92" s="19"/>
      <c r="CL92" s="19"/>
      <c r="CM92" s="19" t="str">
        <f>$K92</f>
        <v>2026 Cadillac LYRIQ PAWD</v>
      </c>
      <c r="CN92" s="19"/>
      <c r="CO92" s="19"/>
      <c r="CP92" s="19"/>
      <c r="CQ92" s="19"/>
      <c r="CR92" s="19"/>
      <c r="CS92" s="19"/>
      <c r="CT92" s="19"/>
      <c r="CU92" s="19"/>
      <c r="CV92" s="19"/>
      <c r="CW92" s="19"/>
      <c r="CX92" s="19"/>
      <c r="CY92" s="19"/>
      <c r="CZ92" s="19"/>
      <c r="DA92" s="19"/>
      <c r="DB92" s="19"/>
      <c r="DC92" s="19"/>
      <c r="DD92" s="19" t="str">
        <f>$K92</f>
        <v>2026 Cadillac LYRIQ PAWD</v>
      </c>
      <c r="DE92" s="19"/>
      <c r="DF92" s="19"/>
      <c r="DG92" s="19"/>
      <c r="DH92" s="19"/>
      <c r="DI92" s="19"/>
      <c r="DJ92" s="19"/>
      <c r="DK92" s="19"/>
      <c r="DL92" s="19"/>
      <c r="DM92" s="19"/>
      <c r="DN92" s="19"/>
      <c r="DO92" s="19"/>
      <c r="DP92" s="19"/>
      <c r="DQ92" s="19"/>
      <c r="DR92" s="19"/>
      <c r="DS92" s="19"/>
      <c r="DT92" s="19"/>
      <c r="DU92" s="19" t="str">
        <f>$K92</f>
        <v>2026 Cadillac LYRIQ PAWD</v>
      </c>
      <c r="DV92" s="19"/>
      <c r="DW92" s="19"/>
      <c r="DX92" s="19"/>
      <c r="DY92" s="19"/>
      <c r="DZ92" s="19"/>
      <c r="EA92" s="117"/>
      <c r="EB92" s="19"/>
      <c r="EC92" s="19"/>
      <c r="ED92" s="19"/>
      <c r="EE92" s="19"/>
      <c r="EF92" s="19"/>
      <c r="EG92"/>
      <c r="EH92"/>
      <c r="EI92"/>
      <c r="EJ92"/>
      <c r="EK92"/>
      <c r="EL92"/>
      <c r="EM92"/>
      <c r="EN92"/>
      <c r="EO92"/>
      <c r="EP92"/>
      <c r="EQ92"/>
      <c r="ER92"/>
      <c r="ES92"/>
      <c r="ET92"/>
      <c r="EU92"/>
      <c r="EV92"/>
      <c r="EW92"/>
      <c r="EX92" s="19" t="s">
        <v>1960</v>
      </c>
      <c r="EY92"/>
      <c r="EZ92"/>
      <c r="FA92"/>
      <c r="FB92"/>
      <c r="FC92"/>
      <c r="FD92"/>
      <c r="FE92"/>
      <c r="FF92"/>
      <c r="FG92"/>
      <c r="FH92"/>
      <c r="FI92"/>
    </row>
    <row r="93" spans="1:165" s="66" customFormat="1" x14ac:dyDescent="0.35">
      <c r="A93">
        <v>2026</v>
      </c>
      <c r="B93" t="s">
        <v>211</v>
      </c>
      <c r="C93" s="112" t="s">
        <v>388</v>
      </c>
      <c r="D93" t="s">
        <v>2111</v>
      </c>
      <c r="E93" t="s">
        <v>214</v>
      </c>
      <c r="F93">
        <v>416</v>
      </c>
      <c r="G93" s="113">
        <v>0</v>
      </c>
      <c r="H93"/>
      <c r="I93" t="s">
        <v>1391</v>
      </c>
      <c r="J93">
        <v>98</v>
      </c>
      <c r="K93">
        <v>80</v>
      </c>
      <c r="L93">
        <v>89</v>
      </c>
      <c r="M93">
        <v>139.6283</v>
      </c>
      <c r="N93">
        <v>113.9495</v>
      </c>
      <c r="O93">
        <v>126.77249999999999</v>
      </c>
      <c r="P93">
        <v>97.739800000000002</v>
      </c>
      <c r="Q93">
        <v>79.764600000000002</v>
      </c>
      <c r="R93">
        <v>88.740700000000004</v>
      </c>
      <c r="S93"/>
      <c r="T93"/>
      <c r="U93"/>
      <c r="V93" t="s">
        <v>170</v>
      </c>
      <c r="W93" t="s">
        <v>171</v>
      </c>
      <c r="X93" t="s">
        <v>1436</v>
      </c>
      <c r="Y93">
        <v>1</v>
      </c>
      <c r="Z93" t="s">
        <v>173</v>
      </c>
      <c r="AA93" t="s">
        <v>173</v>
      </c>
      <c r="AB93" t="s">
        <v>170</v>
      </c>
      <c r="AC93" t="s">
        <v>232</v>
      </c>
      <c r="AD93"/>
      <c r="AE93"/>
      <c r="AF93">
        <v>319</v>
      </c>
      <c r="AG93" t="s">
        <v>1392</v>
      </c>
      <c r="AH93" t="s">
        <v>1393</v>
      </c>
      <c r="AI93" t="s">
        <v>178</v>
      </c>
      <c r="AJ93" t="s">
        <v>179</v>
      </c>
      <c r="AK93">
        <v>4</v>
      </c>
      <c r="AL93" t="s">
        <v>1394</v>
      </c>
      <c r="AM93"/>
      <c r="AN93"/>
      <c r="AO93">
        <v>105</v>
      </c>
      <c r="AP93">
        <v>24</v>
      </c>
      <c r="AQ93"/>
      <c r="AR93"/>
      <c r="AS93">
        <v>950</v>
      </c>
      <c r="AT93">
        <v>950</v>
      </c>
      <c r="AU93"/>
      <c r="AV93"/>
      <c r="AW93"/>
      <c r="AX93"/>
      <c r="AY93"/>
      <c r="AZ93"/>
      <c r="BA93"/>
      <c r="BB93"/>
      <c r="BC93"/>
      <c r="BD93"/>
      <c r="BE93"/>
      <c r="BF93"/>
      <c r="BG93"/>
      <c r="BH93"/>
      <c r="BI93"/>
      <c r="BJ93"/>
      <c r="BK93"/>
      <c r="BL93"/>
      <c r="BM93"/>
      <c r="BN93" s="114"/>
      <c r="BO93"/>
      <c r="BP93"/>
      <c r="BQ93">
        <v>31</v>
      </c>
      <c r="BR93" t="s">
        <v>887</v>
      </c>
      <c r="BS93"/>
      <c r="BT93" t="s">
        <v>1395</v>
      </c>
      <c r="BU93" s="115">
        <v>45873</v>
      </c>
      <c r="BV93">
        <v>37155</v>
      </c>
      <c r="BW93" s="116"/>
      <c r="BX93" t="s">
        <v>173</v>
      </c>
      <c r="BY93" t="s">
        <v>173</v>
      </c>
      <c r="BZ93"/>
      <c r="CA93"/>
      <c r="CB93" t="s">
        <v>173</v>
      </c>
      <c r="CC93" t="s">
        <v>173</v>
      </c>
      <c r="CD93"/>
      <c r="CE93"/>
      <c r="CF93"/>
      <c r="CG93"/>
      <c r="CH93"/>
      <c r="CI93"/>
      <c r="CJ93"/>
      <c r="CK93" t="s">
        <v>259</v>
      </c>
      <c r="CL93"/>
      <c r="CM93">
        <v>1</v>
      </c>
      <c r="CN93" t="s">
        <v>260</v>
      </c>
      <c r="CO93"/>
      <c r="CP93">
        <v>403</v>
      </c>
      <c r="CQ93">
        <v>290</v>
      </c>
      <c r="CR93">
        <v>162</v>
      </c>
      <c r="CS93" t="s">
        <v>1437</v>
      </c>
      <c r="CT93"/>
      <c r="CU93"/>
      <c r="CV93" t="s">
        <v>262</v>
      </c>
      <c r="CW93"/>
      <c r="CX93" t="s">
        <v>263</v>
      </c>
      <c r="CY93" t="s">
        <v>172</v>
      </c>
      <c r="CZ93"/>
      <c r="DA93"/>
      <c r="DB93"/>
      <c r="DC93"/>
      <c r="DD93">
        <v>2</v>
      </c>
      <c r="DE93" t="s">
        <v>760</v>
      </c>
      <c r="DF93"/>
      <c r="DG93" t="s">
        <v>1441</v>
      </c>
      <c r="DH93"/>
      <c r="DI93"/>
      <c r="DJ93"/>
      <c r="DK93"/>
      <c r="DL93" t="s">
        <v>173</v>
      </c>
      <c r="DM93" t="s">
        <v>173</v>
      </c>
      <c r="DN93"/>
      <c r="DO93"/>
      <c r="DP93" t="s">
        <v>173</v>
      </c>
      <c r="DQ93" t="s">
        <v>189</v>
      </c>
      <c r="DR93" t="s">
        <v>1445</v>
      </c>
      <c r="DS93"/>
      <c r="DT93"/>
      <c r="DU93"/>
      <c r="DV93"/>
      <c r="DW93"/>
      <c r="DX93"/>
      <c r="DY93"/>
      <c r="DZ93"/>
      <c r="EA93" s="117"/>
      <c r="EB93">
        <v>9</v>
      </c>
      <c r="EC93">
        <v>10</v>
      </c>
      <c r="ED93"/>
      <c r="EE93" t="s">
        <v>1443</v>
      </c>
      <c r="EF93">
        <v>10</v>
      </c>
      <c r="EG93"/>
      <c r="EH93"/>
      <c r="EI93"/>
      <c r="EJ93"/>
      <c r="EK93"/>
      <c r="EL93"/>
      <c r="EM93"/>
      <c r="EN93"/>
      <c r="EO93"/>
      <c r="EP93"/>
      <c r="EQ93"/>
      <c r="ER93"/>
      <c r="ES93"/>
      <c r="ET93"/>
      <c r="EU93">
        <v>3750</v>
      </c>
      <c r="EV93"/>
      <c r="EW93">
        <v>0</v>
      </c>
      <c r="EX93">
        <v>0</v>
      </c>
      <c r="EY93">
        <v>0</v>
      </c>
      <c r="EZ93"/>
      <c r="FA93">
        <v>11.2</v>
      </c>
      <c r="FB93"/>
      <c r="FC93"/>
      <c r="FD93"/>
      <c r="FE93"/>
      <c r="FF93"/>
      <c r="FG93" s="94">
        <v>348</v>
      </c>
      <c r="FH93" s="94">
        <v>284</v>
      </c>
      <c r="FI93" s="94">
        <v>319</v>
      </c>
    </row>
    <row r="94" spans="1:165" s="66" customFormat="1" x14ac:dyDescent="0.35">
      <c r="A94">
        <v>2026</v>
      </c>
      <c r="B94" t="s">
        <v>211</v>
      </c>
      <c r="C94" s="112" t="s">
        <v>388</v>
      </c>
      <c r="D94" t="s">
        <v>2111</v>
      </c>
      <c r="E94" t="s">
        <v>214</v>
      </c>
      <c r="F94">
        <v>416</v>
      </c>
      <c r="G94" s="113">
        <v>0</v>
      </c>
      <c r="H94"/>
      <c r="I94" t="s">
        <v>1391</v>
      </c>
      <c r="J94">
        <v>34</v>
      </c>
      <c r="K94">
        <v>42</v>
      </c>
      <c r="L94">
        <v>38</v>
      </c>
      <c r="M94">
        <v>24.1389</v>
      </c>
      <c r="N94">
        <v>29.5854</v>
      </c>
      <c r="O94">
        <v>26.5898</v>
      </c>
      <c r="P94">
        <v>34.484400000000001</v>
      </c>
      <c r="Q94">
        <v>42.255600000000001</v>
      </c>
      <c r="R94">
        <v>37.981400000000001</v>
      </c>
      <c r="S94"/>
      <c r="T94"/>
      <c r="U94"/>
      <c r="V94" t="s">
        <v>170</v>
      </c>
      <c r="W94" t="s">
        <v>171</v>
      </c>
      <c r="X94" t="s">
        <v>1436</v>
      </c>
      <c r="Y94">
        <v>1</v>
      </c>
      <c r="Z94" t="s">
        <v>173</v>
      </c>
      <c r="AA94" t="s">
        <v>173</v>
      </c>
      <c r="AB94" t="s">
        <v>170</v>
      </c>
      <c r="AC94" t="s">
        <v>232</v>
      </c>
      <c r="AD94"/>
      <c r="AE94"/>
      <c r="AF94">
        <v>319</v>
      </c>
      <c r="AG94" t="s">
        <v>1392</v>
      </c>
      <c r="AH94" t="s">
        <v>1393</v>
      </c>
      <c r="AI94" t="s">
        <v>1399</v>
      </c>
      <c r="AJ94" t="s">
        <v>1400</v>
      </c>
      <c r="AK94">
        <v>4</v>
      </c>
      <c r="AL94" t="s">
        <v>1394</v>
      </c>
      <c r="AM94"/>
      <c r="AN94"/>
      <c r="AO94">
        <v>105</v>
      </c>
      <c r="AP94">
        <v>24</v>
      </c>
      <c r="AQ94"/>
      <c r="AR94"/>
      <c r="AS94">
        <v>950</v>
      </c>
      <c r="AT94">
        <v>950</v>
      </c>
      <c r="AU94"/>
      <c r="AV94"/>
      <c r="AW94"/>
      <c r="AX94"/>
      <c r="AY94"/>
      <c r="AZ94"/>
      <c r="BA94"/>
      <c r="BB94"/>
      <c r="BC94"/>
      <c r="BD94"/>
      <c r="BE94"/>
      <c r="BF94"/>
      <c r="BG94"/>
      <c r="BH94"/>
      <c r="BI94"/>
      <c r="BJ94"/>
      <c r="BK94"/>
      <c r="BL94"/>
      <c r="BM94"/>
      <c r="BN94" s="114"/>
      <c r="BO94"/>
      <c r="BP94"/>
      <c r="BQ94">
        <v>31</v>
      </c>
      <c r="BR94" t="s">
        <v>887</v>
      </c>
      <c r="BS94"/>
      <c r="BT94" t="s">
        <v>1395</v>
      </c>
      <c r="BU94" s="115">
        <v>45873</v>
      </c>
      <c r="BV94">
        <v>37155</v>
      </c>
      <c r="BW94" s="116"/>
      <c r="BX94" t="s">
        <v>173</v>
      </c>
      <c r="BY94" t="s">
        <v>173</v>
      </c>
      <c r="BZ94"/>
      <c r="CA94"/>
      <c r="CB94" t="s">
        <v>173</v>
      </c>
      <c r="CC94" t="s">
        <v>173</v>
      </c>
      <c r="CD94"/>
      <c r="CE94"/>
      <c r="CF94"/>
      <c r="CG94"/>
      <c r="CH94"/>
      <c r="CI94"/>
      <c r="CJ94"/>
      <c r="CK94" t="s">
        <v>259</v>
      </c>
      <c r="CL94"/>
      <c r="CM94">
        <v>1</v>
      </c>
      <c r="CN94" t="s">
        <v>260</v>
      </c>
      <c r="CO94"/>
      <c r="CP94">
        <v>403</v>
      </c>
      <c r="CQ94">
        <v>290</v>
      </c>
      <c r="CR94">
        <v>162</v>
      </c>
      <c r="CS94" t="s">
        <v>1437</v>
      </c>
      <c r="CT94"/>
      <c r="CU94"/>
      <c r="CV94" t="s">
        <v>262</v>
      </c>
      <c r="CW94"/>
      <c r="CX94" t="s">
        <v>263</v>
      </c>
      <c r="CY94" t="s">
        <v>172</v>
      </c>
      <c r="CZ94"/>
      <c r="DA94"/>
      <c r="DB94"/>
      <c r="DC94"/>
      <c r="DD94">
        <v>2</v>
      </c>
      <c r="DE94" t="s">
        <v>760</v>
      </c>
      <c r="DF94"/>
      <c r="DG94" t="s">
        <v>1441</v>
      </c>
      <c r="DH94"/>
      <c r="DI94"/>
      <c r="DJ94"/>
      <c r="DK94"/>
      <c r="DL94" t="s">
        <v>173</v>
      </c>
      <c r="DM94" t="s">
        <v>173</v>
      </c>
      <c r="DN94"/>
      <c r="DO94"/>
      <c r="DP94" t="s">
        <v>173</v>
      </c>
      <c r="DQ94" t="s">
        <v>189</v>
      </c>
      <c r="DR94" t="s">
        <v>1445</v>
      </c>
      <c r="DS94"/>
      <c r="DT94"/>
      <c r="DU94"/>
      <c r="DV94"/>
      <c r="DW94"/>
      <c r="DX94"/>
      <c r="DY94"/>
      <c r="DZ94"/>
      <c r="EA94" s="117"/>
      <c r="EB94">
        <v>9</v>
      </c>
      <c r="EC94">
        <v>10</v>
      </c>
      <c r="ED94"/>
      <c r="EE94" t="s">
        <v>1443</v>
      </c>
      <c r="EF94">
        <v>10</v>
      </c>
      <c r="EG94"/>
      <c r="EH94"/>
      <c r="EI94"/>
      <c r="EJ94"/>
      <c r="EK94"/>
      <c r="EL94"/>
      <c r="EM94"/>
      <c r="EN94"/>
      <c r="EO94"/>
      <c r="EP94"/>
      <c r="EQ94"/>
      <c r="ER94"/>
      <c r="ES94"/>
      <c r="ET94"/>
      <c r="EU94">
        <v>3750</v>
      </c>
      <c r="EV94"/>
      <c r="EW94">
        <v>0</v>
      </c>
      <c r="EX94">
        <v>0</v>
      </c>
      <c r="EY94">
        <v>0</v>
      </c>
      <c r="EZ94"/>
      <c r="FA94">
        <v>11.2</v>
      </c>
      <c r="FB94"/>
      <c r="FC94"/>
      <c r="FD94"/>
      <c r="FE94"/>
      <c r="FF94"/>
      <c r="FG94" s="94">
        <v>348</v>
      </c>
      <c r="FH94" s="94">
        <v>284</v>
      </c>
      <c r="FI94" s="94">
        <v>319</v>
      </c>
    </row>
    <row r="95" spans="1:165" s="66" customFormat="1" x14ac:dyDescent="0.35">
      <c r="A95" s="19"/>
      <c r="B95" s="19"/>
      <c r="C95" s="19"/>
      <c r="D95" s="19"/>
      <c r="E95" s="19"/>
      <c r="F95" s="128"/>
      <c r="G95" s="19"/>
      <c r="H95" s="19"/>
      <c r="I95" s="19"/>
      <c r="J95" s="19"/>
      <c r="K95" s="19" t="str">
        <f>_xlfn.CONCAT(A96," ",C96," ",D96)</f>
        <v>2026 Cadillac LYRIQ PAWD V SERIES (11 kW Charger)</v>
      </c>
      <c r="L95" s="19"/>
      <c r="M95" s="19"/>
      <c r="N95" s="19"/>
      <c r="O95" s="19"/>
      <c r="P95" s="19"/>
      <c r="Q95" s="19"/>
      <c r="R95" s="19"/>
      <c r="S95" s="19"/>
      <c r="T95" s="19"/>
      <c r="U95" s="19"/>
      <c r="V95" s="19"/>
      <c r="W95" s="19"/>
      <c r="X95" s="19"/>
      <c r="Y95" s="19"/>
      <c r="Z95" s="19"/>
      <c r="AA95" s="19"/>
      <c r="AB95" s="19" t="str">
        <f>$K95</f>
        <v>2026 Cadillac LYRIQ PAWD V SERIES (11 kW Charger)</v>
      </c>
      <c r="AC95" s="19"/>
      <c r="AD95" s="19"/>
      <c r="AE95" s="19"/>
      <c r="AF95" s="19"/>
      <c r="AG95" s="19"/>
      <c r="AH95" s="19"/>
      <c r="AI95" s="19"/>
      <c r="AJ95" s="19"/>
      <c r="AK95" s="19"/>
      <c r="AL95" s="19"/>
      <c r="AM95" s="19"/>
      <c r="AN95" s="19"/>
      <c r="AO95" s="19"/>
      <c r="AP95" s="19"/>
      <c r="AQ95" s="19"/>
      <c r="AR95" s="19" t="str">
        <f>$K95</f>
        <v>2026 Cadillac LYRIQ PAWD V SERIES (11 kW Charger)</v>
      </c>
      <c r="AS95" s="19"/>
      <c r="AT95" s="19"/>
      <c r="AU95" s="19"/>
      <c r="AV95" s="19"/>
      <c r="AW95" s="19"/>
      <c r="AX95" s="19"/>
      <c r="AY95" s="19"/>
      <c r="AZ95" s="19"/>
      <c r="BA95" s="19"/>
      <c r="BB95" s="19"/>
      <c r="BC95" s="19"/>
      <c r="BD95" s="19"/>
      <c r="BE95" s="19"/>
      <c r="BF95" s="19"/>
      <c r="BG95" s="19" t="str">
        <f>$K95</f>
        <v>2026 Cadillac LYRIQ PAWD V SERIES (11 kW Charger)</v>
      </c>
      <c r="BH95" s="19"/>
      <c r="BI95" s="19"/>
      <c r="BJ95" s="19"/>
      <c r="BK95" s="19"/>
      <c r="BL95" s="19"/>
      <c r="BM95" s="129"/>
      <c r="BN95" s="19"/>
      <c r="BO95" s="19"/>
      <c r="BP95" s="19"/>
      <c r="BQ95" s="19"/>
      <c r="BR95" s="19"/>
      <c r="BS95" s="19"/>
      <c r="BT95" s="130"/>
      <c r="BU95" s="19"/>
      <c r="BV95" s="19"/>
      <c r="BW95" s="116"/>
      <c r="BX95" s="19"/>
      <c r="BY95" s="19"/>
      <c r="BZ95" s="19"/>
      <c r="CA95" s="19"/>
      <c r="CB95" s="19"/>
      <c r="CC95" s="19"/>
      <c r="CD95" s="19"/>
      <c r="CE95" s="19"/>
      <c r="CF95" s="19"/>
      <c r="CG95" s="19"/>
      <c r="CH95" s="19"/>
      <c r="CI95" s="19"/>
      <c r="CJ95" s="19"/>
      <c r="CK95" s="19"/>
      <c r="CL95" s="19"/>
      <c r="CM95" s="19" t="str">
        <f>$K95</f>
        <v>2026 Cadillac LYRIQ PAWD V SERIES (11 kW Charger)</v>
      </c>
      <c r="CN95" s="19"/>
      <c r="CO95" s="19"/>
      <c r="CP95" s="19"/>
      <c r="CQ95" s="19"/>
      <c r="CR95" s="19"/>
      <c r="CS95" s="19"/>
      <c r="CT95" s="19"/>
      <c r="CU95" s="19"/>
      <c r="CV95" s="19"/>
      <c r="CW95" s="19"/>
      <c r="CX95" s="19"/>
      <c r="CY95" s="19"/>
      <c r="CZ95" s="19"/>
      <c r="DA95" s="19"/>
      <c r="DB95" s="19"/>
      <c r="DC95" s="19"/>
      <c r="DD95" s="19" t="str">
        <f>$K95</f>
        <v>2026 Cadillac LYRIQ PAWD V SERIES (11 kW Charger)</v>
      </c>
      <c r="DE95" s="19"/>
      <c r="DF95" s="19"/>
      <c r="DG95" s="19"/>
      <c r="DH95" s="19"/>
      <c r="DI95" s="19"/>
      <c r="DJ95" s="19"/>
      <c r="DK95" s="19"/>
      <c r="DL95" s="19"/>
      <c r="DM95" s="19"/>
      <c r="DN95" s="19"/>
      <c r="DO95" s="19"/>
      <c r="DP95" s="19"/>
      <c r="DQ95" s="19"/>
      <c r="DR95" s="19"/>
      <c r="DS95" s="19"/>
      <c r="DT95" s="19"/>
      <c r="DU95" s="19" t="str">
        <f>$K95</f>
        <v>2026 Cadillac LYRIQ PAWD V SERIES (11 kW Charger)</v>
      </c>
      <c r="DV95" s="19"/>
      <c r="DW95" s="19"/>
      <c r="DX95" s="19"/>
      <c r="DY95" s="19"/>
      <c r="DZ95" s="19"/>
      <c r="EA95" s="117"/>
      <c r="EB95" s="19"/>
      <c r="EC95" s="19"/>
      <c r="ED95" s="19"/>
      <c r="EE95" s="19"/>
      <c r="EF95" s="19"/>
      <c r="EG95"/>
      <c r="EH95"/>
      <c r="EI95"/>
      <c r="EJ95"/>
      <c r="EK95"/>
      <c r="EL95"/>
      <c r="EM95"/>
      <c r="EN95"/>
      <c r="EO95"/>
      <c r="EP95"/>
      <c r="EQ95"/>
      <c r="ER95"/>
      <c r="ES95"/>
      <c r="ET95"/>
      <c r="EU95"/>
      <c r="EV95"/>
      <c r="EW95"/>
      <c r="EX95" s="19" t="s">
        <v>1961</v>
      </c>
      <c r="EY95"/>
      <c r="EZ95"/>
      <c r="FA95"/>
      <c r="FB95"/>
      <c r="FC95"/>
      <c r="FD95"/>
      <c r="FE95"/>
      <c r="FF95"/>
      <c r="FG95"/>
      <c r="FH95"/>
      <c r="FI95"/>
    </row>
    <row r="96" spans="1:165" s="66" customFormat="1" x14ac:dyDescent="0.35">
      <c r="A96">
        <v>2026</v>
      </c>
      <c r="B96" t="s">
        <v>211</v>
      </c>
      <c r="C96" s="112" t="s">
        <v>388</v>
      </c>
      <c r="D96" t="s">
        <v>1440</v>
      </c>
      <c r="E96" t="s">
        <v>214</v>
      </c>
      <c r="F96">
        <v>402</v>
      </c>
      <c r="G96" s="113">
        <v>0</v>
      </c>
      <c r="H96"/>
      <c r="I96" t="s">
        <v>1391</v>
      </c>
      <c r="J96">
        <v>87</v>
      </c>
      <c r="K96">
        <v>72</v>
      </c>
      <c r="L96">
        <v>80</v>
      </c>
      <c r="M96">
        <v>124.8</v>
      </c>
      <c r="N96">
        <v>102.5</v>
      </c>
      <c r="O96">
        <v>113.6713</v>
      </c>
      <c r="P96">
        <v>87.36</v>
      </c>
      <c r="Q96">
        <v>71.75</v>
      </c>
      <c r="R96">
        <v>79.569900000000004</v>
      </c>
      <c r="S96"/>
      <c r="T96"/>
      <c r="U96"/>
      <c r="V96" t="s">
        <v>170</v>
      </c>
      <c r="W96" t="s">
        <v>171</v>
      </c>
      <c r="X96" t="s">
        <v>1436</v>
      </c>
      <c r="Y96">
        <v>1</v>
      </c>
      <c r="Z96" t="s">
        <v>173</v>
      </c>
      <c r="AA96" t="s">
        <v>173</v>
      </c>
      <c r="AB96" t="s">
        <v>170</v>
      </c>
      <c r="AC96" t="s">
        <v>232</v>
      </c>
      <c r="AD96"/>
      <c r="AE96"/>
      <c r="AF96">
        <v>285</v>
      </c>
      <c r="AG96" t="s">
        <v>1392</v>
      </c>
      <c r="AH96" t="s">
        <v>1393</v>
      </c>
      <c r="AI96" t="s">
        <v>178</v>
      </c>
      <c r="AJ96" t="s">
        <v>179</v>
      </c>
      <c r="AK96">
        <v>4</v>
      </c>
      <c r="AL96" t="s">
        <v>1394</v>
      </c>
      <c r="AM96"/>
      <c r="AN96"/>
      <c r="AO96">
        <v>105</v>
      </c>
      <c r="AP96">
        <v>24</v>
      </c>
      <c r="AQ96"/>
      <c r="AR96"/>
      <c r="AS96">
        <v>1100</v>
      </c>
      <c r="AT96">
        <v>1100</v>
      </c>
      <c r="AU96"/>
      <c r="AV96"/>
      <c r="AW96"/>
      <c r="AX96"/>
      <c r="AY96"/>
      <c r="AZ96"/>
      <c r="BA96"/>
      <c r="BB96"/>
      <c r="BC96"/>
      <c r="BD96"/>
      <c r="BE96"/>
      <c r="BF96"/>
      <c r="BG96"/>
      <c r="BH96"/>
      <c r="BI96"/>
      <c r="BJ96"/>
      <c r="BK96"/>
      <c r="BL96"/>
      <c r="BM96"/>
      <c r="BN96" s="114"/>
      <c r="BO96"/>
      <c r="BP96"/>
      <c r="BQ96">
        <v>31</v>
      </c>
      <c r="BR96" t="s">
        <v>887</v>
      </c>
      <c r="BS96"/>
      <c r="BT96" t="s">
        <v>1395</v>
      </c>
      <c r="BU96" s="115">
        <v>45761</v>
      </c>
      <c r="BV96">
        <v>36405</v>
      </c>
      <c r="BW96" s="116"/>
      <c r="BX96" t="s">
        <v>173</v>
      </c>
      <c r="BY96" t="s">
        <v>173</v>
      </c>
      <c r="BZ96"/>
      <c r="CA96"/>
      <c r="CB96" t="s">
        <v>173</v>
      </c>
      <c r="CC96" t="s">
        <v>173</v>
      </c>
      <c r="CD96"/>
      <c r="CE96"/>
      <c r="CF96"/>
      <c r="CG96"/>
      <c r="CH96"/>
      <c r="CI96"/>
      <c r="CJ96"/>
      <c r="CK96" t="s">
        <v>259</v>
      </c>
      <c r="CL96"/>
      <c r="CM96">
        <v>1</v>
      </c>
      <c r="CN96" t="s">
        <v>260</v>
      </c>
      <c r="CO96"/>
      <c r="CP96">
        <v>403</v>
      </c>
      <c r="CQ96">
        <v>290</v>
      </c>
      <c r="CR96">
        <v>162</v>
      </c>
      <c r="CS96" t="s">
        <v>1437</v>
      </c>
      <c r="CT96"/>
      <c r="CU96"/>
      <c r="CV96" t="s">
        <v>262</v>
      </c>
      <c r="CW96"/>
      <c r="CX96" t="s">
        <v>263</v>
      </c>
      <c r="CY96" t="s">
        <v>172</v>
      </c>
      <c r="CZ96"/>
      <c r="DA96"/>
      <c r="DB96"/>
      <c r="DC96"/>
      <c r="DD96">
        <v>2</v>
      </c>
      <c r="DE96" t="s">
        <v>760</v>
      </c>
      <c r="DF96"/>
      <c r="DG96" t="s">
        <v>1441</v>
      </c>
      <c r="DH96"/>
      <c r="DI96"/>
      <c r="DJ96"/>
      <c r="DK96"/>
      <c r="DL96" t="s">
        <v>173</v>
      </c>
      <c r="DM96" t="s">
        <v>173</v>
      </c>
      <c r="DN96"/>
      <c r="DO96"/>
      <c r="DP96" t="s">
        <v>173</v>
      </c>
      <c r="DQ96" t="s">
        <v>189</v>
      </c>
      <c r="DR96" t="s">
        <v>1442</v>
      </c>
      <c r="DS96"/>
      <c r="DT96"/>
      <c r="DU96"/>
      <c r="DV96"/>
      <c r="DW96"/>
      <c r="DX96"/>
      <c r="DY96"/>
      <c r="DZ96"/>
      <c r="EA96" s="117"/>
      <c r="EB96">
        <v>9</v>
      </c>
      <c r="EC96">
        <v>10</v>
      </c>
      <c r="ED96"/>
      <c r="EE96" t="s">
        <v>1443</v>
      </c>
      <c r="EF96">
        <v>10</v>
      </c>
      <c r="EG96"/>
      <c r="EH96"/>
      <c r="EI96"/>
      <c r="EJ96"/>
      <c r="EK96"/>
      <c r="EL96"/>
      <c r="EM96"/>
      <c r="EN96"/>
      <c r="EO96"/>
      <c r="EP96"/>
      <c r="EQ96"/>
      <c r="ER96"/>
      <c r="ES96"/>
      <c r="ET96"/>
      <c r="EU96">
        <v>3000</v>
      </c>
      <c r="EV96"/>
      <c r="EW96">
        <v>0</v>
      </c>
      <c r="EX96">
        <v>0</v>
      </c>
      <c r="EY96">
        <v>0</v>
      </c>
      <c r="EZ96"/>
      <c r="FA96">
        <v>11.2</v>
      </c>
      <c r="FB96"/>
      <c r="FC96"/>
      <c r="FD96"/>
      <c r="FE96"/>
      <c r="FF96"/>
      <c r="FG96" s="94">
        <v>310</v>
      </c>
      <c r="FH96" s="94">
        <v>255</v>
      </c>
      <c r="FI96" s="94">
        <v>285</v>
      </c>
    </row>
    <row r="97" spans="1:165" s="66" customFormat="1" x14ac:dyDescent="0.35">
      <c r="A97">
        <v>2026</v>
      </c>
      <c r="B97" t="s">
        <v>211</v>
      </c>
      <c r="C97" s="112" t="s">
        <v>388</v>
      </c>
      <c r="D97" t="s">
        <v>1440</v>
      </c>
      <c r="E97" t="s">
        <v>214</v>
      </c>
      <c r="F97">
        <v>402</v>
      </c>
      <c r="G97" s="113">
        <v>0</v>
      </c>
      <c r="H97"/>
      <c r="I97" t="s">
        <v>1391</v>
      </c>
      <c r="J97">
        <v>39</v>
      </c>
      <c r="K97">
        <v>47</v>
      </c>
      <c r="L97">
        <v>42</v>
      </c>
      <c r="M97">
        <v>27.0016</v>
      </c>
      <c r="N97">
        <v>32.890300000000003</v>
      </c>
      <c r="O97">
        <v>29.651499999999999</v>
      </c>
      <c r="P97">
        <v>38.581699999999998</v>
      </c>
      <c r="Q97">
        <v>46.9756</v>
      </c>
      <c r="R97">
        <v>42.359000000000002</v>
      </c>
      <c r="S97"/>
      <c r="T97"/>
      <c r="U97"/>
      <c r="V97" t="s">
        <v>170</v>
      </c>
      <c r="W97" t="s">
        <v>171</v>
      </c>
      <c r="X97" t="s">
        <v>1436</v>
      </c>
      <c r="Y97">
        <v>1</v>
      </c>
      <c r="Z97" t="s">
        <v>173</v>
      </c>
      <c r="AA97" t="s">
        <v>173</v>
      </c>
      <c r="AB97" t="s">
        <v>170</v>
      </c>
      <c r="AC97" t="s">
        <v>232</v>
      </c>
      <c r="AD97"/>
      <c r="AE97"/>
      <c r="AF97">
        <v>285</v>
      </c>
      <c r="AG97" t="s">
        <v>1392</v>
      </c>
      <c r="AH97" t="s">
        <v>1393</v>
      </c>
      <c r="AI97" t="s">
        <v>1399</v>
      </c>
      <c r="AJ97" t="s">
        <v>1400</v>
      </c>
      <c r="AK97">
        <v>4</v>
      </c>
      <c r="AL97" t="s">
        <v>1394</v>
      </c>
      <c r="AM97"/>
      <c r="AN97"/>
      <c r="AO97">
        <v>105</v>
      </c>
      <c r="AP97">
        <v>24</v>
      </c>
      <c r="AQ97"/>
      <c r="AR97"/>
      <c r="AS97">
        <v>1100</v>
      </c>
      <c r="AT97">
        <v>1100</v>
      </c>
      <c r="AU97"/>
      <c r="AV97"/>
      <c r="AW97"/>
      <c r="AX97"/>
      <c r="AY97"/>
      <c r="AZ97"/>
      <c r="BA97"/>
      <c r="BB97"/>
      <c r="BC97"/>
      <c r="BD97"/>
      <c r="BE97"/>
      <c r="BF97"/>
      <c r="BG97"/>
      <c r="BH97"/>
      <c r="BI97"/>
      <c r="BJ97"/>
      <c r="BK97"/>
      <c r="BL97"/>
      <c r="BM97"/>
      <c r="BN97" s="114"/>
      <c r="BO97"/>
      <c r="BP97"/>
      <c r="BQ97">
        <v>31</v>
      </c>
      <c r="BR97" t="s">
        <v>887</v>
      </c>
      <c r="BS97"/>
      <c r="BT97" t="s">
        <v>1395</v>
      </c>
      <c r="BU97" s="115">
        <v>45761</v>
      </c>
      <c r="BV97">
        <v>36405</v>
      </c>
      <c r="BW97" s="116"/>
      <c r="BX97" t="s">
        <v>173</v>
      </c>
      <c r="BY97" t="s">
        <v>173</v>
      </c>
      <c r="BZ97"/>
      <c r="CA97"/>
      <c r="CB97" t="s">
        <v>173</v>
      </c>
      <c r="CC97" t="s">
        <v>173</v>
      </c>
      <c r="CD97"/>
      <c r="CE97"/>
      <c r="CF97"/>
      <c r="CG97"/>
      <c r="CH97"/>
      <c r="CI97"/>
      <c r="CJ97"/>
      <c r="CK97" t="s">
        <v>259</v>
      </c>
      <c r="CL97"/>
      <c r="CM97">
        <v>1</v>
      </c>
      <c r="CN97" t="s">
        <v>260</v>
      </c>
      <c r="CO97"/>
      <c r="CP97">
        <v>403</v>
      </c>
      <c r="CQ97">
        <v>290</v>
      </c>
      <c r="CR97">
        <v>162</v>
      </c>
      <c r="CS97" t="s">
        <v>1437</v>
      </c>
      <c r="CT97"/>
      <c r="CU97"/>
      <c r="CV97" t="s">
        <v>262</v>
      </c>
      <c r="CW97"/>
      <c r="CX97" t="s">
        <v>263</v>
      </c>
      <c r="CY97" t="s">
        <v>172</v>
      </c>
      <c r="CZ97"/>
      <c r="DA97"/>
      <c r="DB97"/>
      <c r="DC97"/>
      <c r="DD97">
        <v>2</v>
      </c>
      <c r="DE97" t="s">
        <v>760</v>
      </c>
      <c r="DF97"/>
      <c r="DG97" t="s">
        <v>1441</v>
      </c>
      <c r="DH97"/>
      <c r="DI97"/>
      <c r="DJ97"/>
      <c r="DK97"/>
      <c r="DL97" t="s">
        <v>173</v>
      </c>
      <c r="DM97" t="s">
        <v>173</v>
      </c>
      <c r="DN97"/>
      <c r="DO97"/>
      <c r="DP97" t="s">
        <v>173</v>
      </c>
      <c r="DQ97" t="s">
        <v>189</v>
      </c>
      <c r="DR97" t="s">
        <v>1442</v>
      </c>
      <c r="DS97"/>
      <c r="DT97"/>
      <c r="DU97"/>
      <c r="DV97"/>
      <c r="DW97"/>
      <c r="DX97"/>
      <c r="DY97"/>
      <c r="DZ97"/>
      <c r="EA97" s="117"/>
      <c r="EB97">
        <v>9</v>
      </c>
      <c r="EC97">
        <v>10</v>
      </c>
      <c r="ED97"/>
      <c r="EE97" t="s">
        <v>1443</v>
      </c>
      <c r="EF97">
        <v>10</v>
      </c>
      <c r="EG97"/>
      <c r="EH97"/>
      <c r="EI97"/>
      <c r="EJ97"/>
      <c r="EK97"/>
      <c r="EL97"/>
      <c r="EM97"/>
      <c r="EN97"/>
      <c r="EO97"/>
      <c r="EP97"/>
      <c r="EQ97"/>
      <c r="ER97"/>
      <c r="ES97"/>
      <c r="ET97"/>
      <c r="EU97">
        <v>3000</v>
      </c>
      <c r="EV97"/>
      <c r="EW97">
        <v>0</v>
      </c>
      <c r="EX97">
        <v>0</v>
      </c>
      <c r="EY97">
        <v>0</v>
      </c>
      <c r="EZ97"/>
      <c r="FA97">
        <v>11.2</v>
      </c>
      <c r="FB97"/>
      <c r="FC97"/>
      <c r="FD97"/>
      <c r="FE97"/>
      <c r="FF97"/>
      <c r="FG97" s="94">
        <v>310</v>
      </c>
      <c r="FH97" s="94">
        <v>255</v>
      </c>
      <c r="FI97" s="94">
        <v>285</v>
      </c>
    </row>
    <row r="98" spans="1:165" s="66" customFormat="1" x14ac:dyDescent="0.35">
      <c r="A98" s="19"/>
      <c r="B98" s="19"/>
      <c r="C98" s="19"/>
      <c r="D98" s="19"/>
      <c r="E98" s="19"/>
      <c r="F98" s="128"/>
      <c r="G98" s="19"/>
      <c r="H98" s="19"/>
      <c r="I98" s="19"/>
      <c r="J98" s="19"/>
      <c r="K98" s="19" t="str">
        <f>_xlfn.CONCAT(A99," ",C99," ",D99)</f>
        <v>2026 Cadillac LYRIQ PAWD V SERIES (19 kW Charger)</v>
      </c>
      <c r="L98" s="19"/>
      <c r="M98" s="19"/>
      <c r="N98" s="19"/>
      <c r="O98" s="19"/>
      <c r="P98" s="19"/>
      <c r="Q98" s="19"/>
      <c r="R98" s="19"/>
      <c r="S98" s="19"/>
      <c r="T98" s="19"/>
      <c r="U98" s="19"/>
      <c r="V98" s="19"/>
      <c r="W98" s="19"/>
      <c r="X98" s="19"/>
      <c r="Y98" s="19"/>
      <c r="Z98" s="19"/>
      <c r="AA98" s="19"/>
      <c r="AB98" s="19" t="str">
        <f>$K98</f>
        <v>2026 Cadillac LYRIQ PAWD V SERIES (19 kW Charger)</v>
      </c>
      <c r="AC98" s="19"/>
      <c r="AD98" s="19"/>
      <c r="AE98" s="19"/>
      <c r="AF98" s="19"/>
      <c r="AG98" s="19"/>
      <c r="AH98" s="19"/>
      <c r="AI98" s="19"/>
      <c r="AJ98" s="19"/>
      <c r="AK98" s="19"/>
      <c r="AL98" s="19"/>
      <c r="AM98" s="19"/>
      <c r="AN98" s="19"/>
      <c r="AO98" s="19"/>
      <c r="AP98" s="19"/>
      <c r="AQ98" s="19"/>
      <c r="AR98" s="19" t="str">
        <f>$K98</f>
        <v>2026 Cadillac LYRIQ PAWD V SERIES (19 kW Charger)</v>
      </c>
      <c r="AS98" s="19"/>
      <c r="AT98" s="19"/>
      <c r="AU98" s="19"/>
      <c r="AV98" s="19"/>
      <c r="AW98" s="19"/>
      <c r="AX98" s="19"/>
      <c r="AY98" s="19"/>
      <c r="AZ98" s="19"/>
      <c r="BA98" s="19"/>
      <c r="BB98" s="19"/>
      <c r="BC98" s="19"/>
      <c r="BD98" s="19"/>
      <c r="BE98" s="19"/>
      <c r="BF98" s="19"/>
      <c r="BG98" s="19" t="str">
        <f>$K98</f>
        <v>2026 Cadillac LYRIQ PAWD V SERIES (19 kW Charger)</v>
      </c>
      <c r="BH98" s="19"/>
      <c r="BI98" s="19"/>
      <c r="BJ98" s="19"/>
      <c r="BK98" s="19"/>
      <c r="BL98" s="19"/>
      <c r="BM98" s="129"/>
      <c r="BN98" s="19"/>
      <c r="BO98" s="19"/>
      <c r="BP98" s="19"/>
      <c r="BQ98" s="19"/>
      <c r="BR98" s="19"/>
      <c r="BS98" s="19"/>
      <c r="BT98" s="130"/>
      <c r="BU98" s="19"/>
      <c r="BV98" s="19"/>
      <c r="BW98" s="116"/>
      <c r="BX98" s="19"/>
      <c r="BY98" s="19"/>
      <c r="BZ98" s="19"/>
      <c r="CA98" s="19"/>
      <c r="CB98" s="19"/>
      <c r="CC98" s="19"/>
      <c r="CD98" s="19"/>
      <c r="CE98" s="19"/>
      <c r="CF98" s="19"/>
      <c r="CG98" s="19"/>
      <c r="CH98" s="19"/>
      <c r="CI98" s="19"/>
      <c r="CJ98" s="19"/>
      <c r="CK98" s="19"/>
      <c r="CL98" s="19"/>
      <c r="CM98" s="19" t="str">
        <f>$K98</f>
        <v>2026 Cadillac LYRIQ PAWD V SERIES (19 kW Charger)</v>
      </c>
      <c r="CN98" s="19"/>
      <c r="CO98" s="19"/>
      <c r="CP98" s="19"/>
      <c r="CQ98" s="19"/>
      <c r="CR98" s="19"/>
      <c r="CS98" s="19"/>
      <c r="CT98" s="19"/>
      <c r="CU98" s="19"/>
      <c r="CV98" s="19"/>
      <c r="CW98" s="19"/>
      <c r="CX98" s="19"/>
      <c r="CY98" s="19"/>
      <c r="CZ98" s="19"/>
      <c r="DA98" s="19"/>
      <c r="DB98" s="19"/>
      <c r="DC98" s="19"/>
      <c r="DD98" s="19" t="str">
        <f>$K98</f>
        <v>2026 Cadillac LYRIQ PAWD V SERIES (19 kW Charger)</v>
      </c>
      <c r="DE98" s="19"/>
      <c r="DF98" s="19"/>
      <c r="DG98" s="19"/>
      <c r="DH98" s="19"/>
      <c r="DI98" s="19"/>
      <c r="DJ98" s="19"/>
      <c r="DK98" s="19"/>
      <c r="DL98" s="19"/>
      <c r="DM98" s="19"/>
      <c r="DN98" s="19"/>
      <c r="DO98" s="19"/>
      <c r="DP98" s="19"/>
      <c r="DQ98" s="19"/>
      <c r="DR98" s="19"/>
      <c r="DS98" s="19"/>
      <c r="DT98" s="19"/>
      <c r="DU98" s="19" t="str">
        <f>$K98</f>
        <v>2026 Cadillac LYRIQ PAWD V SERIES (19 kW Charger)</v>
      </c>
      <c r="DV98" s="19"/>
      <c r="DW98" s="19"/>
      <c r="DX98" s="19"/>
      <c r="DY98" s="19"/>
      <c r="DZ98" s="19"/>
      <c r="EA98" s="117"/>
      <c r="EB98" s="19"/>
      <c r="EC98" s="19"/>
      <c r="ED98" s="19"/>
      <c r="EE98" s="19"/>
      <c r="EF98" s="19"/>
      <c r="EG98"/>
      <c r="EH98"/>
      <c r="EI98"/>
      <c r="EJ98"/>
      <c r="EK98"/>
      <c r="EL98"/>
      <c r="EM98"/>
      <c r="EN98"/>
      <c r="EO98"/>
      <c r="EP98"/>
      <c r="EQ98"/>
      <c r="ER98"/>
      <c r="ES98"/>
      <c r="ET98"/>
      <c r="EU98"/>
      <c r="EV98"/>
      <c r="EW98"/>
      <c r="EX98" s="19" t="s">
        <v>1962</v>
      </c>
      <c r="EY98"/>
      <c r="EZ98"/>
      <c r="FA98"/>
      <c r="FB98"/>
      <c r="FC98"/>
      <c r="FD98"/>
      <c r="FE98"/>
      <c r="FF98"/>
      <c r="FG98"/>
      <c r="FH98"/>
      <c r="FI98"/>
    </row>
    <row r="99" spans="1:165" s="66" customFormat="1" x14ac:dyDescent="0.35">
      <c r="A99">
        <v>2026</v>
      </c>
      <c r="B99" t="s">
        <v>211</v>
      </c>
      <c r="C99" s="112" t="s">
        <v>388</v>
      </c>
      <c r="D99" t="s">
        <v>1444</v>
      </c>
      <c r="E99" t="s">
        <v>214</v>
      </c>
      <c r="F99">
        <v>403</v>
      </c>
      <c r="G99" s="113">
        <v>0</v>
      </c>
      <c r="H99"/>
      <c r="I99" t="s">
        <v>1391</v>
      </c>
      <c r="J99">
        <v>87</v>
      </c>
      <c r="K99">
        <v>72</v>
      </c>
      <c r="L99">
        <v>80</v>
      </c>
      <c r="M99">
        <v>124.8</v>
      </c>
      <c r="N99">
        <v>102.5</v>
      </c>
      <c r="O99">
        <v>113.6713</v>
      </c>
      <c r="P99">
        <v>87.36</v>
      </c>
      <c r="Q99">
        <v>71.75</v>
      </c>
      <c r="R99">
        <v>79.569900000000004</v>
      </c>
      <c r="S99"/>
      <c r="T99"/>
      <c r="U99"/>
      <c r="V99" t="s">
        <v>170</v>
      </c>
      <c r="W99" t="s">
        <v>171</v>
      </c>
      <c r="X99" t="s">
        <v>1436</v>
      </c>
      <c r="Y99">
        <v>1</v>
      </c>
      <c r="Z99" t="s">
        <v>173</v>
      </c>
      <c r="AA99" t="s">
        <v>173</v>
      </c>
      <c r="AB99" t="s">
        <v>170</v>
      </c>
      <c r="AC99" t="s">
        <v>232</v>
      </c>
      <c r="AD99"/>
      <c r="AE99"/>
      <c r="AF99">
        <v>285</v>
      </c>
      <c r="AG99" t="s">
        <v>1392</v>
      </c>
      <c r="AH99" t="s">
        <v>1393</v>
      </c>
      <c r="AI99" t="s">
        <v>178</v>
      </c>
      <c r="AJ99" t="s">
        <v>179</v>
      </c>
      <c r="AK99">
        <v>4</v>
      </c>
      <c r="AL99" t="s">
        <v>1394</v>
      </c>
      <c r="AM99"/>
      <c r="AN99"/>
      <c r="AO99">
        <v>105</v>
      </c>
      <c r="AP99">
        <v>24</v>
      </c>
      <c r="AQ99"/>
      <c r="AR99"/>
      <c r="AS99">
        <v>1100</v>
      </c>
      <c r="AT99">
        <v>1100</v>
      </c>
      <c r="AU99"/>
      <c r="AV99"/>
      <c r="AW99"/>
      <c r="AX99"/>
      <c r="AY99"/>
      <c r="AZ99"/>
      <c r="BA99"/>
      <c r="BB99"/>
      <c r="BC99"/>
      <c r="BD99"/>
      <c r="BE99"/>
      <c r="BF99"/>
      <c r="BG99"/>
      <c r="BH99"/>
      <c r="BI99"/>
      <c r="BJ99"/>
      <c r="BK99"/>
      <c r="BL99"/>
      <c r="BM99"/>
      <c r="BN99" s="114"/>
      <c r="BO99"/>
      <c r="BP99"/>
      <c r="BQ99">
        <v>31</v>
      </c>
      <c r="BR99" t="s">
        <v>887</v>
      </c>
      <c r="BS99"/>
      <c r="BT99" t="s">
        <v>1395</v>
      </c>
      <c r="BU99" s="115">
        <v>45761</v>
      </c>
      <c r="BV99">
        <v>36401</v>
      </c>
      <c r="BW99" s="116"/>
      <c r="BX99" t="s">
        <v>173</v>
      </c>
      <c r="BY99" t="s">
        <v>173</v>
      </c>
      <c r="BZ99"/>
      <c r="CA99"/>
      <c r="CB99" t="s">
        <v>173</v>
      </c>
      <c r="CC99" t="s">
        <v>173</v>
      </c>
      <c r="CD99"/>
      <c r="CE99"/>
      <c r="CF99"/>
      <c r="CG99"/>
      <c r="CH99"/>
      <c r="CI99"/>
      <c r="CJ99"/>
      <c r="CK99" t="s">
        <v>259</v>
      </c>
      <c r="CL99"/>
      <c r="CM99">
        <v>1</v>
      </c>
      <c r="CN99" t="s">
        <v>260</v>
      </c>
      <c r="CO99"/>
      <c r="CP99">
        <v>403</v>
      </c>
      <c r="CQ99">
        <v>290</v>
      </c>
      <c r="CR99">
        <v>162</v>
      </c>
      <c r="CS99" t="s">
        <v>1437</v>
      </c>
      <c r="CT99"/>
      <c r="CU99"/>
      <c r="CV99" t="s">
        <v>262</v>
      </c>
      <c r="CW99"/>
      <c r="CX99" t="s">
        <v>263</v>
      </c>
      <c r="CY99" t="s">
        <v>172</v>
      </c>
      <c r="CZ99"/>
      <c r="DA99"/>
      <c r="DB99"/>
      <c r="DC99"/>
      <c r="DD99">
        <v>2</v>
      </c>
      <c r="DE99" t="s">
        <v>760</v>
      </c>
      <c r="DF99"/>
      <c r="DG99" t="s">
        <v>1441</v>
      </c>
      <c r="DH99"/>
      <c r="DI99"/>
      <c r="DJ99"/>
      <c r="DK99"/>
      <c r="DL99" t="s">
        <v>173</v>
      </c>
      <c r="DM99" t="s">
        <v>173</v>
      </c>
      <c r="DN99"/>
      <c r="DO99"/>
      <c r="DP99" t="s">
        <v>173</v>
      </c>
      <c r="DQ99" t="s">
        <v>189</v>
      </c>
      <c r="DR99" t="s">
        <v>1442</v>
      </c>
      <c r="DS99"/>
      <c r="DT99"/>
      <c r="DU99"/>
      <c r="DV99"/>
      <c r="DW99"/>
      <c r="DX99"/>
      <c r="DY99"/>
      <c r="DZ99"/>
      <c r="EA99" s="117"/>
      <c r="EB99">
        <v>9</v>
      </c>
      <c r="EC99">
        <v>10</v>
      </c>
      <c r="ED99"/>
      <c r="EE99" t="s">
        <v>1443</v>
      </c>
      <c r="EF99">
        <v>10</v>
      </c>
      <c r="EG99"/>
      <c r="EH99"/>
      <c r="EI99"/>
      <c r="EJ99"/>
      <c r="EK99"/>
      <c r="EL99"/>
      <c r="EM99"/>
      <c r="EN99"/>
      <c r="EO99"/>
      <c r="EP99"/>
      <c r="EQ99"/>
      <c r="ER99"/>
      <c r="ES99"/>
      <c r="ET99"/>
      <c r="EU99">
        <v>3000</v>
      </c>
      <c r="EV99"/>
      <c r="EW99">
        <v>0</v>
      </c>
      <c r="EX99">
        <v>0</v>
      </c>
      <c r="EY99">
        <v>0</v>
      </c>
      <c r="EZ99"/>
      <c r="FA99">
        <v>7</v>
      </c>
      <c r="FB99"/>
      <c r="FC99"/>
      <c r="FD99"/>
      <c r="FE99"/>
      <c r="FF99"/>
      <c r="FG99" s="94">
        <v>310</v>
      </c>
      <c r="FH99" s="94">
        <v>255</v>
      </c>
      <c r="FI99" s="94">
        <v>285</v>
      </c>
    </row>
    <row r="100" spans="1:165" s="66" customFormat="1" x14ac:dyDescent="0.35">
      <c r="A100">
        <v>2026</v>
      </c>
      <c r="B100" t="s">
        <v>211</v>
      </c>
      <c r="C100" s="112" t="s">
        <v>388</v>
      </c>
      <c r="D100" t="s">
        <v>1444</v>
      </c>
      <c r="E100" t="s">
        <v>214</v>
      </c>
      <c r="F100">
        <v>403</v>
      </c>
      <c r="G100" s="113">
        <v>0</v>
      </c>
      <c r="H100"/>
      <c r="I100" t="s">
        <v>1391</v>
      </c>
      <c r="J100">
        <v>39</v>
      </c>
      <c r="K100">
        <v>47</v>
      </c>
      <c r="L100">
        <v>42</v>
      </c>
      <c r="M100">
        <v>27.0016</v>
      </c>
      <c r="N100">
        <v>32.890300000000003</v>
      </c>
      <c r="O100">
        <v>29.651499999999999</v>
      </c>
      <c r="P100">
        <v>38.581699999999998</v>
      </c>
      <c r="Q100">
        <v>46.9756</v>
      </c>
      <c r="R100">
        <v>42.359000000000002</v>
      </c>
      <c r="S100"/>
      <c r="T100"/>
      <c r="U100"/>
      <c r="V100" t="s">
        <v>170</v>
      </c>
      <c r="W100" t="s">
        <v>171</v>
      </c>
      <c r="X100" t="s">
        <v>1436</v>
      </c>
      <c r="Y100">
        <v>1</v>
      </c>
      <c r="Z100" t="s">
        <v>173</v>
      </c>
      <c r="AA100" t="s">
        <v>173</v>
      </c>
      <c r="AB100" t="s">
        <v>170</v>
      </c>
      <c r="AC100" t="s">
        <v>232</v>
      </c>
      <c r="AD100"/>
      <c r="AE100"/>
      <c r="AF100">
        <v>285</v>
      </c>
      <c r="AG100" t="s">
        <v>1392</v>
      </c>
      <c r="AH100" t="s">
        <v>1393</v>
      </c>
      <c r="AI100" t="s">
        <v>1399</v>
      </c>
      <c r="AJ100" t="s">
        <v>1400</v>
      </c>
      <c r="AK100">
        <v>4</v>
      </c>
      <c r="AL100" t="s">
        <v>1394</v>
      </c>
      <c r="AM100"/>
      <c r="AN100"/>
      <c r="AO100">
        <v>105</v>
      </c>
      <c r="AP100">
        <v>24</v>
      </c>
      <c r="AQ100"/>
      <c r="AR100"/>
      <c r="AS100">
        <v>1100</v>
      </c>
      <c r="AT100">
        <v>1100</v>
      </c>
      <c r="AU100"/>
      <c r="AV100"/>
      <c r="AW100"/>
      <c r="AX100"/>
      <c r="AY100"/>
      <c r="AZ100"/>
      <c r="BA100"/>
      <c r="BB100"/>
      <c r="BC100"/>
      <c r="BD100"/>
      <c r="BE100"/>
      <c r="BF100"/>
      <c r="BG100"/>
      <c r="BH100"/>
      <c r="BI100"/>
      <c r="BJ100"/>
      <c r="BK100"/>
      <c r="BL100"/>
      <c r="BM100"/>
      <c r="BN100" s="114"/>
      <c r="BO100"/>
      <c r="BP100"/>
      <c r="BQ100">
        <v>31</v>
      </c>
      <c r="BR100" t="s">
        <v>887</v>
      </c>
      <c r="BS100"/>
      <c r="BT100" t="s">
        <v>1395</v>
      </c>
      <c r="BU100" s="115">
        <v>45761</v>
      </c>
      <c r="BV100">
        <v>36401</v>
      </c>
      <c r="BW100" s="116"/>
      <c r="BX100" t="s">
        <v>173</v>
      </c>
      <c r="BY100" t="s">
        <v>173</v>
      </c>
      <c r="BZ100"/>
      <c r="CA100"/>
      <c r="CB100" t="s">
        <v>173</v>
      </c>
      <c r="CC100" t="s">
        <v>173</v>
      </c>
      <c r="CD100"/>
      <c r="CE100"/>
      <c r="CF100"/>
      <c r="CG100"/>
      <c r="CH100"/>
      <c r="CI100"/>
      <c r="CJ100"/>
      <c r="CK100" t="s">
        <v>259</v>
      </c>
      <c r="CL100"/>
      <c r="CM100">
        <v>1</v>
      </c>
      <c r="CN100" t="s">
        <v>260</v>
      </c>
      <c r="CO100"/>
      <c r="CP100">
        <v>403</v>
      </c>
      <c r="CQ100">
        <v>290</v>
      </c>
      <c r="CR100">
        <v>162</v>
      </c>
      <c r="CS100" t="s">
        <v>1437</v>
      </c>
      <c r="CT100"/>
      <c r="CU100"/>
      <c r="CV100" t="s">
        <v>262</v>
      </c>
      <c r="CW100"/>
      <c r="CX100" t="s">
        <v>263</v>
      </c>
      <c r="CY100" t="s">
        <v>172</v>
      </c>
      <c r="CZ100"/>
      <c r="DA100"/>
      <c r="DB100"/>
      <c r="DC100"/>
      <c r="DD100">
        <v>2</v>
      </c>
      <c r="DE100" t="s">
        <v>760</v>
      </c>
      <c r="DF100"/>
      <c r="DG100" t="s">
        <v>1441</v>
      </c>
      <c r="DH100"/>
      <c r="DI100"/>
      <c r="DJ100"/>
      <c r="DK100"/>
      <c r="DL100" t="s">
        <v>173</v>
      </c>
      <c r="DM100" t="s">
        <v>173</v>
      </c>
      <c r="DN100"/>
      <c r="DO100"/>
      <c r="DP100" t="s">
        <v>173</v>
      </c>
      <c r="DQ100" t="s">
        <v>189</v>
      </c>
      <c r="DR100" t="s">
        <v>1442</v>
      </c>
      <c r="DS100"/>
      <c r="DT100"/>
      <c r="DU100"/>
      <c r="DV100"/>
      <c r="DW100"/>
      <c r="DX100"/>
      <c r="DY100"/>
      <c r="DZ100"/>
      <c r="EA100" s="117"/>
      <c r="EB100">
        <v>9</v>
      </c>
      <c r="EC100">
        <v>10</v>
      </c>
      <c r="ED100"/>
      <c r="EE100" t="s">
        <v>1443</v>
      </c>
      <c r="EF100">
        <v>10</v>
      </c>
      <c r="EG100"/>
      <c r="EH100"/>
      <c r="EI100"/>
      <c r="EJ100"/>
      <c r="EK100"/>
      <c r="EL100"/>
      <c r="EM100"/>
      <c r="EN100"/>
      <c r="EO100"/>
      <c r="EP100"/>
      <c r="EQ100"/>
      <c r="ER100"/>
      <c r="ES100"/>
      <c r="ET100"/>
      <c r="EU100">
        <v>3000</v>
      </c>
      <c r="EV100"/>
      <c r="EW100">
        <v>0</v>
      </c>
      <c r="EX100">
        <v>0</v>
      </c>
      <c r="EY100">
        <v>0</v>
      </c>
      <c r="EZ100"/>
      <c r="FA100">
        <v>7</v>
      </c>
      <c r="FB100"/>
      <c r="FC100"/>
      <c r="FD100"/>
      <c r="FE100"/>
      <c r="FF100"/>
      <c r="FG100" s="94">
        <v>310</v>
      </c>
      <c r="FH100" s="94">
        <v>255</v>
      </c>
      <c r="FI100" s="94">
        <v>285</v>
      </c>
    </row>
    <row r="101" spans="1:165" s="139" customFormat="1" x14ac:dyDescent="0.35">
      <c r="A101" s="131"/>
      <c r="B101" s="131"/>
      <c r="C101" s="131"/>
      <c r="D101" s="131"/>
      <c r="E101" s="131"/>
      <c r="F101" s="132"/>
      <c r="G101" s="131"/>
      <c r="H101" s="131"/>
      <c r="I101" s="131"/>
      <c r="J101" s="131"/>
      <c r="K101" s="131" t="str">
        <f>_xlfn.CONCAT(A102," ",C102," ",D102)</f>
        <v>2026 Cadillac OPTIQ RWD</v>
      </c>
      <c r="L101" s="131"/>
      <c r="M101" s="131"/>
      <c r="N101" s="131"/>
      <c r="O101" s="131"/>
      <c r="P101" s="131"/>
      <c r="Q101" s="131"/>
      <c r="R101" s="131"/>
      <c r="S101" s="131"/>
      <c r="T101" s="131"/>
      <c r="U101" s="131"/>
      <c r="V101" s="131"/>
      <c r="W101" s="131"/>
      <c r="X101" s="131"/>
      <c r="Y101" s="131"/>
      <c r="Z101" s="131"/>
      <c r="AA101" s="131"/>
      <c r="AB101" s="131" t="str">
        <f>$K101</f>
        <v>2026 Cadillac OPTIQ RWD</v>
      </c>
      <c r="AC101" s="131"/>
      <c r="AD101" s="131"/>
      <c r="AE101" s="131"/>
      <c r="AF101" s="131"/>
      <c r="AG101" s="131"/>
      <c r="AH101" s="131"/>
      <c r="AI101" s="131"/>
      <c r="AJ101" s="131"/>
      <c r="AK101" s="131"/>
      <c r="AL101" s="131"/>
      <c r="AM101" s="131"/>
      <c r="AN101" s="131"/>
      <c r="AO101" s="131"/>
      <c r="AP101" s="131"/>
      <c r="AQ101" s="131"/>
      <c r="AR101" s="131" t="str">
        <f>$K101</f>
        <v>2026 Cadillac OPTIQ RWD</v>
      </c>
      <c r="AS101" s="131"/>
      <c r="AT101" s="131"/>
      <c r="AU101" s="131"/>
      <c r="AV101" s="131"/>
      <c r="AW101" s="131"/>
      <c r="AX101" s="131"/>
      <c r="AY101" s="131"/>
      <c r="AZ101" s="131"/>
      <c r="BA101" s="131"/>
      <c r="BB101" s="131"/>
      <c r="BC101" s="131"/>
      <c r="BD101" s="131"/>
      <c r="BE101" s="131"/>
      <c r="BF101" s="131"/>
      <c r="BG101" s="131" t="str">
        <f>$K101</f>
        <v>2026 Cadillac OPTIQ RWD</v>
      </c>
      <c r="BH101" s="131"/>
      <c r="BI101" s="131"/>
      <c r="BJ101" s="131"/>
      <c r="BK101" s="131"/>
      <c r="BL101" s="131"/>
      <c r="BM101" s="133"/>
      <c r="BN101" s="131"/>
      <c r="BO101" s="131"/>
      <c r="BP101" s="131"/>
      <c r="BQ101" s="131"/>
      <c r="BR101" s="131"/>
      <c r="BS101" s="131"/>
      <c r="BT101" s="134"/>
      <c r="BU101" s="131"/>
      <c r="BV101" s="131"/>
      <c r="BW101" s="124"/>
      <c r="BX101" s="131"/>
      <c r="BY101" s="131"/>
      <c r="BZ101" s="131"/>
      <c r="CA101" s="131"/>
      <c r="CB101" s="131"/>
      <c r="CC101" s="131"/>
      <c r="CD101" s="131"/>
      <c r="CE101" s="131"/>
      <c r="CF101" s="131"/>
      <c r="CG101" s="131"/>
      <c r="CH101" s="131"/>
      <c r="CI101" s="131"/>
      <c r="CJ101" s="131"/>
      <c r="CK101" s="131"/>
      <c r="CL101" s="131"/>
      <c r="CM101" s="131" t="str">
        <f>$K101</f>
        <v>2026 Cadillac OPTIQ RWD</v>
      </c>
      <c r="CN101" s="131"/>
      <c r="CO101" s="131"/>
      <c r="CP101" s="131"/>
      <c r="CQ101" s="131"/>
      <c r="CR101" s="131"/>
      <c r="CS101" s="131"/>
      <c r="CT101" s="131"/>
      <c r="CU101" s="131"/>
      <c r="CV101" s="131"/>
      <c r="CW101" s="131"/>
      <c r="CX101" s="131"/>
      <c r="CY101" s="131"/>
      <c r="CZ101" s="131"/>
      <c r="DA101" s="131"/>
      <c r="DB101" s="131"/>
      <c r="DC101" s="131"/>
      <c r="DD101" s="131" t="str">
        <f>$K101</f>
        <v>2026 Cadillac OPTIQ RWD</v>
      </c>
      <c r="DE101" s="131"/>
      <c r="DF101" s="131"/>
      <c r="DG101" s="131"/>
      <c r="DH101" s="131"/>
      <c r="DI101" s="131"/>
      <c r="DJ101" s="131"/>
      <c r="DK101" s="131"/>
      <c r="DL101" s="131"/>
      <c r="DM101" s="131"/>
      <c r="DN101" s="131"/>
      <c r="DO101" s="131"/>
      <c r="DP101" s="131"/>
      <c r="DQ101" s="131"/>
      <c r="DR101" s="131"/>
      <c r="DS101" s="131"/>
      <c r="DT101" s="131"/>
      <c r="DU101" s="131" t="str">
        <f>$K101</f>
        <v>2026 Cadillac OPTIQ RWD</v>
      </c>
      <c r="DV101" s="131"/>
      <c r="DW101" s="131"/>
      <c r="DX101" s="131"/>
      <c r="DY101" s="131"/>
      <c r="DZ101" s="131"/>
      <c r="EA101" s="124"/>
      <c r="EB101" s="131"/>
      <c r="EC101" s="131"/>
      <c r="ED101" s="131"/>
      <c r="EE101" s="131"/>
      <c r="EF101" s="131"/>
      <c r="EG101" s="124"/>
      <c r="EH101" s="124"/>
      <c r="EI101" s="124"/>
      <c r="EJ101" s="124"/>
      <c r="EK101" s="124"/>
      <c r="EL101" s="124"/>
      <c r="EM101" s="124"/>
      <c r="EN101" s="124"/>
      <c r="EO101" s="124"/>
      <c r="EP101" s="124"/>
      <c r="EQ101" s="124"/>
      <c r="ER101" s="124"/>
      <c r="ES101" s="124"/>
      <c r="ET101" s="124"/>
      <c r="EU101" s="124"/>
      <c r="EV101" s="124"/>
      <c r="EW101" s="124"/>
      <c r="EX101" s="131" t="s">
        <v>1963</v>
      </c>
      <c r="EY101" s="124"/>
      <c r="EZ101" s="124"/>
      <c r="FA101" s="124"/>
      <c r="FB101" s="124"/>
      <c r="FC101" s="124"/>
      <c r="FD101" s="124"/>
      <c r="FE101" s="124"/>
      <c r="FF101" s="124"/>
      <c r="FG101" s="124"/>
      <c r="FH101" s="124"/>
      <c r="FI101" s="124"/>
    </row>
    <row r="102" spans="1:165" s="139" customFormat="1" x14ac:dyDescent="0.35">
      <c r="A102" s="124">
        <v>2026</v>
      </c>
      <c r="B102" s="124" t="s">
        <v>211</v>
      </c>
      <c r="C102" s="124" t="s">
        <v>388</v>
      </c>
      <c r="D102" s="124" t="s">
        <v>1785</v>
      </c>
      <c r="E102" s="124" t="s">
        <v>214</v>
      </c>
      <c r="F102" s="124">
        <v>442</v>
      </c>
      <c r="G102" s="135">
        <v>0</v>
      </c>
      <c r="H102" s="124"/>
      <c r="I102" s="124" t="s">
        <v>1391</v>
      </c>
      <c r="J102" s="124">
        <v>117</v>
      </c>
      <c r="K102" s="124">
        <v>93</v>
      </c>
      <c r="L102" s="124">
        <v>105</v>
      </c>
      <c r="M102" s="124">
        <v>167.69990000000001</v>
      </c>
      <c r="N102" s="124">
        <v>132.99879999999999</v>
      </c>
      <c r="O102" s="124">
        <v>150.07900000000001</v>
      </c>
      <c r="P102" s="124">
        <v>117.39</v>
      </c>
      <c r="Q102" s="124">
        <v>93.099199999999996</v>
      </c>
      <c r="R102" s="124">
        <v>105.05540000000001</v>
      </c>
      <c r="S102" s="124"/>
      <c r="T102" s="124"/>
      <c r="U102" s="124"/>
      <c r="V102" s="124" t="s">
        <v>170</v>
      </c>
      <c r="W102" s="124" t="s">
        <v>171</v>
      </c>
      <c r="X102" s="124" t="s">
        <v>1436</v>
      </c>
      <c r="Y102" s="124">
        <v>1</v>
      </c>
      <c r="Z102" s="124" t="s">
        <v>173</v>
      </c>
      <c r="AA102" s="124" t="s">
        <v>173</v>
      </c>
      <c r="AB102" s="124" t="s">
        <v>174</v>
      </c>
      <c r="AC102" s="124" t="s">
        <v>175</v>
      </c>
      <c r="AD102" s="124"/>
      <c r="AE102" s="124"/>
      <c r="AF102" s="124">
        <v>317</v>
      </c>
      <c r="AG102" s="124" t="s">
        <v>1392</v>
      </c>
      <c r="AH102" s="124" t="s">
        <v>1393</v>
      </c>
      <c r="AI102" s="124" t="s">
        <v>178</v>
      </c>
      <c r="AJ102" s="124" t="s">
        <v>179</v>
      </c>
      <c r="AK102" s="124">
        <v>4</v>
      </c>
      <c r="AL102" s="124" t="s">
        <v>1394</v>
      </c>
      <c r="AM102" s="124"/>
      <c r="AN102" s="124"/>
      <c r="AO102" s="124">
        <v>102</v>
      </c>
      <c r="AP102" s="124">
        <v>26</v>
      </c>
      <c r="AQ102" s="124"/>
      <c r="AR102" s="124"/>
      <c r="AS102" s="124">
        <v>800</v>
      </c>
      <c r="AT102" s="124">
        <v>800</v>
      </c>
      <c r="AU102" s="124"/>
      <c r="AV102" s="124"/>
      <c r="AW102" s="124"/>
      <c r="AX102" s="124"/>
      <c r="AY102" s="124"/>
      <c r="AZ102" s="124"/>
      <c r="BA102" s="124"/>
      <c r="BB102" s="124"/>
      <c r="BC102" s="124"/>
      <c r="BD102" s="124"/>
      <c r="BE102" s="124"/>
      <c r="BF102" s="124"/>
      <c r="BG102" s="124"/>
      <c r="BH102" s="124"/>
      <c r="BI102" s="124"/>
      <c r="BJ102" s="124"/>
      <c r="BK102" s="124"/>
      <c r="BL102" s="124"/>
      <c r="BM102" s="124"/>
      <c r="BN102" s="136"/>
      <c r="BO102" s="124"/>
      <c r="BP102" s="124"/>
      <c r="BQ102" s="124">
        <v>32</v>
      </c>
      <c r="BR102" s="124" t="s">
        <v>1035</v>
      </c>
      <c r="BS102" s="124"/>
      <c r="BT102" s="124" t="s">
        <v>1395</v>
      </c>
      <c r="BU102" s="137">
        <v>45897</v>
      </c>
      <c r="BV102" s="124">
        <v>37517</v>
      </c>
      <c r="BW102" s="124"/>
      <c r="BX102" s="124" t="s">
        <v>173</v>
      </c>
      <c r="BY102" s="124" t="s">
        <v>173</v>
      </c>
      <c r="BZ102" s="124"/>
      <c r="CA102" s="124"/>
      <c r="CB102" s="124" t="s">
        <v>173</v>
      </c>
      <c r="CC102" s="124" t="s">
        <v>173</v>
      </c>
      <c r="CD102" s="124"/>
      <c r="CE102" s="124"/>
      <c r="CF102" s="124"/>
      <c r="CG102" s="124"/>
      <c r="CH102" s="124"/>
      <c r="CI102" s="124"/>
      <c r="CJ102" s="124"/>
      <c r="CK102" s="124" t="s">
        <v>259</v>
      </c>
      <c r="CL102" s="124"/>
      <c r="CM102" s="124">
        <v>2</v>
      </c>
      <c r="CN102" s="124" t="s">
        <v>260</v>
      </c>
      <c r="CO102" s="124"/>
      <c r="CP102" s="124">
        <v>336</v>
      </c>
      <c r="CQ102" s="124">
        <v>290</v>
      </c>
      <c r="CR102" s="124">
        <v>155</v>
      </c>
      <c r="CS102" s="124" t="s">
        <v>1437</v>
      </c>
      <c r="CT102" s="124"/>
      <c r="CU102" s="124"/>
      <c r="CV102" s="124" t="s">
        <v>262</v>
      </c>
      <c r="CW102" s="124"/>
      <c r="CX102" s="124" t="s">
        <v>702</v>
      </c>
      <c r="CY102" s="124" t="s">
        <v>172</v>
      </c>
      <c r="CZ102" s="124"/>
      <c r="DA102" s="124"/>
      <c r="DB102" s="124"/>
      <c r="DC102" s="124"/>
      <c r="DD102" s="124">
        <v>2</v>
      </c>
      <c r="DE102" s="124" t="s">
        <v>307</v>
      </c>
      <c r="DF102" s="124" t="s">
        <v>988</v>
      </c>
      <c r="DG102" s="124" t="s">
        <v>1786</v>
      </c>
      <c r="DH102" s="124"/>
      <c r="DI102" s="124"/>
      <c r="DJ102" s="124"/>
      <c r="DK102" s="124"/>
      <c r="DL102" s="124" t="s">
        <v>173</v>
      </c>
      <c r="DM102" s="124" t="s">
        <v>172</v>
      </c>
      <c r="DN102" s="124"/>
      <c r="DO102" s="124"/>
      <c r="DP102" s="124" t="s">
        <v>173</v>
      </c>
      <c r="DQ102" s="124" t="s">
        <v>189</v>
      </c>
      <c r="DR102" s="124" t="s">
        <v>1785</v>
      </c>
      <c r="DS102" s="124"/>
      <c r="DT102" s="124"/>
      <c r="DU102" s="124"/>
      <c r="DV102" s="124"/>
      <c r="DW102" s="124"/>
      <c r="DX102" s="124"/>
      <c r="DY102" s="124"/>
      <c r="DZ102" s="124"/>
      <c r="EA102" s="124"/>
      <c r="EB102" s="124">
        <v>9</v>
      </c>
      <c r="EC102" s="124">
        <v>10</v>
      </c>
      <c r="ED102" s="124"/>
      <c r="EE102" s="124" t="s">
        <v>1439</v>
      </c>
      <c r="EF102" s="124">
        <v>10</v>
      </c>
      <c r="EG102" s="124"/>
      <c r="EH102" s="124"/>
      <c r="EI102" s="124"/>
      <c r="EJ102" s="124"/>
      <c r="EK102" s="124"/>
      <c r="EL102" s="124"/>
      <c r="EM102" s="124"/>
      <c r="EN102" s="124"/>
      <c r="EO102" s="124"/>
      <c r="EP102" s="124"/>
      <c r="EQ102" s="124"/>
      <c r="ER102" s="124"/>
      <c r="ES102" s="124"/>
      <c r="ET102" s="124"/>
      <c r="EU102" s="124">
        <v>4500</v>
      </c>
      <c r="EV102" s="124"/>
      <c r="EW102" s="124">
        <v>0</v>
      </c>
      <c r="EX102" s="124">
        <v>0</v>
      </c>
      <c r="EY102" s="124">
        <v>0</v>
      </c>
      <c r="EZ102" s="124"/>
      <c r="FA102" s="124">
        <v>9.5</v>
      </c>
      <c r="FB102" s="124"/>
      <c r="FC102" s="124"/>
      <c r="FD102" s="124"/>
      <c r="FE102" s="124"/>
      <c r="FF102" s="124"/>
      <c r="FG102" s="138">
        <v>350</v>
      </c>
      <c r="FH102" s="138">
        <v>277</v>
      </c>
      <c r="FI102" s="138">
        <v>317</v>
      </c>
    </row>
    <row r="103" spans="1:165" s="139" customFormat="1" x14ac:dyDescent="0.35">
      <c r="A103" s="124">
        <v>2026</v>
      </c>
      <c r="B103" s="124" t="s">
        <v>211</v>
      </c>
      <c r="C103" s="124" t="s">
        <v>388</v>
      </c>
      <c r="D103" s="124" t="s">
        <v>1785</v>
      </c>
      <c r="E103" s="124" t="s">
        <v>214</v>
      </c>
      <c r="F103" s="124">
        <v>442</v>
      </c>
      <c r="G103" s="135">
        <v>0</v>
      </c>
      <c r="H103" s="124"/>
      <c r="I103" s="124" t="s">
        <v>1391</v>
      </c>
      <c r="J103" s="124">
        <v>29</v>
      </c>
      <c r="K103" s="124">
        <v>36</v>
      </c>
      <c r="L103" s="124">
        <v>32</v>
      </c>
      <c r="M103" s="124">
        <v>20.1008</v>
      </c>
      <c r="N103" s="124">
        <v>25.346399999999999</v>
      </c>
      <c r="O103" s="124">
        <v>22.461300000000001</v>
      </c>
      <c r="P103" s="124">
        <v>28.712</v>
      </c>
      <c r="Q103" s="124">
        <v>36.203400000000002</v>
      </c>
      <c r="R103" s="124">
        <v>32.083100000000002</v>
      </c>
      <c r="S103" s="124"/>
      <c r="T103" s="124"/>
      <c r="U103" s="124"/>
      <c r="V103" s="124" t="s">
        <v>170</v>
      </c>
      <c r="W103" s="124" t="s">
        <v>171</v>
      </c>
      <c r="X103" s="124" t="s">
        <v>1436</v>
      </c>
      <c r="Y103" s="124">
        <v>1</v>
      </c>
      <c r="Z103" s="124" t="s">
        <v>173</v>
      </c>
      <c r="AA103" s="124" t="s">
        <v>173</v>
      </c>
      <c r="AB103" s="124" t="s">
        <v>174</v>
      </c>
      <c r="AC103" s="124" t="s">
        <v>175</v>
      </c>
      <c r="AD103" s="124"/>
      <c r="AE103" s="124"/>
      <c r="AF103" s="124">
        <v>317</v>
      </c>
      <c r="AG103" s="124" t="s">
        <v>1392</v>
      </c>
      <c r="AH103" s="124" t="s">
        <v>1393</v>
      </c>
      <c r="AI103" s="124" t="s">
        <v>1399</v>
      </c>
      <c r="AJ103" s="124" t="s">
        <v>1400</v>
      </c>
      <c r="AK103" s="124">
        <v>4</v>
      </c>
      <c r="AL103" s="124" t="s">
        <v>1394</v>
      </c>
      <c r="AM103" s="124"/>
      <c r="AN103" s="124"/>
      <c r="AO103" s="124">
        <v>102</v>
      </c>
      <c r="AP103" s="124">
        <v>26</v>
      </c>
      <c r="AQ103" s="124"/>
      <c r="AR103" s="124"/>
      <c r="AS103" s="124">
        <v>800</v>
      </c>
      <c r="AT103" s="124">
        <v>800</v>
      </c>
      <c r="AU103" s="124"/>
      <c r="AV103" s="124"/>
      <c r="AW103" s="124"/>
      <c r="AX103" s="124"/>
      <c r="AY103" s="124"/>
      <c r="AZ103" s="124"/>
      <c r="BA103" s="124"/>
      <c r="BB103" s="124"/>
      <c r="BC103" s="124"/>
      <c r="BD103" s="124"/>
      <c r="BE103" s="124"/>
      <c r="BF103" s="124"/>
      <c r="BG103" s="124"/>
      <c r="BH103" s="124"/>
      <c r="BI103" s="124"/>
      <c r="BJ103" s="124"/>
      <c r="BK103" s="124"/>
      <c r="BL103" s="124"/>
      <c r="BM103" s="124"/>
      <c r="BN103" s="136"/>
      <c r="BO103" s="124"/>
      <c r="BP103" s="124"/>
      <c r="BQ103" s="124">
        <v>32</v>
      </c>
      <c r="BR103" s="124" t="s">
        <v>1035</v>
      </c>
      <c r="BS103" s="124"/>
      <c r="BT103" s="124" t="s">
        <v>1395</v>
      </c>
      <c r="BU103" s="137">
        <v>45897</v>
      </c>
      <c r="BV103" s="124">
        <v>37517</v>
      </c>
      <c r="BW103" s="124"/>
      <c r="BX103" s="124" t="s">
        <v>173</v>
      </c>
      <c r="BY103" s="124" t="s">
        <v>173</v>
      </c>
      <c r="BZ103" s="124"/>
      <c r="CA103" s="124"/>
      <c r="CB103" s="124" t="s">
        <v>173</v>
      </c>
      <c r="CC103" s="124" t="s">
        <v>173</v>
      </c>
      <c r="CD103" s="124"/>
      <c r="CE103" s="124"/>
      <c r="CF103" s="124"/>
      <c r="CG103" s="124"/>
      <c r="CH103" s="124"/>
      <c r="CI103" s="124"/>
      <c r="CJ103" s="124"/>
      <c r="CK103" s="124" t="s">
        <v>259</v>
      </c>
      <c r="CL103" s="124"/>
      <c r="CM103" s="124">
        <v>2</v>
      </c>
      <c r="CN103" s="124" t="s">
        <v>260</v>
      </c>
      <c r="CO103" s="124"/>
      <c r="CP103" s="124">
        <v>336</v>
      </c>
      <c r="CQ103" s="124">
        <v>290</v>
      </c>
      <c r="CR103" s="124">
        <v>155</v>
      </c>
      <c r="CS103" s="124" t="s">
        <v>1437</v>
      </c>
      <c r="CT103" s="124"/>
      <c r="CU103" s="124"/>
      <c r="CV103" s="124" t="s">
        <v>262</v>
      </c>
      <c r="CW103" s="124"/>
      <c r="CX103" s="124" t="s">
        <v>702</v>
      </c>
      <c r="CY103" s="124" t="s">
        <v>172</v>
      </c>
      <c r="CZ103" s="124"/>
      <c r="DA103" s="124"/>
      <c r="DB103" s="124"/>
      <c r="DC103" s="124"/>
      <c r="DD103" s="124">
        <v>2</v>
      </c>
      <c r="DE103" s="124" t="s">
        <v>307</v>
      </c>
      <c r="DF103" s="124" t="s">
        <v>988</v>
      </c>
      <c r="DG103" s="124" t="s">
        <v>1786</v>
      </c>
      <c r="DH103" s="124"/>
      <c r="DI103" s="124"/>
      <c r="DJ103" s="124"/>
      <c r="DK103" s="124"/>
      <c r="DL103" s="124" t="s">
        <v>173</v>
      </c>
      <c r="DM103" s="124" t="s">
        <v>172</v>
      </c>
      <c r="DN103" s="124"/>
      <c r="DO103" s="124"/>
      <c r="DP103" s="124" t="s">
        <v>173</v>
      </c>
      <c r="DQ103" s="124" t="s">
        <v>189</v>
      </c>
      <c r="DR103" s="124" t="s">
        <v>1785</v>
      </c>
      <c r="DS103" s="124"/>
      <c r="DT103" s="124"/>
      <c r="DU103" s="124"/>
      <c r="DV103" s="124"/>
      <c r="DW103" s="124"/>
      <c r="DX103" s="124"/>
      <c r="DY103" s="124"/>
      <c r="DZ103" s="124"/>
      <c r="EA103" s="124"/>
      <c r="EB103" s="124">
        <v>9</v>
      </c>
      <c r="EC103" s="124">
        <v>10</v>
      </c>
      <c r="ED103" s="124"/>
      <c r="EE103" s="124" t="s">
        <v>1439</v>
      </c>
      <c r="EF103" s="124">
        <v>10</v>
      </c>
      <c r="EG103" s="124"/>
      <c r="EH103" s="124"/>
      <c r="EI103" s="124"/>
      <c r="EJ103" s="124"/>
      <c r="EK103" s="124"/>
      <c r="EL103" s="124"/>
      <c r="EM103" s="124"/>
      <c r="EN103" s="124"/>
      <c r="EO103" s="124"/>
      <c r="EP103" s="124"/>
      <c r="EQ103" s="124"/>
      <c r="ER103" s="124"/>
      <c r="ES103" s="124"/>
      <c r="ET103" s="124"/>
      <c r="EU103" s="124">
        <v>4500</v>
      </c>
      <c r="EV103" s="124"/>
      <c r="EW103" s="124">
        <v>0</v>
      </c>
      <c r="EX103" s="124">
        <v>0</v>
      </c>
      <c r="EY103" s="124">
        <v>0</v>
      </c>
      <c r="EZ103" s="124"/>
      <c r="FA103" s="124">
        <v>9.5</v>
      </c>
      <c r="FB103" s="124"/>
      <c r="FC103" s="124"/>
      <c r="FD103" s="124"/>
      <c r="FE103" s="124"/>
      <c r="FF103" s="124"/>
      <c r="FG103" s="138">
        <v>350</v>
      </c>
      <c r="FH103" s="138">
        <v>277</v>
      </c>
      <c r="FI103" s="138">
        <v>317</v>
      </c>
    </row>
    <row r="104" spans="1:165" s="139" customFormat="1" x14ac:dyDescent="0.35">
      <c r="A104" s="131"/>
      <c r="B104" s="131"/>
      <c r="C104" s="131"/>
      <c r="D104" s="131"/>
      <c r="E104" s="131"/>
      <c r="F104" s="132"/>
      <c r="G104" s="131"/>
      <c r="H104" s="131"/>
      <c r="I104" s="131"/>
      <c r="J104" s="131"/>
      <c r="K104" s="131" t="str">
        <f>_xlfn.CONCAT(A105," ",C105," ",D105)</f>
        <v>2026 Cadillac OPTIQ RWD</v>
      </c>
      <c r="L104" s="131"/>
      <c r="M104" s="131"/>
      <c r="N104" s="131"/>
      <c r="O104" s="131"/>
      <c r="P104" s="131"/>
      <c r="Q104" s="131"/>
      <c r="R104" s="131"/>
      <c r="S104" s="131"/>
      <c r="T104" s="131"/>
      <c r="U104" s="131"/>
      <c r="V104" s="131"/>
      <c r="W104" s="131"/>
      <c r="X104" s="131"/>
      <c r="Y104" s="131"/>
      <c r="Z104" s="131"/>
      <c r="AA104" s="131"/>
      <c r="AB104" s="131" t="str">
        <f>$K104</f>
        <v>2026 Cadillac OPTIQ RWD</v>
      </c>
      <c r="AC104" s="131"/>
      <c r="AD104" s="131"/>
      <c r="AE104" s="131"/>
      <c r="AF104" s="131"/>
      <c r="AG104" s="131"/>
      <c r="AH104" s="131"/>
      <c r="AI104" s="131"/>
      <c r="AJ104" s="131"/>
      <c r="AK104" s="131"/>
      <c r="AL104" s="131"/>
      <c r="AM104" s="131"/>
      <c r="AN104" s="131"/>
      <c r="AO104" s="131"/>
      <c r="AP104" s="131"/>
      <c r="AQ104" s="131"/>
      <c r="AR104" s="131" t="str">
        <f>$K104</f>
        <v>2026 Cadillac OPTIQ RWD</v>
      </c>
      <c r="AS104" s="131"/>
      <c r="AT104" s="131"/>
      <c r="AU104" s="131"/>
      <c r="AV104" s="131"/>
      <c r="AW104" s="131"/>
      <c r="AX104" s="131"/>
      <c r="AY104" s="131"/>
      <c r="AZ104" s="131"/>
      <c r="BA104" s="131"/>
      <c r="BB104" s="131"/>
      <c r="BC104" s="131"/>
      <c r="BD104" s="131"/>
      <c r="BE104" s="131"/>
      <c r="BF104" s="131"/>
      <c r="BG104" s="131" t="str">
        <f>$K104</f>
        <v>2026 Cadillac OPTIQ RWD</v>
      </c>
      <c r="BH104" s="131"/>
      <c r="BI104" s="131"/>
      <c r="BJ104" s="131"/>
      <c r="BK104" s="131"/>
      <c r="BL104" s="131"/>
      <c r="BM104" s="133"/>
      <c r="BN104" s="131"/>
      <c r="BO104" s="131"/>
      <c r="BP104" s="131"/>
      <c r="BQ104" s="131"/>
      <c r="BR104" s="131"/>
      <c r="BS104" s="131"/>
      <c r="BT104" s="134"/>
      <c r="BU104" s="131"/>
      <c r="BV104" s="131"/>
      <c r="BW104" s="124"/>
      <c r="BX104" s="131"/>
      <c r="BY104" s="131"/>
      <c r="BZ104" s="131"/>
      <c r="CA104" s="131"/>
      <c r="CB104" s="131"/>
      <c r="CC104" s="131"/>
      <c r="CD104" s="131"/>
      <c r="CE104" s="131"/>
      <c r="CF104" s="131"/>
      <c r="CG104" s="131"/>
      <c r="CH104" s="131"/>
      <c r="CI104" s="131"/>
      <c r="CJ104" s="131"/>
      <c r="CK104" s="131"/>
      <c r="CL104" s="131"/>
      <c r="CM104" s="131" t="str">
        <f>$K104</f>
        <v>2026 Cadillac OPTIQ RWD</v>
      </c>
      <c r="CN104" s="131"/>
      <c r="CO104" s="131"/>
      <c r="CP104" s="131"/>
      <c r="CQ104" s="131"/>
      <c r="CR104" s="131"/>
      <c r="CS104" s="131"/>
      <c r="CT104" s="131"/>
      <c r="CU104" s="131"/>
      <c r="CV104" s="131"/>
      <c r="CW104" s="131"/>
      <c r="CX104" s="131"/>
      <c r="CY104" s="131"/>
      <c r="CZ104" s="131"/>
      <c r="DA104" s="131"/>
      <c r="DB104" s="131"/>
      <c r="DC104" s="131"/>
      <c r="DD104" s="131" t="str">
        <f>$K104</f>
        <v>2026 Cadillac OPTIQ RWD</v>
      </c>
      <c r="DE104" s="131"/>
      <c r="DF104" s="131"/>
      <c r="DG104" s="131"/>
      <c r="DH104" s="131"/>
      <c r="DI104" s="131"/>
      <c r="DJ104" s="131"/>
      <c r="DK104" s="131"/>
      <c r="DL104" s="131"/>
      <c r="DM104" s="131"/>
      <c r="DN104" s="131"/>
      <c r="DO104" s="131"/>
      <c r="DP104" s="131"/>
      <c r="DQ104" s="131"/>
      <c r="DR104" s="131"/>
      <c r="DS104" s="131"/>
      <c r="DT104" s="131"/>
      <c r="DU104" s="131" t="str">
        <f>$K104</f>
        <v>2026 Cadillac OPTIQ RWD</v>
      </c>
      <c r="DV104" s="131"/>
      <c r="DW104" s="131"/>
      <c r="DX104" s="131"/>
      <c r="DY104" s="131"/>
      <c r="DZ104" s="131"/>
      <c r="EA104" s="124"/>
      <c r="EB104" s="131"/>
      <c r="EC104" s="131"/>
      <c r="ED104" s="131"/>
      <c r="EE104" s="131"/>
      <c r="EF104" s="131"/>
      <c r="EG104" s="124"/>
      <c r="EH104" s="124"/>
      <c r="EI104" s="124"/>
      <c r="EJ104" s="124"/>
      <c r="EK104" s="124"/>
      <c r="EL104" s="124"/>
      <c r="EM104" s="124"/>
      <c r="EN104" s="124"/>
      <c r="EO104" s="124"/>
      <c r="EP104" s="124"/>
      <c r="EQ104" s="124"/>
      <c r="ER104" s="124"/>
      <c r="ES104" s="124"/>
      <c r="ET104" s="124"/>
      <c r="EU104" s="124"/>
      <c r="EV104" s="124"/>
      <c r="EW104" s="124"/>
      <c r="EX104" s="131" t="s">
        <v>1963</v>
      </c>
      <c r="EY104" s="124"/>
      <c r="EZ104" s="124"/>
      <c r="FA104" s="124"/>
      <c r="FB104" s="124"/>
      <c r="FC104" s="124"/>
      <c r="FD104" s="124"/>
      <c r="FE104" s="124"/>
      <c r="FF104" s="124"/>
      <c r="FG104" s="124"/>
      <c r="FH104" s="124"/>
      <c r="FI104" s="124"/>
    </row>
    <row r="105" spans="1:165" s="139" customFormat="1" x14ac:dyDescent="0.35">
      <c r="A105" s="124">
        <v>2026</v>
      </c>
      <c r="B105" s="124" t="s">
        <v>211</v>
      </c>
      <c r="C105" s="124" t="s">
        <v>388</v>
      </c>
      <c r="D105" s="124" t="s">
        <v>1785</v>
      </c>
      <c r="E105" s="124" t="s">
        <v>214</v>
      </c>
      <c r="F105" s="124">
        <v>443</v>
      </c>
      <c r="G105" s="135">
        <v>0</v>
      </c>
      <c r="H105" s="124"/>
      <c r="I105" s="124" t="s">
        <v>1391</v>
      </c>
      <c r="J105" s="124">
        <v>117</v>
      </c>
      <c r="K105" s="124">
        <v>93</v>
      </c>
      <c r="L105" s="124">
        <v>105</v>
      </c>
      <c r="M105" s="124">
        <v>167.69990000000001</v>
      </c>
      <c r="N105" s="124">
        <v>132.99879999999999</v>
      </c>
      <c r="O105" s="124">
        <v>150.07900000000001</v>
      </c>
      <c r="P105" s="124">
        <v>117.39</v>
      </c>
      <c r="Q105" s="124">
        <v>93.099199999999996</v>
      </c>
      <c r="R105" s="124">
        <v>105.05540000000001</v>
      </c>
      <c r="S105" s="124"/>
      <c r="T105" s="124"/>
      <c r="U105" s="124"/>
      <c r="V105" s="124" t="s">
        <v>170</v>
      </c>
      <c r="W105" s="124" t="s">
        <v>171</v>
      </c>
      <c r="X105" s="124" t="s">
        <v>1436</v>
      </c>
      <c r="Y105" s="124">
        <v>1</v>
      </c>
      <c r="Z105" s="124" t="s">
        <v>173</v>
      </c>
      <c r="AA105" s="124" t="s">
        <v>173</v>
      </c>
      <c r="AB105" s="124" t="s">
        <v>174</v>
      </c>
      <c r="AC105" s="124" t="s">
        <v>175</v>
      </c>
      <c r="AD105" s="124"/>
      <c r="AE105" s="124"/>
      <c r="AF105" s="124">
        <v>317</v>
      </c>
      <c r="AG105" s="124" t="s">
        <v>1392</v>
      </c>
      <c r="AH105" s="124" t="s">
        <v>1393</v>
      </c>
      <c r="AI105" s="124" t="s">
        <v>178</v>
      </c>
      <c r="AJ105" s="124" t="s">
        <v>179</v>
      </c>
      <c r="AK105" s="124">
        <v>4</v>
      </c>
      <c r="AL105" s="124" t="s">
        <v>1394</v>
      </c>
      <c r="AM105" s="124"/>
      <c r="AN105" s="124"/>
      <c r="AO105" s="124">
        <v>102</v>
      </c>
      <c r="AP105" s="124">
        <v>26</v>
      </c>
      <c r="AQ105" s="124"/>
      <c r="AR105" s="124"/>
      <c r="AS105" s="124">
        <v>800</v>
      </c>
      <c r="AT105" s="124">
        <v>800</v>
      </c>
      <c r="AU105" s="124"/>
      <c r="AV105" s="124"/>
      <c r="AW105" s="124"/>
      <c r="AX105" s="124"/>
      <c r="AY105" s="124"/>
      <c r="AZ105" s="124"/>
      <c r="BA105" s="124"/>
      <c r="BB105" s="124"/>
      <c r="BC105" s="124"/>
      <c r="BD105" s="124"/>
      <c r="BE105" s="124"/>
      <c r="BF105" s="124"/>
      <c r="BG105" s="124"/>
      <c r="BH105" s="124"/>
      <c r="BI105" s="124"/>
      <c r="BJ105" s="124"/>
      <c r="BK105" s="124"/>
      <c r="BL105" s="124"/>
      <c r="BM105" s="124"/>
      <c r="BN105" s="136"/>
      <c r="BO105" s="124"/>
      <c r="BP105" s="124"/>
      <c r="BQ105" s="124">
        <v>32</v>
      </c>
      <c r="BR105" s="124" t="s">
        <v>1035</v>
      </c>
      <c r="BS105" s="124"/>
      <c r="BT105" s="124" t="s">
        <v>1395</v>
      </c>
      <c r="BU105" s="137">
        <v>45897</v>
      </c>
      <c r="BV105" s="124">
        <v>37513</v>
      </c>
      <c r="BW105" s="124"/>
      <c r="BX105" s="124" t="s">
        <v>173</v>
      </c>
      <c r="BY105" s="124" t="s">
        <v>173</v>
      </c>
      <c r="BZ105" s="124"/>
      <c r="CA105" s="124"/>
      <c r="CB105" s="124" t="s">
        <v>173</v>
      </c>
      <c r="CC105" s="124" t="s">
        <v>173</v>
      </c>
      <c r="CD105" s="124"/>
      <c r="CE105" s="124"/>
      <c r="CF105" s="124"/>
      <c r="CG105" s="124"/>
      <c r="CH105" s="124"/>
      <c r="CI105" s="124"/>
      <c r="CJ105" s="124"/>
      <c r="CK105" s="124" t="s">
        <v>259</v>
      </c>
      <c r="CL105" s="124"/>
      <c r="CM105" s="124">
        <v>2</v>
      </c>
      <c r="CN105" s="124" t="s">
        <v>260</v>
      </c>
      <c r="CO105" s="124"/>
      <c r="CP105" s="124">
        <v>336</v>
      </c>
      <c r="CQ105" s="124">
        <v>290</v>
      </c>
      <c r="CR105" s="124">
        <v>155</v>
      </c>
      <c r="CS105" s="124" t="s">
        <v>1437</v>
      </c>
      <c r="CT105" s="124"/>
      <c r="CU105" s="124"/>
      <c r="CV105" s="124" t="s">
        <v>262</v>
      </c>
      <c r="CW105" s="124"/>
      <c r="CX105" s="124" t="s">
        <v>702</v>
      </c>
      <c r="CY105" s="124" t="s">
        <v>172</v>
      </c>
      <c r="CZ105" s="124"/>
      <c r="DA105" s="124"/>
      <c r="DB105" s="124"/>
      <c r="DC105" s="124"/>
      <c r="DD105" s="124">
        <v>2</v>
      </c>
      <c r="DE105" s="124" t="s">
        <v>307</v>
      </c>
      <c r="DF105" s="124" t="s">
        <v>988</v>
      </c>
      <c r="DG105" s="124" t="s">
        <v>1786</v>
      </c>
      <c r="DH105" s="124"/>
      <c r="DI105" s="124"/>
      <c r="DJ105" s="124"/>
      <c r="DK105" s="124"/>
      <c r="DL105" s="124" t="s">
        <v>173</v>
      </c>
      <c r="DM105" s="124" t="s">
        <v>172</v>
      </c>
      <c r="DN105" s="124"/>
      <c r="DO105" s="124"/>
      <c r="DP105" s="124" t="s">
        <v>173</v>
      </c>
      <c r="DQ105" s="124" t="s">
        <v>189</v>
      </c>
      <c r="DR105" s="124" t="s">
        <v>1785</v>
      </c>
      <c r="DS105" s="124"/>
      <c r="DT105" s="124"/>
      <c r="DU105" s="124"/>
      <c r="DV105" s="124"/>
      <c r="DW105" s="124"/>
      <c r="DX105" s="124"/>
      <c r="DY105" s="124"/>
      <c r="DZ105" s="124"/>
      <c r="EA105" s="124"/>
      <c r="EB105" s="124">
        <v>9</v>
      </c>
      <c r="EC105" s="124">
        <v>10</v>
      </c>
      <c r="ED105" s="124"/>
      <c r="EE105" s="124" t="s">
        <v>1439</v>
      </c>
      <c r="EF105" s="124">
        <v>10</v>
      </c>
      <c r="EG105" s="124"/>
      <c r="EH105" s="124"/>
      <c r="EI105" s="124"/>
      <c r="EJ105" s="124"/>
      <c r="EK105" s="124"/>
      <c r="EL105" s="124"/>
      <c r="EM105" s="124"/>
      <c r="EN105" s="124"/>
      <c r="EO105" s="124"/>
      <c r="EP105" s="124"/>
      <c r="EQ105" s="124"/>
      <c r="ER105" s="124"/>
      <c r="ES105" s="124"/>
      <c r="ET105" s="124"/>
      <c r="EU105" s="124">
        <v>4500</v>
      </c>
      <c r="EV105" s="124"/>
      <c r="EW105" s="124">
        <v>0</v>
      </c>
      <c r="EX105" s="124">
        <v>0</v>
      </c>
      <c r="EY105" s="124">
        <v>0</v>
      </c>
      <c r="EZ105" s="124"/>
      <c r="FA105" s="124">
        <v>5.9</v>
      </c>
      <c r="FB105" s="124"/>
      <c r="FC105" s="124"/>
      <c r="FD105" s="124"/>
      <c r="FE105" s="124"/>
      <c r="FF105" s="124"/>
      <c r="FG105" s="138">
        <v>350</v>
      </c>
      <c r="FH105" s="138">
        <v>277</v>
      </c>
      <c r="FI105" s="138">
        <v>317</v>
      </c>
    </row>
    <row r="106" spans="1:165" s="139" customFormat="1" x14ac:dyDescent="0.35">
      <c r="A106" s="124">
        <v>2026</v>
      </c>
      <c r="B106" s="124" t="s">
        <v>211</v>
      </c>
      <c r="C106" s="124" t="s">
        <v>388</v>
      </c>
      <c r="D106" s="124" t="s">
        <v>1785</v>
      </c>
      <c r="E106" s="124" t="s">
        <v>214</v>
      </c>
      <c r="F106" s="124">
        <v>443</v>
      </c>
      <c r="G106" s="135">
        <v>0</v>
      </c>
      <c r="H106" s="124"/>
      <c r="I106" s="124" t="s">
        <v>1391</v>
      </c>
      <c r="J106" s="124">
        <v>29</v>
      </c>
      <c r="K106" s="124">
        <v>36</v>
      </c>
      <c r="L106" s="124">
        <v>32</v>
      </c>
      <c r="M106" s="124">
        <v>20.1008</v>
      </c>
      <c r="N106" s="124">
        <v>25.346399999999999</v>
      </c>
      <c r="O106" s="124">
        <v>22.461300000000001</v>
      </c>
      <c r="P106" s="124">
        <v>28.712</v>
      </c>
      <c r="Q106" s="124">
        <v>36.203400000000002</v>
      </c>
      <c r="R106" s="124">
        <v>32.083100000000002</v>
      </c>
      <c r="S106" s="124"/>
      <c r="T106" s="124"/>
      <c r="U106" s="124"/>
      <c r="V106" s="124" t="s">
        <v>170</v>
      </c>
      <c r="W106" s="124" t="s">
        <v>171</v>
      </c>
      <c r="X106" s="124" t="s">
        <v>1436</v>
      </c>
      <c r="Y106" s="124">
        <v>1</v>
      </c>
      <c r="Z106" s="124" t="s">
        <v>173</v>
      </c>
      <c r="AA106" s="124" t="s">
        <v>173</v>
      </c>
      <c r="AB106" s="124" t="s">
        <v>174</v>
      </c>
      <c r="AC106" s="124" t="s">
        <v>175</v>
      </c>
      <c r="AD106" s="124"/>
      <c r="AE106" s="124"/>
      <c r="AF106" s="124">
        <v>317</v>
      </c>
      <c r="AG106" s="124" t="s">
        <v>1392</v>
      </c>
      <c r="AH106" s="124" t="s">
        <v>1393</v>
      </c>
      <c r="AI106" s="124" t="s">
        <v>1399</v>
      </c>
      <c r="AJ106" s="124" t="s">
        <v>1400</v>
      </c>
      <c r="AK106" s="124">
        <v>4</v>
      </c>
      <c r="AL106" s="124" t="s">
        <v>1394</v>
      </c>
      <c r="AM106" s="124"/>
      <c r="AN106" s="124"/>
      <c r="AO106" s="124">
        <v>102</v>
      </c>
      <c r="AP106" s="124">
        <v>26</v>
      </c>
      <c r="AQ106" s="124"/>
      <c r="AR106" s="124"/>
      <c r="AS106" s="124">
        <v>800</v>
      </c>
      <c r="AT106" s="124">
        <v>800</v>
      </c>
      <c r="AU106" s="124"/>
      <c r="AV106" s="124"/>
      <c r="AW106" s="124"/>
      <c r="AX106" s="124"/>
      <c r="AY106" s="124"/>
      <c r="AZ106" s="124"/>
      <c r="BA106" s="124"/>
      <c r="BB106" s="124"/>
      <c r="BC106" s="124"/>
      <c r="BD106" s="124"/>
      <c r="BE106" s="124"/>
      <c r="BF106" s="124"/>
      <c r="BG106" s="124"/>
      <c r="BH106" s="124"/>
      <c r="BI106" s="124"/>
      <c r="BJ106" s="124"/>
      <c r="BK106" s="124"/>
      <c r="BL106" s="124"/>
      <c r="BM106" s="124"/>
      <c r="BN106" s="136"/>
      <c r="BO106" s="124"/>
      <c r="BP106" s="124"/>
      <c r="BQ106" s="124">
        <v>32</v>
      </c>
      <c r="BR106" s="124" t="s">
        <v>1035</v>
      </c>
      <c r="BS106" s="124"/>
      <c r="BT106" s="124" t="s">
        <v>1395</v>
      </c>
      <c r="BU106" s="137">
        <v>45897</v>
      </c>
      <c r="BV106" s="124">
        <v>37513</v>
      </c>
      <c r="BW106" s="124"/>
      <c r="BX106" s="124" t="s">
        <v>173</v>
      </c>
      <c r="BY106" s="124" t="s">
        <v>173</v>
      </c>
      <c r="BZ106" s="124"/>
      <c r="CA106" s="124"/>
      <c r="CB106" s="124" t="s">
        <v>173</v>
      </c>
      <c r="CC106" s="124" t="s">
        <v>173</v>
      </c>
      <c r="CD106" s="124"/>
      <c r="CE106" s="124"/>
      <c r="CF106" s="124"/>
      <c r="CG106" s="124"/>
      <c r="CH106" s="124"/>
      <c r="CI106" s="124"/>
      <c r="CJ106" s="124"/>
      <c r="CK106" s="124" t="s">
        <v>259</v>
      </c>
      <c r="CL106" s="124"/>
      <c r="CM106" s="124">
        <v>2</v>
      </c>
      <c r="CN106" s="124" t="s">
        <v>260</v>
      </c>
      <c r="CO106" s="124"/>
      <c r="CP106" s="124">
        <v>336</v>
      </c>
      <c r="CQ106" s="124">
        <v>290</v>
      </c>
      <c r="CR106" s="124">
        <v>155</v>
      </c>
      <c r="CS106" s="124" t="s">
        <v>1437</v>
      </c>
      <c r="CT106" s="124"/>
      <c r="CU106" s="124"/>
      <c r="CV106" s="124" t="s">
        <v>262</v>
      </c>
      <c r="CW106" s="124"/>
      <c r="CX106" s="124" t="s">
        <v>702</v>
      </c>
      <c r="CY106" s="124" t="s">
        <v>172</v>
      </c>
      <c r="CZ106" s="124"/>
      <c r="DA106" s="124"/>
      <c r="DB106" s="124"/>
      <c r="DC106" s="124"/>
      <c r="DD106" s="124">
        <v>2</v>
      </c>
      <c r="DE106" s="124" t="s">
        <v>307</v>
      </c>
      <c r="DF106" s="124" t="s">
        <v>988</v>
      </c>
      <c r="DG106" s="124" t="s">
        <v>1786</v>
      </c>
      <c r="DH106" s="124"/>
      <c r="DI106" s="124"/>
      <c r="DJ106" s="124"/>
      <c r="DK106" s="124"/>
      <c r="DL106" s="124" t="s">
        <v>173</v>
      </c>
      <c r="DM106" s="124" t="s">
        <v>172</v>
      </c>
      <c r="DN106" s="124"/>
      <c r="DO106" s="124"/>
      <c r="DP106" s="124" t="s">
        <v>173</v>
      </c>
      <c r="DQ106" s="124" t="s">
        <v>189</v>
      </c>
      <c r="DR106" s="124" t="s">
        <v>1785</v>
      </c>
      <c r="DS106" s="124"/>
      <c r="DT106" s="124"/>
      <c r="DU106" s="124"/>
      <c r="DV106" s="124"/>
      <c r="DW106" s="124"/>
      <c r="DX106" s="124"/>
      <c r="DY106" s="124"/>
      <c r="DZ106" s="124"/>
      <c r="EA106" s="124"/>
      <c r="EB106" s="124">
        <v>9</v>
      </c>
      <c r="EC106" s="124">
        <v>10</v>
      </c>
      <c r="ED106" s="124"/>
      <c r="EE106" s="124" t="s">
        <v>1439</v>
      </c>
      <c r="EF106" s="124">
        <v>10</v>
      </c>
      <c r="EG106" s="124"/>
      <c r="EH106" s="124"/>
      <c r="EI106" s="124"/>
      <c r="EJ106" s="124"/>
      <c r="EK106" s="124"/>
      <c r="EL106" s="124"/>
      <c r="EM106" s="124"/>
      <c r="EN106" s="124"/>
      <c r="EO106" s="124"/>
      <c r="EP106" s="124"/>
      <c r="EQ106" s="124"/>
      <c r="ER106" s="124"/>
      <c r="ES106" s="124"/>
      <c r="ET106" s="124"/>
      <c r="EU106" s="124">
        <v>4500</v>
      </c>
      <c r="EV106" s="124"/>
      <c r="EW106" s="124">
        <v>0</v>
      </c>
      <c r="EX106" s="124">
        <v>0</v>
      </c>
      <c r="EY106" s="124">
        <v>0</v>
      </c>
      <c r="EZ106" s="124"/>
      <c r="FA106" s="124">
        <v>5.9</v>
      </c>
      <c r="FB106" s="124"/>
      <c r="FC106" s="124"/>
      <c r="FD106" s="124"/>
      <c r="FE106" s="124"/>
      <c r="FF106" s="124"/>
      <c r="FG106" s="138">
        <v>350</v>
      </c>
      <c r="FH106" s="138">
        <v>277</v>
      </c>
      <c r="FI106" s="138">
        <v>317</v>
      </c>
    </row>
    <row r="107" spans="1:165" s="66" customFormat="1" x14ac:dyDescent="0.35">
      <c r="A107" s="19"/>
      <c r="B107" s="19"/>
      <c r="C107" s="19"/>
      <c r="D107" s="19"/>
      <c r="E107" s="19"/>
      <c r="F107" s="128"/>
      <c r="G107" s="19"/>
      <c r="H107" s="19"/>
      <c r="I107" s="19"/>
      <c r="J107" s="19"/>
      <c r="K107" s="19" t="str">
        <f>_xlfn.CONCAT(A108," ",C108," ",D108)</f>
        <v>2026 Cadillac OPTIQ AWD</v>
      </c>
      <c r="L107" s="19"/>
      <c r="M107" s="19"/>
      <c r="N107" s="19"/>
      <c r="O107" s="19"/>
      <c r="P107" s="19"/>
      <c r="Q107" s="19"/>
      <c r="R107" s="19"/>
      <c r="S107" s="19"/>
      <c r="T107" s="19"/>
      <c r="U107" s="19"/>
      <c r="V107" s="19"/>
      <c r="W107" s="19"/>
      <c r="X107" s="19"/>
      <c r="Y107" s="19"/>
      <c r="Z107" s="19"/>
      <c r="AA107" s="19"/>
      <c r="AB107" s="19" t="str">
        <f>$K107</f>
        <v>2026 Cadillac OPTIQ AWD</v>
      </c>
      <c r="AC107" s="19"/>
      <c r="AD107" s="19"/>
      <c r="AE107" s="19"/>
      <c r="AF107" s="19"/>
      <c r="AG107" s="19"/>
      <c r="AH107" s="19"/>
      <c r="AI107" s="19"/>
      <c r="AJ107" s="19"/>
      <c r="AK107" s="19"/>
      <c r="AL107" s="19"/>
      <c r="AM107" s="19"/>
      <c r="AN107" s="19"/>
      <c r="AO107" s="19"/>
      <c r="AP107" s="19"/>
      <c r="AQ107" s="19"/>
      <c r="AR107" s="19" t="str">
        <f>$K107</f>
        <v>2026 Cadillac OPTIQ AWD</v>
      </c>
      <c r="AS107" s="19"/>
      <c r="AT107" s="19"/>
      <c r="AU107" s="19"/>
      <c r="AV107" s="19"/>
      <c r="AW107" s="19"/>
      <c r="AX107" s="19"/>
      <c r="AY107" s="19"/>
      <c r="AZ107" s="19"/>
      <c r="BA107" s="19"/>
      <c r="BB107" s="19"/>
      <c r="BC107" s="19"/>
      <c r="BD107" s="19"/>
      <c r="BE107" s="19"/>
      <c r="BF107" s="19"/>
      <c r="BG107" s="19" t="str">
        <f>$K107</f>
        <v>2026 Cadillac OPTIQ AWD</v>
      </c>
      <c r="BH107" s="19"/>
      <c r="BI107" s="19"/>
      <c r="BJ107" s="19"/>
      <c r="BK107" s="19"/>
      <c r="BL107" s="19"/>
      <c r="BM107" s="129"/>
      <c r="BN107" s="19"/>
      <c r="BO107" s="19"/>
      <c r="BP107" s="19"/>
      <c r="BQ107" s="19"/>
      <c r="BR107" s="19"/>
      <c r="BS107" s="19"/>
      <c r="BT107" s="130"/>
      <c r="BU107" s="19"/>
      <c r="BV107" s="19"/>
      <c r="BW107" s="116"/>
      <c r="BX107" s="19"/>
      <c r="BY107" s="19"/>
      <c r="BZ107" s="19"/>
      <c r="CA107" s="19"/>
      <c r="CB107" s="19"/>
      <c r="CC107" s="19"/>
      <c r="CD107" s="19"/>
      <c r="CE107" s="19"/>
      <c r="CF107" s="19"/>
      <c r="CG107" s="19"/>
      <c r="CH107" s="19"/>
      <c r="CI107" s="19"/>
      <c r="CJ107" s="19"/>
      <c r="CK107" s="19"/>
      <c r="CL107" s="19"/>
      <c r="CM107" s="19" t="str">
        <f>$K107</f>
        <v>2026 Cadillac OPTIQ AWD</v>
      </c>
      <c r="CN107" s="19"/>
      <c r="CO107" s="19"/>
      <c r="CP107" s="19"/>
      <c r="CQ107" s="19"/>
      <c r="CR107" s="19"/>
      <c r="CS107" s="19"/>
      <c r="CT107" s="19"/>
      <c r="CU107" s="19"/>
      <c r="CV107" s="19"/>
      <c r="CW107" s="19"/>
      <c r="CX107" s="19"/>
      <c r="CY107" s="19"/>
      <c r="CZ107" s="19"/>
      <c r="DA107" s="19"/>
      <c r="DB107" s="19"/>
      <c r="DC107" s="19"/>
      <c r="DD107" s="19" t="str">
        <f>$K107</f>
        <v>2026 Cadillac OPTIQ AWD</v>
      </c>
      <c r="DE107" s="19"/>
      <c r="DF107" s="19"/>
      <c r="DG107" s="19"/>
      <c r="DH107" s="19"/>
      <c r="DI107" s="19"/>
      <c r="DJ107" s="19"/>
      <c r="DK107" s="19"/>
      <c r="DL107" s="19"/>
      <c r="DM107" s="19"/>
      <c r="DN107" s="19"/>
      <c r="DO107" s="19"/>
      <c r="DP107" s="19"/>
      <c r="DQ107" s="19"/>
      <c r="DR107" s="19"/>
      <c r="DS107" s="19"/>
      <c r="DT107" s="19"/>
      <c r="DU107" s="19" t="str">
        <f>$K107</f>
        <v>2026 Cadillac OPTIQ AWD</v>
      </c>
      <c r="DV107" s="19"/>
      <c r="DW107" s="19"/>
      <c r="DX107" s="19"/>
      <c r="DY107" s="19"/>
      <c r="DZ107" s="19"/>
      <c r="EA107" s="117"/>
      <c r="EB107" s="19"/>
      <c r="EC107" s="19"/>
      <c r="ED107" s="19"/>
      <c r="EE107" s="19"/>
      <c r="EF107" s="19"/>
      <c r="EG107"/>
      <c r="EH107"/>
      <c r="EI107"/>
      <c r="EJ107"/>
      <c r="EK107"/>
      <c r="EL107"/>
      <c r="EM107"/>
      <c r="EN107"/>
      <c r="EO107"/>
      <c r="EP107"/>
      <c r="EQ107"/>
      <c r="ER107"/>
      <c r="ES107"/>
      <c r="ET107"/>
      <c r="EU107"/>
      <c r="EV107"/>
      <c r="EW107"/>
      <c r="EX107" s="19" t="s">
        <v>1964</v>
      </c>
      <c r="EY107"/>
      <c r="EZ107"/>
      <c r="FA107"/>
      <c r="FB107"/>
      <c r="FC107"/>
      <c r="FD107"/>
      <c r="FE107"/>
      <c r="FF107"/>
      <c r="FG107"/>
      <c r="FH107"/>
      <c r="FI107"/>
    </row>
    <row r="108" spans="1:165" s="66" customFormat="1" x14ac:dyDescent="0.35">
      <c r="A108">
        <v>2026</v>
      </c>
      <c r="B108" t="s">
        <v>211</v>
      </c>
      <c r="C108" s="112" t="s">
        <v>388</v>
      </c>
      <c r="D108" t="s">
        <v>1787</v>
      </c>
      <c r="E108" t="s">
        <v>214</v>
      </c>
      <c r="F108">
        <v>439</v>
      </c>
      <c r="G108" s="113">
        <v>0</v>
      </c>
      <c r="H108"/>
      <c r="I108" t="s">
        <v>1391</v>
      </c>
      <c r="J108">
        <v>110</v>
      </c>
      <c r="K108">
        <v>88</v>
      </c>
      <c r="L108">
        <v>99</v>
      </c>
      <c r="M108">
        <v>157.44640000000001</v>
      </c>
      <c r="N108">
        <v>125.9466</v>
      </c>
      <c r="O108">
        <v>141.5189</v>
      </c>
      <c r="P108">
        <v>110.21250000000001</v>
      </c>
      <c r="Q108">
        <v>88.162700000000001</v>
      </c>
      <c r="R108">
        <v>99.063299999999998</v>
      </c>
      <c r="S108"/>
      <c r="T108"/>
      <c r="U108"/>
      <c r="V108" t="s">
        <v>170</v>
      </c>
      <c r="W108" t="s">
        <v>171</v>
      </c>
      <c r="X108" t="s">
        <v>1436</v>
      </c>
      <c r="Y108">
        <v>1</v>
      </c>
      <c r="Z108" t="s">
        <v>173</v>
      </c>
      <c r="AA108" t="s">
        <v>173</v>
      </c>
      <c r="AB108" t="s">
        <v>170</v>
      </c>
      <c r="AC108" t="s">
        <v>232</v>
      </c>
      <c r="AD108"/>
      <c r="AE108"/>
      <c r="AF108">
        <v>303</v>
      </c>
      <c r="AG108" t="s">
        <v>1392</v>
      </c>
      <c r="AH108" t="s">
        <v>1393</v>
      </c>
      <c r="AI108" t="s">
        <v>178</v>
      </c>
      <c r="AJ108" t="s">
        <v>179</v>
      </c>
      <c r="AK108">
        <v>4</v>
      </c>
      <c r="AL108" t="s">
        <v>1394</v>
      </c>
      <c r="AM108"/>
      <c r="AN108"/>
      <c r="AO108">
        <v>102</v>
      </c>
      <c r="AP108">
        <v>26</v>
      </c>
      <c r="AQ108"/>
      <c r="AR108"/>
      <c r="AS108">
        <v>850</v>
      </c>
      <c r="AT108">
        <v>850</v>
      </c>
      <c r="AU108"/>
      <c r="AV108"/>
      <c r="AW108"/>
      <c r="AX108"/>
      <c r="AY108"/>
      <c r="AZ108"/>
      <c r="BA108"/>
      <c r="BB108"/>
      <c r="BC108"/>
      <c r="BD108"/>
      <c r="BE108"/>
      <c r="BF108"/>
      <c r="BG108"/>
      <c r="BH108"/>
      <c r="BI108"/>
      <c r="BJ108"/>
      <c r="BK108"/>
      <c r="BL108"/>
      <c r="BM108"/>
      <c r="BN108" s="114"/>
      <c r="BO108"/>
      <c r="BP108"/>
      <c r="BQ108">
        <v>33</v>
      </c>
      <c r="BR108" t="s">
        <v>1062</v>
      </c>
      <c r="BS108"/>
      <c r="BT108" t="s">
        <v>1395</v>
      </c>
      <c r="BU108" s="115">
        <v>45909</v>
      </c>
      <c r="BV108">
        <v>37568</v>
      </c>
      <c r="BW108" s="116"/>
      <c r="BX108" t="s">
        <v>173</v>
      </c>
      <c r="BY108" t="s">
        <v>173</v>
      </c>
      <c r="BZ108"/>
      <c r="CA108"/>
      <c r="CB108" t="s">
        <v>173</v>
      </c>
      <c r="CC108" t="s">
        <v>173</v>
      </c>
      <c r="CD108"/>
      <c r="CE108"/>
      <c r="CF108"/>
      <c r="CG108"/>
      <c r="CH108"/>
      <c r="CI108"/>
      <c r="CJ108"/>
      <c r="CK108" t="s">
        <v>259</v>
      </c>
      <c r="CL108"/>
      <c r="CM108">
        <v>2</v>
      </c>
      <c r="CN108" t="s">
        <v>260</v>
      </c>
      <c r="CO108"/>
      <c r="CP108">
        <v>336</v>
      </c>
      <c r="CQ108">
        <v>290</v>
      </c>
      <c r="CR108">
        <v>155</v>
      </c>
      <c r="CS108" t="s">
        <v>1437</v>
      </c>
      <c r="CT108"/>
      <c r="CU108"/>
      <c r="CV108" t="s">
        <v>262</v>
      </c>
      <c r="CW108"/>
      <c r="CX108" t="s">
        <v>263</v>
      </c>
      <c r="CY108" t="s">
        <v>172</v>
      </c>
      <c r="CZ108"/>
      <c r="DA108"/>
      <c r="DB108"/>
      <c r="DC108"/>
      <c r="DD108">
        <v>4</v>
      </c>
      <c r="DE108" t="s">
        <v>307</v>
      </c>
      <c r="DF108" t="s">
        <v>988</v>
      </c>
      <c r="DG108" t="s">
        <v>1757</v>
      </c>
      <c r="DH108"/>
      <c r="DI108"/>
      <c r="DJ108"/>
      <c r="DK108"/>
      <c r="DL108" t="s">
        <v>173</v>
      </c>
      <c r="DM108" t="s">
        <v>173</v>
      </c>
      <c r="DN108"/>
      <c r="DO108"/>
      <c r="DP108" t="s">
        <v>173</v>
      </c>
      <c r="DQ108" t="s">
        <v>189</v>
      </c>
      <c r="DR108" t="s">
        <v>1787</v>
      </c>
      <c r="DS108"/>
      <c r="DT108"/>
      <c r="DU108"/>
      <c r="DV108"/>
      <c r="DW108"/>
      <c r="DX108"/>
      <c r="DY108"/>
      <c r="DZ108"/>
      <c r="EA108" s="117"/>
      <c r="EB108">
        <v>9</v>
      </c>
      <c r="EC108">
        <v>10</v>
      </c>
      <c r="ED108"/>
      <c r="EE108" t="s">
        <v>1443</v>
      </c>
      <c r="EF108">
        <v>10</v>
      </c>
      <c r="EG108"/>
      <c r="EH108"/>
      <c r="EI108"/>
      <c r="EJ108"/>
      <c r="EK108"/>
      <c r="EL108"/>
      <c r="EM108"/>
      <c r="EN108"/>
      <c r="EO108"/>
      <c r="EP108"/>
      <c r="EQ108"/>
      <c r="ER108"/>
      <c r="ES108"/>
      <c r="ET108"/>
      <c r="EU108">
        <v>4250</v>
      </c>
      <c r="EV108"/>
      <c r="EW108">
        <v>0</v>
      </c>
      <c r="EX108">
        <v>0</v>
      </c>
      <c r="EY108">
        <v>0</v>
      </c>
      <c r="EZ108"/>
      <c r="FA108">
        <v>9.5</v>
      </c>
      <c r="FB108"/>
      <c r="FC108"/>
      <c r="FD108"/>
      <c r="FE108"/>
      <c r="FF108"/>
      <c r="FG108" s="94">
        <v>333</v>
      </c>
      <c r="FH108" s="94">
        <v>266</v>
      </c>
      <c r="FI108" s="94">
        <v>303</v>
      </c>
    </row>
    <row r="109" spans="1:165" s="66" customFormat="1" x14ac:dyDescent="0.35">
      <c r="A109">
        <v>2026</v>
      </c>
      <c r="B109" t="s">
        <v>211</v>
      </c>
      <c r="C109" s="112" t="s">
        <v>388</v>
      </c>
      <c r="D109" t="s">
        <v>1787</v>
      </c>
      <c r="E109" t="s">
        <v>214</v>
      </c>
      <c r="F109">
        <v>439</v>
      </c>
      <c r="G109" s="113">
        <v>0</v>
      </c>
      <c r="H109"/>
      <c r="I109" t="s">
        <v>1391</v>
      </c>
      <c r="J109">
        <v>31</v>
      </c>
      <c r="K109">
        <v>38</v>
      </c>
      <c r="L109">
        <v>34</v>
      </c>
      <c r="M109">
        <v>21.409600000000001</v>
      </c>
      <c r="N109">
        <v>26.758600000000001</v>
      </c>
      <c r="O109">
        <v>23.816600000000001</v>
      </c>
      <c r="P109">
        <v>30.581800000000001</v>
      </c>
      <c r="Q109">
        <v>38.230499999999999</v>
      </c>
      <c r="R109">
        <v>34.023699999999998</v>
      </c>
      <c r="S109"/>
      <c r="T109"/>
      <c r="U109"/>
      <c r="V109" t="s">
        <v>170</v>
      </c>
      <c r="W109" t="s">
        <v>171</v>
      </c>
      <c r="X109" t="s">
        <v>1436</v>
      </c>
      <c r="Y109">
        <v>1</v>
      </c>
      <c r="Z109" t="s">
        <v>173</v>
      </c>
      <c r="AA109" t="s">
        <v>173</v>
      </c>
      <c r="AB109" t="s">
        <v>170</v>
      </c>
      <c r="AC109" t="s">
        <v>232</v>
      </c>
      <c r="AD109"/>
      <c r="AE109"/>
      <c r="AF109">
        <v>303</v>
      </c>
      <c r="AG109" t="s">
        <v>1392</v>
      </c>
      <c r="AH109" t="s">
        <v>1393</v>
      </c>
      <c r="AI109" t="s">
        <v>1399</v>
      </c>
      <c r="AJ109" t="s">
        <v>1400</v>
      </c>
      <c r="AK109">
        <v>4</v>
      </c>
      <c r="AL109" t="s">
        <v>1394</v>
      </c>
      <c r="AM109"/>
      <c r="AN109"/>
      <c r="AO109">
        <v>102</v>
      </c>
      <c r="AP109">
        <v>26</v>
      </c>
      <c r="AQ109"/>
      <c r="AR109"/>
      <c r="AS109">
        <v>850</v>
      </c>
      <c r="AT109">
        <v>850</v>
      </c>
      <c r="AU109"/>
      <c r="AV109"/>
      <c r="AW109"/>
      <c r="AX109"/>
      <c r="AY109"/>
      <c r="AZ109"/>
      <c r="BA109"/>
      <c r="BB109"/>
      <c r="BC109"/>
      <c r="BD109"/>
      <c r="BE109"/>
      <c r="BF109"/>
      <c r="BG109"/>
      <c r="BH109"/>
      <c r="BI109"/>
      <c r="BJ109"/>
      <c r="BK109"/>
      <c r="BL109"/>
      <c r="BM109"/>
      <c r="BN109" s="114"/>
      <c r="BO109"/>
      <c r="BP109"/>
      <c r="BQ109">
        <v>33</v>
      </c>
      <c r="BR109" t="s">
        <v>1062</v>
      </c>
      <c r="BS109"/>
      <c r="BT109" t="s">
        <v>1395</v>
      </c>
      <c r="BU109" s="115">
        <v>45909</v>
      </c>
      <c r="BV109">
        <v>37568</v>
      </c>
      <c r="BW109" s="116"/>
      <c r="BX109" t="s">
        <v>173</v>
      </c>
      <c r="BY109" t="s">
        <v>173</v>
      </c>
      <c r="BZ109"/>
      <c r="CA109"/>
      <c r="CB109" t="s">
        <v>173</v>
      </c>
      <c r="CC109" t="s">
        <v>173</v>
      </c>
      <c r="CD109"/>
      <c r="CE109"/>
      <c r="CF109"/>
      <c r="CG109"/>
      <c r="CH109"/>
      <c r="CI109"/>
      <c r="CJ109"/>
      <c r="CK109" t="s">
        <v>259</v>
      </c>
      <c r="CL109"/>
      <c r="CM109">
        <v>2</v>
      </c>
      <c r="CN109" t="s">
        <v>260</v>
      </c>
      <c r="CO109"/>
      <c r="CP109">
        <v>336</v>
      </c>
      <c r="CQ109">
        <v>290</v>
      </c>
      <c r="CR109">
        <v>155</v>
      </c>
      <c r="CS109" t="s">
        <v>1437</v>
      </c>
      <c r="CT109"/>
      <c r="CU109"/>
      <c r="CV109" t="s">
        <v>262</v>
      </c>
      <c r="CW109"/>
      <c r="CX109" t="s">
        <v>263</v>
      </c>
      <c r="CY109" t="s">
        <v>172</v>
      </c>
      <c r="CZ109"/>
      <c r="DA109"/>
      <c r="DB109"/>
      <c r="DC109"/>
      <c r="DD109">
        <v>4</v>
      </c>
      <c r="DE109" t="s">
        <v>307</v>
      </c>
      <c r="DF109" t="s">
        <v>988</v>
      </c>
      <c r="DG109" t="s">
        <v>1757</v>
      </c>
      <c r="DH109"/>
      <c r="DI109"/>
      <c r="DJ109"/>
      <c r="DK109"/>
      <c r="DL109" t="s">
        <v>173</v>
      </c>
      <c r="DM109" t="s">
        <v>173</v>
      </c>
      <c r="DN109"/>
      <c r="DO109"/>
      <c r="DP109" t="s">
        <v>173</v>
      </c>
      <c r="DQ109" t="s">
        <v>189</v>
      </c>
      <c r="DR109" t="s">
        <v>1787</v>
      </c>
      <c r="DS109"/>
      <c r="DT109"/>
      <c r="DU109"/>
      <c r="DV109"/>
      <c r="DW109"/>
      <c r="DX109"/>
      <c r="DY109"/>
      <c r="DZ109"/>
      <c r="EA109" s="117"/>
      <c r="EB109">
        <v>9</v>
      </c>
      <c r="EC109">
        <v>10</v>
      </c>
      <c r="ED109"/>
      <c r="EE109" t="s">
        <v>1443</v>
      </c>
      <c r="EF109">
        <v>10</v>
      </c>
      <c r="EG109"/>
      <c r="EH109"/>
      <c r="EI109"/>
      <c r="EJ109"/>
      <c r="EK109"/>
      <c r="EL109"/>
      <c r="EM109"/>
      <c r="EN109"/>
      <c r="EO109"/>
      <c r="EP109"/>
      <c r="EQ109"/>
      <c r="ER109"/>
      <c r="ES109"/>
      <c r="ET109"/>
      <c r="EU109">
        <v>4250</v>
      </c>
      <c r="EV109"/>
      <c r="EW109">
        <v>0</v>
      </c>
      <c r="EX109">
        <v>0</v>
      </c>
      <c r="EY109">
        <v>0</v>
      </c>
      <c r="EZ109"/>
      <c r="FA109">
        <v>9.5</v>
      </c>
      <c r="FB109"/>
      <c r="FC109"/>
      <c r="FD109"/>
      <c r="FE109"/>
      <c r="FF109"/>
      <c r="FG109" s="94">
        <v>333</v>
      </c>
      <c r="FH109" s="94">
        <v>266</v>
      </c>
      <c r="FI109" s="94">
        <v>303</v>
      </c>
    </row>
    <row r="110" spans="1:165" s="66" customFormat="1" x14ac:dyDescent="0.35">
      <c r="A110" s="19"/>
      <c r="B110" s="19"/>
      <c r="C110" s="19"/>
      <c r="D110" s="19"/>
      <c r="E110" s="19"/>
      <c r="F110" s="128"/>
      <c r="G110" s="19"/>
      <c r="H110" s="19"/>
      <c r="I110" s="19"/>
      <c r="J110" s="19"/>
      <c r="K110" s="19" t="str">
        <f>_xlfn.CONCAT(A111," ",C111," ",D111)</f>
        <v>2026 Cadillac OPTIQ AWD</v>
      </c>
      <c r="L110" s="19"/>
      <c r="M110" s="19"/>
      <c r="N110" s="19"/>
      <c r="O110" s="19"/>
      <c r="P110" s="19"/>
      <c r="Q110" s="19"/>
      <c r="R110" s="19"/>
      <c r="S110" s="19"/>
      <c r="T110" s="19"/>
      <c r="U110" s="19"/>
      <c r="V110" s="19"/>
      <c r="W110" s="19"/>
      <c r="X110" s="19"/>
      <c r="Y110" s="19"/>
      <c r="Z110" s="19"/>
      <c r="AA110" s="19"/>
      <c r="AB110" s="19" t="str">
        <f>$K110</f>
        <v>2026 Cadillac OPTIQ AWD</v>
      </c>
      <c r="AC110" s="19"/>
      <c r="AD110" s="19"/>
      <c r="AE110" s="19"/>
      <c r="AF110" s="19"/>
      <c r="AG110" s="19"/>
      <c r="AH110" s="19"/>
      <c r="AI110" s="19"/>
      <c r="AJ110" s="19"/>
      <c r="AK110" s="19"/>
      <c r="AL110" s="19"/>
      <c r="AM110" s="19"/>
      <c r="AN110" s="19"/>
      <c r="AO110" s="19"/>
      <c r="AP110" s="19"/>
      <c r="AQ110" s="19"/>
      <c r="AR110" s="19" t="str">
        <f>$K110</f>
        <v>2026 Cadillac OPTIQ AWD</v>
      </c>
      <c r="AS110" s="19"/>
      <c r="AT110" s="19"/>
      <c r="AU110" s="19"/>
      <c r="AV110" s="19"/>
      <c r="AW110" s="19"/>
      <c r="AX110" s="19"/>
      <c r="AY110" s="19"/>
      <c r="AZ110" s="19"/>
      <c r="BA110" s="19"/>
      <c r="BB110" s="19"/>
      <c r="BC110" s="19"/>
      <c r="BD110" s="19"/>
      <c r="BE110" s="19"/>
      <c r="BF110" s="19"/>
      <c r="BG110" s="19" t="str">
        <f>$K110</f>
        <v>2026 Cadillac OPTIQ AWD</v>
      </c>
      <c r="BH110" s="19"/>
      <c r="BI110" s="19"/>
      <c r="BJ110" s="19"/>
      <c r="BK110" s="19"/>
      <c r="BL110" s="19"/>
      <c r="BM110" s="129"/>
      <c r="BN110" s="19"/>
      <c r="BO110" s="19"/>
      <c r="BP110" s="19"/>
      <c r="BQ110" s="19"/>
      <c r="BR110" s="19"/>
      <c r="BS110" s="19"/>
      <c r="BT110" s="130"/>
      <c r="BU110" s="19"/>
      <c r="BV110" s="19"/>
      <c r="BW110" s="116"/>
      <c r="BX110" s="19"/>
      <c r="BY110" s="19"/>
      <c r="BZ110" s="19"/>
      <c r="CA110" s="19"/>
      <c r="CB110" s="19"/>
      <c r="CC110" s="19"/>
      <c r="CD110" s="19"/>
      <c r="CE110" s="19"/>
      <c r="CF110" s="19"/>
      <c r="CG110" s="19"/>
      <c r="CH110" s="19"/>
      <c r="CI110" s="19"/>
      <c r="CJ110" s="19"/>
      <c r="CK110" s="19"/>
      <c r="CL110" s="19"/>
      <c r="CM110" s="19" t="str">
        <f>$K110</f>
        <v>2026 Cadillac OPTIQ AWD</v>
      </c>
      <c r="CN110" s="19"/>
      <c r="CO110" s="19"/>
      <c r="CP110" s="19"/>
      <c r="CQ110" s="19"/>
      <c r="CR110" s="19"/>
      <c r="CS110" s="19"/>
      <c r="CT110" s="19"/>
      <c r="CU110" s="19"/>
      <c r="CV110" s="19"/>
      <c r="CW110" s="19"/>
      <c r="CX110" s="19"/>
      <c r="CY110" s="19"/>
      <c r="CZ110" s="19"/>
      <c r="DA110" s="19"/>
      <c r="DB110" s="19"/>
      <c r="DC110" s="19"/>
      <c r="DD110" s="19" t="str">
        <f>$K110</f>
        <v>2026 Cadillac OPTIQ AWD</v>
      </c>
      <c r="DE110" s="19"/>
      <c r="DF110" s="19"/>
      <c r="DG110" s="19"/>
      <c r="DH110" s="19"/>
      <c r="DI110" s="19"/>
      <c r="DJ110" s="19"/>
      <c r="DK110" s="19"/>
      <c r="DL110" s="19"/>
      <c r="DM110" s="19"/>
      <c r="DN110" s="19"/>
      <c r="DO110" s="19"/>
      <c r="DP110" s="19"/>
      <c r="DQ110" s="19"/>
      <c r="DR110" s="19"/>
      <c r="DS110" s="19"/>
      <c r="DT110" s="19"/>
      <c r="DU110" s="19" t="str">
        <f>$K110</f>
        <v>2026 Cadillac OPTIQ AWD</v>
      </c>
      <c r="DV110" s="19"/>
      <c r="DW110" s="19"/>
      <c r="DX110" s="19"/>
      <c r="DY110" s="19"/>
      <c r="DZ110" s="19"/>
      <c r="EA110" s="117"/>
      <c r="EB110" s="19"/>
      <c r="EC110" s="19"/>
      <c r="ED110" s="19"/>
      <c r="EE110" s="19"/>
      <c r="EF110" s="19"/>
      <c r="EG110"/>
      <c r="EH110"/>
      <c r="EI110"/>
      <c r="EJ110"/>
      <c r="EK110"/>
      <c r="EL110"/>
      <c r="EM110"/>
      <c r="EN110"/>
      <c r="EO110"/>
      <c r="EP110"/>
      <c r="EQ110"/>
      <c r="ER110"/>
      <c r="ES110"/>
      <c r="ET110"/>
      <c r="EU110"/>
      <c r="EV110"/>
      <c r="EW110"/>
      <c r="EX110" s="19" t="s">
        <v>1964</v>
      </c>
      <c r="EY110"/>
      <c r="EZ110"/>
      <c r="FA110"/>
      <c r="FB110"/>
      <c r="FC110"/>
      <c r="FD110"/>
      <c r="FE110"/>
      <c r="FF110"/>
      <c r="FG110"/>
      <c r="FH110"/>
      <c r="FI110"/>
    </row>
    <row r="111" spans="1:165" s="66" customFormat="1" x14ac:dyDescent="0.35">
      <c r="A111">
        <v>2026</v>
      </c>
      <c r="B111" t="s">
        <v>211</v>
      </c>
      <c r="C111" s="112" t="s">
        <v>388</v>
      </c>
      <c r="D111" t="s">
        <v>1787</v>
      </c>
      <c r="E111" t="s">
        <v>214</v>
      </c>
      <c r="F111">
        <v>440</v>
      </c>
      <c r="G111" s="113">
        <v>0</v>
      </c>
      <c r="H111"/>
      <c r="I111" t="s">
        <v>1391</v>
      </c>
      <c r="J111">
        <v>110</v>
      </c>
      <c r="K111">
        <v>88</v>
      </c>
      <c r="L111">
        <v>99</v>
      </c>
      <c r="M111">
        <v>157.44640000000001</v>
      </c>
      <c r="N111">
        <v>125.9466</v>
      </c>
      <c r="O111">
        <v>141.5189</v>
      </c>
      <c r="P111">
        <v>110.21250000000001</v>
      </c>
      <c r="Q111">
        <v>88.162700000000001</v>
      </c>
      <c r="R111">
        <v>99.063299999999998</v>
      </c>
      <c r="S111"/>
      <c r="T111"/>
      <c r="U111"/>
      <c r="V111" t="s">
        <v>170</v>
      </c>
      <c r="W111" t="s">
        <v>171</v>
      </c>
      <c r="X111" t="s">
        <v>1436</v>
      </c>
      <c r="Y111">
        <v>1</v>
      </c>
      <c r="Z111" t="s">
        <v>173</v>
      </c>
      <c r="AA111" t="s">
        <v>173</v>
      </c>
      <c r="AB111" t="s">
        <v>170</v>
      </c>
      <c r="AC111" t="s">
        <v>232</v>
      </c>
      <c r="AD111"/>
      <c r="AE111"/>
      <c r="AF111">
        <v>303</v>
      </c>
      <c r="AG111" t="s">
        <v>1392</v>
      </c>
      <c r="AH111" t="s">
        <v>1393</v>
      </c>
      <c r="AI111" t="s">
        <v>178</v>
      </c>
      <c r="AJ111" t="s">
        <v>179</v>
      </c>
      <c r="AK111">
        <v>4</v>
      </c>
      <c r="AL111" t="s">
        <v>1394</v>
      </c>
      <c r="AM111"/>
      <c r="AN111"/>
      <c r="AO111">
        <v>102</v>
      </c>
      <c r="AP111">
        <v>26</v>
      </c>
      <c r="AQ111"/>
      <c r="AR111"/>
      <c r="AS111">
        <v>850</v>
      </c>
      <c r="AT111">
        <v>850</v>
      </c>
      <c r="AU111"/>
      <c r="AV111"/>
      <c r="AW111"/>
      <c r="AX111"/>
      <c r="AY111"/>
      <c r="AZ111"/>
      <c r="BA111"/>
      <c r="BB111"/>
      <c r="BC111"/>
      <c r="BD111"/>
      <c r="BE111"/>
      <c r="BF111"/>
      <c r="BG111"/>
      <c r="BH111"/>
      <c r="BI111"/>
      <c r="BJ111"/>
      <c r="BK111"/>
      <c r="BL111"/>
      <c r="BM111"/>
      <c r="BN111" s="114"/>
      <c r="BO111"/>
      <c r="BP111"/>
      <c r="BQ111">
        <v>33</v>
      </c>
      <c r="BR111" t="s">
        <v>1062</v>
      </c>
      <c r="BS111"/>
      <c r="BT111" t="s">
        <v>1395</v>
      </c>
      <c r="BU111" s="115">
        <v>45909</v>
      </c>
      <c r="BV111">
        <v>37569</v>
      </c>
      <c r="BW111" s="116"/>
      <c r="BX111" t="s">
        <v>173</v>
      </c>
      <c r="BY111" t="s">
        <v>173</v>
      </c>
      <c r="BZ111"/>
      <c r="CA111"/>
      <c r="CB111" t="s">
        <v>173</v>
      </c>
      <c r="CC111" t="s">
        <v>173</v>
      </c>
      <c r="CD111"/>
      <c r="CE111"/>
      <c r="CF111"/>
      <c r="CG111"/>
      <c r="CH111"/>
      <c r="CI111"/>
      <c r="CJ111"/>
      <c r="CK111" t="s">
        <v>259</v>
      </c>
      <c r="CL111"/>
      <c r="CM111">
        <v>2</v>
      </c>
      <c r="CN111" t="s">
        <v>260</v>
      </c>
      <c r="CO111"/>
      <c r="CP111">
        <v>336</v>
      </c>
      <c r="CQ111">
        <v>290</v>
      </c>
      <c r="CR111">
        <v>155</v>
      </c>
      <c r="CS111" t="s">
        <v>1437</v>
      </c>
      <c r="CT111"/>
      <c r="CU111"/>
      <c r="CV111" t="s">
        <v>262</v>
      </c>
      <c r="CW111"/>
      <c r="CX111" t="s">
        <v>263</v>
      </c>
      <c r="CY111" t="s">
        <v>172</v>
      </c>
      <c r="CZ111"/>
      <c r="DA111"/>
      <c r="DB111"/>
      <c r="DC111"/>
      <c r="DD111">
        <v>4</v>
      </c>
      <c r="DE111" t="s">
        <v>307</v>
      </c>
      <c r="DF111" t="s">
        <v>988</v>
      </c>
      <c r="DG111" t="s">
        <v>1757</v>
      </c>
      <c r="DH111"/>
      <c r="DI111"/>
      <c r="DJ111"/>
      <c r="DK111"/>
      <c r="DL111" t="s">
        <v>173</v>
      </c>
      <c r="DM111" t="s">
        <v>173</v>
      </c>
      <c r="DN111"/>
      <c r="DO111"/>
      <c r="DP111" t="s">
        <v>173</v>
      </c>
      <c r="DQ111" t="s">
        <v>189</v>
      </c>
      <c r="DR111" t="s">
        <v>1787</v>
      </c>
      <c r="DS111"/>
      <c r="DT111"/>
      <c r="DU111"/>
      <c r="DV111"/>
      <c r="DW111"/>
      <c r="DX111"/>
      <c r="DY111"/>
      <c r="DZ111"/>
      <c r="EA111" s="117"/>
      <c r="EB111">
        <v>9</v>
      </c>
      <c r="EC111">
        <v>10</v>
      </c>
      <c r="ED111"/>
      <c r="EE111" t="s">
        <v>1443</v>
      </c>
      <c r="EF111">
        <v>10</v>
      </c>
      <c r="EG111"/>
      <c r="EH111"/>
      <c r="EI111"/>
      <c r="EJ111"/>
      <c r="EK111"/>
      <c r="EL111"/>
      <c r="EM111"/>
      <c r="EN111"/>
      <c r="EO111"/>
      <c r="EP111"/>
      <c r="EQ111"/>
      <c r="ER111"/>
      <c r="ES111"/>
      <c r="ET111"/>
      <c r="EU111">
        <v>4250</v>
      </c>
      <c r="EV111"/>
      <c r="EW111">
        <v>0</v>
      </c>
      <c r="EX111">
        <v>0</v>
      </c>
      <c r="EY111">
        <v>0</v>
      </c>
      <c r="EZ111"/>
      <c r="FA111">
        <v>5.9</v>
      </c>
      <c r="FB111"/>
      <c r="FC111"/>
      <c r="FD111"/>
      <c r="FE111"/>
      <c r="FF111"/>
      <c r="FG111" s="94">
        <v>333</v>
      </c>
      <c r="FH111" s="94">
        <v>266</v>
      </c>
      <c r="FI111" s="94">
        <v>303</v>
      </c>
    </row>
    <row r="112" spans="1:165" s="66" customFormat="1" x14ac:dyDescent="0.35">
      <c r="A112">
        <v>2026</v>
      </c>
      <c r="B112" t="s">
        <v>211</v>
      </c>
      <c r="C112" s="112" t="s">
        <v>388</v>
      </c>
      <c r="D112" t="s">
        <v>1787</v>
      </c>
      <c r="E112" t="s">
        <v>214</v>
      </c>
      <c r="F112">
        <v>440</v>
      </c>
      <c r="G112" s="113">
        <v>0</v>
      </c>
      <c r="H112"/>
      <c r="I112" t="s">
        <v>1391</v>
      </c>
      <c r="J112">
        <v>31</v>
      </c>
      <c r="K112">
        <v>38</v>
      </c>
      <c r="L112">
        <v>34</v>
      </c>
      <c r="M112">
        <v>21.409600000000001</v>
      </c>
      <c r="N112">
        <v>26.758600000000001</v>
      </c>
      <c r="O112">
        <v>23.816600000000001</v>
      </c>
      <c r="P112">
        <v>30.581800000000001</v>
      </c>
      <c r="Q112">
        <v>38.230499999999999</v>
      </c>
      <c r="R112">
        <v>34.023699999999998</v>
      </c>
      <c r="S112"/>
      <c r="T112"/>
      <c r="U112"/>
      <c r="V112" t="s">
        <v>170</v>
      </c>
      <c r="W112" t="s">
        <v>171</v>
      </c>
      <c r="X112" t="s">
        <v>1436</v>
      </c>
      <c r="Y112">
        <v>1</v>
      </c>
      <c r="Z112" t="s">
        <v>173</v>
      </c>
      <c r="AA112" t="s">
        <v>173</v>
      </c>
      <c r="AB112" t="s">
        <v>170</v>
      </c>
      <c r="AC112" t="s">
        <v>232</v>
      </c>
      <c r="AD112"/>
      <c r="AE112"/>
      <c r="AF112">
        <v>303</v>
      </c>
      <c r="AG112" t="s">
        <v>1392</v>
      </c>
      <c r="AH112" t="s">
        <v>1393</v>
      </c>
      <c r="AI112" t="s">
        <v>1399</v>
      </c>
      <c r="AJ112" t="s">
        <v>1400</v>
      </c>
      <c r="AK112">
        <v>4</v>
      </c>
      <c r="AL112" t="s">
        <v>1394</v>
      </c>
      <c r="AM112"/>
      <c r="AN112"/>
      <c r="AO112">
        <v>102</v>
      </c>
      <c r="AP112">
        <v>26</v>
      </c>
      <c r="AQ112"/>
      <c r="AR112"/>
      <c r="AS112">
        <v>850</v>
      </c>
      <c r="AT112">
        <v>850</v>
      </c>
      <c r="AU112"/>
      <c r="AV112"/>
      <c r="AW112"/>
      <c r="AX112"/>
      <c r="AY112"/>
      <c r="AZ112"/>
      <c r="BA112"/>
      <c r="BB112"/>
      <c r="BC112"/>
      <c r="BD112"/>
      <c r="BE112"/>
      <c r="BF112"/>
      <c r="BG112"/>
      <c r="BH112"/>
      <c r="BI112"/>
      <c r="BJ112"/>
      <c r="BK112"/>
      <c r="BL112"/>
      <c r="BM112"/>
      <c r="BN112" s="114"/>
      <c r="BO112"/>
      <c r="BP112"/>
      <c r="BQ112">
        <v>33</v>
      </c>
      <c r="BR112" t="s">
        <v>1062</v>
      </c>
      <c r="BS112"/>
      <c r="BT112" t="s">
        <v>1395</v>
      </c>
      <c r="BU112" s="115">
        <v>45909</v>
      </c>
      <c r="BV112">
        <v>37569</v>
      </c>
      <c r="BW112" s="116"/>
      <c r="BX112" t="s">
        <v>173</v>
      </c>
      <c r="BY112" t="s">
        <v>173</v>
      </c>
      <c r="BZ112"/>
      <c r="CA112"/>
      <c r="CB112" t="s">
        <v>173</v>
      </c>
      <c r="CC112" t="s">
        <v>173</v>
      </c>
      <c r="CD112"/>
      <c r="CE112"/>
      <c r="CF112"/>
      <c r="CG112"/>
      <c r="CH112"/>
      <c r="CI112"/>
      <c r="CJ112"/>
      <c r="CK112" t="s">
        <v>259</v>
      </c>
      <c r="CL112"/>
      <c r="CM112">
        <v>2</v>
      </c>
      <c r="CN112" t="s">
        <v>260</v>
      </c>
      <c r="CO112"/>
      <c r="CP112">
        <v>336</v>
      </c>
      <c r="CQ112">
        <v>290</v>
      </c>
      <c r="CR112">
        <v>155</v>
      </c>
      <c r="CS112" t="s">
        <v>1437</v>
      </c>
      <c r="CT112"/>
      <c r="CU112"/>
      <c r="CV112" t="s">
        <v>262</v>
      </c>
      <c r="CW112"/>
      <c r="CX112" t="s">
        <v>263</v>
      </c>
      <c r="CY112" t="s">
        <v>172</v>
      </c>
      <c r="CZ112"/>
      <c r="DA112"/>
      <c r="DB112"/>
      <c r="DC112"/>
      <c r="DD112">
        <v>4</v>
      </c>
      <c r="DE112" t="s">
        <v>307</v>
      </c>
      <c r="DF112" t="s">
        <v>988</v>
      </c>
      <c r="DG112" t="s">
        <v>1757</v>
      </c>
      <c r="DH112"/>
      <c r="DI112"/>
      <c r="DJ112"/>
      <c r="DK112"/>
      <c r="DL112" t="s">
        <v>173</v>
      </c>
      <c r="DM112" t="s">
        <v>173</v>
      </c>
      <c r="DN112"/>
      <c r="DO112"/>
      <c r="DP112" t="s">
        <v>173</v>
      </c>
      <c r="DQ112" t="s">
        <v>189</v>
      </c>
      <c r="DR112" t="s">
        <v>1787</v>
      </c>
      <c r="DS112"/>
      <c r="DT112"/>
      <c r="DU112"/>
      <c r="DV112"/>
      <c r="DW112"/>
      <c r="DX112"/>
      <c r="DY112"/>
      <c r="DZ112"/>
      <c r="EA112" s="117"/>
      <c r="EB112">
        <v>9</v>
      </c>
      <c r="EC112">
        <v>10</v>
      </c>
      <c r="ED112"/>
      <c r="EE112" t="s">
        <v>1443</v>
      </c>
      <c r="EF112">
        <v>10</v>
      </c>
      <c r="EG112"/>
      <c r="EH112"/>
      <c r="EI112"/>
      <c r="EJ112"/>
      <c r="EK112"/>
      <c r="EL112"/>
      <c r="EM112"/>
      <c r="EN112"/>
      <c r="EO112"/>
      <c r="EP112"/>
      <c r="EQ112"/>
      <c r="ER112"/>
      <c r="ES112"/>
      <c r="ET112"/>
      <c r="EU112">
        <v>4250</v>
      </c>
      <c r="EV112"/>
      <c r="EW112">
        <v>0</v>
      </c>
      <c r="EX112">
        <v>0</v>
      </c>
      <c r="EY112">
        <v>0</v>
      </c>
      <c r="EZ112"/>
      <c r="FA112">
        <v>5.9</v>
      </c>
      <c r="FB112"/>
      <c r="FC112"/>
      <c r="FD112"/>
      <c r="FE112"/>
      <c r="FF112"/>
      <c r="FG112" s="94">
        <v>333</v>
      </c>
      <c r="FH112" s="94">
        <v>266</v>
      </c>
      <c r="FI112" s="94">
        <v>303</v>
      </c>
    </row>
    <row r="113" spans="1:165" s="66" customFormat="1" x14ac:dyDescent="0.35">
      <c r="A113" s="19"/>
      <c r="B113" s="19"/>
      <c r="C113" s="19"/>
      <c r="D113" s="19"/>
      <c r="E113" s="19"/>
      <c r="F113" s="128"/>
      <c r="G113" s="19"/>
      <c r="H113" s="19"/>
      <c r="I113" s="19"/>
      <c r="J113" s="19"/>
      <c r="K113" s="19" t="str">
        <f>_xlfn.CONCAT(A114," ",C114," ",D114)</f>
        <v>2026 Cadillac VISTIQ (11 kW Charger)</v>
      </c>
      <c r="L113" s="19"/>
      <c r="M113" s="19"/>
      <c r="N113" s="19"/>
      <c r="O113" s="19"/>
      <c r="P113" s="19"/>
      <c r="Q113" s="19"/>
      <c r="R113" s="19"/>
      <c r="S113" s="19"/>
      <c r="T113" s="19"/>
      <c r="U113" s="19"/>
      <c r="V113" s="19"/>
      <c r="W113" s="19"/>
      <c r="X113" s="19"/>
      <c r="Y113" s="19"/>
      <c r="Z113" s="19"/>
      <c r="AA113" s="19"/>
      <c r="AB113" s="19" t="str">
        <f>$K113</f>
        <v>2026 Cadillac VISTIQ (11 kW Charger)</v>
      </c>
      <c r="AC113" s="19"/>
      <c r="AD113" s="19"/>
      <c r="AE113" s="19"/>
      <c r="AF113" s="19"/>
      <c r="AG113" s="19"/>
      <c r="AH113" s="19"/>
      <c r="AI113" s="19"/>
      <c r="AJ113" s="19"/>
      <c r="AK113" s="19"/>
      <c r="AL113" s="19"/>
      <c r="AM113" s="19"/>
      <c r="AN113" s="19"/>
      <c r="AO113" s="19"/>
      <c r="AP113" s="19"/>
      <c r="AQ113" s="19"/>
      <c r="AR113" s="19" t="str">
        <f>$K113</f>
        <v>2026 Cadillac VISTIQ (11 kW Charger)</v>
      </c>
      <c r="AS113" s="19"/>
      <c r="AT113" s="19"/>
      <c r="AU113" s="19"/>
      <c r="AV113" s="19"/>
      <c r="AW113" s="19"/>
      <c r="AX113" s="19"/>
      <c r="AY113" s="19"/>
      <c r="AZ113" s="19"/>
      <c r="BA113" s="19"/>
      <c r="BB113" s="19"/>
      <c r="BC113" s="19"/>
      <c r="BD113" s="19"/>
      <c r="BE113" s="19"/>
      <c r="BF113" s="19"/>
      <c r="BG113" s="19" t="str">
        <f>$K113</f>
        <v>2026 Cadillac VISTIQ (11 kW Charger)</v>
      </c>
      <c r="BH113" s="19"/>
      <c r="BI113" s="19"/>
      <c r="BJ113" s="19"/>
      <c r="BK113" s="19"/>
      <c r="BL113" s="19"/>
      <c r="BM113" s="129"/>
      <c r="BN113" s="19"/>
      <c r="BO113" s="19"/>
      <c r="BP113" s="19"/>
      <c r="BQ113" s="19"/>
      <c r="BR113" s="19"/>
      <c r="BS113" s="19"/>
      <c r="BT113" s="130"/>
      <c r="BU113" s="19"/>
      <c r="BV113" s="19"/>
      <c r="BW113" s="116"/>
      <c r="BX113" s="19"/>
      <c r="BY113" s="19"/>
      <c r="BZ113" s="19"/>
      <c r="CA113" s="19"/>
      <c r="CB113" s="19"/>
      <c r="CC113" s="19"/>
      <c r="CD113" s="19"/>
      <c r="CE113" s="19"/>
      <c r="CF113" s="19"/>
      <c r="CG113" s="19"/>
      <c r="CH113" s="19"/>
      <c r="CI113" s="19"/>
      <c r="CJ113" s="19"/>
      <c r="CK113" s="19"/>
      <c r="CL113" s="19"/>
      <c r="CM113" s="19" t="str">
        <f>$K113</f>
        <v>2026 Cadillac VISTIQ (11 kW Charger)</v>
      </c>
      <c r="CN113" s="19"/>
      <c r="CO113" s="19"/>
      <c r="CP113" s="19"/>
      <c r="CQ113" s="19"/>
      <c r="CR113" s="19"/>
      <c r="CS113" s="19"/>
      <c r="CT113" s="19"/>
      <c r="CU113" s="19"/>
      <c r="CV113" s="19"/>
      <c r="CW113" s="19"/>
      <c r="CX113" s="19"/>
      <c r="CY113" s="19"/>
      <c r="CZ113" s="19"/>
      <c r="DA113" s="19"/>
      <c r="DB113" s="19"/>
      <c r="DC113" s="19"/>
      <c r="DD113" s="19" t="str">
        <f>$K113</f>
        <v>2026 Cadillac VISTIQ (11 kW Charger)</v>
      </c>
      <c r="DE113" s="19"/>
      <c r="DF113" s="19"/>
      <c r="DG113" s="19"/>
      <c r="DH113" s="19"/>
      <c r="DI113" s="19"/>
      <c r="DJ113" s="19"/>
      <c r="DK113" s="19"/>
      <c r="DL113" s="19"/>
      <c r="DM113" s="19"/>
      <c r="DN113" s="19"/>
      <c r="DO113" s="19"/>
      <c r="DP113" s="19"/>
      <c r="DQ113" s="19"/>
      <c r="DR113" s="19"/>
      <c r="DS113" s="19"/>
      <c r="DT113" s="19"/>
      <c r="DU113" s="19" t="str">
        <f>$K113</f>
        <v>2026 Cadillac VISTIQ (11 kW Charger)</v>
      </c>
      <c r="DV113" s="19"/>
      <c r="DW113" s="19"/>
      <c r="DX113" s="19"/>
      <c r="DY113" s="19"/>
      <c r="DZ113" s="19"/>
      <c r="EA113" s="117"/>
      <c r="EB113" s="19"/>
      <c r="EC113" s="19"/>
      <c r="ED113" s="19"/>
      <c r="EE113" s="19"/>
      <c r="EF113" s="19"/>
      <c r="EG113"/>
      <c r="EH113"/>
      <c r="EI113"/>
      <c r="EJ113"/>
      <c r="EK113"/>
      <c r="EL113"/>
      <c r="EM113"/>
      <c r="EN113"/>
      <c r="EO113"/>
      <c r="EP113"/>
      <c r="EQ113"/>
      <c r="ER113"/>
      <c r="ES113"/>
      <c r="ET113"/>
      <c r="EU113"/>
      <c r="EV113"/>
      <c r="EW113"/>
      <c r="EX113" s="19" t="s">
        <v>1965</v>
      </c>
      <c r="EY113"/>
      <c r="EZ113"/>
      <c r="FA113"/>
      <c r="FB113"/>
      <c r="FC113"/>
      <c r="FD113"/>
      <c r="FE113"/>
      <c r="FF113"/>
      <c r="FG113"/>
      <c r="FH113"/>
      <c r="FI113"/>
    </row>
    <row r="114" spans="1:165" s="66" customFormat="1" x14ac:dyDescent="0.35">
      <c r="A114">
        <v>2026</v>
      </c>
      <c r="B114" t="s">
        <v>211</v>
      </c>
      <c r="C114" s="112" t="s">
        <v>388</v>
      </c>
      <c r="D114" t="s">
        <v>1446</v>
      </c>
      <c r="E114" t="s">
        <v>214</v>
      </c>
      <c r="F114">
        <v>400</v>
      </c>
      <c r="G114" s="113">
        <v>0</v>
      </c>
      <c r="H114"/>
      <c r="I114" t="s">
        <v>1391</v>
      </c>
      <c r="J114">
        <v>93</v>
      </c>
      <c r="K114">
        <v>78</v>
      </c>
      <c r="L114">
        <v>86</v>
      </c>
      <c r="M114">
        <v>133.1</v>
      </c>
      <c r="N114">
        <v>111.4</v>
      </c>
      <c r="O114">
        <v>122.37309999999999</v>
      </c>
      <c r="P114">
        <v>93.17</v>
      </c>
      <c r="Q114">
        <v>77.98</v>
      </c>
      <c r="R114">
        <v>85.661199999999994</v>
      </c>
      <c r="S114"/>
      <c r="T114"/>
      <c r="U114"/>
      <c r="V114" t="s">
        <v>170</v>
      </c>
      <c r="W114" t="s">
        <v>171</v>
      </c>
      <c r="X114" t="s">
        <v>1436</v>
      </c>
      <c r="Y114">
        <v>1</v>
      </c>
      <c r="Z114" t="s">
        <v>173</v>
      </c>
      <c r="AA114" t="s">
        <v>173</v>
      </c>
      <c r="AB114" t="s">
        <v>170</v>
      </c>
      <c r="AC114" t="s">
        <v>232</v>
      </c>
      <c r="AD114"/>
      <c r="AE114"/>
      <c r="AF114">
        <v>305</v>
      </c>
      <c r="AG114" t="s">
        <v>1392</v>
      </c>
      <c r="AH114" t="s">
        <v>1393</v>
      </c>
      <c r="AI114" t="s">
        <v>178</v>
      </c>
      <c r="AJ114" t="s">
        <v>179</v>
      </c>
      <c r="AK114">
        <v>4</v>
      </c>
      <c r="AL114" t="s">
        <v>1394</v>
      </c>
      <c r="AM114"/>
      <c r="AN114"/>
      <c r="AO114"/>
      <c r="AP114"/>
      <c r="AQ114"/>
      <c r="AR114"/>
      <c r="AS114">
        <v>1000</v>
      </c>
      <c r="AT114">
        <v>1000</v>
      </c>
      <c r="AU114"/>
      <c r="AV114"/>
      <c r="AW114"/>
      <c r="AX114"/>
      <c r="AY114"/>
      <c r="AZ114"/>
      <c r="BA114"/>
      <c r="BB114"/>
      <c r="BC114"/>
      <c r="BD114"/>
      <c r="BE114"/>
      <c r="BF114"/>
      <c r="BG114"/>
      <c r="BH114"/>
      <c r="BI114"/>
      <c r="BJ114"/>
      <c r="BK114"/>
      <c r="BL114"/>
      <c r="BM114"/>
      <c r="BN114" s="114"/>
      <c r="BO114"/>
      <c r="BP114"/>
      <c r="BQ114">
        <v>33</v>
      </c>
      <c r="BR114" t="s">
        <v>1062</v>
      </c>
      <c r="BS114"/>
      <c r="BT114" t="s">
        <v>1395</v>
      </c>
      <c r="BU114" s="115">
        <v>45762</v>
      </c>
      <c r="BV114">
        <v>36422</v>
      </c>
      <c r="BW114" s="116"/>
      <c r="BX114" t="s">
        <v>173</v>
      </c>
      <c r="BY114" t="s">
        <v>173</v>
      </c>
      <c r="BZ114"/>
      <c r="CA114"/>
      <c r="CB114" t="s">
        <v>173</v>
      </c>
      <c r="CC114" t="s">
        <v>173</v>
      </c>
      <c r="CD114"/>
      <c r="CE114"/>
      <c r="CF114"/>
      <c r="CG114"/>
      <c r="CH114"/>
      <c r="CI114"/>
      <c r="CJ114"/>
      <c r="CK114" t="s">
        <v>259</v>
      </c>
      <c r="CL114"/>
      <c r="CM114">
        <v>1</v>
      </c>
      <c r="CN114" t="s">
        <v>260</v>
      </c>
      <c r="CO114"/>
      <c r="CP114">
        <v>403</v>
      </c>
      <c r="CQ114">
        <v>290</v>
      </c>
      <c r="CR114">
        <v>162</v>
      </c>
      <c r="CS114" t="s">
        <v>1437</v>
      </c>
      <c r="CT114"/>
      <c r="CU114"/>
      <c r="CV114" t="s">
        <v>262</v>
      </c>
      <c r="CW114"/>
      <c r="CX114" t="s">
        <v>263</v>
      </c>
      <c r="CY114" t="s">
        <v>172</v>
      </c>
      <c r="CZ114"/>
      <c r="DA114"/>
      <c r="DB114"/>
      <c r="DC114"/>
      <c r="DD114">
        <v>2</v>
      </c>
      <c r="DE114" t="s">
        <v>760</v>
      </c>
      <c r="DF114"/>
      <c r="DG114" t="s">
        <v>1441</v>
      </c>
      <c r="DH114"/>
      <c r="DI114"/>
      <c r="DJ114"/>
      <c r="DK114"/>
      <c r="DL114" t="s">
        <v>173</v>
      </c>
      <c r="DM114" t="s">
        <v>173</v>
      </c>
      <c r="DN114"/>
      <c r="DO114"/>
      <c r="DP114" t="s">
        <v>173</v>
      </c>
      <c r="DQ114" t="s">
        <v>189</v>
      </c>
      <c r="DR114" t="s">
        <v>1447</v>
      </c>
      <c r="DS114"/>
      <c r="DT114"/>
      <c r="DU114"/>
      <c r="DV114"/>
      <c r="DW114"/>
      <c r="DX114"/>
      <c r="DY114"/>
      <c r="DZ114"/>
      <c r="EA114" s="117"/>
      <c r="EB114">
        <v>9</v>
      </c>
      <c r="EC114">
        <v>10</v>
      </c>
      <c r="ED114"/>
      <c r="EE114" t="s">
        <v>1443</v>
      </c>
      <c r="EF114">
        <v>10</v>
      </c>
      <c r="EG114"/>
      <c r="EH114"/>
      <c r="EI114"/>
      <c r="EJ114"/>
      <c r="EK114"/>
      <c r="EL114"/>
      <c r="EM114"/>
      <c r="EN114"/>
      <c r="EO114"/>
      <c r="EP114"/>
      <c r="EQ114"/>
      <c r="ER114"/>
      <c r="ES114"/>
      <c r="ET114"/>
      <c r="EU114">
        <v>3500</v>
      </c>
      <c r="EV114"/>
      <c r="EW114">
        <v>0</v>
      </c>
      <c r="EX114">
        <v>0</v>
      </c>
      <c r="EY114">
        <v>0</v>
      </c>
      <c r="EZ114"/>
      <c r="FA114">
        <v>11.2</v>
      </c>
      <c r="FB114"/>
      <c r="FC114"/>
      <c r="FD114"/>
      <c r="FE114"/>
      <c r="FF114"/>
      <c r="FG114" s="94">
        <v>329</v>
      </c>
      <c r="FH114" s="94">
        <v>275</v>
      </c>
      <c r="FI114" s="94">
        <v>305</v>
      </c>
    </row>
    <row r="115" spans="1:165" s="66" customFormat="1" x14ac:dyDescent="0.35">
      <c r="A115">
        <v>2026</v>
      </c>
      <c r="B115" t="s">
        <v>211</v>
      </c>
      <c r="C115" s="112" t="s">
        <v>388</v>
      </c>
      <c r="D115" t="s">
        <v>1446</v>
      </c>
      <c r="E115" t="s">
        <v>214</v>
      </c>
      <c r="F115">
        <v>400</v>
      </c>
      <c r="G115" s="113">
        <v>0</v>
      </c>
      <c r="H115"/>
      <c r="I115" t="s">
        <v>1391</v>
      </c>
      <c r="J115">
        <v>36</v>
      </c>
      <c r="K115">
        <v>43</v>
      </c>
      <c r="L115">
        <v>39</v>
      </c>
      <c r="M115">
        <v>25.328099999999999</v>
      </c>
      <c r="N115">
        <v>30.264099999999999</v>
      </c>
      <c r="O115">
        <v>27.549299999999999</v>
      </c>
      <c r="P115">
        <v>36.175800000000002</v>
      </c>
      <c r="Q115">
        <v>43.2226</v>
      </c>
      <c r="R115">
        <v>39.346899999999998</v>
      </c>
      <c r="S115"/>
      <c r="T115"/>
      <c r="U115"/>
      <c r="V115" t="s">
        <v>170</v>
      </c>
      <c r="W115" t="s">
        <v>171</v>
      </c>
      <c r="X115" t="s">
        <v>1436</v>
      </c>
      <c r="Y115">
        <v>1</v>
      </c>
      <c r="Z115" t="s">
        <v>173</v>
      </c>
      <c r="AA115" t="s">
        <v>173</v>
      </c>
      <c r="AB115" t="s">
        <v>170</v>
      </c>
      <c r="AC115" t="s">
        <v>232</v>
      </c>
      <c r="AD115"/>
      <c r="AE115"/>
      <c r="AF115">
        <v>305</v>
      </c>
      <c r="AG115" t="s">
        <v>1392</v>
      </c>
      <c r="AH115" t="s">
        <v>1393</v>
      </c>
      <c r="AI115" t="s">
        <v>1399</v>
      </c>
      <c r="AJ115" t="s">
        <v>1400</v>
      </c>
      <c r="AK115">
        <v>4</v>
      </c>
      <c r="AL115" t="s">
        <v>1394</v>
      </c>
      <c r="AM115"/>
      <c r="AN115"/>
      <c r="AO115"/>
      <c r="AP115"/>
      <c r="AQ115"/>
      <c r="AR115"/>
      <c r="AS115">
        <v>1000</v>
      </c>
      <c r="AT115">
        <v>1000</v>
      </c>
      <c r="AU115"/>
      <c r="AV115"/>
      <c r="AW115"/>
      <c r="AX115"/>
      <c r="AY115"/>
      <c r="AZ115"/>
      <c r="BA115"/>
      <c r="BB115"/>
      <c r="BC115"/>
      <c r="BD115"/>
      <c r="BE115"/>
      <c r="BF115"/>
      <c r="BG115"/>
      <c r="BH115"/>
      <c r="BI115"/>
      <c r="BJ115"/>
      <c r="BK115"/>
      <c r="BL115"/>
      <c r="BM115"/>
      <c r="BN115" s="114"/>
      <c r="BO115"/>
      <c r="BP115"/>
      <c r="BQ115">
        <v>33</v>
      </c>
      <c r="BR115" t="s">
        <v>1062</v>
      </c>
      <c r="BS115"/>
      <c r="BT115" t="s">
        <v>1395</v>
      </c>
      <c r="BU115" s="115">
        <v>45762</v>
      </c>
      <c r="BV115">
        <v>36422</v>
      </c>
      <c r="BW115" s="116"/>
      <c r="BX115" t="s">
        <v>173</v>
      </c>
      <c r="BY115" t="s">
        <v>173</v>
      </c>
      <c r="BZ115"/>
      <c r="CA115"/>
      <c r="CB115" t="s">
        <v>173</v>
      </c>
      <c r="CC115" t="s">
        <v>173</v>
      </c>
      <c r="CD115"/>
      <c r="CE115"/>
      <c r="CF115"/>
      <c r="CG115"/>
      <c r="CH115"/>
      <c r="CI115"/>
      <c r="CJ115"/>
      <c r="CK115" t="s">
        <v>259</v>
      </c>
      <c r="CL115"/>
      <c r="CM115">
        <v>1</v>
      </c>
      <c r="CN115" t="s">
        <v>260</v>
      </c>
      <c r="CO115"/>
      <c r="CP115">
        <v>403</v>
      </c>
      <c r="CQ115">
        <v>290</v>
      </c>
      <c r="CR115">
        <v>162</v>
      </c>
      <c r="CS115" t="s">
        <v>1437</v>
      </c>
      <c r="CT115"/>
      <c r="CU115"/>
      <c r="CV115" t="s">
        <v>262</v>
      </c>
      <c r="CW115"/>
      <c r="CX115" t="s">
        <v>263</v>
      </c>
      <c r="CY115" t="s">
        <v>172</v>
      </c>
      <c r="CZ115"/>
      <c r="DA115"/>
      <c r="DB115"/>
      <c r="DC115"/>
      <c r="DD115">
        <v>2</v>
      </c>
      <c r="DE115" t="s">
        <v>760</v>
      </c>
      <c r="DF115"/>
      <c r="DG115" t="s">
        <v>1441</v>
      </c>
      <c r="DH115"/>
      <c r="DI115"/>
      <c r="DJ115"/>
      <c r="DK115"/>
      <c r="DL115" t="s">
        <v>173</v>
      </c>
      <c r="DM115" t="s">
        <v>173</v>
      </c>
      <c r="DN115"/>
      <c r="DO115"/>
      <c r="DP115" t="s">
        <v>173</v>
      </c>
      <c r="DQ115" t="s">
        <v>189</v>
      </c>
      <c r="DR115" t="s">
        <v>1447</v>
      </c>
      <c r="DS115"/>
      <c r="DT115"/>
      <c r="DU115"/>
      <c r="DV115"/>
      <c r="DW115"/>
      <c r="DX115"/>
      <c r="DY115"/>
      <c r="DZ115"/>
      <c r="EA115" s="117"/>
      <c r="EB115">
        <v>9</v>
      </c>
      <c r="EC115">
        <v>10</v>
      </c>
      <c r="ED115"/>
      <c r="EE115" t="s">
        <v>1443</v>
      </c>
      <c r="EF115">
        <v>10</v>
      </c>
      <c r="EG115"/>
      <c r="EH115"/>
      <c r="EI115"/>
      <c r="EJ115"/>
      <c r="EK115"/>
      <c r="EL115"/>
      <c r="EM115"/>
      <c r="EN115"/>
      <c r="EO115"/>
      <c r="EP115"/>
      <c r="EQ115"/>
      <c r="ER115"/>
      <c r="ES115"/>
      <c r="ET115"/>
      <c r="EU115">
        <v>3500</v>
      </c>
      <c r="EV115"/>
      <c r="EW115">
        <v>0</v>
      </c>
      <c r="EX115">
        <v>0</v>
      </c>
      <c r="EY115">
        <v>0</v>
      </c>
      <c r="EZ115"/>
      <c r="FA115">
        <v>11.2</v>
      </c>
      <c r="FB115"/>
      <c r="FC115"/>
      <c r="FD115"/>
      <c r="FE115"/>
      <c r="FF115"/>
      <c r="FG115" s="94">
        <v>329</v>
      </c>
      <c r="FH115" s="94">
        <v>275</v>
      </c>
      <c r="FI115" s="94">
        <v>305</v>
      </c>
    </row>
    <row r="116" spans="1:165" s="66" customFormat="1" x14ac:dyDescent="0.35">
      <c r="A116" s="19"/>
      <c r="B116" s="19"/>
      <c r="C116" s="19"/>
      <c r="D116" s="19"/>
      <c r="E116" s="19"/>
      <c r="F116" s="128"/>
      <c r="G116" s="19"/>
      <c r="H116" s="19"/>
      <c r="I116" s="19"/>
      <c r="J116" s="19"/>
      <c r="K116" s="19" t="str">
        <f>_xlfn.CONCAT(A117," ",C117," ",D117)</f>
        <v>2026 Cadillac VISTIQ (19 kW Charger)</v>
      </c>
      <c r="L116" s="19"/>
      <c r="M116" s="19"/>
      <c r="N116" s="19"/>
      <c r="O116" s="19"/>
      <c r="P116" s="19"/>
      <c r="Q116" s="19"/>
      <c r="R116" s="19"/>
      <c r="S116" s="19"/>
      <c r="T116" s="19"/>
      <c r="U116" s="19"/>
      <c r="V116" s="19"/>
      <c r="W116" s="19"/>
      <c r="X116" s="19"/>
      <c r="Y116" s="19"/>
      <c r="Z116" s="19"/>
      <c r="AA116" s="19"/>
      <c r="AB116" s="19" t="str">
        <f>$K116</f>
        <v>2026 Cadillac VISTIQ (19 kW Charger)</v>
      </c>
      <c r="AC116" s="19"/>
      <c r="AD116" s="19"/>
      <c r="AE116" s="19"/>
      <c r="AF116" s="19"/>
      <c r="AG116" s="19"/>
      <c r="AH116" s="19"/>
      <c r="AI116" s="19"/>
      <c r="AJ116" s="19"/>
      <c r="AK116" s="19"/>
      <c r="AL116" s="19"/>
      <c r="AM116" s="19"/>
      <c r="AN116" s="19"/>
      <c r="AO116" s="19"/>
      <c r="AP116" s="19"/>
      <c r="AQ116" s="19"/>
      <c r="AR116" s="19" t="str">
        <f>$K116</f>
        <v>2026 Cadillac VISTIQ (19 kW Charger)</v>
      </c>
      <c r="AS116" s="19"/>
      <c r="AT116" s="19"/>
      <c r="AU116" s="19"/>
      <c r="AV116" s="19"/>
      <c r="AW116" s="19"/>
      <c r="AX116" s="19"/>
      <c r="AY116" s="19"/>
      <c r="AZ116" s="19"/>
      <c r="BA116" s="19"/>
      <c r="BB116" s="19"/>
      <c r="BC116" s="19"/>
      <c r="BD116" s="19"/>
      <c r="BE116" s="19"/>
      <c r="BF116" s="19"/>
      <c r="BG116" s="19" t="str">
        <f>$K116</f>
        <v>2026 Cadillac VISTIQ (19 kW Charger)</v>
      </c>
      <c r="BH116" s="19"/>
      <c r="BI116" s="19"/>
      <c r="BJ116" s="19"/>
      <c r="BK116" s="19"/>
      <c r="BL116" s="19"/>
      <c r="BM116" s="129"/>
      <c r="BN116" s="19"/>
      <c r="BO116" s="19"/>
      <c r="BP116" s="19"/>
      <c r="BQ116" s="19"/>
      <c r="BR116" s="19"/>
      <c r="BS116" s="19"/>
      <c r="BT116" s="130"/>
      <c r="BU116" s="19"/>
      <c r="BV116" s="19"/>
      <c r="BW116" s="116"/>
      <c r="BX116" s="19"/>
      <c r="BY116" s="19"/>
      <c r="BZ116" s="19"/>
      <c r="CA116" s="19"/>
      <c r="CB116" s="19"/>
      <c r="CC116" s="19"/>
      <c r="CD116" s="19"/>
      <c r="CE116" s="19"/>
      <c r="CF116" s="19"/>
      <c r="CG116" s="19"/>
      <c r="CH116" s="19"/>
      <c r="CI116" s="19"/>
      <c r="CJ116" s="19"/>
      <c r="CK116" s="19"/>
      <c r="CL116" s="19"/>
      <c r="CM116" s="19" t="str">
        <f>$K116</f>
        <v>2026 Cadillac VISTIQ (19 kW Charger)</v>
      </c>
      <c r="CN116" s="19"/>
      <c r="CO116" s="19"/>
      <c r="CP116" s="19"/>
      <c r="CQ116" s="19"/>
      <c r="CR116" s="19"/>
      <c r="CS116" s="19"/>
      <c r="CT116" s="19"/>
      <c r="CU116" s="19"/>
      <c r="CV116" s="19"/>
      <c r="CW116" s="19"/>
      <c r="CX116" s="19"/>
      <c r="CY116" s="19"/>
      <c r="CZ116" s="19"/>
      <c r="DA116" s="19"/>
      <c r="DB116" s="19"/>
      <c r="DC116" s="19"/>
      <c r="DD116" s="19" t="str">
        <f>$K116</f>
        <v>2026 Cadillac VISTIQ (19 kW Charger)</v>
      </c>
      <c r="DE116" s="19"/>
      <c r="DF116" s="19"/>
      <c r="DG116" s="19"/>
      <c r="DH116" s="19"/>
      <c r="DI116" s="19"/>
      <c r="DJ116" s="19"/>
      <c r="DK116" s="19"/>
      <c r="DL116" s="19"/>
      <c r="DM116" s="19"/>
      <c r="DN116" s="19"/>
      <c r="DO116" s="19"/>
      <c r="DP116" s="19"/>
      <c r="DQ116" s="19"/>
      <c r="DR116" s="19"/>
      <c r="DS116" s="19"/>
      <c r="DT116" s="19"/>
      <c r="DU116" s="19" t="str">
        <f>$K116</f>
        <v>2026 Cadillac VISTIQ (19 kW Charger)</v>
      </c>
      <c r="DV116" s="19"/>
      <c r="DW116" s="19"/>
      <c r="DX116" s="19"/>
      <c r="DY116" s="19"/>
      <c r="DZ116" s="19"/>
      <c r="EA116" s="117"/>
      <c r="EB116" s="19"/>
      <c r="EC116" s="19"/>
      <c r="ED116" s="19"/>
      <c r="EE116" s="19"/>
      <c r="EF116" s="19"/>
      <c r="EG116"/>
      <c r="EH116"/>
      <c r="EI116"/>
      <c r="EJ116"/>
      <c r="EK116"/>
      <c r="EL116"/>
      <c r="EM116"/>
      <c r="EN116"/>
      <c r="EO116"/>
      <c r="EP116"/>
      <c r="EQ116"/>
      <c r="ER116"/>
      <c r="ES116"/>
      <c r="ET116"/>
      <c r="EU116"/>
      <c r="EV116"/>
      <c r="EW116"/>
      <c r="EX116" s="19" t="s">
        <v>1966</v>
      </c>
      <c r="EY116"/>
      <c r="EZ116"/>
      <c r="FA116"/>
      <c r="FB116"/>
      <c r="FC116"/>
      <c r="FD116"/>
      <c r="FE116"/>
      <c r="FF116"/>
      <c r="FG116"/>
      <c r="FH116"/>
      <c r="FI116"/>
    </row>
    <row r="117" spans="1:165" s="66" customFormat="1" x14ac:dyDescent="0.35">
      <c r="A117">
        <v>2026</v>
      </c>
      <c r="B117" t="s">
        <v>211</v>
      </c>
      <c r="C117" s="112" t="s">
        <v>388</v>
      </c>
      <c r="D117" t="s">
        <v>1448</v>
      </c>
      <c r="E117" t="s">
        <v>214</v>
      </c>
      <c r="F117">
        <v>401</v>
      </c>
      <c r="G117" s="113">
        <v>0</v>
      </c>
      <c r="H117"/>
      <c r="I117" t="s">
        <v>1391</v>
      </c>
      <c r="J117">
        <v>93</v>
      </c>
      <c r="K117">
        <v>78</v>
      </c>
      <c r="L117">
        <v>86</v>
      </c>
      <c r="M117">
        <v>133.1</v>
      </c>
      <c r="N117">
        <v>111.4</v>
      </c>
      <c r="O117">
        <v>122.37309999999999</v>
      </c>
      <c r="P117">
        <v>93.17</v>
      </c>
      <c r="Q117">
        <v>77.98</v>
      </c>
      <c r="R117">
        <v>85.661199999999994</v>
      </c>
      <c r="S117"/>
      <c r="T117"/>
      <c r="U117"/>
      <c r="V117" t="s">
        <v>170</v>
      </c>
      <c r="W117" t="s">
        <v>171</v>
      </c>
      <c r="X117" t="s">
        <v>1436</v>
      </c>
      <c r="Y117">
        <v>1</v>
      </c>
      <c r="Z117" t="s">
        <v>173</v>
      </c>
      <c r="AA117" t="s">
        <v>173</v>
      </c>
      <c r="AB117" t="s">
        <v>170</v>
      </c>
      <c r="AC117" t="s">
        <v>232</v>
      </c>
      <c r="AD117"/>
      <c r="AE117"/>
      <c r="AF117">
        <v>300</v>
      </c>
      <c r="AG117" t="s">
        <v>1392</v>
      </c>
      <c r="AH117" t="s">
        <v>1393</v>
      </c>
      <c r="AI117" t="s">
        <v>178</v>
      </c>
      <c r="AJ117" t="s">
        <v>179</v>
      </c>
      <c r="AK117">
        <v>4</v>
      </c>
      <c r="AL117" t="s">
        <v>1394</v>
      </c>
      <c r="AM117"/>
      <c r="AN117"/>
      <c r="AO117"/>
      <c r="AP117"/>
      <c r="AQ117"/>
      <c r="AR117"/>
      <c r="AS117">
        <v>1000</v>
      </c>
      <c r="AT117">
        <v>1000</v>
      </c>
      <c r="AU117"/>
      <c r="AV117"/>
      <c r="AW117"/>
      <c r="AX117"/>
      <c r="AY117"/>
      <c r="AZ117"/>
      <c r="BA117"/>
      <c r="BB117"/>
      <c r="BC117"/>
      <c r="BD117"/>
      <c r="BE117"/>
      <c r="BF117"/>
      <c r="BG117"/>
      <c r="BH117"/>
      <c r="BI117"/>
      <c r="BJ117"/>
      <c r="BK117"/>
      <c r="BL117"/>
      <c r="BM117"/>
      <c r="BN117" s="114"/>
      <c r="BO117"/>
      <c r="BP117"/>
      <c r="BQ117">
        <v>33</v>
      </c>
      <c r="BR117" t="s">
        <v>1062</v>
      </c>
      <c r="BS117"/>
      <c r="BT117" t="s">
        <v>1395</v>
      </c>
      <c r="BU117" s="115">
        <v>45762</v>
      </c>
      <c r="BV117">
        <v>36437</v>
      </c>
      <c r="BW117" s="116"/>
      <c r="BX117" t="s">
        <v>173</v>
      </c>
      <c r="BY117" t="s">
        <v>173</v>
      </c>
      <c r="BZ117"/>
      <c r="CA117"/>
      <c r="CB117" t="s">
        <v>173</v>
      </c>
      <c r="CC117" t="s">
        <v>173</v>
      </c>
      <c r="CD117"/>
      <c r="CE117"/>
      <c r="CF117"/>
      <c r="CG117"/>
      <c r="CH117"/>
      <c r="CI117"/>
      <c r="CJ117"/>
      <c r="CK117" t="s">
        <v>259</v>
      </c>
      <c r="CL117"/>
      <c r="CM117">
        <v>1</v>
      </c>
      <c r="CN117" t="s">
        <v>260</v>
      </c>
      <c r="CO117"/>
      <c r="CP117">
        <v>403</v>
      </c>
      <c r="CQ117">
        <v>290</v>
      </c>
      <c r="CR117">
        <v>162</v>
      </c>
      <c r="CS117" t="s">
        <v>1437</v>
      </c>
      <c r="CT117"/>
      <c r="CU117"/>
      <c r="CV117" t="s">
        <v>262</v>
      </c>
      <c r="CW117"/>
      <c r="CX117" t="s">
        <v>263</v>
      </c>
      <c r="CY117" t="s">
        <v>172</v>
      </c>
      <c r="CZ117"/>
      <c r="DA117"/>
      <c r="DB117"/>
      <c r="DC117"/>
      <c r="DD117">
        <v>2</v>
      </c>
      <c r="DE117" t="s">
        <v>760</v>
      </c>
      <c r="DF117"/>
      <c r="DG117" t="s">
        <v>1441</v>
      </c>
      <c r="DH117"/>
      <c r="DI117"/>
      <c r="DJ117"/>
      <c r="DK117"/>
      <c r="DL117" t="s">
        <v>173</v>
      </c>
      <c r="DM117" t="s">
        <v>173</v>
      </c>
      <c r="DN117"/>
      <c r="DO117"/>
      <c r="DP117" t="s">
        <v>173</v>
      </c>
      <c r="DQ117" t="s">
        <v>189</v>
      </c>
      <c r="DR117" t="s">
        <v>1447</v>
      </c>
      <c r="DS117"/>
      <c r="DT117"/>
      <c r="DU117"/>
      <c r="DV117"/>
      <c r="DW117"/>
      <c r="DX117"/>
      <c r="DY117"/>
      <c r="DZ117"/>
      <c r="EA117" s="117"/>
      <c r="EB117">
        <v>9</v>
      </c>
      <c r="EC117">
        <v>10</v>
      </c>
      <c r="ED117"/>
      <c r="EE117" t="s">
        <v>1443</v>
      </c>
      <c r="EF117">
        <v>10</v>
      </c>
      <c r="EG117"/>
      <c r="EH117"/>
      <c r="EI117"/>
      <c r="EJ117"/>
      <c r="EK117"/>
      <c r="EL117"/>
      <c r="EM117"/>
      <c r="EN117"/>
      <c r="EO117"/>
      <c r="EP117"/>
      <c r="EQ117"/>
      <c r="ER117"/>
      <c r="ES117"/>
      <c r="ET117"/>
      <c r="EU117">
        <v>3500</v>
      </c>
      <c r="EV117"/>
      <c r="EW117">
        <v>0</v>
      </c>
      <c r="EX117">
        <v>0</v>
      </c>
      <c r="EY117">
        <v>0</v>
      </c>
      <c r="EZ117"/>
      <c r="FA117">
        <v>7</v>
      </c>
      <c r="FB117"/>
      <c r="FC117"/>
      <c r="FD117"/>
      <c r="FE117"/>
      <c r="FF117"/>
      <c r="FG117" s="94">
        <v>324</v>
      </c>
      <c r="FH117" s="94">
        <v>271</v>
      </c>
      <c r="FI117" s="94">
        <v>300</v>
      </c>
    </row>
    <row r="118" spans="1:165" s="66" customFormat="1" x14ac:dyDescent="0.35">
      <c r="A118">
        <v>2026</v>
      </c>
      <c r="B118" t="s">
        <v>211</v>
      </c>
      <c r="C118" s="112" t="s">
        <v>388</v>
      </c>
      <c r="D118" t="s">
        <v>1448</v>
      </c>
      <c r="E118" t="s">
        <v>214</v>
      </c>
      <c r="F118">
        <v>401</v>
      </c>
      <c r="G118" s="113">
        <v>0</v>
      </c>
      <c r="H118"/>
      <c r="I118" t="s">
        <v>1391</v>
      </c>
      <c r="J118">
        <v>36</v>
      </c>
      <c r="K118">
        <v>43</v>
      </c>
      <c r="L118">
        <v>39</v>
      </c>
      <c r="M118">
        <v>25.328099999999999</v>
      </c>
      <c r="N118">
        <v>30.264099999999999</v>
      </c>
      <c r="O118">
        <v>27.549299999999999</v>
      </c>
      <c r="P118">
        <v>36.175800000000002</v>
      </c>
      <c r="Q118">
        <v>43.2226</v>
      </c>
      <c r="R118">
        <v>39.346899999999998</v>
      </c>
      <c r="S118"/>
      <c r="T118"/>
      <c r="U118"/>
      <c r="V118" t="s">
        <v>170</v>
      </c>
      <c r="W118" t="s">
        <v>171</v>
      </c>
      <c r="X118" t="s">
        <v>1436</v>
      </c>
      <c r="Y118">
        <v>1</v>
      </c>
      <c r="Z118" t="s">
        <v>173</v>
      </c>
      <c r="AA118" t="s">
        <v>173</v>
      </c>
      <c r="AB118" t="s">
        <v>170</v>
      </c>
      <c r="AC118" t="s">
        <v>232</v>
      </c>
      <c r="AD118"/>
      <c r="AE118"/>
      <c r="AF118">
        <v>300</v>
      </c>
      <c r="AG118" t="s">
        <v>1392</v>
      </c>
      <c r="AH118" t="s">
        <v>1393</v>
      </c>
      <c r="AI118" t="s">
        <v>1399</v>
      </c>
      <c r="AJ118" t="s">
        <v>1400</v>
      </c>
      <c r="AK118">
        <v>4</v>
      </c>
      <c r="AL118" t="s">
        <v>1394</v>
      </c>
      <c r="AM118"/>
      <c r="AN118"/>
      <c r="AO118"/>
      <c r="AP118"/>
      <c r="AQ118"/>
      <c r="AR118"/>
      <c r="AS118">
        <v>1000</v>
      </c>
      <c r="AT118">
        <v>1000</v>
      </c>
      <c r="AU118"/>
      <c r="AV118"/>
      <c r="AW118"/>
      <c r="AX118"/>
      <c r="AY118"/>
      <c r="AZ118"/>
      <c r="BA118"/>
      <c r="BB118"/>
      <c r="BC118"/>
      <c r="BD118"/>
      <c r="BE118"/>
      <c r="BF118"/>
      <c r="BG118"/>
      <c r="BH118"/>
      <c r="BI118"/>
      <c r="BJ118"/>
      <c r="BK118"/>
      <c r="BL118"/>
      <c r="BM118"/>
      <c r="BN118" s="114"/>
      <c r="BO118"/>
      <c r="BP118"/>
      <c r="BQ118">
        <v>33</v>
      </c>
      <c r="BR118" t="s">
        <v>1062</v>
      </c>
      <c r="BS118"/>
      <c r="BT118" t="s">
        <v>1395</v>
      </c>
      <c r="BU118" s="115">
        <v>45762</v>
      </c>
      <c r="BV118">
        <v>36437</v>
      </c>
      <c r="BW118" s="116"/>
      <c r="BX118" t="s">
        <v>173</v>
      </c>
      <c r="BY118" t="s">
        <v>173</v>
      </c>
      <c r="BZ118"/>
      <c r="CA118"/>
      <c r="CB118" t="s">
        <v>173</v>
      </c>
      <c r="CC118" t="s">
        <v>173</v>
      </c>
      <c r="CD118"/>
      <c r="CE118"/>
      <c r="CF118"/>
      <c r="CG118"/>
      <c r="CH118"/>
      <c r="CI118"/>
      <c r="CJ118"/>
      <c r="CK118" t="s">
        <v>259</v>
      </c>
      <c r="CL118"/>
      <c r="CM118">
        <v>1</v>
      </c>
      <c r="CN118" t="s">
        <v>260</v>
      </c>
      <c r="CO118"/>
      <c r="CP118">
        <v>403</v>
      </c>
      <c r="CQ118">
        <v>290</v>
      </c>
      <c r="CR118">
        <v>162</v>
      </c>
      <c r="CS118" t="s">
        <v>1437</v>
      </c>
      <c r="CT118"/>
      <c r="CU118"/>
      <c r="CV118" t="s">
        <v>262</v>
      </c>
      <c r="CW118"/>
      <c r="CX118" t="s">
        <v>263</v>
      </c>
      <c r="CY118" t="s">
        <v>172</v>
      </c>
      <c r="CZ118"/>
      <c r="DA118"/>
      <c r="DB118"/>
      <c r="DC118"/>
      <c r="DD118">
        <v>2</v>
      </c>
      <c r="DE118" t="s">
        <v>760</v>
      </c>
      <c r="DF118"/>
      <c r="DG118" t="s">
        <v>1441</v>
      </c>
      <c r="DH118"/>
      <c r="DI118"/>
      <c r="DJ118"/>
      <c r="DK118"/>
      <c r="DL118" t="s">
        <v>173</v>
      </c>
      <c r="DM118" t="s">
        <v>173</v>
      </c>
      <c r="DN118"/>
      <c r="DO118"/>
      <c r="DP118" t="s">
        <v>173</v>
      </c>
      <c r="DQ118" t="s">
        <v>189</v>
      </c>
      <c r="DR118" t="s">
        <v>1447</v>
      </c>
      <c r="DS118"/>
      <c r="DT118"/>
      <c r="DU118"/>
      <c r="DV118"/>
      <c r="DW118"/>
      <c r="DX118"/>
      <c r="DY118"/>
      <c r="DZ118"/>
      <c r="EA118" s="117"/>
      <c r="EB118">
        <v>9</v>
      </c>
      <c r="EC118">
        <v>10</v>
      </c>
      <c r="ED118"/>
      <c r="EE118" t="s">
        <v>1443</v>
      </c>
      <c r="EF118">
        <v>10</v>
      </c>
      <c r="EG118"/>
      <c r="EH118"/>
      <c r="EI118"/>
      <c r="EJ118"/>
      <c r="EK118"/>
      <c r="EL118"/>
      <c r="EM118"/>
      <c r="EN118"/>
      <c r="EO118"/>
      <c r="EP118"/>
      <c r="EQ118"/>
      <c r="ER118"/>
      <c r="ES118"/>
      <c r="ET118"/>
      <c r="EU118">
        <v>3500</v>
      </c>
      <c r="EV118"/>
      <c r="EW118">
        <v>0</v>
      </c>
      <c r="EX118">
        <v>0</v>
      </c>
      <c r="EY118">
        <v>0</v>
      </c>
      <c r="EZ118"/>
      <c r="FA118">
        <v>7</v>
      </c>
      <c r="FB118"/>
      <c r="FC118"/>
      <c r="FD118"/>
      <c r="FE118"/>
      <c r="FF118"/>
      <c r="FG118" s="94">
        <v>324</v>
      </c>
      <c r="FH118" s="94">
        <v>271</v>
      </c>
      <c r="FI118" s="94">
        <v>300</v>
      </c>
    </row>
    <row r="119" spans="1:165" s="66" customFormat="1" x14ac:dyDescent="0.35">
      <c r="A119" s="19"/>
      <c r="B119" s="19"/>
      <c r="C119" s="19"/>
      <c r="D119" s="19"/>
      <c r="E119" s="19"/>
      <c r="F119" s="128"/>
      <c r="G119" s="19"/>
      <c r="H119" s="19"/>
      <c r="I119" s="19"/>
      <c r="J119" s="19"/>
      <c r="K119" s="19" t="str">
        <f>_xlfn.CONCAT(A120," ",C120," ",D120)</f>
        <v>2026 Chevrolet SILVERADO EV</v>
      </c>
      <c r="L119" s="19"/>
      <c r="M119" s="19"/>
      <c r="N119" s="19"/>
      <c r="O119" s="19"/>
      <c r="P119" s="19"/>
      <c r="Q119" s="19"/>
      <c r="R119" s="19"/>
      <c r="S119" s="19"/>
      <c r="T119" s="19"/>
      <c r="U119" s="19"/>
      <c r="V119" s="19"/>
      <c r="W119" s="19"/>
      <c r="X119" s="19"/>
      <c r="Y119" s="19"/>
      <c r="Z119" s="19"/>
      <c r="AA119" s="19"/>
      <c r="AB119" s="19" t="str">
        <f>$K119</f>
        <v>2026 Chevrolet SILVERADO EV</v>
      </c>
      <c r="AC119" s="19"/>
      <c r="AD119" s="19"/>
      <c r="AE119" s="19"/>
      <c r="AF119" s="19"/>
      <c r="AG119" s="19"/>
      <c r="AH119" s="19"/>
      <c r="AI119" s="19"/>
      <c r="AJ119" s="19"/>
      <c r="AK119" s="19"/>
      <c r="AL119" s="19"/>
      <c r="AM119" s="19"/>
      <c r="AN119" s="19"/>
      <c r="AO119" s="19"/>
      <c r="AP119" s="19"/>
      <c r="AQ119" s="19"/>
      <c r="AR119" s="19" t="str">
        <f>$K119</f>
        <v>2026 Chevrolet SILVERADO EV</v>
      </c>
      <c r="AS119" s="19"/>
      <c r="AT119" s="19"/>
      <c r="AU119" s="19"/>
      <c r="AV119" s="19"/>
      <c r="AW119" s="19"/>
      <c r="AX119" s="19"/>
      <c r="AY119" s="19"/>
      <c r="AZ119" s="19"/>
      <c r="BA119" s="19"/>
      <c r="BB119" s="19"/>
      <c r="BC119" s="19"/>
      <c r="BD119" s="19"/>
      <c r="BE119" s="19"/>
      <c r="BF119" s="19"/>
      <c r="BG119" s="19" t="str">
        <f>$K119</f>
        <v>2026 Chevrolet SILVERADO EV</v>
      </c>
      <c r="BH119" s="19"/>
      <c r="BI119" s="19"/>
      <c r="BJ119" s="19"/>
      <c r="BK119" s="19"/>
      <c r="BL119" s="19"/>
      <c r="BM119" s="129"/>
      <c r="BN119" s="19"/>
      <c r="BO119" s="19"/>
      <c r="BP119" s="19"/>
      <c r="BQ119" s="19"/>
      <c r="BR119" s="19"/>
      <c r="BS119" s="19"/>
      <c r="BT119" s="130"/>
      <c r="BU119" s="19"/>
      <c r="BV119" s="19"/>
      <c r="BW119" s="116"/>
      <c r="BX119" s="19"/>
      <c r="BY119" s="19"/>
      <c r="BZ119" s="19"/>
      <c r="CA119" s="19"/>
      <c r="CB119" s="19"/>
      <c r="CC119" s="19"/>
      <c r="CD119" s="19"/>
      <c r="CE119" s="19"/>
      <c r="CF119" s="19"/>
      <c r="CG119" s="19"/>
      <c r="CH119" s="19"/>
      <c r="CI119" s="19"/>
      <c r="CJ119" s="19"/>
      <c r="CK119" s="19"/>
      <c r="CL119" s="19"/>
      <c r="CM119" s="19" t="str">
        <f>$K119</f>
        <v>2026 Chevrolet SILVERADO EV</v>
      </c>
      <c r="CN119" s="19"/>
      <c r="CO119" s="19"/>
      <c r="CP119" s="19"/>
      <c r="CQ119" s="19"/>
      <c r="CR119" s="19"/>
      <c r="CS119" s="19"/>
      <c r="CT119" s="19"/>
      <c r="CU119" s="19"/>
      <c r="CV119" s="19"/>
      <c r="CW119" s="19"/>
      <c r="CX119" s="19"/>
      <c r="CY119" s="19"/>
      <c r="CZ119" s="19"/>
      <c r="DA119" s="19"/>
      <c r="DB119" s="19"/>
      <c r="DC119" s="19"/>
      <c r="DD119" s="19" t="str">
        <f>$K119</f>
        <v>2026 Chevrolet SILVERADO EV</v>
      </c>
      <c r="DE119" s="19"/>
      <c r="DF119" s="19"/>
      <c r="DG119" s="19"/>
      <c r="DH119" s="19"/>
      <c r="DI119" s="19"/>
      <c r="DJ119" s="19"/>
      <c r="DK119" s="19"/>
      <c r="DL119" s="19"/>
      <c r="DM119" s="19"/>
      <c r="DN119" s="19"/>
      <c r="DO119" s="19"/>
      <c r="DP119" s="19"/>
      <c r="DQ119" s="19"/>
      <c r="DR119" s="19"/>
      <c r="DS119" s="19"/>
      <c r="DT119" s="19"/>
      <c r="DU119" s="19" t="str">
        <f>$K119</f>
        <v>2026 Chevrolet SILVERADO EV</v>
      </c>
      <c r="DV119" s="19"/>
      <c r="DW119" s="19"/>
      <c r="DX119" s="19"/>
      <c r="DY119" s="19"/>
      <c r="DZ119" s="19"/>
      <c r="EA119" s="117"/>
      <c r="EB119" s="19"/>
      <c r="EC119" s="19"/>
      <c r="ED119" s="19"/>
      <c r="EE119" s="19"/>
      <c r="EF119" s="19"/>
      <c r="EG119"/>
      <c r="EH119"/>
      <c r="EI119"/>
      <c r="EJ119"/>
      <c r="EK119"/>
      <c r="EL119"/>
      <c r="EM119"/>
      <c r="EN119"/>
      <c r="EO119"/>
      <c r="EP119"/>
      <c r="EQ119"/>
      <c r="ER119"/>
      <c r="ES119"/>
      <c r="ET119"/>
      <c r="EU119"/>
      <c r="EV119"/>
      <c r="EW119"/>
      <c r="EX119" s="19" t="s">
        <v>1967</v>
      </c>
      <c r="EY119"/>
      <c r="EZ119"/>
      <c r="FA119"/>
      <c r="FB119"/>
      <c r="FC119"/>
      <c r="FD119"/>
      <c r="FE119"/>
      <c r="FF119"/>
      <c r="FG119"/>
      <c r="FH119"/>
      <c r="FI119"/>
    </row>
    <row r="120" spans="1:165" s="66" customFormat="1" x14ac:dyDescent="0.35">
      <c r="A120">
        <v>2026</v>
      </c>
      <c r="B120" t="s">
        <v>211</v>
      </c>
      <c r="C120" s="112" t="s">
        <v>212</v>
      </c>
      <c r="D120" t="s">
        <v>1449</v>
      </c>
      <c r="E120" t="s">
        <v>214</v>
      </c>
      <c r="F120">
        <v>405</v>
      </c>
      <c r="G120" s="113">
        <v>0</v>
      </c>
      <c r="H120"/>
      <c r="I120" t="s">
        <v>1391</v>
      </c>
      <c r="J120">
        <v>78</v>
      </c>
      <c r="K120">
        <v>63</v>
      </c>
      <c r="L120">
        <v>70</v>
      </c>
      <c r="M120">
        <v>111.3</v>
      </c>
      <c r="N120">
        <v>90.1</v>
      </c>
      <c r="O120">
        <v>100.64360000000001</v>
      </c>
      <c r="P120">
        <v>77.91</v>
      </c>
      <c r="Q120">
        <v>63.07</v>
      </c>
      <c r="R120">
        <v>70.450500000000005</v>
      </c>
      <c r="S120"/>
      <c r="T120"/>
      <c r="U120"/>
      <c r="V120" t="s">
        <v>170</v>
      </c>
      <c r="W120" t="s">
        <v>171</v>
      </c>
      <c r="X120" t="s">
        <v>1436</v>
      </c>
      <c r="Y120">
        <v>1</v>
      </c>
      <c r="Z120" t="s">
        <v>173</v>
      </c>
      <c r="AA120" t="s">
        <v>173</v>
      </c>
      <c r="AB120">
        <v>4</v>
      </c>
      <c r="AC120" t="s">
        <v>423</v>
      </c>
      <c r="AD120"/>
      <c r="AE120"/>
      <c r="AF120">
        <v>424</v>
      </c>
      <c r="AG120" t="s">
        <v>1392</v>
      </c>
      <c r="AH120" t="s">
        <v>1393</v>
      </c>
      <c r="AI120" t="s">
        <v>178</v>
      </c>
      <c r="AJ120" t="s">
        <v>179</v>
      </c>
      <c r="AK120">
        <v>4</v>
      </c>
      <c r="AL120" t="s">
        <v>1394</v>
      </c>
      <c r="AM120"/>
      <c r="AN120"/>
      <c r="AO120"/>
      <c r="AP120"/>
      <c r="AQ120"/>
      <c r="AR120"/>
      <c r="AS120">
        <v>1200</v>
      </c>
      <c r="AT120">
        <v>1200</v>
      </c>
      <c r="AU120"/>
      <c r="AV120"/>
      <c r="AW120"/>
      <c r="AX120"/>
      <c r="AY120"/>
      <c r="AZ120"/>
      <c r="BA120"/>
      <c r="BB120"/>
      <c r="BC120"/>
      <c r="BD120"/>
      <c r="BE120"/>
      <c r="BF120"/>
      <c r="BG120"/>
      <c r="BH120"/>
      <c r="BI120"/>
      <c r="BJ120"/>
      <c r="BK120"/>
      <c r="BL120"/>
      <c r="BM120"/>
      <c r="BN120" s="114"/>
      <c r="BO120"/>
      <c r="BP120"/>
      <c r="BQ120">
        <v>13</v>
      </c>
      <c r="BR120" t="s">
        <v>712</v>
      </c>
      <c r="BS120"/>
      <c r="BT120" t="s">
        <v>1395</v>
      </c>
      <c r="BU120" s="115">
        <v>45800</v>
      </c>
      <c r="BV120">
        <v>36623</v>
      </c>
      <c r="BW120" s="116"/>
      <c r="BX120" t="s">
        <v>173</v>
      </c>
      <c r="BY120" t="s">
        <v>173</v>
      </c>
      <c r="BZ120"/>
      <c r="CA120"/>
      <c r="CB120" t="s">
        <v>173</v>
      </c>
      <c r="CC120" t="s">
        <v>173</v>
      </c>
      <c r="CD120"/>
      <c r="CE120"/>
      <c r="CF120"/>
      <c r="CG120"/>
      <c r="CH120"/>
      <c r="CI120"/>
      <c r="CJ120"/>
      <c r="CK120" t="s">
        <v>259</v>
      </c>
      <c r="CL120"/>
      <c r="CM120">
        <v>1</v>
      </c>
      <c r="CN120" t="s">
        <v>260</v>
      </c>
      <c r="CO120"/>
      <c r="CP120">
        <v>403</v>
      </c>
      <c r="CQ120">
        <v>580</v>
      </c>
      <c r="CR120">
        <v>166</v>
      </c>
      <c r="CS120" t="s">
        <v>261</v>
      </c>
      <c r="CT120"/>
      <c r="CU120"/>
      <c r="CV120" t="s">
        <v>262</v>
      </c>
      <c r="CW120"/>
      <c r="CX120" t="s">
        <v>263</v>
      </c>
      <c r="CY120" t="s">
        <v>172</v>
      </c>
      <c r="CZ120"/>
      <c r="DA120"/>
      <c r="DB120"/>
      <c r="DC120"/>
      <c r="DD120">
        <v>2</v>
      </c>
      <c r="DE120" t="s">
        <v>307</v>
      </c>
      <c r="DF120" t="s">
        <v>988</v>
      </c>
      <c r="DG120" t="s">
        <v>1450</v>
      </c>
      <c r="DH120"/>
      <c r="DI120"/>
      <c r="DJ120"/>
      <c r="DK120"/>
      <c r="DL120" t="s">
        <v>173</v>
      </c>
      <c r="DM120" t="s">
        <v>172</v>
      </c>
      <c r="DN120"/>
      <c r="DO120"/>
      <c r="DP120" t="s">
        <v>173</v>
      </c>
      <c r="DQ120" t="s">
        <v>189</v>
      </c>
      <c r="DR120" t="s">
        <v>1449</v>
      </c>
      <c r="DS120"/>
      <c r="DT120"/>
      <c r="DU120"/>
      <c r="DV120"/>
      <c r="DW120"/>
      <c r="DX120"/>
      <c r="DY120"/>
      <c r="DZ120"/>
      <c r="EA120" s="117"/>
      <c r="EB120">
        <v>9</v>
      </c>
      <c r="EC120">
        <v>10</v>
      </c>
      <c r="ED120"/>
      <c r="EE120" t="s">
        <v>1451</v>
      </c>
      <c r="EF120">
        <v>10</v>
      </c>
      <c r="EG120"/>
      <c r="EH120"/>
      <c r="EI120"/>
      <c r="EJ120"/>
      <c r="EK120"/>
      <c r="EL120"/>
      <c r="EM120"/>
      <c r="EN120"/>
      <c r="EO120"/>
      <c r="EP120"/>
      <c r="EQ120"/>
      <c r="ER120"/>
      <c r="ES120"/>
      <c r="ET120"/>
      <c r="EU120">
        <v>2500</v>
      </c>
      <c r="EV120"/>
      <c r="EW120">
        <v>0</v>
      </c>
      <c r="EX120">
        <v>0</v>
      </c>
      <c r="EY120">
        <v>0</v>
      </c>
      <c r="EZ120"/>
      <c r="FA120">
        <v>11.5</v>
      </c>
      <c r="FB120"/>
      <c r="FC120"/>
      <c r="FD120"/>
      <c r="FE120"/>
      <c r="FF120"/>
      <c r="FG120" s="94">
        <v>464</v>
      </c>
      <c r="FH120" s="94">
        <v>375</v>
      </c>
      <c r="FI120" s="94">
        <v>424</v>
      </c>
    </row>
    <row r="121" spans="1:165" s="66" customFormat="1" x14ac:dyDescent="0.35">
      <c r="A121">
        <v>2026</v>
      </c>
      <c r="B121" t="s">
        <v>211</v>
      </c>
      <c r="C121" s="112" t="s">
        <v>212</v>
      </c>
      <c r="D121" t="s">
        <v>1449</v>
      </c>
      <c r="E121" t="s">
        <v>214</v>
      </c>
      <c r="F121">
        <v>405</v>
      </c>
      <c r="G121" s="113">
        <v>0</v>
      </c>
      <c r="H121"/>
      <c r="I121" t="s">
        <v>1391</v>
      </c>
      <c r="J121">
        <v>43</v>
      </c>
      <c r="K121">
        <v>53</v>
      </c>
      <c r="L121">
        <v>48</v>
      </c>
      <c r="M121">
        <v>30.2849</v>
      </c>
      <c r="N121">
        <v>37.414700000000003</v>
      </c>
      <c r="O121">
        <v>33.493299999999998</v>
      </c>
      <c r="P121">
        <v>43.261499999999998</v>
      </c>
      <c r="Q121">
        <v>53.440600000000003</v>
      </c>
      <c r="R121">
        <v>47.842100000000002</v>
      </c>
      <c r="S121"/>
      <c r="T121"/>
      <c r="U121"/>
      <c r="V121" t="s">
        <v>170</v>
      </c>
      <c r="W121" t="s">
        <v>171</v>
      </c>
      <c r="X121" t="s">
        <v>1436</v>
      </c>
      <c r="Y121">
        <v>1</v>
      </c>
      <c r="Z121" t="s">
        <v>173</v>
      </c>
      <c r="AA121" t="s">
        <v>173</v>
      </c>
      <c r="AB121">
        <v>4</v>
      </c>
      <c r="AC121" t="s">
        <v>423</v>
      </c>
      <c r="AD121"/>
      <c r="AE121"/>
      <c r="AF121">
        <v>424</v>
      </c>
      <c r="AG121" t="s">
        <v>1392</v>
      </c>
      <c r="AH121" t="s">
        <v>1393</v>
      </c>
      <c r="AI121" t="s">
        <v>1399</v>
      </c>
      <c r="AJ121" t="s">
        <v>1400</v>
      </c>
      <c r="AK121">
        <v>4</v>
      </c>
      <c r="AL121" t="s">
        <v>1394</v>
      </c>
      <c r="AM121"/>
      <c r="AN121"/>
      <c r="AO121"/>
      <c r="AP121"/>
      <c r="AQ121"/>
      <c r="AR121"/>
      <c r="AS121">
        <v>1200</v>
      </c>
      <c r="AT121">
        <v>1200</v>
      </c>
      <c r="AU121"/>
      <c r="AV121"/>
      <c r="AW121"/>
      <c r="AX121"/>
      <c r="AY121"/>
      <c r="AZ121"/>
      <c r="BA121"/>
      <c r="BB121"/>
      <c r="BC121"/>
      <c r="BD121"/>
      <c r="BE121"/>
      <c r="BF121"/>
      <c r="BG121"/>
      <c r="BH121"/>
      <c r="BI121"/>
      <c r="BJ121"/>
      <c r="BK121"/>
      <c r="BL121"/>
      <c r="BM121"/>
      <c r="BN121" s="114"/>
      <c r="BO121"/>
      <c r="BP121"/>
      <c r="BQ121">
        <v>13</v>
      </c>
      <c r="BR121" t="s">
        <v>712</v>
      </c>
      <c r="BS121"/>
      <c r="BT121" t="s">
        <v>1395</v>
      </c>
      <c r="BU121" s="115">
        <v>45800</v>
      </c>
      <c r="BV121">
        <v>36623</v>
      </c>
      <c r="BW121" s="116"/>
      <c r="BX121" t="s">
        <v>173</v>
      </c>
      <c r="BY121" t="s">
        <v>173</v>
      </c>
      <c r="BZ121"/>
      <c r="CA121"/>
      <c r="CB121" t="s">
        <v>173</v>
      </c>
      <c r="CC121" t="s">
        <v>173</v>
      </c>
      <c r="CD121"/>
      <c r="CE121"/>
      <c r="CF121"/>
      <c r="CG121"/>
      <c r="CH121"/>
      <c r="CI121"/>
      <c r="CJ121"/>
      <c r="CK121" t="s">
        <v>259</v>
      </c>
      <c r="CL121"/>
      <c r="CM121">
        <v>1</v>
      </c>
      <c r="CN121" t="s">
        <v>260</v>
      </c>
      <c r="CO121"/>
      <c r="CP121">
        <v>403</v>
      </c>
      <c r="CQ121">
        <v>580</v>
      </c>
      <c r="CR121">
        <v>166</v>
      </c>
      <c r="CS121" t="s">
        <v>261</v>
      </c>
      <c r="CT121"/>
      <c r="CU121"/>
      <c r="CV121" t="s">
        <v>262</v>
      </c>
      <c r="CW121"/>
      <c r="CX121" t="s">
        <v>263</v>
      </c>
      <c r="CY121" t="s">
        <v>172</v>
      </c>
      <c r="CZ121"/>
      <c r="DA121"/>
      <c r="DB121"/>
      <c r="DC121"/>
      <c r="DD121">
        <v>2</v>
      </c>
      <c r="DE121" t="s">
        <v>307</v>
      </c>
      <c r="DF121" t="s">
        <v>988</v>
      </c>
      <c r="DG121" t="s">
        <v>1450</v>
      </c>
      <c r="DH121"/>
      <c r="DI121"/>
      <c r="DJ121"/>
      <c r="DK121"/>
      <c r="DL121" t="s">
        <v>173</v>
      </c>
      <c r="DM121" t="s">
        <v>172</v>
      </c>
      <c r="DN121"/>
      <c r="DO121"/>
      <c r="DP121" t="s">
        <v>173</v>
      </c>
      <c r="DQ121" t="s">
        <v>189</v>
      </c>
      <c r="DR121" t="s">
        <v>1449</v>
      </c>
      <c r="DS121"/>
      <c r="DT121"/>
      <c r="DU121"/>
      <c r="DV121"/>
      <c r="DW121"/>
      <c r="DX121"/>
      <c r="DY121"/>
      <c r="DZ121"/>
      <c r="EA121" s="117"/>
      <c r="EB121">
        <v>9</v>
      </c>
      <c r="EC121">
        <v>10</v>
      </c>
      <c r="ED121"/>
      <c r="EE121" t="s">
        <v>1451</v>
      </c>
      <c r="EF121">
        <v>10</v>
      </c>
      <c r="EG121"/>
      <c r="EH121"/>
      <c r="EI121"/>
      <c r="EJ121"/>
      <c r="EK121"/>
      <c r="EL121"/>
      <c r="EM121"/>
      <c r="EN121"/>
      <c r="EO121"/>
      <c r="EP121"/>
      <c r="EQ121"/>
      <c r="ER121"/>
      <c r="ES121"/>
      <c r="ET121"/>
      <c r="EU121">
        <v>2500</v>
      </c>
      <c r="EV121"/>
      <c r="EW121">
        <v>0</v>
      </c>
      <c r="EX121">
        <v>0</v>
      </c>
      <c r="EY121">
        <v>0</v>
      </c>
      <c r="EZ121"/>
      <c r="FA121">
        <v>11.5</v>
      </c>
      <c r="FB121"/>
      <c r="FC121"/>
      <c r="FD121"/>
      <c r="FE121"/>
      <c r="FF121"/>
      <c r="FG121" s="94">
        <v>464</v>
      </c>
      <c r="FH121" s="94">
        <v>375</v>
      </c>
      <c r="FI121" s="94">
        <v>424</v>
      </c>
    </row>
    <row r="122" spans="1:165" s="66" customFormat="1" x14ac:dyDescent="0.35">
      <c r="A122" s="19"/>
      <c r="B122" s="19"/>
      <c r="C122" s="19"/>
      <c r="D122" s="19"/>
      <c r="E122" s="19"/>
      <c r="F122" s="128"/>
      <c r="G122" s="19"/>
      <c r="H122" s="19"/>
      <c r="I122" s="19"/>
      <c r="J122" s="19"/>
      <c r="K122" s="19" t="str">
        <f>_xlfn.CONCAT(A123," ",C123," ",D123)</f>
        <v>2026 Chevrolet SILVERADO EV</v>
      </c>
      <c r="L122" s="19"/>
      <c r="M122" s="19"/>
      <c r="N122" s="19"/>
      <c r="O122" s="19"/>
      <c r="P122" s="19"/>
      <c r="Q122" s="19"/>
      <c r="R122" s="19"/>
      <c r="S122" s="19"/>
      <c r="T122" s="19"/>
      <c r="U122" s="19"/>
      <c r="V122" s="19"/>
      <c r="W122" s="19"/>
      <c r="X122" s="19"/>
      <c r="Y122" s="19"/>
      <c r="Z122" s="19"/>
      <c r="AA122" s="19"/>
      <c r="AB122" s="19" t="str">
        <f>$K122</f>
        <v>2026 Chevrolet SILVERADO EV</v>
      </c>
      <c r="AC122" s="19"/>
      <c r="AD122" s="19"/>
      <c r="AE122" s="19"/>
      <c r="AF122" s="19"/>
      <c r="AG122" s="19"/>
      <c r="AH122" s="19"/>
      <c r="AI122" s="19"/>
      <c r="AJ122" s="19"/>
      <c r="AK122" s="19"/>
      <c r="AL122" s="19"/>
      <c r="AM122" s="19"/>
      <c r="AN122" s="19"/>
      <c r="AO122" s="19"/>
      <c r="AP122" s="19"/>
      <c r="AQ122" s="19"/>
      <c r="AR122" s="19" t="str">
        <f>$K122</f>
        <v>2026 Chevrolet SILVERADO EV</v>
      </c>
      <c r="AS122" s="19"/>
      <c r="AT122" s="19"/>
      <c r="AU122" s="19"/>
      <c r="AV122" s="19"/>
      <c r="AW122" s="19"/>
      <c r="AX122" s="19"/>
      <c r="AY122" s="19"/>
      <c r="AZ122" s="19"/>
      <c r="BA122" s="19"/>
      <c r="BB122" s="19"/>
      <c r="BC122" s="19"/>
      <c r="BD122" s="19"/>
      <c r="BE122" s="19"/>
      <c r="BF122" s="19"/>
      <c r="BG122" s="19" t="str">
        <f>$K122</f>
        <v>2026 Chevrolet SILVERADO EV</v>
      </c>
      <c r="BH122" s="19"/>
      <c r="BI122" s="19"/>
      <c r="BJ122" s="19"/>
      <c r="BK122" s="19"/>
      <c r="BL122" s="19"/>
      <c r="BM122" s="129"/>
      <c r="BN122" s="19"/>
      <c r="BO122" s="19"/>
      <c r="BP122" s="19"/>
      <c r="BQ122" s="19"/>
      <c r="BR122" s="19"/>
      <c r="BS122" s="19"/>
      <c r="BT122" s="130"/>
      <c r="BU122" s="19"/>
      <c r="BV122" s="19"/>
      <c r="BW122" s="116"/>
      <c r="BX122" s="19"/>
      <c r="BY122" s="19"/>
      <c r="BZ122" s="19"/>
      <c r="CA122" s="19"/>
      <c r="CB122" s="19"/>
      <c r="CC122" s="19"/>
      <c r="CD122" s="19"/>
      <c r="CE122" s="19"/>
      <c r="CF122" s="19"/>
      <c r="CG122" s="19"/>
      <c r="CH122" s="19"/>
      <c r="CI122" s="19"/>
      <c r="CJ122" s="19"/>
      <c r="CK122" s="19"/>
      <c r="CL122" s="19"/>
      <c r="CM122" s="19" t="str">
        <f>$K122</f>
        <v>2026 Chevrolet SILVERADO EV</v>
      </c>
      <c r="CN122" s="19"/>
      <c r="CO122" s="19"/>
      <c r="CP122" s="19"/>
      <c r="CQ122" s="19"/>
      <c r="CR122" s="19"/>
      <c r="CS122" s="19"/>
      <c r="CT122" s="19"/>
      <c r="CU122" s="19"/>
      <c r="CV122" s="19"/>
      <c r="CW122" s="19"/>
      <c r="CX122" s="19"/>
      <c r="CY122" s="19"/>
      <c r="CZ122" s="19"/>
      <c r="DA122" s="19"/>
      <c r="DB122" s="19"/>
      <c r="DC122" s="19"/>
      <c r="DD122" s="19" t="str">
        <f>$K122</f>
        <v>2026 Chevrolet SILVERADO EV</v>
      </c>
      <c r="DE122" s="19"/>
      <c r="DF122" s="19"/>
      <c r="DG122" s="19"/>
      <c r="DH122" s="19"/>
      <c r="DI122" s="19"/>
      <c r="DJ122" s="19"/>
      <c r="DK122" s="19"/>
      <c r="DL122" s="19"/>
      <c r="DM122" s="19"/>
      <c r="DN122" s="19"/>
      <c r="DO122" s="19"/>
      <c r="DP122" s="19"/>
      <c r="DQ122" s="19"/>
      <c r="DR122" s="19"/>
      <c r="DS122" s="19"/>
      <c r="DT122" s="19"/>
      <c r="DU122" s="19" t="str">
        <f>$K122</f>
        <v>2026 Chevrolet SILVERADO EV</v>
      </c>
      <c r="DV122" s="19"/>
      <c r="DW122" s="19"/>
      <c r="DX122" s="19"/>
      <c r="DY122" s="19"/>
      <c r="DZ122" s="19"/>
      <c r="EA122" s="117"/>
      <c r="EB122" s="19"/>
      <c r="EC122" s="19"/>
      <c r="ED122" s="19"/>
      <c r="EE122" s="19"/>
      <c r="EF122" s="19"/>
      <c r="EG122"/>
      <c r="EH122"/>
      <c r="EI122"/>
      <c r="EJ122"/>
      <c r="EK122"/>
      <c r="EL122"/>
      <c r="EM122"/>
      <c r="EN122"/>
      <c r="EO122"/>
      <c r="EP122"/>
      <c r="EQ122"/>
      <c r="ER122"/>
      <c r="ES122"/>
      <c r="ET122"/>
      <c r="EU122"/>
      <c r="EV122"/>
      <c r="EW122"/>
      <c r="EX122" s="19" t="s">
        <v>1967</v>
      </c>
      <c r="EY122"/>
      <c r="EZ122"/>
      <c r="FA122"/>
      <c r="FB122"/>
      <c r="FC122"/>
      <c r="FD122"/>
      <c r="FE122"/>
      <c r="FF122"/>
      <c r="FG122"/>
      <c r="FH122"/>
      <c r="FI122"/>
    </row>
    <row r="123" spans="1:165" s="66" customFormat="1" x14ac:dyDescent="0.35">
      <c r="A123">
        <v>2026</v>
      </c>
      <c r="B123" t="s">
        <v>211</v>
      </c>
      <c r="C123" s="112" t="s">
        <v>212</v>
      </c>
      <c r="D123" t="s">
        <v>1449</v>
      </c>
      <c r="E123" t="s">
        <v>214</v>
      </c>
      <c r="F123">
        <v>406</v>
      </c>
      <c r="G123" s="113">
        <v>0</v>
      </c>
      <c r="H123"/>
      <c r="I123" t="s">
        <v>1391</v>
      </c>
      <c r="J123">
        <v>75</v>
      </c>
      <c r="K123">
        <v>61</v>
      </c>
      <c r="L123">
        <v>68</v>
      </c>
      <c r="M123">
        <v>107.5</v>
      </c>
      <c r="N123">
        <v>87.2</v>
      </c>
      <c r="O123">
        <v>97.306299999999993</v>
      </c>
      <c r="P123">
        <v>75.25</v>
      </c>
      <c r="Q123">
        <v>61.04</v>
      </c>
      <c r="R123">
        <v>68.114400000000003</v>
      </c>
      <c r="S123"/>
      <c r="T123"/>
      <c r="U123"/>
      <c r="V123" t="s">
        <v>170</v>
      </c>
      <c r="W123" t="s">
        <v>171</v>
      </c>
      <c r="X123" t="s">
        <v>1436</v>
      </c>
      <c r="Y123">
        <v>1</v>
      </c>
      <c r="Z123" t="s">
        <v>173</v>
      </c>
      <c r="AA123" t="s">
        <v>173</v>
      </c>
      <c r="AB123">
        <v>4</v>
      </c>
      <c r="AC123" t="s">
        <v>423</v>
      </c>
      <c r="AD123"/>
      <c r="AE123"/>
      <c r="AF123">
        <v>493</v>
      </c>
      <c r="AG123" t="s">
        <v>1392</v>
      </c>
      <c r="AH123" t="s">
        <v>1393</v>
      </c>
      <c r="AI123" t="s">
        <v>178</v>
      </c>
      <c r="AJ123" t="s">
        <v>179</v>
      </c>
      <c r="AK123">
        <v>4</v>
      </c>
      <c r="AL123" t="s">
        <v>1394</v>
      </c>
      <c r="AM123"/>
      <c r="AN123"/>
      <c r="AO123"/>
      <c r="AP123"/>
      <c r="AQ123"/>
      <c r="AR123"/>
      <c r="AS123">
        <v>1250</v>
      </c>
      <c r="AT123">
        <v>1250</v>
      </c>
      <c r="AU123"/>
      <c r="AV123"/>
      <c r="AW123"/>
      <c r="AX123"/>
      <c r="AY123"/>
      <c r="AZ123"/>
      <c r="BA123"/>
      <c r="BB123"/>
      <c r="BC123"/>
      <c r="BD123"/>
      <c r="BE123"/>
      <c r="BF123"/>
      <c r="BG123"/>
      <c r="BH123"/>
      <c r="BI123"/>
      <c r="BJ123"/>
      <c r="BK123"/>
      <c r="BL123"/>
      <c r="BM123"/>
      <c r="BN123" s="114"/>
      <c r="BO123"/>
      <c r="BP123"/>
      <c r="BQ123">
        <v>13</v>
      </c>
      <c r="BR123" t="s">
        <v>712</v>
      </c>
      <c r="BS123"/>
      <c r="BT123" t="s">
        <v>1395</v>
      </c>
      <c r="BU123" s="115">
        <v>45800</v>
      </c>
      <c r="BV123">
        <v>36628</v>
      </c>
      <c r="BW123" s="116"/>
      <c r="BX123" t="s">
        <v>173</v>
      </c>
      <c r="BY123" t="s">
        <v>173</v>
      </c>
      <c r="BZ123"/>
      <c r="CA123"/>
      <c r="CB123" t="s">
        <v>173</v>
      </c>
      <c r="CC123" t="s">
        <v>173</v>
      </c>
      <c r="CD123"/>
      <c r="CE123"/>
      <c r="CF123"/>
      <c r="CG123"/>
      <c r="CH123"/>
      <c r="CI123"/>
      <c r="CJ123"/>
      <c r="CK123" t="s">
        <v>259</v>
      </c>
      <c r="CL123"/>
      <c r="CM123">
        <v>1</v>
      </c>
      <c r="CN123" t="s">
        <v>260</v>
      </c>
      <c r="CO123"/>
      <c r="CP123">
        <v>403</v>
      </c>
      <c r="CQ123">
        <v>580</v>
      </c>
      <c r="CR123">
        <v>166</v>
      </c>
      <c r="CS123" t="s">
        <v>261</v>
      </c>
      <c r="CT123"/>
      <c r="CU123"/>
      <c r="CV123" t="s">
        <v>262</v>
      </c>
      <c r="CW123"/>
      <c r="CX123" t="s">
        <v>263</v>
      </c>
      <c r="CY123" t="s">
        <v>172</v>
      </c>
      <c r="CZ123"/>
      <c r="DA123"/>
      <c r="DB123"/>
      <c r="DC123"/>
      <c r="DD123">
        <v>2</v>
      </c>
      <c r="DE123" t="s">
        <v>307</v>
      </c>
      <c r="DF123" t="s">
        <v>988</v>
      </c>
      <c r="DG123" t="s">
        <v>1450</v>
      </c>
      <c r="DH123"/>
      <c r="DI123"/>
      <c r="DJ123"/>
      <c r="DK123"/>
      <c r="DL123" t="s">
        <v>173</v>
      </c>
      <c r="DM123" t="s">
        <v>172</v>
      </c>
      <c r="DN123"/>
      <c r="DO123"/>
      <c r="DP123" t="s">
        <v>173</v>
      </c>
      <c r="DQ123" t="s">
        <v>189</v>
      </c>
      <c r="DR123" t="s">
        <v>1449</v>
      </c>
      <c r="DS123"/>
      <c r="DT123"/>
      <c r="DU123"/>
      <c r="DV123"/>
      <c r="DW123"/>
      <c r="DX123"/>
      <c r="DY123"/>
      <c r="DZ123"/>
      <c r="EA123" s="117"/>
      <c r="EB123">
        <v>9</v>
      </c>
      <c r="EC123">
        <v>10</v>
      </c>
      <c r="ED123"/>
      <c r="EE123" t="s">
        <v>1451</v>
      </c>
      <c r="EF123">
        <v>10</v>
      </c>
      <c r="EG123"/>
      <c r="EH123"/>
      <c r="EI123"/>
      <c r="EJ123"/>
      <c r="EK123"/>
      <c r="EL123"/>
      <c r="EM123"/>
      <c r="EN123"/>
      <c r="EO123"/>
      <c r="EP123"/>
      <c r="EQ123"/>
      <c r="ER123"/>
      <c r="ES123"/>
      <c r="ET123"/>
      <c r="EU123">
        <v>2250</v>
      </c>
      <c r="EV123"/>
      <c r="EW123">
        <v>0</v>
      </c>
      <c r="EX123">
        <v>0</v>
      </c>
      <c r="EY123">
        <v>0</v>
      </c>
      <c r="EZ123"/>
      <c r="FA123">
        <v>13.8</v>
      </c>
      <c r="FB123"/>
      <c r="FC123"/>
      <c r="FD123"/>
      <c r="FE123"/>
      <c r="FF123"/>
      <c r="FG123" s="94">
        <v>539</v>
      </c>
      <c r="FH123" s="94">
        <v>437</v>
      </c>
      <c r="FI123" s="94">
        <v>493</v>
      </c>
    </row>
    <row r="124" spans="1:165" s="66" customFormat="1" x14ac:dyDescent="0.35">
      <c r="A124">
        <v>2026</v>
      </c>
      <c r="B124" t="s">
        <v>211</v>
      </c>
      <c r="C124" s="112" t="s">
        <v>212</v>
      </c>
      <c r="D124" t="s">
        <v>1449</v>
      </c>
      <c r="E124" t="s">
        <v>214</v>
      </c>
      <c r="F124">
        <v>406</v>
      </c>
      <c r="G124" s="113">
        <v>0</v>
      </c>
      <c r="H124"/>
      <c r="I124" t="s">
        <v>1391</v>
      </c>
      <c r="J124">
        <v>45</v>
      </c>
      <c r="K124">
        <v>55</v>
      </c>
      <c r="L124">
        <v>49</v>
      </c>
      <c r="M124">
        <v>31.365500000000001</v>
      </c>
      <c r="N124">
        <v>38.659100000000002</v>
      </c>
      <c r="O124">
        <v>34.647599999999997</v>
      </c>
      <c r="P124">
        <v>44.790700000000001</v>
      </c>
      <c r="Q124">
        <v>55.2179</v>
      </c>
      <c r="R124">
        <v>49.482900000000001</v>
      </c>
      <c r="S124"/>
      <c r="T124"/>
      <c r="U124"/>
      <c r="V124" t="s">
        <v>170</v>
      </c>
      <c r="W124" t="s">
        <v>171</v>
      </c>
      <c r="X124" t="s">
        <v>1436</v>
      </c>
      <c r="Y124">
        <v>1</v>
      </c>
      <c r="Z124" t="s">
        <v>173</v>
      </c>
      <c r="AA124" t="s">
        <v>173</v>
      </c>
      <c r="AB124">
        <v>4</v>
      </c>
      <c r="AC124" t="s">
        <v>423</v>
      </c>
      <c r="AD124"/>
      <c r="AE124"/>
      <c r="AF124">
        <v>493</v>
      </c>
      <c r="AG124" t="s">
        <v>1392</v>
      </c>
      <c r="AH124" t="s">
        <v>1393</v>
      </c>
      <c r="AI124" t="s">
        <v>1399</v>
      </c>
      <c r="AJ124" t="s">
        <v>1400</v>
      </c>
      <c r="AK124">
        <v>4</v>
      </c>
      <c r="AL124" t="s">
        <v>1394</v>
      </c>
      <c r="AM124"/>
      <c r="AN124"/>
      <c r="AO124"/>
      <c r="AP124"/>
      <c r="AQ124"/>
      <c r="AR124"/>
      <c r="AS124">
        <v>1250</v>
      </c>
      <c r="AT124">
        <v>1250</v>
      </c>
      <c r="AU124"/>
      <c r="AV124"/>
      <c r="AW124"/>
      <c r="AX124"/>
      <c r="AY124"/>
      <c r="AZ124"/>
      <c r="BA124"/>
      <c r="BB124"/>
      <c r="BC124"/>
      <c r="BD124"/>
      <c r="BE124"/>
      <c r="BF124"/>
      <c r="BG124"/>
      <c r="BH124"/>
      <c r="BI124"/>
      <c r="BJ124"/>
      <c r="BK124"/>
      <c r="BL124"/>
      <c r="BM124"/>
      <c r="BN124" s="114"/>
      <c r="BO124"/>
      <c r="BP124"/>
      <c r="BQ124">
        <v>13</v>
      </c>
      <c r="BR124" t="s">
        <v>712</v>
      </c>
      <c r="BS124"/>
      <c r="BT124" t="s">
        <v>1395</v>
      </c>
      <c r="BU124" s="115">
        <v>45800</v>
      </c>
      <c r="BV124">
        <v>36628</v>
      </c>
      <c r="BW124" s="116"/>
      <c r="BX124" t="s">
        <v>173</v>
      </c>
      <c r="BY124" t="s">
        <v>173</v>
      </c>
      <c r="BZ124"/>
      <c r="CA124"/>
      <c r="CB124" t="s">
        <v>173</v>
      </c>
      <c r="CC124" t="s">
        <v>173</v>
      </c>
      <c r="CD124"/>
      <c r="CE124"/>
      <c r="CF124"/>
      <c r="CG124"/>
      <c r="CH124"/>
      <c r="CI124"/>
      <c r="CJ124"/>
      <c r="CK124" t="s">
        <v>259</v>
      </c>
      <c r="CL124"/>
      <c r="CM124">
        <v>1</v>
      </c>
      <c r="CN124" t="s">
        <v>260</v>
      </c>
      <c r="CO124"/>
      <c r="CP124">
        <v>403</v>
      </c>
      <c r="CQ124">
        <v>580</v>
      </c>
      <c r="CR124">
        <v>166</v>
      </c>
      <c r="CS124" t="s">
        <v>261</v>
      </c>
      <c r="CT124"/>
      <c r="CU124"/>
      <c r="CV124" t="s">
        <v>262</v>
      </c>
      <c r="CW124"/>
      <c r="CX124" t="s">
        <v>263</v>
      </c>
      <c r="CY124" t="s">
        <v>172</v>
      </c>
      <c r="CZ124"/>
      <c r="DA124"/>
      <c r="DB124"/>
      <c r="DC124"/>
      <c r="DD124">
        <v>2</v>
      </c>
      <c r="DE124" t="s">
        <v>307</v>
      </c>
      <c r="DF124" t="s">
        <v>988</v>
      </c>
      <c r="DG124" t="s">
        <v>1450</v>
      </c>
      <c r="DH124"/>
      <c r="DI124"/>
      <c r="DJ124"/>
      <c r="DK124"/>
      <c r="DL124" t="s">
        <v>173</v>
      </c>
      <c r="DM124" t="s">
        <v>172</v>
      </c>
      <c r="DN124"/>
      <c r="DO124"/>
      <c r="DP124" t="s">
        <v>173</v>
      </c>
      <c r="DQ124" t="s">
        <v>189</v>
      </c>
      <c r="DR124" t="s">
        <v>1449</v>
      </c>
      <c r="DS124"/>
      <c r="DT124"/>
      <c r="DU124"/>
      <c r="DV124"/>
      <c r="DW124"/>
      <c r="DX124"/>
      <c r="DY124"/>
      <c r="DZ124"/>
      <c r="EA124" s="117"/>
      <c r="EB124">
        <v>9</v>
      </c>
      <c r="EC124">
        <v>10</v>
      </c>
      <c r="ED124"/>
      <c r="EE124" t="s">
        <v>1451</v>
      </c>
      <c r="EF124">
        <v>10</v>
      </c>
      <c r="EG124"/>
      <c r="EH124"/>
      <c r="EI124"/>
      <c r="EJ124"/>
      <c r="EK124"/>
      <c r="EL124"/>
      <c r="EM124"/>
      <c r="EN124"/>
      <c r="EO124"/>
      <c r="EP124"/>
      <c r="EQ124"/>
      <c r="ER124"/>
      <c r="ES124" s="19"/>
      <c r="ET124"/>
      <c r="EU124">
        <v>2250</v>
      </c>
      <c r="EV124"/>
      <c r="EW124">
        <v>0</v>
      </c>
      <c r="EX124">
        <v>0</v>
      </c>
      <c r="EY124">
        <v>0</v>
      </c>
      <c r="EZ124"/>
      <c r="FA124">
        <v>13.8</v>
      </c>
      <c r="FB124"/>
      <c r="FC124"/>
      <c r="FD124"/>
      <c r="FE124"/>
      <c r="FF124"/>
      <c r="FG124" s="94">
        <v>539</v>
      </c>
      <c r="FH124" s="94">
        <v>437</v>
      </c>
      <c r="FI124" s="94">
        <v>493</v>
      </c>
    </row>
    <row r="125" spans="1:165" s="66" customFormat="1" x14ac:dyDescent="0.35">
      <c r="A125" s="19"/>
      <c r="B125" s="19"/>
      <c r="C125" s="19"/>
      <c r="D125" s="19"/>
      <c r="E125" s="19"/>
      <c r="F125" s="128"/>
      <c r="G125" s="19"/>
      <c r="H125" s="19"/>
      <c r="I125" s="19"/>
      <c r="J125" s="19"/>
      <c r="K125" s="19" t="str">
        <f>_xlfn.CONCAT(A126," ",C126," ",D126)</f>
        <v>2026 Chevrolet SILVERADO EV</v>
      </c>
      <c r="L125" s="19"/>
      <c r="M125" s="19"/>
      <c r="N125" s="19"/>
      <c r="O125" s="19"/>
      <c r="P125" s="19"/>
      <c r="Q125" s="19"/>
      <c r="R125" s="19"/>
      <c r="S125" s="19"/>
      <c r="T125" s="19"/>
      <c r="U125" s="19"/>
      <c r="V125" s="19"/>
      <c r="W125" s="19"/>
      <c r="X125" s="19"/>
      <c r="Y125" s="19"/>
      <c r="Z125" s="19"/>
      <c r="AA125" s="19"/>
      <c r="AB125" s="19" t="str">
        <f>$K125</f>
        <v>2026 Chevrolet SILVERADO EV</v>
      </c>
      <c r="AC125" s="19"/>
      <c r="AD125" s="19"/>
      <c r="AE125" s="19"/>
      <c r="AF125" s="19"/>
      <c r="AG125" s="19"/>
      <c r="AH125" s="19"/>
      <c r="AI125" s="19"/>
      <c r="AJ125" s="19"/>
      <c r="AK125" s="19"/>
      <c r="AL125" s="19"/>
      <c r="AM125" s="19"/>
      <c r="AN125" s="19"/>
      <c r="AO125" s="19"/>
      <c r="AP125" s="19"/>
      <c r="AQ125" s="19"/>
      <c r="AR125" s="19" t="str">
        <f>$K125</f>
        <v>2026 Chevrolet SILVERADO EV</v>
      </c>
      <c r="AS125" s="19"/>
      <c r="AT125" s="19"/>
      <c r="AU125" s="19"/>
      <c r="AV125" s="19"/>
      <c r="AW125" s="19"/>
      <c r="AX125" s="19"/>
      <c r="AY125" s="19"/>
      <c r="AZ125" s="19"/>
      <c r="BA125" s="19"/>
      <c r="BB125" s="19"/>
      <c r="BC125" s="19"/>
      <c r="BD125" s="19"/>
      <c r="BE125" s="19"/>
      <c r="BF125" s="19"/>
      <c r="BG125" s="19" t="str">
        <f>$K125</f>
        <v>2026 Chevrolet SILVERADO EV</v>
      </c>
      <c r="BH125" s="19"/>
      <c r="BI125" s="19"/>
      <c r="BJ125" s="19"/>
      <c r="BK125" s="19"/>
      <c r="BL125" s="19"/>
      <c r="BM125" s="129"/>
      <c r="BN125" s="19"/>
      <c r="BO125" s="19"/>
      <c r="BP125" s="19"/>
      <c r="BQ125" s="19"/>
      <c r="BR125" s="19"/>
      <c r="BS125" s="19"/>
      <c r="BT125" s="130"/>
      <c r="BU125" s="19"/>
      <c r="BV125" s="19"/>
      <c r="BW125" s="116"/>
      <c r="BX125" s="19"/>
      <c r="BY125" s="19"/>
      <c r="BZ125" s="19"/>
      <c r="CA125" s="19"/>
      <c r="CB125" s="19"/>
      <c r="CC125" s="19"/>
      <c r="CD125" s="19"/>
      <c r="CE125" s="19"/>
      <c r="CF125" s="19"/>
      <c r="CG125" s="19"/>
      <c r="CH125" s="19"/>
      <c r="CI125" s="19"/>
      <c r="CJ125" s="19"/>
      <c r="CK125" s="19"/>
      <c r="CL125" s="19"/>
      <c r="CM125" s="19" t="str">
        <f>$K125</f>
        <v>2026 Chevrolet SILVERADO EV</v>
      </c>
      <c r="CN125" s="19"/>
      <c r="CO125" s="19"/>
      <c r="CP125" s="19"/>
      <c r="CQ125" s="19"/>
      <c r="CR125" s="19"/>
      <c r="CS125" s="19"/>
      <c r="CT125" s="19"/>
      <c r="CU125" s="19"/>
      <c r="CV125" s="19"/>
      <c r="CW125" s="19"/>
      <c r="CX125" s="19"/>
      <c r="CY125" s="19"/>
      <c r="CZ125" s="19"/>
      <c r="DA125" s="19"/>
      <c r="DB125" s="19"/>
      <c r="DC125" s="19"/>
      <c r="DD125" s="19" t="str">
        <f>$K125</f>
        <v>2026 Chevrolet SILVERADO EV</v>
      </c>
      <c r="DE125" s="19"/>
      <c r="DF125" s="19"/>
      <c r="DG125" s="19"/>
      <c r="DH125" s="19"/>
      <c r="DI125" s="19"/>
      <c r="DJ125" s="19"/>
      <c r="DK125" s="19"/>
      <c r="DL125" s="19"/>
      <c r="DM125" s="19"/>
      <c r="DN125" s="19"/>
      <c r="DO125" s="19"/>
      <c r="DP125" s="19"/>
      <c r="DQ125" s="19"/>
      <c r="DR125" s="19"/>
      <c r="DS125" s="19"/>
      <c r="DT125" s="19"/>
      <c r="DU125" s="19" t="str">
        <f>$K125</f>
        <v>2026 Chevrolet SILVERADO EV</v>
      </c>
      <c r="DV125" s="19"/>
      <c r="DW125" s="19"/>
      <c r="DX125" s="19"/>
      <c r="DY125" s="19"/>
      <c r="DZ125" s="19"/>
      <c r="EA125" s="117"/>
      <c r="EB125" s="19"/>
      <c r="EC125" s="19"/>
      <c r="ED125" s="19"/>
      <c r="EE125" s="19"/>
      <c r="EF125" s="19"/>
      <c r="EG125"/>
      <c r="EH125"/>
      <c r="EI125"/>
      <c r="EJ125"/>
      <c r="EK125"/>
      <c r="EL125"/>
      <c r="EM125"/>
      <c r="EN125"/>
      <c r="EO125"/>
      <c r="EP125"/>
      <c r="EQ125"/>
      <c r="ER125"/>
      <c r="ES125"/>
      <c r="ET125"/>
      <c r="EU125"/>
      <c r="EV125"/>
      <c r="EW125"/>
      <c r="EX125" s="19" t="s">
        <v>1967</v>
      </c>
      <c r="EY125"/>
      <c r="EZ125"/>
      <c r="FA125"/>
      <c r="FB125"/>
      <c r="FC125"/>
      <c r="FD125"/>
      <c r="FE125"/>
      <c r="FF125"/>
      <c r="FG125"/>
      <c r="FH125"/>
      <c r="FI125"/>
    </row>
    <row r="126" spans="1:165" s="66" customFormat="1" x14ac:dyDescent="0.35">
      <c r="A126">
        <v>2026</v>
      </c>
      <c r="B126" t="s">
        <v>211</v>
      </c>
      <c r="C126" s="112" t="s">
        <v>212</v>
      </c>
      <c r="D126" t="s">
        <v>1449</v>
      </c>
      <c r="E126" t="s">
        <v>214</v>
      </c>
      <c r="F126">
        <v>407</v>
      </c>
      <c r="G126" s="113">
        <v>0</v>
      </c>
      <c r="H126"/>
      <c r="I126" t="s">
        <v>1391</v>
      </c>
      <c r="J126">
        <v>75</v>
      </c>
      <c r="K126">
        <v>61</v>
      </c>
      <c r="L126">
        <v>68</v>
      </c>
      <c r="M126">
        <v>106.6</v>
      </c>
      <c r="N126">
        <v>87.7</v>
      </c>
      <c r="O126">
        <v>97.176000000000002</v>
      </c>
      <c r="P126">
        <v>74.62</v>
      </c>
      <c r="Q126">
        <v>61.39</v>
      </c>
      <c r="R126">
        <v>68.023200000000003</v>
      </c>
      <c r="S126"/>
      <c r="T126"/>
      <c r="U126"/>
      <c r="V126" t="s">
        <v>170</v>
      </c>
      <c r="W126" t="s">
        <v>171</v>
      </c>
      <c r="X126" t="s">
        <v>1436</v>
      </c>
      <c r="Y126">
        <v>1</v>
      </c>
      <c r="Z126" t="s">
        <v>173</v>
      </c>
      <c r="AA126" t="s">
        <v>173</v>
      </c>
      <c r="AB126">
        <v>4</v>
      </c>
      <c r="AC126" t="s">
        <v>423</v>
      </c>
      <c r="AD126"/>
      <c r="AE126"/>
      <c r="AF126">
        <v>410</v>
      </c>
      <c r="AG126" t="s">
        <v>1392</v>
      </c>
      <c r="AH126" t="s">
        <v>1393</v>
      </c>
      <c r="AI126" t="s">
        <v>178</v>
      </c>
      <c r="AJ126" t="s">
        <v>179</v>
      </c>
      <c r="AK126">
        <v>4</v>
      </c>
      <c r="AL126" t="s">
        <v>1394</v>
      </c>
      <c r="AM126"/>
      <c r="AN126"/>
      <c r="AO126"/>
      <c r="AP126"/>
      <c r="AQ126"/>
      <c r="AR126"/>
      <c r="AS126">
        <v>1250</v>
      </c>
      <c r="AT126">
        <v>1250</v>
      </c>
      <c r="AU126"/>
      <c r="AV126"/>
      <c r="AW126"/>
      <c r="AX126"/>
      <c r="AY126"/>
      <c r="AZ126"/>
      <c r="BA126"/>
      <c r="BB126"/>
      <c r="BC126"/>
      <c r="BD126"/>
      <c r="BE126"/>
      <c r="BF126"/>
      <c r="BG126"/>
      <c r="BH126"/>
      <c r="BI126"/>
      <c r="BJ126"/>
      <c r="BK126"/>
      <c r="BL126"/>
      <c r="BM126"/>
      <c r="BN126" s="114"/>
      <c r="BO126"/>
      <c r="BP126"/>
      <c r="BQ126">
        <v>13</v>
      </c>
      <c r="BR126" t="s">
        <v>712</v>
      </c>
      <c r="BS126"/>
      <c r="BT126" t="s">
        <v>1395</v>
      </c>
      <c r="BU126" s="115">
        <v>45800</v>
      </c>
      <c r="BV126">
        <v>36626</v>
      </c>
      <c r="BW126" s="116"/>
      <c r="BX126" t="s">
        <v>173</v>
      </c>
      <c r="BY126" t="s">
        <v>173</v>
      </c>
      <c r="BZ126"/>
      <c r="CA126"/>
      <c r="CB126" t="s">
        <v>173</v>
      </c>
      <c r="CC126" t="s">
        <v>173</v>
      </c>
      <c r="CD126"/>
      <c r="CE126"/>
      <c r="CF126"/>
      <c r="CG126"/>
      <c r="CH126"/>
      <c r="CI126"/>
      <c r="CJ126"/>
      <c r="CK126" t="s">
        <v>259</v>
      </c>
      <c r="CL126"/>
      <c r="CM126">
        <v>1</v>
      </c>
      <c r="CN126" t="s">
        <v>260</v>
      </c>
      <c r="CO126"/>
      <c r="CP126">
        <v>403</v>
      </c>
      <c r="CQ126">
        <v>580</v>
      </c>
      <c r="CR126">
        <v>166</v>
      </c>
      <c r="CS126" t="s">
        <v>261</v>
      </c>
      <c r="CT126"/>
      <c r="CU126"/>
      <c r="CV126" t="s">
        <v>262</v>
      </c>
      <c r="CW126"/>
      <c r="CX126" t="s">
        <v>263</v>
      </c>
      <c r="CY126" t="s">
        <v>172</v>
      </c>
      <c r="CZ126"/>
      <c r="DA126"/>
      <c r="DB126"/>
      <c r="DC126"/>
      <c r="DD126">
        <v>2</v>
      </c>
      <c r="DE126" t="s">
        <v>307</v>
      </c>
      <c r="DF126" t="s">
        <v>988</v>
      </c>
      <c r="DG126" t="s">
        <v>1450</v>
      </c>
      <c r="DH126"/>
      <c r="DI126"/>
      <c r="DJ126"/>
      <c r="DK126"/>
      <c r="DL126" t="s">
        <v>173</v>
      </c>
      <c r="DM126" t="s">
        <v>172</v>
      </c>
      <c r="DN126"/>
      <c r="DO126"/>
      <c r="DP126" t="s">
        <v>173</v>
      </c>
      <c r="DQ126" t="s">
        <v>189</v>
      </c>
      <c r="DR126" t="s">
        <v>1449</v>
      </c>
      <c r="DS126"/>
      <c r="DT126"/>
      <c r="DU126"/>
      <c r="DV126"/>
      <c r="DW126"/>
      <c r="DX126"/>
      <c r="DY126"/>
      <c r="DZ126"/>
      <c r="EA126" s="117"/>
      <c r="EB126">
        <v>9</v>
      </c>
      <c r="EC126">
        <v>10</v>
      </c>
      <c r="ED126"/>
      <c r="EE126" t="s">
        <v>1451</v>
      </c>
      <c r="EF126">
        <v>10</v>
      </c>
      <c r="EG126"/>
      <c r="EH126"/>
      <c r="EI126"/>
      <c r="EJ126"/>
      <c r="EK126"/>
      <c r="EL126"/>
      <c r="EM126"/>
      <c r="EN126"/>
      <c r="EO126"/>
      <c r="EP126"/>
      <c r="EQ126"/>
      <c r="ER126"/>
      <c r="ES126"/>
      <c r="ET126"/>
      <c r="EU126">
        <v>2250</v>
      </c>
      <c r="EV126"/>
      <c r="EW126">
        <v>0</v>
      </c>
      <c r="EX126">
        <v>0</v>
      </c>
      <c r="EY126">
        <v>0</v>
      </c>
      <c r="EZ126"/>
      <c r="FA126">
        <v>18.600000000000001</v>
      </c>
      <c r="FB126"/>
      <c r="FC126"/>
      <c r="FD126"/>
      <c r="FE126"/>
      <c r="FF126"/>
      <c r="FG126" s="94">
        <v>446</v>
      </c>
      <c r="FH126" s="94">
        <v>367</v>
      </c>
      <c r="FI126" s="94">
        <v>410</v>
      </c>
    </row>
    <row r="127" spans="1:165" s="66" customFormat="1" x14ac:dyDescent="0.35">
      <c r="A127">
        <v>2026</v>
      </c>
      <c r="B127" t="s">
        <v>211</v>
      </c>
      <c r="C127" s="112" t="s">
        <v>212</v>
      </c>
      <c r="D127" t="s">
        <v>1449</v>
      </c>
      <c r="E127" t="s">
        <v>214</v>
      </c>
      <c r="F127">
        <v>407</v>
      </c>
      <c r="G127" s="113">
        <v>0</v>
      </c>
      <c r="H127"/>
      <c r="I127" t="s">
        <v>1391</v>
      </c>
      <c r="J127">
        <v>45</v>
      </c>
      <c r="K127">
        <v>55</v>
      </c>
      <c r="L127">
        <v>50</v>
      </c>
      <c r="M127">
        <v>31.623100000000001</v>
      </c>
      <c r="N127">
        <v>38.4405</v>
      </c>
      <c r="O127">
        <v>34.690899999999999</v>
      </c>
      <c r="P127">
        <v>45.168900000000001</v>
      </c>
      <c r="Q127">
        <v>54.903100000000002</v>
      </c>
      <c r="R127">
        <v>49.549300000000002</v>
      </c>
      <c r="S127"/>
      <c r="T127"/>
      <c r="U127"/>
      <c r="V127" t="s">
        <v>170</v>
      </c>
      <c r="W127" t="s">
        <v>171</v>
      </c>
      <c r="X127" t="s">
        <v>1436</v>
      </c>
      <c r="Y127">
        <v>1</v>
      </c>
      <c r="Z127" t="s">
        <v>173</v>
      </c>
      <c r="AA127" t="s">
        <v>173</v>
      </c>
      <c r="AB127">
        <v>4</v>
      </c>
      <c r="AC127" t="s">
        <v>423</v>
      </c>
      <c r="AD127"/>
      <c r="AE127"/>
      <c r="AF127">
        <v>410</v>
      </c>
      <c r="AG127" t="s">
        <v>1392</v>
      </c>
      <c r="AH127" t="s">
        <v>1393</v>
      </c>
      <c r="AI127" t="s">
        <v>1399</v>
      </c>
      <c r="AJ127" t="s">
        <v>1400</v>
      </c>
      <c r="AK127">
        <v>4</v>
      </c>
      <c r="AL127" t="s">
        <v>1394</v>
      </c>
      <c r="AM127"/>
      <c r="AN127"/>
      <c r="AO127"/>
      <c r="AP127"/>
      <c r="AQ127"/>
      <c r="AR127"/>
      <c r="AS127">
        <v>1250</v>
      </c>
      <c r="AT127">
        <v>1250</v>
      </c>
      <c r="AU127"/>
      <c r="AV127"/>
      <c r="AW127"/>
      <c r="AX127"/>
      <c r="AY127"/>
      <c r="AZ127"/>
      <c r="BA127"/>
      <c r="BB127"/>
      <c r="BC127"/>
      <c r="BD127"/>
      <c r="BE127"/>
      <c r="BF127"/>
      <c r="BG127"/>
      <c r="BH127"/>
      <c r="BI127"/>
      <c r="BJ127"/>
      <c r="BK127"/>
      <c r="BL127"/>
      <c r="BM127"/>
      <c r="BN127" s="114"/>
      <c r="BO127"/>
      <c r="BP127"/>
      <c r="BQ127">
        <v>13</v>
      </c>
      <c r="BR127" t="s">
        <v>712</v>
      </c>
      <c r="BS127"/>
      <c r="BT127" t="s">
        <v>1395</v>
      </c>
      <c r="BU127" s="115">
        <v>45800</v>
      </c>
      <c r="BV127">
        <v>36626</v>
      </c>
      <c r="BW127" s="116"/>
      <c r="BX127" t="s">
        <v>173</v>
      </c>
      <c r="BY127" t="s">
        <v>173</v>
      </c>
      <c r="BZ127"/>
      <c r="CA127"/>
      <c r="CB127" t="s">
        <v>173</v>
      </c>
      <c r="CC127" t="s">
        <v>173</v>
      </c>
      <c r="CD127"/>
      <c r="CE127"/>
      <c r="CF127"/>
      <c r="CG127"/>
      <c r="CH127"/>
      <c r="CI127"/>
      <c r="CJ127"/>
      <c r="CK127" t="s">
        <v>259</v>
      </c>
      <c r="CL127"/>
      <c r="CM127">
        <v>1</v>
      </c>
      <c r="CN127" t="s">
        <v>260</v>
      </c>
      <c r="CO127"/>
      <c r="CP127">
        <v>403</v>
      </c>
      <c r="CQ127">
        <v>580</v>
      </c>
      <c r="CR127">
        <v>166</v>
      </c>
      <c r="CS127" t="s">
        <v>261</v>
      </c>
      <c r="CT127"/>
      <c r="CU127"/>
      <c r="CV127" t="s">
        <v>262</v>
      </c>
      <c r="CW127"/>
      <c r="CX127" t="s">
        <v>263</v>
      </c>
      <c r="CY127" t="s">
        <v>172</v>
      </c>
      <c r="CZ127"/>
      <c r="DA127"/>
      <c r="DB127"/>
      <c r="DC127"/>
      <c r="DD127">
        <v>2</v>
      </c>
      <c r="DE127" t="s">
        <v>307</v>
      </c>
      <c r="DF127" t="s">
        <v>988</v>
      </c>
      <c r="DG127" t="s">
        <v>1450</v>
      </c>
      <c r="DH127"/>
      <c r="DI127"/>
      <c r="DJ127"/>
      <c r="DK127"/>
      <c r="DL127" t="s">
        <v>173</v>
      </c>
      <c r="DM127" t="s">
        <v>172</v>
      </c>
      <c r="DN127"/>
      <c r="DO127"/>
      <c r="DP127" t="s">
        <v>173</v>
      </c>
      <c r="DQ127" t="s">
        <v>189</v>
      </c>
      <c r="DR127" t="s">
        <v>1449</v>
      </c>
      <c r="DS127"/>
      <c r="DT127"/>
      <c r="DU127"/>
      <c r="DV127"/>
      <c r="DW127"/>
      <c r="DX127"/>
      <c r="DY127"/>
      <c r="DZ127"/>
      <c r="EA127" s="117"/>
      <c r="EB127">
        <v>9</v>
      </c>
      <c r="EC127">
        <v>10</v>
      </c>
      <c r="ED127"/>
      <c r="EE127" t="s">
        <v>1451</v>
      </c>
      <c r="EF127">
        <v>10</v>
      </c>
      <c r="EG127"/>
      <c r="EH127"/>
      <c r="EI127"/>
      <c r="EJ127"/>
      <c r="EK127"/>
      <c r="EL127"/>
      <c r="EM127"/>
      <c r="EN127"/>
      <c r="EO127"/>
      <c r="EP127"/>
      <c r="EQ127"/>
      <c r="ER127"/>
      <c r="ES127"/>
      <c r="ET127"/>
      <c r="EU127">
        <v>2250</v>
      </c>
      <c r="EV127"/>
      <c r="EW127">
        <v>0</v>
      </c>
      <c r="EX127">
        <v>0</v>
      </c>
      <c r="EY127">
        <v>0</v>
      </c>
      <c r="EZ127"/>
      <c r="FA127">
        <v>18.600000000000001</v>
      </c>
      <c r="FB127"/>
      <c r="FC127"/>
      <c r="FD127"/>
      <c r="FE127"/>
      <c r="FF127"/>
      <c r="FG127" s="94">
        <v>446</v>
      </c>
      <c r="FH127" s="94">
        <v>367</v>
      </c>
      <c r="FI127" s="94">
        <v>410</v>
      </c>
    </row>
    <row r="128" spans="1:165" s="66" customFormat="1" x14ac:dyDescent="0.35">
      <c r="A128" s="19"/>
      <c r="B128" s="19"/>
      <c r="C128" s="19"/>
      <c r="D128" s="19"/>
      <c r="E128" s="19"/>
      <c r="F128" s="128"/>
      <c r="G128" s="19"/>
      <c r="H128" s="19"/>
      <c r="I128" s="19"/>
      <c r="J128" s="19"/>
      <c r="K128" s="19" t="str">
        <f>_xlfn.CONCAT(A129," ",C129," ",D129)</f>
        <v>2026 Chevrolet SILVERADO EV</v>
      </c>
      <c r="L128" s="19"/>
      <c r="M128" s="19"/>
      <c r="N128" s="19"/>
      <c r="O128" s="19"/>
      <c r="P128" s="19"/>
      <c r="Q128" s="19"/>
      <c r="R128" s="19"/>
      <c r="S128" s="19"/>
      <c r="T128" s="19"/>
      <c r="U128" s="19"/>
      <c r="V128" s="19"/>
      <c r="W128" s="19"/>
      <c r="X128" s="19"/>
      <c r="Y128" s="19"/>
      <c r="Z128" s="19"/>
      <c r="AA128" s="19"/>
      <c r="AB128" s="19" t="str">
        <f>$K128</f>
        <v>2026 Chevrolet SILVERADO EV</v>
      </c>
      <c r="AC128" s="19"/>
      <c r="AD128" s="19"/>
      <c r="AE128" s="19"/>
      <c r="AF128" s="19"/>
      <c r="AG128" s="19"/>
      <c r="AH128" s="19"/>
      <c r="AI128" s="19"/>
      <c r="AJ128" s="19"/>
      <c r="AK128" s="19"/>
      <c r="AL128" s="19"/>
      <c r="AM128" s="19"/>
      <c r="AN128" s="19"/>
      <c r="AO128" s="19"/>
      <c r="AP128" s="19"/>
      <c r="AQ128" s="19"/>
      <c r="AR128" s="19" t="str">
        <f>$K128</f>
        <v>2026 Chevrolet SILVERADO EV</v>
      </c>
      <c r="AS128" s="19"/>
      <c r="AT128" s="19"/>
      <c r="AU128" s="19"/>
      <c r="AV128" s="19"/>
      <c r="AW128" s="19"/>
      <c r="AX128" s="19"/>
      <c r="AY128" s="19"/>
      <c r="AZ128" s="19"/>
      <c r="BA128" s="19"/>
      <c r="BB128" s="19"/>
      <c r="BC128" s="19"/>
      <c r="BD128" s="19"/>
      <c r="BE128" s="19"/>
      <c r="BF128" s="19"/>
      <c r="BG128" s="19" t="str">
        <f>$K128</f>
        <v>2026 Chevrolet SILVERADO EV</v>
      </c>
      <c r="BH128" s="19"/>
      <c r="BI128" s="19"/>
      <c r="BJ128" s="19"/>
      <c r="BK128" s="19"/>
      <c r="BL128" s="19"/>
      <c r="BM128" s="129"/>
      <c r="BN128" s="19"/>
      <c r="BO128" s="19"/>
      <c r="BP128" s="19"/>
      <c r="BQ128" s="19"/>
      <c r="BR128" s="19"/>
      <c r="BS128" s="19"/>
      <c r="BT128" s="130"/>
      <c r="BU128" s="19"/>
      <c r="BV128" s="19"/>
      <c r="BW128" s="116"/>
      <c r="BX128" s="19"/>
      <c r="BY128" s="19"/>
      <c r="BZ128" s="19"/>
      <c r="CA128" s="19"/>
      <c r="CB128" s="19"/>
      <c r="CC128" s="19"/>
      <c r="CD128" s="19"/>
      <c r="CE128" s="19"/>
      <c r="CF128" s="19"/>
      <c r="CG128" s="19"/>
      <c r="CH128" s="19"/>
      <c r="CI128" s="19"/>
      <c r="CJ128" s="19"/>
      <c r="CK128" s="19"/>
      <c r="CL128" s="19"/>
      <c r="CM128" s="19" t="str">
        <f>$K128</f>
        <v>2026 Chevrolet SILVERADO EV</v>
      </c>
      <c r="CN128" s="19"/>
      <c r="CO128" s="19"/>
      <c r="CP128" s="19"/>
      <c r="CQ128" s="19"/>
      <c r="CR128" s="19"/>
      <c r="CS128" s="19"/>
      <c r="CT128" s="19"/>
      <c r="CU128" s="19"/>
      <c r="CV128" s="19"/>
      <c r="CW128" s="19"/>
      <c r="CX128" s="19"/>
      <c r="CY128" s="19"/>
      <c r="CZ128" s="19"/>
      <c r="DA128" s="19"/>
      <c r="DB128" s="19"/>
      <c r="DC128" s="19"/>
      <c r="DD128" s="19" t="str">
        <f>$K128</f>
        <v>2026 Chevrolet SILVERADO EV</v>
      </c>
      <c r="DE128" s="19"/>
      <c r="DF128" s="19"/>
      <c r="DG128" s="19"/>
      <c r="DH128" s="19"/>
      <c r="DI128" s="19"/>
      <c r="DJ128" s="19"/>
      <c r="DK128" s="19"/>
      <c r="DL128" s="19"/>
      <c r="DM128" s="19"/>
      <c r="DN128" s="19"/>
      <c r="DO128" s="19"/>
      <c r="DP128" s="19"/>
      <c r="DQ128" s="19"/>
      <c r="DR128" s="19"/>
      <c r="DS128" s="19"/>
      <c r="DT128" s="19"/>
      <c r="DU128" s="19" t="str">
        <f>$K128</f>
        <v>2026 Chevrolet SILVERADO EV</v>
      </c>
      <c r="DV128" s="19"/>
      <c r="DW128" s="19"/>
      <c r="DX128" s="19"/>
      <c r="DY128" s="19"/>
      <c r="DZ128" s="19"/>
      <c r="EA128" s="117"/>
      <c r="EB128" s="19"/>
      <c r="EC128" s="19"/>
      <c r="ED128" s="19"/>
      <c r="EE128" s="19"/>
      <c r="EF128" s="19"/>
      <c r="EG128"/>
      <c r="EH128"/>
      <c r="EI128"/>
      <c r="EJ128"/>
      <c r="EK128"/>
      <c r="EL128"/>
      <c r="EM128"/>
      <c r="EN128"/>
      <c r="EO128"/>
      <c r="EP128"/>
      <c r="EQ128"/>
      <c r="ER128"/>
      <c r="ES128"/>
      <c r="ET128"/>
      <c r="EU128"/>
      <c r="EV128"/>
      <c r="EW128"/>
      <c r="EX128" s="19" t="s">
        <v>1967</v>
      </c>
      <c r="EY128"/>
      <c r="EZ128"/>
      <c r="FA128"/>
      <c r="FB128"/>
      <c r="FC128"/>
      <c r="FD128"/>
      <c r="FE128"/>
      <c r="FF128"/>
      <c r="FG128"/>
      <c r="FH128"/>
      <c r="FI128"/>
    </row>
    <row r="129" spans="1:165" s="66" customFormat="1" x14ac:dyDescent="0.35">
      <c r="A129">
        <v>2026</v>
      </c>
      <c r="B129" t="s">
        <v>211</v>
      </c>
      <c r="C129" s="112" t="s">
        <v>212</v>
      </c>
      <c r="D129" t="s">
        <v>1449</v>
      </c>
      <c r="E129" t="s">
        <v>214</v>
      </c>
      <c r="F129">
        <v>409</v>
      </c>
      <c r="G129" s="113">
        <v>0</v>
      </c>
      <c r="H129"/>
      <c r="I129" t="s">
        <v>1391</v>
      </c>
      <c r="J129">
        <v>69</v>
      </c>
      <c r="K129">
        <v>59</v>
      </c>
      <c r="L129">
        <v>64</v>
      </c>
      <c r="M129">
        <v>98.7834</v>
      </c>
      <c r="N129">
        <v>84.6066</v>
      </c>
      <c r="O129">
        <v>91.857100000000003</v>
      </c>
      <c r="P129">
        <v>69.148399999999995</v>
      </c>
      <c r="Q129">
        <v>59.224600000000002</v>
      </c>
      <c r="R129">
        <v>64.3</v>
      </c>
      <c r="S129"/>
      <c r="T129"/>
      <c r="U129"/>
      <c r="V129" t="s">
        <v>170</v>
      </c>
      <c r="W129" t="s">
        <v>171</v>
      </c>
      <c r="X129" t="s">
        <v>1436</v>
      </c>
      <c r="Y129">
        <v>1</v>
      </c>
      <c r="Z129" t="s">
        <v>173</v>
      </c>
      <c r="AA129" t="s">
        <v>173</v>
      </c>
      <c r="AB129">
        <v>4</v>
      </c>
      <c r="AC129" t="s">
        <v>423</v>
      </c>
      <c r="AD129"/>
      <c r="AE129"/>
      <c r="AF129">
        <v>385</v>
      </c>
      <c r="AG129" t="s">
        <v>1392</v>
      </c>
      <c r="AH129" t="s">
        <v>1393</v>
      </c>
      <c r="AI129" t="s">
        <v>178</v>
      </c>
      <c r="AJ129" t="s">
        <v>179</v>
      </c>
      <c r="AK129">
        <v>4</v>
      </c>
      <c r="AL129" t="s">
        <v>1394</v>
      </c>
      <c r="AM129"/>
      <c r="AN129"/>
      <c r="AO129"/>
      <c r="AP129"/>
      <c r="AQ129"/>
      <c r="AR129"/>
      <c r="AS129">
        <v>1350</v>
      </c>
      <c r="AT129">
        <v>1350</v>
      </c>
      <c r="AU129"/>
      <c r="AV129"/>
      <c r="AW129"/>
      <c r="AX129"/>
      <c r="AY129"/>
      <c r="AZ129"/>
      <c r="BA129"/>
      <c r="BB129"/>
      <c r="BC129"/>
      <c r="BD129"/>
      <c r="BE129"/>
      <c r="BF129"/>
      <c r="BG129"/>
      <c r="BH129"/>
      <c r="BI129"/>
      <c r="BJ129"/>
      <c r="BK129"/>
      <c r="BL129"/>
      <c r="BM129"/>
      <c r="BN129" s="114"/>
      <c r="BO129"/>
      <c r="BP129"/>
      <c r="BQ129">
        <v>13</v>
      </c>
      <c r="BR129" t="s">
        <v>712</v>
      </c>
      <c r="BS129"/>
      <c r="BT129" t="s">
        <v>1395</v>
      </c>
      <c r="BU129" s="115">
        <v>45800</v>
      </c>
      <c r="BV129">
        <v>36624</v>
      </c>
      <c r="BW129" s="116"/>
      <c r="BX129" t="s">
        <v>173</v>
      </c>
      <c r="BY129" t="s">
        <v>173</v>
      </c>
      <c r="BZ129"/>
      <c r="CA129"/>
      <c r="CB129" t="s">
        <v>173</v>
      </c>
      <c r="CC129" t="s">
        <v>173</v>
      </c>
      <c r="CD129"/>
      <c r="CE129"/>
      <c r="CF129"/>
      <c r="CG129"/>
      <c r="CH129"/>
      <c r="CI129"/>
      <c r="CJ129"/>
      <c r="CK129" t="s">
        <v>259</v>
      </c>
      <c r="CL129"/>
      <c r="CM129">
        <v>1</v>
      </c>
      <c r="CN129" t="s">
        <v>260</v>
      </c>
      <c r="CO129"/>
      <c r="CP129">
        <v>403</v>
      </c>
      <c r="CQ129">
        <v>580</v>
      </c>
      <c r="CR129">
        <v>166</v>
      </c>
      <c r="CS129" t="s">
        <v>261</v>
      </c>
      <c r="CT129"/>
      <c r="CU129"/>
      <c r="CV129" t="s">
        <v>262</v>
      </c>
      <c r="CW129"/>
      <c r="CX129" t="s">
        <v>263</v>
      </c>
      <c r="CY129" t="s">
        <v>172</v>
      </c>
      <c r="CZ129"/>
      <c r="DA129"/>
      <c r="DB129"/>
      <c r="DC129"/>
      <c r="DD129">
        <v>2</v>
      </c>
      <c r="DE129" t="s">
        <v>307</v>
      </c>
      <c r="DF129" t="s">
        <v>988</v>
      </c>
      <c r="DG129" t="s">
        <v>1450</v>
      </c>
      <c r="DH129"/>
      <c r="DI129"/>
      <c r="DJ129"/>
      <c r="DK129"/>
      <c r="DL129" t="s">
        <v>173</v>
      </c>
      <c r="DM129" t="s">
        <v>172</v>
      </c>
      <c r="DN129"/>
      <c r="DO129"/>
      <c r="DP129" t="s">
        <v>173</v>
      </c>
      <c r="DQ129" t="s">
        <v>189</v>
      </c>
      <c r="DR129" t="s">
        <v>1449</v>
      </c>
      <c r="DS129"/>
      <c r="DT129"/>
      <c r="DU129"/>
      <c r="DV129"/>
      <c r="DW129"/>
      <c r="DX129"/>
      <c r="DY129"/>
      <c r="DZ129"/>
      <c r="EA129" s="117"/>
      <c r="EB129">
        <v>8</v>
      </c>
      <c r="EC129">
        <v>10</v>
      </c>
      <c r="ED129"/>
      <c r="EE129" t="s">
        <v>1451</v>
      </c>
      <c r="EF129">
        <v>10</v>
      </c>
      <c r="EG129"/>
      <c r="EH129"/>
      <c r="EI129"/>
      <c r="EJ129"/>
      <c r="EK129"/>
      <c r="EL129"/>
      <c r="EM129"/>
      <c r="EN129"/>
      <c r="EO129"/>
      <c r="EP129"/>
      <c r="EQ129"/>
      <c r="ER129"/>
      <c r="ES129"/>
      <c r="ET129"/>
      <c r="EU129">
        <v>1750</v>
      </c>
      <c r="EV129"/>
      <c r="EW129">
        <v>0</v>
      </c>
      <c r="EX129">
        <v>0</v>
      </c>
      <c r="EY129">
        <v>0</v>
      </c>
      <c r="EZ129"/>
      <c r="FA129">
        <v>11.5</v>
      </c>
      <c r="FB129"/>
      <c r="FC129"/>
      <c r="FD129"/>
      <c r="FE129"/>
      <c r="FF129"/>
      <c r="FG129" s="94">
        <v>412</v>
      </c>
      <c r="FH129" s="94">
        <v>353</v>
      </c>
      <c r="FI129" s="94">
        <v>385</v>
      </c>
    </row>
    <row r="130" spans="1:165" s="66" customFormat="1" x14ac:dyDescent="0.35">
      <c r="A130">
        <v>2026</v>
      </c>
      <c r="B130" t="s">
        <v>211</v>
      </c>
      <c r="C130" s="112" t="s">
        <v>212</v>
      </c>
      <c r="D130" t="s">
        <v>1449</v>
      </c>
      <c r="E130" t="s">
        <v>214</v>
      </c>
      <c r="F130">
        <v>409</v>
      </c>
      <c r="G130" s="113">
        <v>0</v>
      </c>
      <c r="H130"/>
      <c r="I130" t="s">
        <v>1391</v>
      </c>
      <c r="J130">
        <v>49</v>
      </c>
      <c r="K130">
        <v>57</v>
      </c>
      <c r="L130">
        <v>52</v>
      </c>
      <c r="M130">
        <v>34.107100000000003</v>
      </c>
      <c r="N130">
        <v>39.848700000000001</v>
      </c>
      <c r="O130">
        <v>36.690800000000003</v>
      </c>
      <c r="P130">
        <v>48.743000000000002</v>
      </c>
      <c r="Q130">
        <v>56.910400000000003</v>
      </c>
      <c r="R130">
        <v>52.418300000000002</v>
      </c>
      <c r="S130"/>
      <c r="T130"/>
      <c r="U130"/>
      <c r="V130" t="s">
        <v>170</v>
      </c>
      <c r="W130" t="s">
        <v>171</v>
      </c>
      <c r="X130" t="s">
        <v>1436</v>
      </c>
      <c r="Y130">
        <v>1</v>
      </c>
      <c r="Z130" t="s">
        <v>173</v>
      </c>
      <c r="AA130" t="s">
        <v>173</v>
      </c>
      <c r="AB130">
        <v>4</v>
      </c>
      <c r="AC130" t="s">
        <v>423</v>
      </c>
      <c r="AD130"/>
      <c r="AE130"/>
      <c r="AF130">
        <v>385</v>
      </c>
      <c r="AG130" t="s">
        <v>1392</v>
      </c>
      <c r="AH130" t="s">
        <v>1393</v>
      </c>
      <c r="AI130" t="s">
        <v>1399</v>
      </c>
      <c r="AJ130" t="s">
        <v>1400</v>
      </c>
      <c r="AK130">
        <v>4</v>
      </c>
      <c r="AL130" t="s">
        <v>1394</v>
      </c>
      <c r="AM130"/>
      <c r="AN130"/>
      <c r="AO130"/>
      <c r="AP130"/>
      <c r="AQ130"/>
      <c r="AR130"/>
      <c r="AS130">
        <v>1350</v>
      </c>
      <c r="AT130">
        <v>1350</v>
      </c>
      <c r="AU130"/>
      <c r="AV130"/>
      <c r="AW130"/>
      <c r="AX130"/>
      <c r="AY130"/>
      <c r="AZ130"/>
      <c r="BA130"/>
      <c r="BB130"/>
      <c r="BC130"/>
      <c r="BD130"/>
      <c r="BE130"/>
      <c r="BF130"/>
      <c r="BG130"/>
      <c r="BH130"/>
      <c r="BI130"/>
      <c r="BJ130"/>
      <c r="BK130"/>
      <c r="BL130"/>
      <c r="BM130"/>
      <c r="BN130" s="114"/>
      <c r="BO130"/>
      <c r="BP130"/>
      <c r="BQ130">
        <v>13</v>
      </c>
      <c r="BR130" t="s">
        <v>712</v>
      </c>
      <c r="BS130"/>
      <c r="BT130" t="s">
        <v>1395</v>
      </c>
      <c r="BU130" s="115">
        <v>45800</v>
      </c>
      <c r="BV130">
        <v>36624</v>
      </c>
      <c r="BW130" s="116"/>
      <c r="BX130" t="s">
        <v>173</v>
      </c>
      <c r="BY130" t="s">
        <v>173</v>
      </c>
      <c r="BZ130"/>
      <c r="CA130"/>
      <c r="CB130" t="s">
        <v>173</v>
      </c>
      <c r="CC130" t="s">
        <v>173</v>
      </c>
      <c r="CD130"/>
      <c r="CE130"/>
      <c r="CF130"/>
      <c r="CG130"/>
      <c r="CH130"/>
      <c r="CI130"/>
      <c r="CJ130"/>
      <c r="CK130" t="s">
        <v>259</v>
      </c>
      <c r="CL130"/>
      <c r="CM130">
        <v>1</v>
      </c>
      <c r="CN130" t="s">
        <v>260</v>
      </c>
      <c r="CO130"/>
      <c r="CP130">
        <v>403</v>
      </c>
      <c r="CQ130">
        <v>580</v>
      </c>
      <c r="CR130">
        <v>166</v>
      </c>
      <c r="CS130" t="s">
        <v>261</v>
      </c>
      <c r="CT130"/>
      <c r="CU130"/>
      <c r="CV130" t="s">
        <v>262</v>
      </c>
      <c r="CW130"/>
      <c r="CX130" t="s">
        <v>263</v>
      </c>
      <c r="CY130" t="s">
        <v>172</v>
      </c>
      <c r="CZ130"/>
      <c r="DA130"/>
      <c r="DB130"/>
      <c r="DC130"/>
      <c r="DD130">
        <v>2</v>
      </c>
      <c r="DE130" t="s">
        <v>307</v>
      </c>
      <c r="DF130" t="s">
        <v>988</v>
      </c>
      <c r="DG130" t="s">
        <v>1450</v>
      </c>
      <c r="DH130"/>
      <c r="DI130"/>
      <c r="DJ130"/>
      <c r="DK130"/>
      <c r="DL130" t="s">
        <v>173</v>
      </c>
      <c r="DM130" t="s">
        <v>172</v>
      </c>
      <c r="DN130"/>
      <c r="DO130"/>
      <c r="DP130" t="s">
        <v>173</v>
      </c>
      <c r="DQ130" t="s">
        <v>189</v>
      </c>
      <c r="DR130" t="s">
        <v>1449</v>
      </c>
      <c r="DS130"/>
      <c r="DT130"/>
      <c r="DU130"/>
      <c r="DV130"/>
      <c r="DW130"/>
      <c r="DX130"/>
      <c r="DY130"/>
      <c r="DZ130"/>
      <c r="EA130" s="117"/>
      <c r="EB130">
        <v>8</v>
      </c>
      <c r="EC130">
        <v>10</v>
      </c>
      <c r="ED130"/>
      <c r="EE130" t="s">
        <v>1451</v>
      </c>
      <c r="EF130">
        <v>10</v>
      </c>
      <c r="EG130"/>
      <c r="EH130"/>
      <c r="EI130"/>
      <c r="EJ130"/>
      <c r="EK130"/>
      <c r="EL130"/>
      <c r="EM130"/>
      <c r="EN130"/>
      <c r="EO130"/>
      <c r="EP130"/>
      <c r="EQ130"/>
      <c r="ER130"/>
      <c r="ES130"/>
      <c r="ET130"/>
      <c r="EU130">
        <v>1750</v>
      </c>
      <c r="EV130"/>
      <c r="EW130">
        <v>0</v>
      </c>
      <c r="EX130">
        <v>0</v>
      </c>
      <c r="EY130">
        <v>0</v>
      </c>
      <c r="EZ130"/>
      <c r="FA130">
        <v>11.5</v>
      </c>
      <c r="FB130"/>
      <c r="FC130"/>
      <c r="FD130"/>
      <c r="FE130"/>
      <c r="FF130"/>
      <c r="FG130" s="94">
        <v>412</v>
      </c>
      <c r="FH130" s="94">
        <v>353</v>
      </c>
      <c r="FI130" s="94">
        <v>385</v>
      </c>
    </row>
    <row r="131" spans="1:165" s="66" customFormat="1" x14ac:dyDescent="0.35">
      <c r="A131" s="19"/>
      <c r="B131" s="19"/>
      <c r="C131" s="19"/>
      <c r="D131" s="19"/>
      <c r="E131" s="19"/>
      <c r="F131" s="128"/>
      <c r="G131" s="19"/>
      <c r="H131" s="19"/>
      <c r="I131" s="19"/>
      <c r="J131" s="19"/>
      <c r="K131" s="19" t="str">
        <f>_xlfn.CONCAT(A132," ",C132," ",D132)</f>
        <v>2026 Chevrolet SILVERADO EV</v>
      </c>
      <c r="L131" s="19"/>
      <c r="M131" s="19"/>
      <c r="N131" s="19"/>
      <c r="O131" s="19"/>
      <c r="P131" s="19"/>
      <c r="Q131" s="19"/>
      <c r="R131" s="19"/>
      <c r="S131" s="19"/>
      <c r="T131" s="19"/>
      <c r="U131" s="19"/>
      <c r="V131" s="19"/>
      <c r="W131" s="19"/>
      <c r="X131" s="19"/>
      <c r="Y131" s="19"/>
      <c r="Z131" s="19"/>
      <c r="AA131" s="19"/>
      <c r="AB131" s="19" t="str">
        <f>$K131</f>
        <v>2026 Chevrolet SILVERADO EV</v>
      </c>
      <c r="AC131" s="19"/>
      <c r="AD131" s="19"/>
      <c r="AE131" s="19"/>
      <c r="AF131" s="19"/>
      <c r="AG131" s="19"/>
      <c r="AH131" s="19"/>
      <c r="AI131" s="19"/>
      <c r="AJ131" s="19"/>
      <c r="AK131" s="19"/>
      <c r="AL131" s="19"/>
      <c r="AM131" s="19"/>
      <c r="AN131" s="19"/>
      <c r="AO131" s="19"/>
      <c r="AP131" s="19"/>
      <c r="AQ131" s="19"/>
      <c r="AR131" s="19" t="str">
        <f>$K131</f>
        <v>2026 Chevrolet SILVERADO EV</v>
      </c>
      <c r="AS131" s="19"/>
      <c r="AT131" s="19"/>
      <c r="AU131" s="19"/>
      <c r="AV131" s="19"/>
      <c r="AW131" s="19"/>
      <c r="AX131" s="19"/>
      <c r="AY131" s="19"/>
      <c r="AZ131" s="19"/>
      <c r="BA131" s="19"/>
      <c r="BB131" s="19"/>
      <c r="BC131" s="19"/>
      <c r="BD131" s="19"/>
      <c r="BE131" s="19"/>
      <c r="BF131" s="19"/>
      <c r="BG131" s="19" t="str">
        <f>$K131</f>
        <v>2026 Chevrolet SILVERADO EV</v>
      </c>
      <c r="BH131" s="19"/>
      <c r="BI131" s="19"/>
      <c r="BJ131" s="19"/>
      <c r="BK131" s="19"/>
      <c r="BL131" s="19"/>
      <c r="BM131" s="129"/>
      <c r="BN131" s="19"/>
      <c r="BO131" s="19"/>
      <c r="BP131" s="19"/>
      <c r="BQ131" s="19"/>
      <c r="BR131" s="19"/>
      <c r="BS131" s="19"/>
      <c r="BT131" s="130"/>
      <c r="BU131" s="19"/>
      <c r="BV131" s="19"/>
      <c r="BW131" s="116"/>
      <c r="BX131" s="19"/>
      <c r="BY131" s="19"/>
      <c r="BZ131" s="19"/>
      <c r="CA131" s="19"/>
      <c r="CB131" s="19"/>
      <c r="CC131" s="19"/>
      <c r="CD131" s="19"/>
      <c r="CE131" s="19"/>
      <c r="CF131" s="19"/>
      <c r="CG131" s="19"/>
      <c r="CH131" s="19"/>
      <c r="CI131" s="19"/>
      <c r="CJ131" s="19"/>
      <c r="CK131" s="19"/>
      <c r="CL131" s="19"/>
      <c r="CM131" s="19" t="str">
        <f>$K131</f>
        <v>2026 Chevrolet SILVERADO EV</v>
      </c>
      <c r="CN131" s="19"/>
      <c r="CO131" s="19"/>
      <c r="CP131" s="19"/>
      <c r="CQ131" s="19"/>
      <c r="CR131" s="19"/>
      <c r="CS131" s="19"/>
      <c r="CT131" s="19"/>
      <c r="CU131" s="19"/>
      <c r="CV131" s="19"/>
      <c r="CW131" s="19"/>
      <c r="CX131" s="19"/>
      <c r="CY131" s="19"/>
      <c r="CZ131" s="19"/>
      <c r="DA131" s="19"/>
      <c r="DB131" s="19"/>
      <c r="DC131" s="19"/>
      <c r="DD131" s="19" t="str">
        <f>$K131</f>
        <v>2026 Chevrolet SILVERADO EV</v>
      </c>
      <c r="DE131" s="19"/>
      <c r="DF131" s="19"/>
      <c r="DG131" s="19"/>
      <c r="DH131" s="19"/>
      <c r="DI131" s="19"/>
      <c r="DJ131" s="19"/>
      <c r="DK131" s="19"/>
      <c r="DL131" s="19"/>
      <c r="DM131" s="19"/>
      <c r="DN131" s="19"/>
      <c r="DO131" s="19"/>
      <c r="DP131" s="19"/>
      <c r="DQ131" s="19"/>
      <c r="DR131" s="19"/>
      <c r="DS131" s="19"/>
      <c r="DT131" s="19"/>
      <c r="DU131" s="19" t="str">
        <f>$K131</f>
        <v>2026 Chevrolet SILVERADO EV</v>
      </c>
      <c r="DV131" s="19"/>
      <c r="DW131" s="19"/>
      <c r="DX131" s="19"/>
      <c r="DY131" s="19"/>
      <c r="DZ131" s="19"/>
      <c r="EA131" s="117"/>
      <c r="EB131" s="19"/>
      <c r="EC131" s="19"/>
      <c r="ED131" s="19"/>
      <c r="EE131" s="19"/>
      <c r="EF131" s="19"/>
      <c r="EG131"/>
      <c r="EH131"/>
      <c r="EI131"/>
      <c r="EJ131"/>
      <c r="EK131"/>
      <c r="EL131"/>
      <c r="EM131"/>
      <c r="EN131"/>
      <c r="EO131"/>
      <c r="EP131"/>
      <c r="EQ131"/>
      <c r="ER131"/>
      <c r="ES131"/>
      <c r="ET131"/>
      <c r="EU131"/>
      <c r="EV131"/>
      <c r="EW131"/>
      <c r="EX131" s="19" t="s">
        <v>1967</v>
      </c>
      <c r="EY131"/>
      <c r="EZ131"/>
      <c r="FA131"/>
      <c r="FB131"/>
      <c r="FC131"/>
      <c r="FD131"/>
      <c r="FE131"/>
      <c r="FF131"/>
      <c r="FG131"/>
      <c r="FH131"/>
      <c r="FI131"/>
    </row>
    <row r="132" spans="1:165" s="66" customFormat="1" x14ac:dyDescent="0.35">
      <c r="A132">
        <v>2026</v>
      </c>
      <c r="B132" t="s">
        <v>211</v>
      </c>
      <c r="C132" s="112" t="s">
        <v>212</v>
      </c>
      <c r="D132" t="s">
        <v>1449</v>
      </c>
      <c r="E132" t="s">
        <v>214</v>
      </c>
      <c r="F132">
        <v>411</v>
      </c>
      <c r="G132" s="113">
        <v>0</v>
      </c>
      <c r="H132"/>
      <c r="I132" t="s">
        <v>1391</v>
      </c>
      <c r="J132">
        <v>75</v>
      </c>
      <c r="K132">
        <v>61</v>
      </c>
      <c r="L132">
        <v>68</v>
      </c>
      <c r="M132">
        <v>107.7</v>
      </c>
      <c r="N132">
        <v>86.8</v>
      </c>
      <c r="O132">
        <v>97.171199999999999</v>
      </c>
      <c r="P132">
        <v>75.39</v>
      </c>
      <c r="Q132">
        <v>60.76</v>
      </c>
      <c r="R132">
        <v>68.019900000000007</v>
      </c>
      <c r="S132"/>
      <c r="T132"/>
      <c r="U132"/>
      <c r="V132" t="s">
        <v>170</v>
      </c>
      <c r="W132" t="s">
        <v>171</v>
      </c>
      <c r="X132" t="s">
        <v>1436</v>
      </c>
      <c r="Y132">
        <v>1</v>
      </c>
      <c r="Z132" t="s">
        <v>173</v>
      </c>
      <c r="AA132" t="s">
        <v>173</v>
      </c>
      <c r="AB132">
        <v>4</v>
      </c>
      <c r="AC132" t="s">
        <v>423</v>
      </c>
      <c r="AD132"/>
      <c r="AE132"/>
      <c r="AF132">
        <v>286</v>
      </c>
      <c r="AG132" t="s">
        <v>1392</v>
      </c>
      <c r="AH132" t="s">
        <v>1393</v>
      </c>
      <c r="AI132" t="s">
        <v>178</v>
      </c>
      <c r="AJ132" t="s">
        <v>179</v>
      </c>
      <c r="AK132">
        <v>4</v>
      </c>
      <c r="AL132" t="s">
        <v>1394</v>
      </c>
      <c r="AM132"/>
      <c r="AN132"/>
      <c r="AO132"/>
      <c r="AP132"/>
      <c r="AQ132"/>
      <c r="AR132"/>
      <c r="AS132">
        <v>1250</v>
      </c>
      <c r="AT132">
        <v>1250</v>
      </c>
      <c r="AU132"/>
      <c r="AV132"/>
      <c r="AW132"/>
      <c r="AX132"/>
      <c r="AY132"/>
      <c r="AZ132"/>
      <c r="BA132"/>
      <c r="BB132"/>
      <c r="BC132"/>
      <c r="BD132"/>
      <c r="BE132"/>
      <c r="BF132"/>
      <c r="BG132"/>
      <c r="BH132"/>
      <c r="BI132"/>
      <c r="BJ132"/>
      <c r="BK132"/>
      <c r="BL132"/>
      <c r="BM132"/>
      <c r="BN132" s="114"/>
      <c r="BO132"/>
      <c r="BP132"/>
      <c r="BQ132">
        <v>13</v>
      </c>
      <c r="BR132" t="s">
        <v>712</v>
      </c>
      <c r="BS132"/>
      <c r="BT132" t="s">
        <v>1395</v>
      </c>
      <c r="BU132" s="115">
        <v>45800</v>
      </c>
      <c r="BV132">
        <v>36580</v>
      </c>
      <c r="BW132" s="116"/>
      <c r="BX132" t="s">
        <v>173</v>
      </c>
      <c r="BY132" t="s">
        <v>173</v>
      </c>
      <c r="BZ132"/>
      <c r="CA132"/>
      <c r="CB132" t="s">
        <v>173</v>
      </c>
      <c r="CC132" t="s">
        <v>173</v>
      </c>
      <c r="CD132"/>
      <c r="CE132"/>
      <c r="CF132"/>
      <c r="CG132"/>
      <c r="CH132"/>
      <c r="CI132"/>
      <c r="CJ132"/>
      <c r="CK132" t="s">
        <v>259</v>
      </c>
      <c r="CL132"/>
      <c r="CM132">
        <v>1</v>
      </c>
      <c r="CN132" t="s">
        <v>260</v>
      </c>
      <c r="CO132"/>
      <c r="CP132">
        <v>470</v>
      </c>
      <c r="CQ132">
        <v>290</v>
      </c>
      <c r="CR132">
        <v>143</v>
      </c>
      <c r="CS132" t="s">
        <v>261</v>
      </c>
      <c r="CT132"/>
      <c r="CU132"/>
      <c r="CV132" t="s">
        <v>262</v>
      </c>
      <c r="CW132"/>
      <c r="CX132" t="s">
        <v>263</v>
      </c>
      <c r="CY132" t="s">
        <v>172</v>
      </c>
      <c r="CZ132"/>
      <c r="DA132"/>
      <c r="DB132"/>
      <c r="DC132"/>
      <c r="DD132">
        <v>2</v>
      </c>
      <c r="DE132" t="s">
        <v>307</v>
      </c>
      <c r="DF132" t="s">
        <v>988</v>
      </c>
      <c r="DG132" t="s">
        <v>1450</v>
      </c>
      <c r="DH132"/>
      <c r="DI132"/>
      <c r="DJ132"/>
      <c r="DK132"/>
      <c r="DL132" t="s">
        <v>173</v>
      </c>
      <c r="DM132" t="s">
        <v>172</v>
      </c>
      <c r="DN132"/>
      <c r="DO132"/>
      <c r="DP132" t="s">
        <v>173</v>
      </c>
      <c r="DQ132" t="s">
        <v>189</v>
      </c>
      <c r="DR132" t="s">
        <v>1449</v>
      </c>
      <c r="DS132"/>
      <c r="DT132"/>
      <c r="DU132"/>
      <c r="DV132"/>
      <c r="DW132"/>
      <c r="DX132"/>
      <c r="DY132"/>
      <c r="DZ132"/>
      <c r="EA132" s="117"/>
      <c r="EB132">
        <v>9</v>
      </c>
      <c r="EC132">
        <v>10</v>
      </c>
      <c r="ED132"/>
      <c r="EE132" t="s">
        <v>1452</v>
      </c>
      <c r="EF132">
        <v>10</v>
      </c>
      <c r="EG132"/>
      <c r="EH132"/>
      <c r="EI132"/>
      <c r="EJ132"/>
      <c r="EK132"/>
      <c r="EL132"/>
      <c r="EM132"/>
      <c r="EN132"/>
      <c r="EO132"/>
      <c r="EP132"/>
      <c r="EQ132"/>
      <c r="ER132"/>
      <c r="ES132"/>
      <c r="ET132"/>
      <c r="EU132">
        <v>2250</v>
      </c>
      <c r="EV132"/>
      <c r="EW132">
        <v>0</v>
      </c>
      <c r="EX132">
        <v>0</v>
      </c>
      <c r="EY132">
        <v>0</v>
      </c>
      <c r="EZ132"/>
      <c r="FA132">
        <v>13.3</v>
      </c>
      <c r="FB132"/>
      <c r="FC132"/>
      <c r="FD132"/>
      <c r="FE132"/>
      <c r="FF132"/>
      <c r="FG132" s="94">
        <v>313</v>
      </c>
      <c r="FH132" s="94">
        <v>253</v>
      </c>
      <c r="FI132" s="94">
        <v>286</v>
      </c>
    </row>
    <row r="133" spans="1:165" s="66" customFormat="1" x14ac:dyDescent="0.35">
      <c r="A133">
        <v>2026</v>
      </c>
      <c r="B133" t="s">
        <v>211</v>
      </c>
      <c r="C133" s="112" t="s">
        <v>212</v>
      </c>
      <c r="D133" t="s">
        <v>1449</v>
      </c>
      <c r="E133" t="s">
        <v>214</v>
      </c>
      <c r="F133">
        <v>411</v>
      </c>
      <c r="G133" s="113">
        <v>0</v>
      </c>
      <c r="H133"/>
      <c r="I133" t="s">
        <v>1391</v>
      </c>
      <c r="J133">
        <v>45</v>
      </c>
      <c r="K133">
        <v>55</v>
      </c>
      <c r="L133">
        <v>50</v>
      </c>
      <c r="M133">
        <v>31.290800000000001</v>
      </c>
      <c r="N133">
        <v>38.816299999999998</v>
      </c>
      <c r="O133">
        <v>34.677300000000002</v>
      </c>
      <c r="P133">
        <v>44.707500000000003</v>
      </c>
      <c r="Q133">
        <v>55.4724</v>
      </c>
      <c r="R133">
        <v>49.551699999999997</v>
      </c>
      <c r="S133"/>
      <c r="T133"/>
      <c r="U133"/>
      <c r="V133" t="s">
        <v>170</v>
      </c>
      <c r="W133" t="s">
        <v>171</v>
      </c>
      <c r="X133" t="s">
        <v>1436</v>
      </c>
      <c r="Y133">
        <v>1</v>
      </c>
      <c r="Z133" t="s">
        <v>173</v>
      </c>
      <c r="AA133" t="s">
        <v>173</v>
      </c>
      <c r="AB133">
        <v>4</v>
      </c>
      <c r="AC133" t="s">
        <v>423</v>
      </c>
      <c r="AD133"/>
      <c r="AE133"/>
      <c r="AF133">
        <v>286</v>
      </c>
      <c r="AG133" t="s">
        <v>1392</v>
      </c>
      <c r="AH133" t="s">
        <v>1393</v>
      </c>
      <c r="AI133" t="s">
        <v>1399</v>
      </c>
      <c r="AJ133" t="s">
        <v>1400</v>
      </c>
      <c r="AK133">
        <v>4</v>
      </c>
      <c r="AL133" t="s">
        <v>1394</v>
      </c>
      <c r="AM133"/>
      <c r="AN133"/>
      <c r="AO133"/>
      <c r="AP133"/>
      <c r="AQ133"/>
      <c r="AR133"/>
      <c r="AS133">
        <v>1250</v>
      </c>
      <c r="AT133">
        <v>1250</v>
      </c>
      <c r="AU133"/>
      <c r="AV133"/>
      <c r="AW133"/>
      <c r="AX133"/>
      <c r="AY133"/>
      <c r="AZ133"/>
      <c r="BA133"/>
      <c r="BB133"/>
      <c r="BC133"/>
      <c r="BD133"/>
      <c r="BE133"/>
      <c r="BF133"/>
      <c r="BG133"/>
      <c r="BH133"/>
      <c r="BI133"/>
      <c r="BJ133"/>
      <c r="BK133"/>
      <c r="BL133"/>
      <c r="BM133"/>
      <c r="BN133" s="114"/>
      <c r="BO133"/>
      <c r="BP133"/>
      <c r="BQ133">
        <v>13</v>
      </c>
      <c r="BR133" t="s">
        <v>712</v>
      </c>
      <c r="BS133"/>
      <c r="BT133" t="s">
        <v>1395</v>
      </c>
      <c r="BU133" s="115">
        <v>45800</v>
      </c>
      <c r="BV133">
        <v>36580</v>
      </c>
      <c r="BW133" s="116"/>
      <c r="BX133" t="s">
        <v>173</v>
      </c>
      <c r="BY133" t="s">
        <v>173</v>
      </c>
      <c r="BZ133"/>
      <c r="CA133"/>
      <c r="CB133" t="s">
        <v>173</v>
      </c>
      <c r="CC133" t="s">
        <v>173</v>
      </c>
      <c r="CD133"/>
      <c r="CE133"/>
      <c r="CF133"/>
      <c r="CG133"/>
      <c r="CH133"/>
      <c r="CI133"/>
      <c r="CJ133"/>
      <c r="CK133" t="s">
        <v>259</v>
      </c>
      <c r="CL133"/>
      <c r="CM133">
        <v>1</v>
      </c>
      <c r="CN133" t="s">
        <v>260</v>
      </c>
      <c r="CO133"/>
      <c r="CP133">
        <v>470</v>
      </c>
      <c r="CQ133">
        <v>290</v>
      </c>
      <c r="CR133">
        <v>143</v>
      </c>
      <c r="CS133" t="s">
        <v>261</v>
      </c>
      <c r="CT133"/>
      <c r="CU133"/>
      <c r="CV133" t="s">
        <v>262</v>
      </c>
      <c r="CW133"/>
      <c r="CX133" t="s">
        <v>263</v>
      </c>
      <c r="CY133" t="s">
        <v>172</v>
      </c>
      <c r="CZ133"/>
      <c r="DA133"/>
      <c r="DB133"/>
      <c r="DC133"/>
      <c r="DD133">
        <v>2</v>
      </c>
      <c r="DE133" t="s">
        <v>307</v>
      </c>
      <c r="DF133" t="s">
        <v>988</v>
      </c>
      <c r="DG133" t="s">
        <v>1450</v>
      </c>
      <c r="DH133"/>
      <c r="DI133"/>
      <c r="DJ133"/>
      <c r="DK133"/>
      <c r="DL133" t="s">
        <v>173</v>
      </c>
      <c r="DM133" t="s">
        <v>172</v>
      </c>
      <c r="DN133"/>
      <c r="DO133"/>
      <c r="DP133" t="s">
        <v>173</v>
      </c>
      <c r="DQ133" t="s">
        <v>189</v>
      </c>
      <c r="DR133" t="s">
        <v>1449</v>
      </c>
      <c r="DS133"/>
      <c r="DT133"/>
      <c r="DU133"/>
      <c r="DV133"/>
      <c r="DW133"/>
      <c r="DX133"/>
      <c r="DY133"/>
      <c r="DZ133"/>
      <c r="EA133" s="117"/>
      <c r="EB133">
        <v>9</v>
      </c>
      <c r="EC133">
        <v>10</v>
      </c>
      <c r="ED133"/>
      <c r="EE133" t="s">
        <v>1452</v>
      </c>
      <c r="EF133">
        <v>10</v>
      </c>
      <c r="EG133"/>
      <c r="EH133"/>
      <c r="EI133"/>
      <c r="EJ133"/>
      <c r="EK133"/>
      <c r="EL133"/>
      <c r="EM133"/>
      <c r="EN133"/>
      <c r="EO133"/>
      <c r="EP133"/>
      <c r="EQ133"/>
      <c r="ER133"/>
      <c r="ES133"/>
      <c r="ET133"/>
      <c r="EU133">
        <v>2250</v>
      </c>
      <c r="EV133"/>
      <c r="EW133">
        <v>0</v>
      </c>
      <c r="EX133">
        <v>0</v>
      </c>
      <c r="EY133">
        <v>0</v>
      </c>
      <c r="EZ133"/>
      <c r="FA133">
        <v>13.3</v>
      </c>
      <c r="FB133"/>
      <c r="FC133"/>
      <c r="FD133"/>
      <c r="FE133"/>
      <c r="FF133"/>
      <c r="FG133" s="94">
        <v>313</v>
      </c>
      <c r="FH133" s="94">
        <v>253</v>
      </c>
      <c r="FI133" s="94">
        <v>286</v>
      </c>
    </row>
    <row r="134" spans="1:165" s="66" customFormat="1" x14ac:dyDescent="0.35">
      <c r="A134" s="19"/>
      <c r="B134" s="19"/>
      <c r="C134" s="19"/>
      <c r="D134" s="19"/>
      <c r="E134" s="19"/>
      <c r="F134" s="128"/>
      <c r="G134" s="19"/>
      <c r="H134" s="19"/>
      <c r="I134" s="19"/>
      <c r="J134" s="19"/>
      <c r="K134" s="19" t="str">
        <f>_xlfn.CONCAT(A135," ",C135," ",D135)</f>
        <v>2026 Chevrolet SILVERADO EV</v>
      </c>
      <c r="L134" s="19"/>
      <c r="M134" s="19"/>
      <c r="N134" s="19"/>
      <c r="O134" s="19"/>
      <c r="P134" s="19"/>
      <c r="Q134" s="19"/>
      <c r="R134" s="19"/>
      <c r="S134" s="19"/>
      <c r="T134" s="19"/>
      <c r="U134" s="19"/>
      <c r="V134" s="19"/>
      <c r="W134" s="19"/>
      <c r="X134" s="19"/>
      <c r="Y134" s="19"/>
      <c r="Z134" s="19"/>
      <c r="AA134" s="19"/>
      <c r="AB134" s="19" t="str">
        <f>$K134</f>
        <v>2026 Chevrolet SILVERADO EV</v>
      </c>
      <c r="AC134" s="19"/>
      <c r="AD134" s="19"/>
      <c r="AE134" s="19"/>
      <c r="AF134" s="19"/>
      <c r="AG134" s="19"/>
      <c r="AH134" s="19"/>
      <c r="AI134" s="19"/>
      <c r="AJ134" s="19"/>
      <c r="AK134" s="19"/>
      <c r="AL134" s="19"/>
      <c r="AM134" s="19"/>
      <c r="AN134" s="19"/>
      <c r="AO134" s="19"/>
      <c r="AP134" s="19"/>
      <c r="AQ134" s="19"/>
      <c r="AR134" s="19" t="str">
        <f>$K134</f>
        <v>2026 Chevrolet SILVERADO EV</v>
      </c>
      <c r="AS134" s="19"/>
      <c r="AT134" s="19"/>
      <c r="AU134" s="19"/>
      <c r="AV134" s="19"/>
      <c r="AW134" s="19"/>
      <c r="AX134" s="19"/>
      <c r="AY134" s="19"/>
      <c r="AZ134" s="19"/>
      <c r="BA134" s="19"/>
      <c r="BB134" s="19"/>
      <c r="BC134" s="19"/>
      <c r="BD134" s="19"/>
      <c r="BE134" s="19"/>
      <c r="BF134" s="19"/>
      <c r="BG134" s="19" t="str">
        <f>$K134</f>
        <v>2026 Chevrolet SILVERADO EV</v>
      </c>
      <c r="BH134" s="19"/>
      <c r="BI134" s="19"/>
      <c r="BJ134" s="19"/>
      <c r="BK134" s="19"/>
      <c r="BL134" s="19"/>
      <c r="BM134" s="129"/>
      <c r="BN134" s="19"/>
      <c r="BO134" s="19"/>
      <c r="BP134" s="19"/>
      <c r="BQ134" s="19"/>
      <c r="BR134" s="19"/>
      <c r="BS134" s="19"/>
      <c r="BT134" s="130"/>
      <c r="BU134" s="19"/>
      <c r="BV134" s="19"/>
      <c r="BW134" s="116"/>
      <c r="BX134" s="19"/>
      <c r="BY134" s="19"/>
      <c r="BZ134" s="19"/>
      <c r="CA134" s="19"/>
      <c r="CB134" s="19"/>
      <c r="CC134" s="19"/>
      <c r="CD134" s="19"/>
      <c r="CE134" s="19"/>
      <c r="CF134" s="19"/>
      <c r="CG134" s="19"/>
      <c r="CH134" s="19"/>
      <c r="CI134" s="19"/>
      <c r="CJ134" s="19"/>
      <c r="CK134" s="19"/>
      <c r="CL134" s="19"/>
      <c r="CM134" s="19" t="str">
        <f>$K134</f>
        <v>2026 Chevrolet SILVERADO EV</v>
      </c>
      <c r="CN134" s="19"/>
      <c r="CO134" s="19"/>
      <c r="CP134" s="19"/>
      <c r="CQ134" s="19"/>
      <c r="CR134" s="19"/>
      <c r="CS134" s="19"/>
      <c r="CT134" s="19"/>
      <c r="CU134" s="19"/>
      <c r="CV134" s="19"/>
      <c r="CW134" s="19"/>
      <c r="CX134" s="19"/>
      <c r="CY134" s="19"/>
      <c r="CZ134" s="19"/>
      <c r="DA134" s="19"/>
      <c r="DB134" s="19"/>
      <c r="DC134" s="19"/>
      <c r="DD134" s="19" t="str">
        <f>$K134</f>
        <v>2026 Chevrolet SILVERADO EV</v>
      </c>
      <c r="DE134" s="19"/>
      <c r="DF134" s="19"/>
      <c r="DG134" s="19"/>
      <c r="DH134" s="19"/>
      <c r="DI134" s="19"/>
      <c r="DJ134" s="19"/>
      <c r="DK134" s="19"/>
      <c r="DL134" s="19"/>
      <c r="DM134" s="19"/>
      <c r="DN134" s="19"/>
      <c r="DO134" s="19"/>
      <c r="DP134" s="19"/>
      <c r="DQ134" s="19"/>
      <c r="DR134" s="19"/>
      <c r="DS134" s="19"/>
      <c r="DT134" s="19"/>
      <c r="DU134" s="19" t="str">
        <f>$K134</f>
        <v>2026 Chevrolet SILVERADO EV</v>
      </c>
      <c r="DV134" s="19"/>
      <c r="DW134" s="19"/>
      <c r="DX134" s="19"/>
      <c r="DY134" s="19"/>
      <c r="DZ134" s="19"/>
      <c r="EA134" s="117"/>
      <c r="EB134" s="19"/>
      <c r="EC134" s="19"/>
      <c r="ED134" s="19"/>
      <c r="EE134" s="19"/>
      <c r="EF134" s="19"/>
      <c r="EG134"/>
      <c r="EH134"/>
      <c r="EI134"/>
      <c r="EJ134"/>
      <c r="EK134"/>
      <c r="EL134"/>
      <c r="EM134"/>
      <c r="EN134"/>
      <c r="EO134"/>
      <c r="EP134"/>
      <c r="EQ134"/>
      <c r="ER134"/>
      <c r="ES134"/>
      <c r="ET134"/>
      <c r="EU134"/>
      <c r="EV134"/>
      <c r="EW134"/>
      <c r="EX134" s="19" t="s">
        <v>1967</v>
      </c>
      <c r="EY134"/>
      <c r="EZ134"/>
      <c r="FA134"/>
      <c r="FB134"/>
      <c r="FC134"/>
      <c r="FD134"/>
      <c r="FE134"/>
      <c r="FF134"/>
      <c r="FG134"/>
      <c r="FH134"/>
      <c r="FI134"/>
    </row>
    <row r="135" spans="1:165" s="66" customFormat="1" x14ac:dyDescent="0.35">
      <c r="A135">
        <v>2026</v>
      </c>
      <c r="B135" t="s">
        <v>211</v>
      </c>
      <c r="C135" s="112" t="s">
        <v>212</v>
      </c>
      <c r="D135" t="s">
        <v>1449</v>
      </c>
      <c r="E135" t="s">
        <v>214</v>
      </c>
      <c r="F135">
        <v>412</v>
      </c>
      <c r="G135" s="113">
        <v>0</v>
      </c>
      <c r="H135"/>
      <c r="I135" t="s">
        <v>1391</v>
      </c>
      <c r="J135">
        <v>74</v>
      </c>
      <c r="K135">
        <v>60</v>
      </c>
      <c r="L135">
        <v>67</v>
      </c>
      <c r="M135">
        <v>106.3862</v>
      </c>
      <c r="N135">
        <v>85.337500000000006</v>
      </c>
      <c r="O135">
        <v>95.7577</v>
      </c>
      <c r="P135">
        <v>74.470399999999998</v>
      </c>
      <c r="Q135">
        <v>59.736199999999997</v>
      </c>
      <c r="R135">
        <v>67.0304</v>
      </c>
      <c r="S135"/>
      <c r="T135"/>
      <c r="U135"/>
      <c r="V135" t="s">
        <v>170</v>
      </c>
      <c r="W135" t="s">
        <v>171</v>
      </c>
      <c r="X135" t="s">
        <v>1436</v>
      </c>
      <c r="Y135">
        <v>1</v>
      </c>
      <c r="Z135" t="s">
        <v>173</v>
      </c>
      <c r="AA135" t="s">
        <v>173</v>
      </c>
      <c r="AB135">
        <v>4</v>
      </c>
      <c r="AC135" t="s">
        <v>423</v>
      </c>
      <c r="AD135"/>
      <c r="AE135"/>
      <c r="AF135">
        <v>283</v>
      </c>
      <c r="AG135" t="s">
        <v>1392</v>
      </c>
      <c r="AH135" t="s">
        <v>1393</v>
      </c>
      <c r="AI135" t="s">
        <v>178</v>
      </c>
      <c r="AJ135" t="s">
        <v>179</v>
      </c>
      <c r="AK135">
        <v>4</v>
      </c>
      <c r="AL135" t="s">
        <v>1394</v>
      </c>
      <c r="AM135"/>
      <c r="AN135"/>
      <c r="AO135"/>
      <c r="AP135"/>
      <c r="AQ135"/>
      <c r="AR135"/>
      <c r="AS135">
        <v>1300</v>
      </c>
      <c r="AT135">
        <v>1300</v>
      </c>
      <c r="AU135"/>
      <c r="AV135"/>
      <c r="AW135"/>
      <c r="AX135"/>
      <c r="AY135"/>
      <c r="AZ135"/>
      <c r="BA135"/>
      <c r="BB135"/>
      <c r="BC135"/>
      <c r="BD135"/>
      <c r="BE135"/>
      <c r="BF135"/>
      <c r="BG135"/>
      <c r="BH135"/>
      <c r="BI135"/>
      <c r="BJ135"/>
      <c r="BK135"/>
      <c r="BL135"/>
      <c r="BM135"/>
      <c r="BN135" s="114"/>
      <c r="BO135"/>
      <c r="BP135"/>
      <c r="BQ135">
        <v>13</v>
      </c>
      <c r="BR135" t="s">
        <v>712</v>
      </c>
      <c r="BS135"/>
      <c r="BT135" t="s">
        <v>1395</v>
      </c>
      <c r="BU135" s="115">
        <v>45800</v>
      </c>
      <c r="BV135">
        <v>36581</v>
      </c>
      <c r="BW135" s="116"/>
      <c r="BX135" t="s">
        <v>173</v>
      </c>
      <c r="BY135" t="s">
        <v>173</v>
      </c>
      <c r="BZ135"/>
      <c r="CA135"/>
      <c r="CB135" t="s">
        <v>173</v>
      </c>
      <c r="CC135" t="s">
        <v>173</v>
      </c>
      <c r="CD135"/>
      <c r="CE135"/>
      <c r="CF135"/>
      <c r="CG135"/>
      <c r="CH135"/>
      <c r="CI135"/>
      <c r="CJ135"/>
      <c r="CK135" t="s">
        <v>259</v>
      </c>
      <c r="CL135"/>
      <c r="CM135">
        <v>1</v>
      </c>
      <c r="CN135" t="s">
        <v>260</v>
      </c>
      <c r="CO135"/>
      <c r="CP135">
        <v>470</v>
      </c>
      <c r="CQ135">
        <v>290</v>
      </c>
      <c r="CR135">
        <v>143</v>
      </c>
      <c r="CS135" t="s">
        <v>261</v>
      </c>
      <c r="CT135"/>
      <c r="CU135"/>
      <c r="CV135" t="s">
        <v>262</v>
      </c>
      <c r="CW135"/>
      <c r="CX135" t="s">
        <v>263</v>
      </c>
      <c r="CY135" t="s">
        <v>172</v>
      </c>
      <c r="CZ135"/>
      <c r="DA135"/>
      <c r="DB135"/>
      <c r="DC135"/>
      <c r="DD135">
        <v>2</v>
      </c>
      <c r="DE135" t="s">
        <v>307</v>
      </c>
      <c r="DF135" t="s">
        <v>988</v>
      </c>
      <c r="DG135" t="s">
        <v>1450</v>
      </c>
      <c r="DH135"/>
      <c r="DI135"/>
      <c r="DJ135"/>
      <c r="DK135"/>
      <c r="DL135" t="s">
        <v>173</v>
      </c>
      <c r="DM135" t="s">
        <v>172</v>
      </c>
      <c r="DN135"/>
      <c r="DO135"/>
      <c r="DP135" t="s">
        <v>173</v>
      </c>
      <c r="DQ135" t="s">
        <v>189</v>
      </c>
      <c r="DR135" t="s">
        <v>1449</v>
      </c>
      <c r="DS135"/>
      <c r="DT135"/>
      <c r="DU135"/>
      <c r="DV135"/>
      <c r="DW135"/>
      <c r="DX135"/>
      <c r="DY135"/>
      <c r="DZ135"/>
      <c r="EA135" s="117"/>
      <c r="EB135">
        <v>9</v>
      </c>
      <c r="EC135">
        <v>10</v>
      </c>
      <c r="ED135"/>
      <c r="EE135" t="s">
        <v>1452</v>
      </c>
      <c r="EF135">
        <v>10</v>
      </c>
      <c r="EG135"/>
      <c r="EH135"/>
      <c r="EI135"/>
      <c r="EJ135"/>
      <c r="EK135"/>
      <c r="EL135"/>
      <c r="EM135"/>
      <c r="EN135"/>
      <c r="EO135"/>
      <c r="EP135"/>
      <c r="EQ135"/>
      <c r="ER135"/>
      <c r="ES135"/>
      <c r="ET135"/>
      <c r="EU135">
        <v>2000</v>
      </c>
      <c r="EV135"/>
      <c r="EW135">
        <v>0</v>
      </c>
      <c r="EX135">
        <v>0</v>
      </c>
      <c r="EY135">
        <v>0</v>
      </c>
      <c r="EZ135"/>
      <c r="FA135">
        <v>13.3</v>
      </c>
      <c r="FB135"/>
      <c r="FC135"/>
      <c r="FD135"/>
      <c r="FE135"/>
      <c r="FF135"/>
      <c r="FG135" s="94">
        <v>311</v>
      </c>
      <c r="FH135" s="94">
        <v>249</v>
      </c>
      <c r="FI135" s="94">
        <v>283</v>
      </c>
    </row>
    <row r="136" spans="1:165" s="66" customFormat="1" x14ac:dyDescent="0.35">
      <c r="A136">
        <v>2026</v>
      </c>
      <c r="B136" t="s">
        <v>211</v>
      </c>
      <c r="C136" s="112" t="s">
        <v>212</v>
      </c>
      <c r="D136" t="s">
        <v>1449</v>
      </c>
      <c r="E136" t="s">
        <v>214</v>
      </c>
      <c r="F136">
        <v>412</v>
      </c>
      <c r="G136" s="113">
        <v>0</v>
      </c>
      <c r="H136"/>
      <c r="I136" t="s">
        <v>1391</v>
      </c>
      <c r="J136">
        <v>45</v>
      </c>
      <c r="K136">
        <v>56</v>
      </c>
      <c r="L136">
        <v>50</v>
      </c>
      <c r="M136">
        <v>31.681799999999999</v>
      </c>
      <c r="N136">
        <v>39.484900000000003</v>
      </c>
      <c r="O136">
        <v>35.193199999999997</v>
      </c>
      <c r="P136">
        <v>45.259599999999999</v>
      </c>
      <c r="Q136">
        <v>56.423099999999998</v>
      </c>
      <c r="R136">
        <v>50.283200000000001</v>
      </c>
      <c r="S136"/>
      <c r="T136"/>
      <c r="U136"/>
      <c r="V136" t="s">
        <v>170</v>
      </c>
      <c r="W136" t="s">
        <v>171</v>
      </c>
      <c r="X136" t="s">
        <v>1436</v>
      </c>
      <c r="Y136">
        <v>1</v>
      </c>
      <c r="Z136" t="s">
        <v>173</v>
      </c>
      <c r="AA136" t="s">
        <v>173</v>
      </c>
      <c r="AB136">
        <v>4</v>
      </c>
      <c r="AC136" t="s">
        <v>423</v>
      </c>
      <c r="AD136"/>
      <c r="AE136"/>
      <c r="AF136">
        <v>283</v>
      </c>
      <c r="AG136" t="s">
        <v>1392</v>
      </c>
      <c r="AH136" t="s">
        <v>1393</v>
      </c>
      <c r="AI136" t="s">
        <v>1399</v>
      </c>
      <c r="AJ136" t="s">
        <v>1400</v>
      </c>
      <c r="AK136">
        <v>4</v>
      </c>
      <c r="AL136" t="s">
        <v>1394</v>
      </c>
      <c r="AM136"/>
      <c r="AN136"/>
      <c r="AO136"/>
      <c r="AP136"/>
      <c r="AQ136"/>
      <c r="AR136"/>
      <c r="AS136">
        <v>1300</v>
      </c>
      <c r="AT136">
        <v>1300</v>
      </c>
      <c r="AU136"/>
      <c r="AV136"/>
      <c r="AW136"/>
      <c r="AX136"/>
      <c r="AY136"/>
      <c r="AZ136"/>
      <c r="BA136"/>
      <c r="BB136"/>
      <c r="BC136"/>
      <c r="BD136"/>
      <c r="BE136"/>
      <c r="BF136"/>
      <c r="BG136"/>
      <c r="BH136"/>
      <c r="BI136"/>
      <c r="BJ136"/>
      <c r="BK136"/>
      <c r="BL136"/>
      <c r="BM136"/>
      <c r="BN136" s="114"/>
      <c r="BO136"/>
      <c r="BP136"/>
      <c r="BQ136">
        <v>13</v>
      </c>
      <c r="BR136" t="s">
        <v>712</v>
      </c>
      <c r="BS136"/>
      <c r="BT136" t="s">
        <v>1395</v>
      </c>
      <c r="BU136" s="115">
        <v>45800</v>
      </c>
      <c r="BV136">
        <v>36581</v>
      </c>
      <c r="BW136" s="116"/>
      <c r="BX136" t="s">
        <v>173</v>
      </c>
      <c r="BY136" t="s">
        <v>173</v>
      </c>
      <c r="BZ136"/>
      <c r="CA136"/>
      <c r="CB136" t="s">
        <v>173</v>
      </c>
      <c r="CC136" t="s">
        <v>173</v>
      </c>
      <c r="CD136"/>
      <c r="CE136"/>
      <c r="CF136"/>
      <c r="CG136"/>
      <c r="CH136"/>
      <c r="CI136"/>
      <c r="CJ136"/>
      <c r="CK136" t="s">
        <v>259</v>
      </c>
      <c r="CL136"/>
      <c r="CM136">
        <v>1</v>
      </c>
      <c r="CN136" t="s">
        <v>260</v>
      </c>
      <c r="CO136"/>
      <c r="CP136">
        <v>470</v>
      </c>
      <c r="CQ136">
        <v>290</v>
      </c>
      <c r="CR136">
        <v>143</v>
      </c>
      <c r="CS136" t="s">
        <v>261</v>
      </c>
      <c r="CT136"/>
      <c r="CU136"/>
      <c r="CV136" t="s">
        <v>262</v>
      </c>
      <c r="CW136"/>
      <c r="CX136" t="s">
        <v>263</v>
      </c>
      <c r="CY136" t="s">
        <v>172</v>
      </c>
      <c r="CZ136"/>
      <c r="DA136"/>
      <c r="DB136"/>
      <c r="DC136"/>
      <c r="DD136">
        <v>2</v>
      </c>
      <c r="DE136" t="s">
        <v>307</v>
      </c>
      <c r="DF136" t="s">
        <v>988</v>
      </c>
      <c r="DG136" t="s">
        <v>1450</v>
      </c>
      <c r="DH136"/>
      <c r="DI136"/>
      <c r="DJ136"/>
      <c r="DK136"/>
      <c r="DL136" t="s">
        <v>173</v>
      </c>
      <c r="DM136" t="s">
        <v>172</v>
      </c>
      <c r="DN136"/>
      <c r="DO136"/>
      <c r="DP136" t="s">
        <v>173</v>
      </c>
      <c r="DQ136" t="s">
        <v>189</v>
      </c>
      <c r="DR136" t="s">
        <v>1449</v>
      </c>
      <c r="DS136"/>
      <c r="DT136"/>
      <c r="DU136"/>
      <c r="DV136"/>
      <c r="DW136"/>
      <c r="DX136"/>
      <c r="DY136"/>
      <c r="DZ136"/>
      <c r="EA136" s="117"/>
      <c r="EB136">
        <v>9</v>
      </c>
      <c r="EC136">
        <v>10</v>
      </c>
      <c r="ED136"/>
      <c r="EE136" t="s">
        <v>1452</v>
      </c>
      <c r="EF136">
        <v>10</v>
      </c>
      <c r="EG136"/>
      <c r="EH136"/>
      <c r="EI136"/>
      <c r="EJ136"/>
      <c r="EK136"/>
      <c r="EL136"/>
      <c r="EM136"/>
      <c r="EN136"/>
      <c r="EO136"/>
      <c r="EP136"/>
      <c r="EQ136"/>
      <c r="ER136"/>
      <c r="ES136"/>
      <c r="ET136"/>
      <c r="EU136">
        <v>2000</v>
      </c>
      <c r="EV136"/>
      <c r="EW136">
        <v>0</v>
      </c>
      <c r="EX136">
        <v>0</v>
      </c>
      <c r="EY136">
        <v>0</v>
      </c>
      <c r="EZ136"/>
      <c r="FA136">
        <v>13.3</v>
      </c>
      <c r="FB136"/>
      <c r="FC136"/>
      <c r="FD136"/>
      <c r="FE136"/>
      <c r="FF136"/>
      <c r="FG136" s="94">
        <v>311</v>
      </c>
      <c r="FH136" s="94">
        <v>249</v>
      </c>
      <c r="FI136" s="94">
        <v>283</v>
      </c>
    </row>
    <row r="137" spans="1:165" s="66" customFormat="1" x14ac:dyDescent="0.35">
      <c r="A137" s="19"/>
      <c r="B137" s="19"/>
      <c r="C137" s="19"/>
      <c r="D137" s="19"/>
      <c r="E137" s="19"/>
      <c r="F137" s="128"/>
      <c r="G137" s="19"/>
      <c r="H137" s="19"/>
      <c r="I137" s="19"/>
      <c r="J137" s="19"/>
      <c r="K137" s="19" t="str">
        <f>_xlfn.CONCAT(A138," ",C138," ",D138)</f>
        <v>2026 Chevrolet BLAZER EV FWD</v>
      </c>
      <c r="L137" s="19"/>
      <c r="M137" s="19"/>
      <c r="N137" s="19"/>
      <c r="O137" s="19"/>
      <c r="P137" s="19"/>
      <c r="Q137" s="19"/>
      <c r="R137" s="19"/>
      <c r="S137" s="19"/>
      <c r="T137" s="19"/>
      <c r="U137" s="19"/>
      <c r="V137" s="19"/>
      <c r="W137" s="19"/>
      <c r="X137" s="19"/>
      <c r="Y137" s="19"/>
      <c r="Z137" s="19"/>
      <c r="AA137" s="19"/>
      <c r="AB137" s="19" t="str">
        <f>$K137</f>
        <v>2026 Chevrolet BLAZER EV FWD</v>
      </c>
      <c r="AC137" s="19"/>
      <c r="AD137" s="19"/>
      <c r="AE137" s="19"/>
      <c r="AF137" s="19"/>
      <c r="AG137" s="19"/>
      <c r="AH137" s="19"/>
      <c r="AI137" s="19"/>
      <c r="AJ137" s="19"/>
      <c r="AK137" s="19"/>
      <c r="AL137" s="19"/>
      <c r="AM137" s="19"/>
      <c r="AN137" s="19"/>
      <c r="AO137" s="19"/>
      <c r="AP137" s="19"/>
      <c r="AQ137" s="19"/>
      <c r="AR137" s="19" t="str">
        <f>$K137</f>
        <v>2026 Chevrolet BLAZER EV FWD</v>
      </c>
      <c r="AS137" s="19"/>
      <c r="AT137" s="19"/>
      <c r="AU137" s="19"/>
      <c r="AV137" s="19"/>
      <c r="AW137" s="19"/>
      <c r="AX137" s="19"/>
      <c r="AY137" s="19"/>
      <c r="AZ137" s="19"/>
      <c r="BA137" s="19"/>
      <c r="BB137" s="19"/>
      <c r="BC137" s="19"/>
      <c r="BD137" s="19"/>
      <c r="BE137" s="19"/>
      <c r="BF137" s="19"/>
      <c r="BG137" s="19" t="str">
        <f>$K137</f>
        <v>2026 Chevrolet BLAZER EV FWD</v>
      </c>
      <c r="BH137" s="19"/>
      <c r="BI137" s="19"/>
      <c r="BJ137" s="19"/>
      <c r="BK137" s="19"/>
      <c r="BL137" s="19"/>
      <c r="BM137" s="129"/>
      <c r="BN137" s="19"/>
      <c r="BO137" s="19"/>
      <c r="BP137" s="19"/>
      <c r="BQ137" s="19"/>
      <c r="BR137" s="19"/>
      <c r="BS137" s="19"/>
      <c r="BT137" s="130"/>
      <c r="BU137" s="19"/>
      <c r="BV137" s="19"/>
      <c r="BW137" s="116"/>
      <c r="BX137" s="19"/>
      <c r="BY137" s="19"/>
      <c r="BZ137" s="19"/>
      <c r="CA137" s="19"/>
      <c r="CB137" s="19"/>
      <c r="CC137" s="19"/>
      <c r="CD137" s="19"/>
      <c r="CE137" s="19"/>
      <c r="CF137" s="19"/>
      <c r="CG137" s="19"/>
      <c r="CH137" s="19"/>
      <c r="CI137" s="19"/>
      <c r="CJ137" s="19"/>
      <c r="CK137" s="19"/>
      <c r="CL137" s="19"/>
      <c r="CM137" s="19" t="str">
        <f>$K137</f>
        <v>2026 Chevrolet BLAZER EV FWD</v>
      </c>
      <c r="CN137" s="19"/>
      <c r="CO137" s="19"/>
      <c r="CP137" s="19"/>
      <c r="CQ137" s="19"/>
      <c r="CR137" s="19"/>
      <c r="CS137" s="19"/>
      <c r="CT137" s="19"/>
      <c r="CU137" s="19"/>
      <c r="CV137" s="19"/>
      <c r="CW137" s="19"/>
      <c r="CX137" s="19"/>
      <c r="CY137" s="19"/>
      <c r="CZ137" s="19"/>
      <c r="DA137" s="19"/>
      <c r="DB137" s="19"/>
      <c r="DC137" s="19"/>
      <c r="DD137" s="19" t="str">
        <f>$K137</f>
        <v>2026 Chevrolet BLAZER EV FWD</v>
      </c>
      <c r="DE137" s="19"/>
      <c r="DF137" s="19"/>
      <c r="DG137" s="19"/>
      <c r="DH137" s="19"/>
      <c r="DI137" s="19"/>
      <c r="DJ137" s="19"/>
      <c r="DK137" s="19"/>
      <c r="DL137" s="19"/>
      <c r="DM137" s="19"/>
      <c r="DN137" s="19"/>
      <c r="DO137" s="19"/>
      <c r="DP137" s="19"/>
      <c r="DQ137" s="19"/>
      <c r="DR137" s="19"/>
      <c r="DS137" s="19"/>
      <c r="DT137" s="19"/>
      <c r="DU137" s="19" t="str">
        <f>$K137</f>
        <v>2026 Chevrolet BLAZER EV FWD</v>
      </c>
      <c r="DV137" s="19"/>
      <c r="DW137" s="19"/>
      <c r="DX137" s="19"/>
      <c r="DY137" s="19"/>
      <c r="DZ137" s="19"/>
      <c r="EA137" s="117"/>
      <c r="EB137" s="19"/>
      <c r="EC137" s="19"/>
      <c r="ED137" s="19"/>
      <c r="EE137" s="19"/>
      <c r="EF137" s="19"/>
      <c r="EG137"/>
      <c r="EH137"/>
      <c r="EI137"/>
      <c r="EJ137"/>
      <c r="EK137"/>
      <c r="EL137"/>
      <c r="EM137"/>
      <c r="EN137"/>
      <c r="EO137"/>
      <c r="EP137"/>
      <c r="EQ137"/>
      <c r="ER137"/>
      <c r="ES137"/>
      <c r="ET137"/>
      <c r="EU137"/>
      <c r="EV137"/>
      <c r="EW137"/>
      <c r="EX137" s="19" t="s">
        <v>1968</v>
      </c>
      <c r="EY137"/>
      <c r="EZ137"/>
      <c r="FA137"/>
      <c r="FB137"/>
      <c r="FC137"/>
      <c r="FD137"/>
      <c r="FE137"/>
      <c r="FF137"/>
      <c r="FG137"/>
      <c r="FH137"/>
      <c r="FI137"/>
    </row>
    <row r="138" spans="1:165" s="66" customFormat="1" x14ac:dyDescent="0.35">
      <c r="A138">
        <v>2026</v>
      </c>
      <c r="B138" t="s">
        <v>211</v>
      </c>
      <c r="C138" s="112" t="s">
        <v>212</v>
      </c>
      <c r="D138" t="s">
        <v>1453</v>
      </c>
      <c r="E138" t="s">
        <v>214</v>
      </c>
      <c r="F138">
        <v>423</v>
      </c>
      <c r="G138" s="113">
        <v>0</v>
      </c>
      <c r="H138"/>
      <c r="I138" t="s">
        <v>1391</v>
      </c>
      <c r="J138">
        <v>114</v>
      </c>
      <c r="K138">
        <v>95</v>
      </c>
      <c r="L138">
        <v>104</v>
      </c>
      <c r="M138">
        <v>162.4</v>
      </c>
      <c r="N138">
        <v>135.5675</v>
      </c>
      <c r="O138">
        <v>149.11840000000001</v>
      </c>
      <c r="P138">
        <v>113.68</v>
      </c>
      <c r="Q138">
        <v>94.897199999999998</v>
      </c>
      <c r="R138">
        <v>104.38290000000001</v>
      </c>
      <c r="S138"/>
      <c r="T138"/>
      <c r="U138"/>
      <c r="V138" t="s">
        <v>170</v>
      </c>
      <c r="W138" t="s">
        <v>171</v>
      </c>
      <c r="X138" t="s">
        <v>1436</v>
      </c>
      <c r="Y138">
        <v>1</v>
      </c>
      <c r="Z138" t="s">
        <v>173</v>
      </c>
      <c r="AA138" t="s">
        <v>173</v>
      </c>
      <c r="AB138" t="s">
        <v>277</v>
      </c>
      <c r="AC138" t="s">
        <v>278</v>
      </c>
      <c r="AD138"/>
      <c r="AE138"/>
      <c r="AF138">
        <v>312</v>
      </c>
      <c r="AG138" t="s">
        <v>1392</v>
      </c>
      <c r="AH138" t="s">
        <v>1393</v>
      </c>
      <c r="AI138" t="s">
        <v>178</v>
      </c>
      <c r="AJ138" t="s">
        <v>179</v>
      </c>
      <c r="AK138">
        <v>4</v>
      </c>
      <c r="AL138" t="s">
        <v>1394</v>
      </c>
      <c r="AM138"/>
      <c r="AN138"/>
      <c r="AO138">
        <v>106</v>
      </c>
      <c r="AP138">
        <v>26</v>
      </c>
      <c r="AQ138"/>
      <c r="AR138"/>
      <c r="AS138">
        <v>800</v>
      </c>
      <c r="AT138">
        <v>800</v>
      </c>
      <c r="AU138"/>
      <c r="AV138"/>
      <c r="AW138"/>
      <c r="AX138"/>
      <c r="AY138"/>
      <c r="AZ138"/>
      <c r="BA138"/>
      <c r="BB138"/>
      <c r="BC138"/>
      <c r="BD138"/>
      <c r="BE138"/>
      <c r="BF138"/>
      <c r="BG138"/>
      <c r="BH138"/>
      <c r="BI138"/>
      <c r="BJ138"/>
      <c r="BK138"/>
      <c r="BL138"/>
      <c r="BM138"/>
      <c r="BN138" s="114"/>
      <c r="BO138"/>
      <c r="BP138"/>
      <c r="BQ138">
        <v>30</v>
      </c>
      <c r="BR138" t="s">
        <v>798</v>
      </c>
      <c r="BS138"/>
      <c r="BT138" t="s">
        <v>1395</v>
      </c>
      <c r="BU138" s="115">
        <v>45873</v>
      </c>
      <c r="BV138">
        <v>37064</v>
      </c>
      <c r="BW138" s="116"/>
      <c r="BX138" t="s">
        <v>173</v>
      </c>
      <c r="BY138" t="s">
        <v>173</v>
      </c>
      <c r="BZ138"/>
      <c r="CA138"/>
      <c r="CB138" t="s">
        <v>173</v>
      </c>
      <c r="CC138" t="s">
        <v>173</v>
      </c>
      <c r="CD138"/>
      <c r="CE138"/>
      <c r="CF138"/>
      <c r="CG138"/>
      <c r="CH138"/>
      <c r="CI138"/>
      <c r="CJ138"/>
      <c r="CK138" t="s">
        <v>259</v>
      </c>
      <c r="CL138"/>
      <c r="CM138">
        <v>1</v>
      </c>
      <c r="CN138" t="s">
        <v>260</v>
      </c>
      <c r="CO138"/>
      <c r="CP138">
        <v>336</v>
      </c>
      <c r="CQ138">
        <v>290</v>
      </c>
      <c r="CR138">
        <v>155</v>
      </c>
      <c r="CS138" t="s">
        <v>1437</v>
      </c>
      <c r="CT138"/>
      <c r="CU138"/>
      <c r="CV138" t="s">
        <v>262</v>
      </c>
      <c r="CW138"/>
      <c r="CX138" t="s">
        <v>493</v>
      </c>
      <c r="CY138" t="s">
        <v>173</v>
      </c>
      <c r="CZ138"/>
      <c r="DA138"/>
      <c r="DB138"/>
      <c r="DC138"/>
      <c r="DD138">
        <v>1</v>
      </c>
      <c r="DE138" t="s">
        <v>307</v>
      </c>
      <c r="DF138" t="s">
        <v>988</v>
      </c>
      <c r="DG138">
        <v>180</v>
      </c>
      <c r="DH138"/>
      <c r="DI138"/>
      <c r="DJ138"/>
      <c r="DK138"/>
      <c r="DL138" t="s">
        <v>173</v>
      </c>
      <c r="DM138" t="s">
        <v>172</v>
      </c>
      <c r="DN138"/>
      <c r="DO138"/>
      <c r="DP138" t="s">
        <v>173</v>
      </c>
      <c r="DQ138" t="s">
        <v>189</v>
      </c>
      <c r="DR138" t="s">
        <v>1453</v>
      </c>
      <c r="DS138"/>
      <c r="DT138"/>
      <c r="DU138"/>
      <c r="DV138"/>
      <c r="DW138"/>
      <c r="DX138"/>
      <c r="DY138"/>
      <c r="DZ138"/>
      <c r="EA138" s="117"/>
      <c r="EB138">
        <v>9</v>
      </c>
      <c r="EC138">
        <v>10</v>
      </c>
      <c r="ED138"/>
      <c r="EE138" t="s">
        <v>1454</v>
      </c>
      <c r="EF138">
        <v>10</v>
      </c>
      <c r="EG138"/>
      <c r="EH138"/>
      <c r="EI138"/>
      <c r="EJ138"/>
      <c r="EK138"/>
      <c r="EL138"/>
      <c r="EM138"/>
      <c r="EN138"/>
      <c r="EO138"/>
      <c r="EP138"/>
      <c r="EQ138"/>
      <c r="ER138"/>
      <c r="ES138"/>
      <c r="ET138"/>
      <c r="EU138">
        <v>4500</v>
      </c>
      <c r="EV138"/>
      <c r="EW138">
        <v>0</v>
      </c>
      <c r="EX138">
        <v>0</v>
      </c>
      <c r="EY138">
        <v>0</v>
      </c>
      <c r="EZ138"/>
      <c r="FA138">
        <v>9.5</v>
      </c>
      <c r="FB138"/>
      <c r="FC138"/>
      <c r="FD138"/>
      <c r="FE138"/>
      <c r="FF138"/>
      <c r="FG138" s="94">
        <v>337</v>
      </c>
      <c r="FH138" s="94">
        <v>281</v>
      </c>
      <c r="FI138" s="94">
        <v>312</v>
      </c>
    </row>
    <row r="139" spans="1:165" s="66" customFormat="1" x14ac:dyDescent="0.35">
      <c r="A139">
        <v>2026</v>
      </c>
      <c r="B139" t="s">
        <v>211</v>
      </c>
      <c r="C139" s="112" t="s">
        <v>212</v>
      </c>
      <c r="D139" t="s">
        <v>1453</v>
      </c>
      <c r="E139" t="s">
        <v>214</v>
      </c>
      <c r="F139">
        <v>423</v>
      </c>
      <c r="G139" s="113">
        <v>0</v>
      </c>
      <c r="H139"/>
      <c r="I139" t="s">
        <v>1391</v>
      </c>
      <c r="J139">
        <v>30</v>
      </c>
      <c r="K139">
        <v>36</v>
      </c>
      <c r="L139">
        <v>32</v>
      </c>
      <c r="M139">
        <v>20.752600000000001</v>
      </c>
      <c r="N139">
        <v>24.867000000000001</v>
      </c>
      <c r="O139">
        <v>22.604099999999999</v>
      </c>
      <c r="P139">
        <v>29.649000000000001</v>
      </c>
      <c r="Q139">
        <v>35.517400000000002</v>
      </c>
      <c r="R139">
        <v>32.2898</v>
      </c>
      <c r="S139"/>
      <c r="T139"/>
      <c r="U139"/>
      <c r="V139" t="s">
        <v>170</v>
      </c>
      <c r="W139" t="s">
        <v>171</v>
      </c>
      <c r="X139" t="s">
        <v>1436</v>
      </c>
      <c r="Y139">
        <v>1</v>
      </c>
      <c r="Z139" t="s">
        <v>173</v>
      </c>
      <c r="AA139" t="s">
        <v>173</v>
      </c>
      <c r="AB139" t="s">
        <v>277</v>
      </c>
      <c r="AC139" t="s">
        <v>278</v>
      </c>
      <c r="AD139"/>
      <c r="AE139"/>
      <c r="AF139">
        <v>312</v>
      </c>
      <c r="AG139" t="s">
        <v>1392</v>
      </c>
      <c r="AH139" t="s">
        <v>1393</v>
      </c>
      <c r="AI139" t="s">
        <v>1399</v>
      </c>
      <c r="AJ139" t="s">
        <v>1400</v>
      </c>
      <c r="AK139">
        <v>4</v>
      </c>
      <c r="AL139" t="s">
        <v>1394</v>
      </c>
      <c r="AM139"/>
      <c r="AN139"/>
      <c r="AO139">
        <v>106</v>
      </c>
      <c r="AP139">
        <v>26</v>
      </c>
      <c r="AQ139"/>
      <c r="AR139"/>
      <c r="AS139">
        <v>800</v>
      </c>
      <c r="AT139">
        <v>800</v>
      </c>
      <c r="AU139"/>
      <c r="AV139"/>
      <c r="AW139"/>
      <c r="AX139"/>
      <c r="AY139"/>
      <c r="AZ139"/>
      <c r="BA139"/>
      <c r="BB139"/>
      <c r="BC139"/>
      <c r="BD139"/>
      <c r="BE139"/>
      <c r="BF139"/>
      <c r="BG139"/>
      <c r="BH139"/>
      <c r="BI139"/>
      <c r="BJ139"/>
      <c r="BK139"/>
      <c r="BL139"/>
      <c r="BM139"/>
      <c r="BN139" s="114"/>
      <c r="BO139"/>
      <c r="BP139"/>
      <c r="BQ139">
        <v>30</v>
      </c>
      <c r="BR139" t="s">
        <v>798</v>
      </c>
      <c r="BS139"/>
      <c r="BT139" t="s">
        <v>1395</v>
      </c>
      <c r="BU139" s="115">
        <v>45873</v>
      </c>
      <c r="BV139">
        <v>37064</v>
      </c>
      <c r="BW139" s="116"/>
      <c r="BX139" t="s">
        <v>173</v>
      </c>
      <c r="BY139" t="s">
        <v>173</v>
      </c>
      <c r="BZ139"/>
      <c r="CA139"/>
      <c r="CB139" t="s">
        <v>173</v>
      </c>
      <c r="CC139" t="s">
        <v>173</v>
      </c>
      <c r="CD139"/>
      <c r="CE139"/>
      <c r="CF139"/>
      <c r="CG139"/>
      <c r="CH139"/>
      <c r="CI139"/>
      <c r="CJ139"/>
      <c r="CK139" t="s">
        <v>259</v>
      </c>
      <c r="CL139"/>
      <c r="CM139">
        <v>1</v>
      </c>
      <c r="CN139" t="s">
        <v>260</v>
      </c>
      <c r="CO139"/>
      <c r="CP139">
        <v>336</v>
      </c>
      <c r="CQ139">
        <v>290</v>
      </c>
      <c r="CR139">
        <v>155</v>
      </c>
      <c r="CS139" t="s">
        <v>1437</v>
      </c>
      <c r="CT139"/>
      <c r="CU139"/>
      <c r="CV139" t="s">
        <v>262</v>
      </c>
      <c r="CW139"/>
      <c r="CX139" t="s">
        <v>493</v>
      </c>
      <c r="CY139" t="s">
        <v>173</v>
      </c>
      <c r="CZ139"/>
      <c r="DA139"/>
      <c r="DB139"/>
      <c r="DC139"/>
      <c r="DD139">
        <v>1</v>
      </c>
      <c r="DE139" t="s">
        <v>307</v>
      </c>
      <c r="DF139" t="s">
        <v>988</v>
      </c>
      <c r="DG139">
        <v>180</v>
      </c>
      <c r="DH139"/>
      <c r="DI139"/>
      <c r="DJ139"/>
      <c r="DK139"/>
      <c r="DL139" t="s">
        <v>173</v>
      </c>
      <c r="DM139" t="s">
        <v>172</v>
      </c>
      <c r="DN139"/>
      <c r="DO139"/>
      <c r="DP139" t="s">
        <v>173</v>
      </c>
      <c r="DQ139" t="s">
        <v>189</v>
      </c>
      <c r="DR139" t="s">
        <v>1453</v>
      </c>
      <c r="DS139"/>
      <c r="DT139"/>
      <c r="DU139"/>
      <c r="DV139"/>
      <c r="DW139"/>
      <c r="DX139"/>
      <c r="DY139"/>
      <c r="DZ139"/>
      <c r="EA139" s="117"/>
      <c r="EB139">
        <v>9</v>
      </c>
      <c r="EC139">
        <v>10</v>
      </c>
      <c r="ED139"/>
      <c r="EE139" t="s">
        <v>1454</v>
      </c>
      <c r="EF139">
        <v>10</v>
      </c>
      <c r="EG139"/>
      <c r="EH139"/>
      <c r="EI139"/>
      <c r="EJ139"/>
      <c r="EK139"/>
      <c r="EL139"/>
      <c r="EM139"/>
      <c r="EN139"/>
      <c r="EO139"/>
      <c r="EP139"/>
      <c r="EQ139"/>
      <c r="ER139"/>
      <c r="ES139"/>
      <c r="ET139"/>
      <c r="EU139">
        <v>4500</v>
      </c>
      <c r="EV139"/>
      <c r="EW139">
        <v>0</v>
      </c>
      <c r="EX139">
        <v>0</v>
      </c>
      <c r="EY139">
        <v>0</v>
      </c>
      <c r="EZ139"/>
      <c r="FA139">
        <v>9.5</v>
      </c>
      <c r="FB139"/>
      <c r="FC139"/>
      <c r="FD139"/>
      <c r="FE139"/>
      <c r="FF139"/>
      <c r="FG139" s="94">
        <v>337</v>
      </c>
      <c r="FH139" s="94">
        <v>281</v>
      </c>
      <c r="FI139" s="94">
        <v>312</v>
      </c>
    </row>
    <row r="140" spans="1:165" s="66" customFormat="1" x14ac:dyDescent="0.35">
      <c r="A140" s="19"/>
      <c r="B140" s="19"/>
      <c r="C140" s="19"/>
      <c r="D140" s="19"/>
      <c r="E140" s="19"/>
      <c r="F140" s="128"/>
      <c r="G140" s="19"/>
      <c r="H140" s="19"/>
      <c r="I140" s="19"/>
      <c r="J140" s="19"/>
      <c r="K140" s="19" t="str">
        <f>_xlfn.CONCAT(A141," ",C141," ",D141)</f>
        <v>2026 Chevrolet BLAZER EV FWD 22IN TIRE</v>
      </c>
      <c r="L140" s="19"/>
      <c r="M140" s="19"/>
      <c r="N140" s="19"/>
      <c r="O140" s="19"/>
      <c r="P140" s="19"/>
      <c r="Q140" s="19"/>
      <c r="R140" s="19"/>
      <c r="S140" s="19"/>
      <c r="T140" s="19"/>
      <c r="U140" s="19"/>
      <c r="V140" s="19"/>
      <c r="W140" s="19"/>
      <c r="X140" s="19"/>
      <c r="Y140" s="19"/>
      <c r="Z140" s="19"/>
      <c r="AA140" s="19"/>
      <c r="AB140" s="19" t="str">
        <f>$K140</f>
        <v>2026 Chevrolet BLAZER EV FWD 22IN TIRE</v>
      </c>
      <c r="AC140" s="19"/>
      <c r="AD140" s="19"/>
      <c r="AE140" s="19"/>
      <c r="AF140" s="19"/>
      <c r="AG140" s="19"/>
      <c r="AH140" s="19"/>
      <c r="AI140" s="19"/>
      <c r="AJ140" s="19"/>
      <c r="AK140" s="19"/>
      <c r="AL140" s="19"/>
      <c r="AM140" s="19"/>
      <c r="AN140" s="19"/>
      <c r="AO140" s="19"/>
      <c r="AP140" s="19"/>
      <c r="AQ140" s="19"/>
      <c r="AR140" s="19" t="str">
        <f>$K140</f>
        <v>2026 Chevrolet BLAZER EV FWD 22IN TIRE</v>
      </c>
      <c r="AS140" s="19"/>
      <c r="AT140" s="19"/>
      <c r="AU140" s="19"/>
      <c r="AV140" s="19"/>
      <c r="AW140" s="19"/>
      <c r="AX140" s="19"/>
      <c r="AY140" s="19"/>
      <c r="AZ140" s="19"/>
      <c r="BA140" s="19"/>
      <c r="BB140" s="19"/>
      <c r="BC140" s="19"/>
      <c r="BD140" s="19"/>
      <c r="BE140" s="19"/>
      <c r="BF140" s="19"/>
      <c r="BG140" s="19" t="str">
        <f>$K140</f>
        <v>2026 Chevrolet BLAZER EV FWD 22IN TIRE</v>
      </c>
      <c r="BH140" s="19"/>
      <c r="BI140" s="19"/>
      <c r="BJ140" s="19"/>
      <c r="BK140" s="19"/>
      <c r="BL140" s="19"/>
      <c r="BM140" s="129"/>
      <c r="BN140" s="19"/>
      <c r="BO140" s="19"/>
      <c r="BP140" s="19"/>
      <c r="BQ140" s="19"/>
      <c r="BR140" s="19"/>
      <c r="BS140" s="19"/>
      <c r="BT140" s="130"/>
      <c r="BU140" s="19"/>
      <c r="BV140" s="19"/>
      <c r="BW140" s="116"/>
      <c r="BX140" s="19"/>
      <c r="BY140" s="19"/>
      <c r="BZ140" s="19"/>
      <c r="CA140" s="19"/>
      <c r="CB140" s="19"/>
      <c r="CC140" s="19"/>
      <c r="CD140" s="19"/>
      <c r="CE140" s="19"/>
      <c r="CF140" s="19"/>
      <c r="CG140" s="19"/>
      <c r="CH140" s="19"/>
      <c r="CI140" s="19"/>
      <c r="CJ140" s="19"/>
      <c r="CK140" s="19"/>
      <c r="CL140" s="19"/>
      <c r="CM140" s="19" t="str">
        <f>$K140</f>
        <v>2026 Chevrolet BLAZER EV FWD 22IN TIRE</v>
      </c>
      <c r="CN140" s="19"/>
      <c r="CO140" s="19"/>
      <c r="CP140" s="19"/>
      <c r="CQ140" s="19"/>
      <c r="CR140" s="19"/>
      <c r="CS140" s="19"/>
      <c r="CT140" s="19"/>
      <c r="CU140" s="19"/>
      <c r="CV140" s="19"/>
      <c r="CW140" s="19"/>
      <c r="CX140" s="19"/>
      <c r="CY140" s="19"/>
      <c r="CZ140" s="19"/>
      <c r="DA140" s="19"/>
      <c r="DB140" s="19"/>
      <c r="DC140" s="19"/>
      <c r="DD140" s="19" t="str">
        <f>$K140</f>
        <v>2026 Chevrolet BLAZER EV FWD 22IN TIRE</v>
      </c>
      <c r="DE140" s="19"/>
      <c r="DF140" s="19"/>
      <c r="DG140" s="19"/>
      <c r="DH140" s="19"/>
      <c r="DI140" s="19"/>
      <c r="DJ140" s="19"/>
      <c r="DK140" s="19"/>
      <c r="DL140" s="19"/>
      <c r="DM140" s="19"/>
      <c r="DN140" s="19"/>
      <c r="DO140" s="19"/>
      <c r="DP140" s="19"/>
      <c r="DQ140" s="19"/>
      <c r="DR140" s="19"/>
      <c r="DS140" s="19"/>
      <c r="DT140" s="19"/>
      <c r="DU140" s="19" t="str">
        <f>$K140</f>
        <v>2026 Chevrolet BLAZER EV FWD 22IN TIRE</v>
      </c>
      <c r="DV140" s="19"/>
      <c r="DW140" s="19"/>
      <c r="DX140" s="19"/>
      <c r="DY140" s="19"/>
      <c r="DZ140" s="19"/>
      <c r="EA140" s="117"/>
      <c r="EB140" s="19"/>
      <c r="EC140" s="19"/>
      <c r="ED140" s="19"/>
      <c r="EE140" s="19"/>
      <c r="EF140" s="19"/>
      <c r="EG140"/>
      <c r="EH140"/>
      <c r="EI140"/>
      <c r="EJ140"/>
      <c r="EK140"/>
      <c r="EL140"/>
      <c r="EM140"/>
      <c r="EN140"/>
      <c r="EO140"/>
      <c r="EP140"/>
      <c r="EQ140"/>
      <c r="ER140"/>
      <c r="ES140"/>
      <c r="ET140"/>
      <c r="EU140"/>
      <c r="EV140"/>
      <c r="EW140"/>
      <c r="EX140" s="19" t="s">
        <v>1969</v>
      </c>
      <c r="EY140"/>
      <c r="EZ140"/>
      <c r="FA140"/>
      <c r="FB140"/>
      <c r="FC140"/>
      <c r="FD140"/>
      <c r="FE140"/>
      <c r="FF140"/>
      <c r="FG140"/>
      <c r="FH140"/>
      <c r="FI140"/>
    </row>
    <row r="141" spans="1:165" s="66" customFormat="1" x14ac:dyDescent="0.35">
      <c r="A141">
        <v>2026</v>
      </c>
      <c r="B141" t="s">
        <v>211</v>
      </c>
      <c r="C141" s="112" t="s">
        <v>212</v>
      </c>
      <c r="D141" t="s">
        <v>1455</v>
      </c>
      <c r="E141" t="s">
        <v>214</v>
      </c>
      <c r="F141">
        <v>424</v>
      </c>
      <c r="G141" s="113">
        <v>0</v>
      </c>
      <c r="H141"/>
      <c r="I141" t="s">
        <v>1391</v>
      </c>
      <c r="J141">
        <v>103</v>
      </c>
      <c r="K141">
        <v>86</v>
      </c>
      <c r="L141">
        <v>95</v>
      </c>
      <c r="M141">
        <v>147.6</v>
      </c>
      <c r="N141">
        <v>122.4</v>
      </c>
      <c r="O141">
        <v>135.0848</v>
      </c>
      <c r="P141">
        <v>103.32</v>
      </c>
      <c r="Q141">
        <v>85.68</v>
      </c>
      <c r="R141">
        <v>94.559399999999997</v>
      </c>
      <c r="S141"/>
      <c r="T141"/>
      <c r="U141"/>
      <c r="V141" t="s">
        <v>170</v>
      </c>
      <c r="W141" t="s">
        <v>171</v>
      </c>
      <c r="X141" t="s">
        <v>1436</v>
      </c>
      <c r="Y141">
        <v>1</v>
      </c>
      <c r="Z141" t="s">
        <v>173</v>
      </c>
      <c r="AA141" t="s">
        <v>173</v>
      </c>
      <c r="AB141" t="s">
        <v>277</v>
      </c>
      <c r="AC141" t="s">
        <v>278</v>
      </c>
      <c r="AD141"/>
      <c r="AE141"/>
      <c r="AF141">
        <v>283</v>
      </c>
      <c r="AG141" t="s">
        <v>1392</v>
      </c>
      <c r="AH141" t="s">
        <v>1393</v>
      </c>
      <c r="AI141" t="s">
        <v>178</v>
      </c>
      <c r="AJ141" t="s">
        <v>179</v>
      </c>
      <c r="AK141">
        <v>4</v>
      </c>
      <c r="AL141" t="s">
        <v>1394</v>
      </c>
      <c r="AM141"/>
      <c r="AN141"/>
      <c r="AO141">
        <v>106</v>
      </c>
      <c r="AP141">
        <v>26</v>
      </c>
      <c r="AQ141"/>
      <c r="AR141"/>
      <c r="AS141">
        <v>900</v>
      </c>
      <c r="AT141">
        <v>900</v>
      </c>
      <c r="AU141"/>
      <c r="AV141"/>
      <c r="AW141"/>
      <c r="AX141"/>
      <c r="AY141"/>
      <c r="AZ141"/>
      <c r="BA141"/>
      <c r="BB141"/>
      <c r="BC141"/>
      <c r="BD141"/>
      <c r="BE141"/>
      <c r="BF141"/>
      <c r="BG141"/>
      <c r="BH141"/>
      <c r="BI141"/>
      <c r="BJ141"/>
      <c r="BK141"/>
      <c r="BL141"/>
      <c r="BM141"/>
      <c r="BN141" s="114"/>
      <c r="BO141"/>
      <c r="BP141"/>
      <c r="BQ141">
        <v>30</v>
      </c>
      <c r="BR141" t="s">
        <v>798</v>
      </c>
      <c r="BS141"/>
      <c r="BT141" t="s">
        <v>1395</v>
      </c>
      <c r="BU141" s="115">
        <v>45873</v>
      </c>
      <c r="BV141">
        <v>37065</v>
      </c>
      <c r="BW141" s="116"/>
      <c r="BX141" t="s">
        <v>173</v>
      </c>
      <c r="BY141" t="s">
        <v>173</v>
      </c>
      <c r="BZ141"/>
      <c r="CA141"/>
      <c r="CB141" t="s">
        <v>173</v>
      </c>
      <c r="CC141" t="s">
        <v>173</v>
      </c>
      <c r="CD141"/>
      <c r="CE141"/>
      <c r="CF141"/>
      <c r="CG141"/>
      <c r="CH141"/>
      <c r="CI141"/>
      <c r="CJ141"/>
      <c r="CK141" t="s">
        <v>259</v>
      </c>
      <c r="CL141"/>
      <c r="CM141">
        <v>1</v>
      </c>
      <c r="CN141" t="s">
        <v>260</v>
      </c>
      <c r="CO141"/>
      <c r="CP141">
        <v>336</v>
      </c>
      <c r="CQ141">
        <v>290</v>
      </c>
      <c r="CR141">
        <v>155</v>
      </c>
      <c r="CS141" t="s">
        <v>1437</v>
      </c>
      <c r="CT141"/>
      <c r="CU141"/>
      <c r="CV141" t="s">
        <v>262</v>
      </c>
      <c r="CW141"/>
      <c r="CX141" t="s">
        <v>493</v>
      </c>
      <c r="CY141" t="s">
        <v>173</v>
      </c>
      <c r="CZ141"/>
      <c r="DA141"/>
      <c r="DB141"/>
      <c r="DC141"/>
      <c r="DD141">
        <v>1</v>
      </c>
      <c r="DE141" t="s">
        <v>307</v>
      </c>
      <c r="DF141" t="s">
        <v>988</v>
      </c>
      <c r="DG141">
        <v>180</v>
      </c>
      <c r="DH141"/>
      <c r="DI141"/>
      <c r="DJ141"/>
      <c r="DK141"/>
      <c r="DL141" t="s">
        <v>173</v>
      </c>
      <c r="DM141" t="s">
        <v>172</v>
      </c>
      <c r="DN141"/>
      <c r="DO141"/>
      <c r="DP141" t="s">
        <v>173</v>
      </c>
      <c r="DQ141" t="s">
        <v>189</v>
      </c>
      <c r="DR141" t="s">
        <v>1455</v>
      </c>
      <c r="DS141"/>
      <c r="DT141"/>
      <c r="DU141"/>
      <c r="DV141"/>
      <c r="DW141"/>
      <c r="DX141"/>
      <c r="DY141"/>
      <c r="DZ141"/>
      <c r="EA141" s="117"/>
      <c r="EB141">
        <v>9</v>
      </c>
      <c r="EC141">
        <v>10</v>
      </c>
      <c r="ED141"/>
      <c r="EE141" t="s">
        <v>1454</v>
      </c>
      <c r="EF141">
        <v>10</v>
      </c>
      <c r="EG141"/>
      <c r="EH141"/>
      <c r="EI141"/>
      <c r="EJ141"/>
      <c r="EK141"/>
      <c r="EL141"/>
      <c r="EM141"/>
      <c r="EN141"/>
      <c r="EO141"/>
      <c r="EP141"/>
      <c r="EQ141"/>
      <c r="ER141"/>
      <c r="ES141"/>
      <c r="ET141"/>
      <c r="EU141">
        <v>4000</v>
      </c>
      <c r="EV141"/>
      <c r="EW141">
        <v>0</v>
      </c>
      <c r="EX141">
        <v>0</v>
      </c>
      <c r="EY141">
        <v>0</v>
      </c>
      <c r="EZ141"/>
      <c r="FA141">
        <v>9.5</v>
      </c>
      <c r="FB141"/>
      <c r="FC141"/>
      <c r="FD141"/>
      <c r="FE141"/>
      <c r="FF141"/>
      <c r="FG141" s="94">
        <v>307</v>
      </c>
      <c r="FH141" s="94">
        <v>254</v>
      </c>
      <c r="FI141" s="94">
        <v>283</v>
      </c>
    </row>
    <row r="142" spans="1:165" s="66" customFormat="1" x14ac:dyDescent="0.35">
      <c r="A142">
        <v>2026</v>
      </c>
      <c r="B142" t="s">
        <v>211</v>
      </c>
      <c r="C142" s="112" t="s">
        <v>212</v>
      </c>
      <c r="D142" t="s">
        <v>1455</v>
      </c>
      <c r="E142" t="s">
        <v>214</v>
      </c>
      <c r="F142">
        <v>424</v>
      </c>
      <c r="G142" s="113">
        <v>0</v>
      </c>
      <c r="H142"/>
      <c r="I142" t="s">
        <v>1391</v>
      </c>
      <c r="J142">
        <v>33</v>
      </c>
      <c r="K142">
        <v>39</v>
      </c>
      <c r="L142">
        <v>36</v>
      </c>
      <c r="M142">
        <v>22.8292</v>
      </c>
      <c r="N142">
        <v>27.525600000000001</v>
      </c>
      <c r="O142">
        <v>24.942599999999999</v>
      </c>
      <c r="P142">
        <v>32.622</v>
      </c>
      <c r="Q142">
        <v>39.338200000000001</v>
      </c>
      <c r="R142">
        <v>35.644300000000001</v>
      </c>
      <c r="S142"/>
      <c r="T142"/>
      <c r="U142"/>
      <c r="V142" t="s">
        <v>170</v>
      </c>
      <c r="W142" t="s">
        <v>171</v>
      </c>
      <c r="X142" t="s">
        <v>1436</v>
      </c>
      <c r="Y142">
        <v>1</v>
      </c>
      <c r="Z142" t="s">
        <v>173</v>
      </c>
      <c r="AA142" t="s">
        <v>173</v>
      </c>
      <c r="AB142" t="s">
        <v>277</v>
      </c>
      <c r="AC142" t="s">
        <v>278</v>
      </c>
      <c r="AD142"/>
      <c r="AE142"/>
      <c r="AF142">
        <v>283</v>
      </c>
      <c r="AG142" t="s">
        <v>1392</v>
      </c>
      <c r="AH142" t="s">
        <v>1393</v>
      </c>
      <c r="AI142" t="s">
        <v>1399</v>
      </c>
      <c r="AJ142" t="s">
        <v>1400</v>
      </c>
      <c r="AK142">
        <v>4</v>
      </c>
      <c r="AL142" t="s">
        <v>1394</v>
      </c>
      <c r="AM142"/>
      <c r="AN142"/>
      <c r="AO142">
        <v>106</v>
      </c>
      <c r="AP142">
        <v>26</v>
      </c>
      <c r="AQ142"/>
      <c r="AR142"/>
      <c r="AS142">
        <v>900</v>
      </c>
      <c r="AT142">
        <v>900</v>
      </c>
      <c r="AU142"/>
      <c r="AV142"/>
      <c r="AW142"/>
      <c r="AX142"/>
      <c r="AY142"/>
      <c r="AZ142"/>
      <c r="BA142"/>
      <c r="BB142"/>
      <c r="BC142"/>
      <c r="BD142"/>
      <c r="BE142"/>
      <c r="BF142"/>
      <c r="BG142"/>
      <c r="BH142"/>
      <c r="BI142"/>
      <c r="BJ142"/>
      <c r="BK142"/>
      <c r="BL142"/>
      <c r="BM142"/>
      <c r="BN142" s="114"/>
      <c r="BO142"/>
      <c r="BP142"/>
      <c r="BQ142">
        <v>30</v>
      </c>
      <c r="BR142" t="s">
        <v>798</v>
      </c>
      <c r="BS142"/>
      <c r="BT142" t="s">
        <v>1395</v>
      </c>
      <c r="BU142" s="115">
        <v>45873</v>
      </c>
      <c r="BV142">
        <v>37065</v>
      </c>
      <c r="BW142" s="116"/>
      <c r="BX142" t="s">
        <v>173</v>
      </c>
      <c r="BY142" t="s">
        <v>173</v>
      </c>
      <c r="BZ142"/>
      <c r="CA142"/>
      <c r="CB142" t="s">
        <v>173</v>
      </c>
      <c r="CC142" t="s">
        <v>173</v>
      </c>
      <c r="CD142"/>
      <c r="CE142"/>
      <c r="CF142"/>
      <c r="CG142"/>
      <c r="CH142"/>
      <c r="CI142"/>
      <c r="CJ142"/>
      <c r="CK142" t="s">
        <v>259</v>
      </c>
      <c r="CL142"/>
      <c r="CM142">
        <v>1</v>
      </c>
      <c r="CN142" t="s">
        <v>260</v>
      </c>
      <c r="CO142"/>
      <c r="CP142">
        <v>336</v>
      </c>
      <c r="CQ142">
        <v>290</v>
      </c>
      <c r="CR142">
        <v>155</v>
      </c>
      <c r="CS142" t="s">
        <v>1437</v>
      </c>
      <c r="CT142"/>
      <c r="CU142"/>
      <c r="CV142" t="s">
        <v>262</v>
      </c>
      <c r="CW142"/>
      <c r="CX142" t="s">
        <v>493</v>
      </c>
      <c r="CY142" t="s">
        <v>173</v>
      </c>
      <c r="CZ142"/>
      <c r="DA142"/>
      <c r="DB142"/>
      <c r="DC142"/>
      <c r="DD142">
        <v>1</v>
      </c>
      <c r="DE142" t="s">
        <v>307</v>
      </c>
      <c r="DF142" t="s">
        <v>988</v>
      </c>
      <c r="DG142">
        <v>180</v>
      </c>
      <c r="DH142"/>
      <c r="DI142"/>
      <c r="DJ142"/>
      <c r="DK142"/>
      <c r="DL142" t="s">
        <v>173</v>
      </c>
      <c r="DM142" t="s">
        <v>172</v>
      </c>
      <c r="DN142"/>
      <c r="DO142"/>
      <c r="DP142" t="s">
        <v>173</v>
      </c>
      <c r="DQ142" t="s">
        <v>189</v>
      </c>
      <c r="DR142" t="s">
        <v>1455</v>
      </c>
      <c r="DS142"/>
      <c r="DT142"/>
      <c r="DU142"/>
      <c r="DV142"/>
      <c r="DW142"/>
      <c r="DX142"/>
      <c r="DY142"/>
      <c r="DZ142"/>
      <c r="EA142" s="117"/>
      <c r="EB142">
        <v>9</v>
      </c>
      <c r="EC142">
        <v>10</v>
      </c>
      <c r="ED142"/>
      <c r="EE142" t="s">
        <v>1454</v>
      </c>
      <c r="EF142">
        <v>10</v>
      </c>
      <c r="EG142"/>
      <c r="EH142"/>
      <c r="EI142"/>
      <c r="EJ142"/>
      <c r="EK142"/>
      <c r="EL142"/>
      <c r="EM142"/>
      <c r="EN142"/>
      <c r="EO142"/>
      <c r="EP142"/>
      <c r="EQ142"/>
      <c r="ER142"/>
      <c r="ES142"/>
      <c r="ET142"/>
      <c r="EU142">
        <v>4000</v>
      </c>
      <c r="EV142"/>
      <c r="EW142">
        <v>0</v>
      </c>
      <c r="EX142">
        <v>0</v>
      </c>
      <c r="EY142">
        <v>0</v>
      </c>
      <c r="EZ142"/>
      <c r="FA142">
        <v>9.5</v>
      </c>
      <c r="FB142"/>
      <c r="FC142"/>
      <c r="FD142"/>
      <c r="FE142"/>
      <c r="FF142"/>
      <c r="FG142" s="94">
        <v>307</v>
      </c>
      <c r="FH142" s="94">
        <v>254</v>
      </c>
      <c r="FI142" s="94">
        <v>283</v>
      </c>
    </row>
    <row r="143" spans="1:165" s="66" customFormat="1" x14ac:dyDescent="0.35">
      <c r="A143" s="19"/>
      <c r="B143" s="19"/>
      <c r="C143" s="19"/>
      <c r="D143" s="19"/>
      <c r="E143" s="19"/>
      <c r="F143" s="128"/>
      <c r="G143" s="19"/>
      <c r="H143" s="19"/>
      <c r="I143" s="19"/>
      <c r="J143" s="19"/>
      <c r="K143" s="19" t="str">
        <f>_xlfn.CONCAT(A144," ",C144," ",D144)</f>
        <v>2026 Chevrolet EQUINOX EV FWD</v>
      </c>
      <c r="L143" s="19"/>
      <c r="M143" s="19"/>
      <c r="N143" s="19"/>
      <c r="O143" s="19"/>
      <c r="P143" s="19"/>
      <c r="Q143" s="19"/>
      <c r="R143" s="19"/>
      <c r="S143" s="19"/>
      <c r="T143" s="19"/>
      <c r="U143" s="19"/>
      <c r="V143" s="19"/>
      <c r="W143" s="19"/>
      <c r="X143" s="19"/>
      <c r="Y143" s="19"/>
      <c r="Z143" s="19"/>
      <c r="AA143" s="19"/>
      <c r="AB143" s="19" t="str">
        <f>$K143</f>
        <v>2026 Chevrolet EQUINOX EV FWD</v>
      </c>
      <c r="AC143" s="19"/>
      <c r="AD143" s="19"/>
      <c r="AE143" s="19"/>
      <c r="AF143" s="19"/>
      <c r="AG143" s="19"/>
      <c r="AH143" s="19"/>
      <c r="AI143" s="19"/>
      <c r="AJ143" s="19"/>
      <c r="AK143" s="19"/>
      <c r="AL143" s="19"/>
      <c r="AM143" s="19"/>
      <c r="AN143" s="19"/>
      <c r="AO143" s="19"/>
      <c r="AP143" s="19"/>
      <c r="AQ143" s="19"/>
      <c r="AR143" s="19" t="str">
        <f>$K143</f>
        <v>2026 Chevrolet EQUINOX EV FWD</v>
      </c>
      <c r="AS143" s="19"/>
      <c r="AT143" s="19"/>
      <c r="AU143" s="19"/>
      <c r="AV143" s="19"/>
      <c r="AW143" s="19"/>
      <c r="AX143" s="19"/>
      <c r="AY143" s="19"/>
      <c r="AZ143" s="19"/>
      <c r="BA143" s="19"/>
      <c r="BB143" s="19"/>
      <c r="BC143" s="19"/>
      <c r="BD143" s="19"/>
      <c r="BE143" s="19"/>
      <c r="BF143" s="19"/>
      <c r="BG143" s="19" t="str">
        <f>$K143</f>
        <v>2026 Chevrolet EQUINOX EV FWD</v>
      </c>
      <c r="BH143" s="19"/>
      <c r="BI143" s="19"/>
      <c r="BJ143" s="19"/>
      <c r="BK143" s="19"/>
      <c r="BL143" s="19"/>
      <c r="BM143" s="129"/>
      <c r="BN143" s="19"/>
      <c r="BO143" s="19"/>
      <c r="BP143" s="19"/>
      <c r="BQ143" s="19"/>
      <c r="BR143" s="19"/>
      <c r="BS143" s="19"/>
      <c r="BT143" s="130"/>
      <c r="BU143" s="19"/>
      <c r="BV143" s="19"/>
      <c r="BW143" s="116"/>
      <c r="BX143" s="19"/>
      <c r="BY143" s="19"/>
      <c r="BZ143" s="19"/>
      <c r="CA143" s="19"/>
      <c r="CB143" s="19"/>
      <c r="CC143" s="19"/>
      <c r="CD143" s="19"/>
      <c r="CE143" s="19"/>
      <c r="CF143" s="19"/>
      <c r="CG143" s="19"/>
      <c r="CH143" s="19"/>
      <c r="CI143" s="19"/>
      <c r="CJ143" s="19"/>
      <c r="CK143" s="19"/>
      <c r="CL143" s="19"/>
      <c r="CM143" s="19" t="str">
        <f>$K143</f>
        <v>2026 Chevrolet EQUINOX EV FWD</v>
      </c>
      <c r="CN143" s="19"/>
      <c r="CO143" s="19"/>
      <c r="CP143" s="19"/>
      <c r="CQ143" s="19"/>
      <c r="CR143" s="19"/>
      <c r="CS143" s="19"/>
      <c r="CT143" s="19"/>
      <c r="CU143" s="19"/>
      <c r="CV143" s="19"/>
      <c r="CW143" s="19"/>
      <c r="CX143" s="19"/>
      <c r="CY143" s="19"/>
      <c r="CZ143" s="19"/>
      <c r="DA143" s="19"/>
      <c r="DB143" s="19"/>
      <c r="DC143" s="19"/>
      <c r="DD143" s="19" t="str">
        <f>$K143</f>
        <v>2026 Chevrolet EQUINOX EV FWD</v>
      </c>
      <c r="DE143" s="19"/>
      <c r="DF143" s="19"/>
      <c r="DG143" s="19"/>
      <c r="DH143" s="19"/>
      <c r="DI143" s="19"/>
      <c r="DJ143" s="19"/>
      <c r="DK143" s="19"/>
      <c r="DL143" s="19"/>
      <c r="DM143" s="19"/>
      <c r="DN143" s="19"/>
      <c r="DO143" s="19"/>
      <c r="DP143" s="19"/>
      <c r="DQ143" s="19"/>
      <c r="DR143" s="19"/>
      <c r="DS143" s="19"/>
      <c r="DT143" s="19"/>
      <c r="DU143" s="19" t="str">
        <f>$K143</f>
        <v>2026 Chevrolet EQUINOX EV FWD</v>
      </c>
      <c r="DV143" s="19"/>
      <c r="DW143" s="19"/>
      <c r="DX143" s="19"/>
      <c r="DY143" s="19"/>
      <c r="DZ143" s="19"/>
      <c r="EA143" s="117"/>
      <c r="EB143" s="19"/>
      <c r="EC143" s="19"/>
      <c r="ED143" s="19"/>
      <c r="EE143" s="19"/>
      <c r="EF143" s="19"/>
      <c r="EG143"/>
      <c r="EH143"/>
      <c r="EI143"/>
      <c r="EJ143"/>
      <c r="EK143"/>
      <c r="EL143"/>
      <c r="EM143"/>
      <c r="EN143"/>
      <c r="EO143"/>
      <c r="EP143"/>
      <c r="EQ143"/>
      <c r="ER143"/>
      <c r="ES143"/>
      <c r="ET143"/>
      <c r="EU143"/>
      <c r="EV143"/>
      <c r="EW143"/>
      <c r="EX143" s="19" t="s">
        <v>1970</v>
      </c>
      <c r="EY143"/>
      <c r="EZ143"/>
      <c r="FA143"/>
      <c r="FB143"/>
      <c r="FC143"/>
      <c r="FD143"/>
      <c r="FE143"/>
      <c r="FF143"/>
      <c r="FG143"/>
      <c r="FH143"/>
      <c r="FI143"/>
    </row>
    <row r="144" spans="1:165" s="66" customFormat="1" x14ac:dyDescent="0.35">
      <c r="A144">
        <v>2026</v>
      </c>
      <c r="B144" t="s">
        <v>211</v>
      </c>
      <c r="C144" s="112" t="s">
        <v>212</v>
      </c>
      <c r="D144" t="s">
        <v>1741</v>
      </c>
      <c r="E144" t="s">
        <v>214</v>
      </c>
      <c r="F144">
        <v>422</v>
      </c>
      <c r="G144" s="113">
        <v>0</v>
      </c>
      <c r="H144"/>
      <c r="I144" t="s">
        <v>1391</v>
      </c>
      <c r="J144">
        <v>117</v>
      </c>
      <c r="K144">
        <v>100</v>
      </c>
      <c r="L144">
        <v>108</v>
      </c>
      <c r="M144">
        <v>167.2</v>
      </c>
      <c r="N144">
        <v>142.19999999999999</v>
      </c>
      <c r="O144">
        <v>154.9419</v>
      </c>
      <c r="P144">
        <v>117.04</v>
      </c>
      <c r="Q144">
        <v>99.54</v>
      </c>
      <c r="R144">
        <v>108.4594</v>
      </c>
      <c r="S144"/>
      <c r="T144"/>
      <c r="U144"/>
      <c r="V144" t="s">
        <v>170</v>
      </c>
      <c r="W144" t="s">
        <v>171</v>
      </c>
      <c r="X144" t="s">
        <v>1436</v>
      </c>
      <c r="Y144">
        <v>1</v>
      </c>
      <c r="Z144" t="s">
        <v>173</v>
      </c>
      <c r="AA144" t="s">
        <v>173</v>
      </c>
      <c r="AB144" t="s">
        <v>277</v>
      </c>
      <c r="AC144" t="s">
        <v>278</v>
      </c>
      <c r="AD144"/>
      <c r="AE144"/>
      <c r="AF144">
        <v>319</v>
      </c>
      <c r="AG144" t="s">
        <v>1392</v>
      </c>
      <c r="AH144" t="s">
        <v>1393</v>
      </c>
      <c r="AI144" t="s">
        <v>178</v>
      </c>
      <c r="AJ144" t="s">
        <v>179</v>
      </c>
      <c r="AK144">
        <v>4</v>
      </c>
      <c r="AL144" t="s">
        <v>1394</v>
      </c>
      <c r="AM144"/>
      <c r="AN144"/>
      <c r="AO144"/>
      <c r="AP144"/>
      <c r="AQ144"/>
      <c r="AR144"/>
      <c r="AS144">
        <v>800</v>
      </c>
      <c r="AT144">
        <v>800</v>
      </c>
      <c r="AU144"/>
      <c r="AV144"/>
      <c r="AW144"/>
      <c r="AX144"/>
      <c r="AY144"/>
      <c r="AZ144"/>
      <c r="BA144"/>
      <c r="BB144"/>
      <c r="BC144"/>
      <c r="BD144"/>
      <c r="BE144"/>
      <c r="BF144"/>
      <c r="BG144"/>
      <c r="BH144"/>
      <c r="BI144"/>
      <c r="BJ144"/>
      <c r="BK144"/>
      <c r="BL144"/>
      <c r="BM144"/>
      <c r="BN144" s="114"/>
      <c r="BO144"/>
      <c r="BP144"/>
      <c r="BQ144">
        <v>30</v>
      </c>
      <c r="BR144" t="s">
        <v>798</v>
      </c>
      <c r="BS144"/>
      <c r="BT144" t="s">
        <v>1395</v>
      </c>
      <c r="BU144" s="115">
        <v>45887</v>
      </c>
      <c r="BV144">
        <v>37005</v>
      </c>
      <c r="BW144" s="116"/>
      <c r="BX144" t="s">
        <v>173</v>
      </c>
      <c r="BY144" t="s">
        <v>173</v>
      </c>
      <c r="BZ144"/>
      <c r="CA144"/>
      <c r="CB144" t="s">
        <v>173</v>
      </c>
      <c r="CC144" t="s">
        <v>173</v>
      </c>
      <c r="CD144"/>
      <c r="CE144"/>
      <c r="CF144"/>
      <c r="CG144"/>
      <c r="CH144"/>
      <c r="CI144"/>
      <c r="CJ144"/>
      <c r="CK144" t="s">
        <v>259</v>
      </c>
      <c r="CL144"/>
      <c r="CM144">
        <v>1</v>
      </c>
      <c r="CN144" t="s">
        <v>260</v>
      </c>
      <c r="CO144"/>
      <c r="CP144">
        <v>336</v>
      </c>
      <c r="CQ144">
        <v>290</v>
      </c>
      <c r="CR144">
        <v>155</v>
      </c>
      <c r="CS144" t="s">
        <v>1437</v>
      </c>
      <c r="CT144"/>
      <c r="CU144"/>
      <c r="CV144" t="s">
        <v>262</v>
      </c>
      <c r="CW144"/>
      <c r="CX144" t="s">
        <v>493</v>
      </c>
      <c r="CY144" t="s">
        <v>173</v>
      </c>
      <c r="CZ144"/>
      <c r="DA144"/>
      <c r="DB144"/>
      <c r="DC144"/>
      <c r="DD144">
        <v>1</v>
      </c>
      <c r="DE144" t="s">
        <v>307</v>
      </c>
      <c r="DF144" t="s">
        <v>988</v>
      </c>
      <c r="DG144">
        <v>180</v>
      </c>
      <c r="DH144"/>
      <c r="DI144"/>
      <c r="DJ144"/>
      <c r="DK144"/>
      <c r="DL144" t="s">
        <v>173</v>
      </c>
      <c r="DM144" t="s">
        <v>172</v>
      </c>
      <c r="DN144"/>
      <c r="DO144"/>
      <c r="DP144" t="s">
        <v>173</v>
      </c>
      <c r="DQ144" t="s">
        <v>189</v>
      </c>
      <c r="DR144" t="s">
        <v>1741</v>
      </c>
      <c r="DS144"/>
      <c r="DT144"/>
      <c r="DU144"/>
      <c r="DV144"/>
      <c r="DW144"/>
      <c r="DX144"/>
      <c r="DY144"/>
      <c r="DZ144"/>
      <c r="EA144" s="117"/>
      <c r="EB144">
        <v>9</v>
      </c>
      <c r="EC144">
        <v>10</v>
      </c>
      <c r="ED144"/>
      <c r="EE144" t="s">
        <v>1454</v>
      </c>
      <c r="EF144">
        <v>10</v>
      </c>
      <c r="EG144"/>
      <c r="EH144"/>
      <c r="EI144"/>
      <c r="EJ144"/>
      <c r="EK144"/>
      <c r="EL144"/>
      <c r="EM144"/>
      <c r="EN144"/>
      <c r="EO144"/>
      <c r="EP144"/>
      <c r="EQ144"/>
      <c r="ER144"/>
      <c r="ES144"/>
      <c r="ET144"/>
      <c r="EU144">
        <v>4500</v>
      </c>
      <c r="EV144"/>
      <c r="EW144">
        <v>0</v>
      </c>
      <c r="EX144">
        <v>0</v>
      </c>
      <c r="EY144">
        <v>0</v>
      </c>
      <c r="EZ144"/>
      <c r="FA144">
        <v>9.5</v>
      </c>
      <c r="FB144"/>
      <c r="FC144"/>
      <c r="FD144"/>
      <c r="FE144"/>
      <c r="FF144"/>
      <c r="FG144" s="94">
        <v>342</v>
      </c>
      <c r="FH144" s="94">
        <v>291</v>
      </c>
      <c r="FI144" s="94">
        <v>319</v>
      </c>
    </row>
    <row r="145" spans="1:165" s="66" customFormat="1" x14ac:dyDescent="0.35">
      <c r="A145">
        <v>2026</v>
      </c>
      <c r="B145" t="s">
        <v>211</v>
      </c>
      <c r="C145" s="112" t="s">
        <v>212</v>
      </c>
      <c r="D145" t="s">
        <v>1741</v>
      </c>
      <c r="E145" t="s">
        <v>214</v>
      </c>
      <c r="F145">
        <v>422</v>
      </c>
      <c r="G145" s="113">
        <v>0</v>
      </c>
      <c r="H145"/>
      <c r="I145" t="s">
        <v>1391</v>
      </c>
      <c r="J145">
        <v>29</v>
      </c>
      <c r="K145">
        <v>34</v>
      </c>
      <c r="L145">
        <v>31</v>
      </c>
      <c r="M145">
        <v>20.1602</v>
      </c>
      <c r="N145">
        <v>23.706800000000001</v>
      </c>
      <c r="O145">
        <v>21.7562</v>
      </c>
      <c r="P145">
        <v>28.797799999999999</v>
      </c>
      <c r="Q145">
        <v>33.860799999999998</v>
      </c>
      <c r="R145">
        <v>31.0762</v>
      </c>
      <c r="S145"/>
      <c r="T145"/>
      <c r="U145"/>
      <c r="V145" t="s">
        <v>170</v>
      </c>
      <c r="W145" t="s">
        <v>171</v>
      </c>
      <c r="X145" t="s">
        <v>1436</v>
      </c>
      <c r="Y145">
        <v>1</v>
      </c>
      <c r="Z145" t="s">
        <v>173</v>
      </c>
      <c r="AA145" t="s">
        <v>173</v>
      </c>
      <c r="AB145" t="s">
        <v>277</v>
      </c>
      <c r="AC145" t="s">
        <v>278</v>
      </c>
      <c r="AD145"/>
      <c r="AE145"/>
      <c r="AF145">
        <v>319</v>
      </c>
      <c r="AG145" t="s">
        <v>1392</v>
      </c>
      <c r="AH145" t="s">
        <v>1393</v>
      </c>
      <c r="AI145" t="s">
        <v>1399</v>
      </c>
      <c r="AJ145" t="s">
        <v>1400</v>
      </c>
      <c r="AK145">
        <v>4</v>
      </c>
      <c r="AL145" t="s">
        <v>1394</v>
      </c>
      <c r="AM145"/>
      <c r="AN145"/>
      <c r="AO145"/>
      <c r="AP145"/>
      <c r="AQ145"/>
      <c r="AR145"/>
      <c r="AS145">
        <v>800</v>
      </c>
      <c r="AT145">
        <v>800</v>
      </c>
      <c r="AU145"/>
      <c r="AV145"/>
      <c r="AW145"/>
      <c r="AX145"/>
      <c r="AY145"/>
      <c r="AZ145"/>
      <c r="BA145"/>
      <c r="BB145"/>
      <c r="BC145"/>
      <c r="BD145"/>
      <c r="BE145"/>
      <c r="BF145"/>
      <c r="BG145"/>
      <c r="BH145"/>
      <c r="BI145"/>
      <c r="BJ145"/>
      <c r="BK145"/>
      <c r="BL145"/>
      <c r="BM145"/>
      <c r="BN145" s="114"/>
      <c r="BO145"/>
      <c r="BP145"/>
      <c r="BQ145">
        <v>30</v>
      </c>
      <c r="BR145" t="s">
        <v>798</v>
      </c>
      <c r="BS145"/>
      <c r="BT145" t="s">
        <v>1395</v>
      </c>
      <c r="BU145" s="115">
        <v>45887</v>
      </c>
      <c r="BV145">
        <v>37005</v>
      </c>
      <c r="BW145" s="116"/>
      <c r="BX145" t="s">
        <v>173</v>
      </c>
      <c r="BY145" t="s">
        <v>173</v>
      </c>
      <c r="BZ145"/>
      <c r="CA145"/>
      <c r="CB145" t="s">
        <v>173</v>
      </c>
      <c r="CC145" t="s">
        <v>173</v>
      </c>
      <c r="CD145"/>
      <c r="CE145"/>
      <c r="CF145"/>
      <c r="CG145"/>
      <c r="CH145"/>
      <c r="CI145"/>
      <c r="CJ145"/>
      <c r="CK145" t="s">
        <v>259</v>
      </c>
      <c r="CL145"/>
      <c r="CM145">
        <v>1</v>
      </c>
      <c r="CN145" t="s">
        <v>260</v>
      </c>
      <c r="CO145"/>
      <c r="CP145">
        <v>336</v>
      </c>
      <c r="CQ145">
        <v>290</v>
      </c>
      <c r="CR145">
        <v>155</v>
      </c>
      <c r="CS145" t="s">
        <v>1437</v>
      </c>
      <c r="CT145"/>
      <c r="CU145"/>
      <c r="CV145" t="s">
        <v>262</v>
      </c>
      <c r="CW145"/>
      <c r="CX145" t="s">
        <v>493</v>
      </c>
      <c r="CY145" t="s">
        <v>173</v>
      </c>
      <c r="CZ145"/>
      <c r="DA145"/>
      <c r="DB145"/>
      <c r="DC145"/>
      <c r="DD145">
        <v>1</v>
      </c>
      <c r="DE145" t="s">
        <v>307</v>
      </c>
      <c r="DF145" t="s">
        <v>988</v>
      </c>
      <c r="DG145">
        <v>180</v>
      </c>
      <c r="DH145"/>
      <c r="DI145"/>
      <c r="DJ145"/>
      <c r="DK145"/>
      <c r="DL145" t="s">
        <v>173</v>
      </c>
      <c r="DM145" t="s">
        <v>172</v>
      </c>
      <c r="DN145"/>
      <c r="DO145"/>
      <c r="DP145" t="s">
        <v>173</v>
      </c>
      <c r="DQ145" t="s">
        <v>189</v>
      </c>
      <c r="DR145" t="s">
        <v>1741</v>
      </c>
      <c r="DS145"/>
      <c r="DT145"/>
      <c r="DU145"/>
      <c r="DV145"/>
      <c r="DW145"/>
      <c r="DX145"/>
      <c r="DY145"/>
      <c r="DZ145"/>
      <c r="EA145" s="117"/>
      <c r="EB145">
        <v>9</v>
      </c>
      <c r="EC145">
        <v>10</v>
      </c>
      <c r="ED145"/>
      <c r="EE145" t="s">
        <v>1454</v>
      </c>
      <c r="EF145">
        <v>10</v>
      </c>
      <c r="EG145"/>
      <c r="EH145"/>
      <c r="EI145"/>
      <c r="EJ145"/>
      <c r="EK145"/>
      <c r="EL145"/>
      <c r="EM145"/>
      <c r="EN145"/>
      <c r="EO145"/>
      <c r="EP145"/>
      <c r="EQ145"/>
      <c r="ER145"/>
      <c r="ES145"/>
      <c r="ET145"/>
      <c r="EU145">
        <v>4500</v>
      </c>
      <c r="EV145"/>
      <c r="EW145">
        <v>0</v>
      </c>
      <c r="EX145">
        <v>0</v>
      </c>
      <c r="EY145">
        <v>0</v>
      </c>
      <c r="EZ145"/>
      <c r="FA145">
        <v>9.5</v>
      </c>
      <c r="FB145"/>
      <c r="FC145"/>
      <c r="FD145"/>
      <c r="FE145"/>
      <c r="FF145"/>
      <c r="FG145" s="94">
        <v>342</v>
      </c>
      <c r="FH145" s="94">
        <v>291</v>
      </c>
      <c r="FI145" s="94">
        <v>319</v>
      </c>
    </row>
    <row r="146" spans="1:165" s="66" customFormat="1" x14ac:dyDescent="0.35">
      <c r="A146" s="19"/>
      <c r="B146" s="19"/>
      <c r="C146" s="19"/>
      <c r="D146" s="19"/>
      <c r="E146" s="19"/>
      <c r="F146" s="128"/>
      <c r="G146" s="19"/>
      <c r="H146" s="19"/>
      <c r="I146" s="19"/>
      <c r="J146" s="19"/>
      <c r="K146" s="19" t="str">
        <f>_xlfn.CONCAT(A147," ",C147," ",D147)</f>
        <v>2026 Chevrolet BLAZER EV AWD</v>
      </c>
      <c r="L146" s="19"/>
      <c r="M146" s="19"/>
      <c r="N146" s="19"/>
      <c r="O146" s="19"/>
      <c r="P146" s="19"/>
      <c r="Q146" s="19"/>
      <c r="R146" s="19"/>
      <c r="S146" s="19"/>
      <c r="T146" s="19"/>
      <c r="U146" s="19"/>
      <c r="V146" s="19"/>
      <c r="W146" s="19"/>
      <c r="X146" s="19"/>
      <c r="Y146" s="19"/>
      <c r="Z146" s="19"/>
      <c r="AA146" s="19"/>
      <c r="AB146" s="19" t="str">
        <f>$K146</f>
        <v>2026 Chevrolet BLAZER EV AWD</v>
      </c>
      <c r="AC146" s="19"/>
      <c r="AD146" s="19"/>
      <c r="AE146" s="19"/>
      <c r="AF146" s="19"/>
      <c r="AG146" s="19"/>
      <c r="AH146" s="19"/>
      <c r="AI146" s="19"/>
      <c r="AJ146" s="19"/>
      <c r="AK146" s="19"/>
      <c r="AL146" s="19"/>
      <c r="AM146" s="19"/>
      <c r="AN146" s="19"/>
      <c r="AO146" s="19"/>
      <c r="AP146" s="19"/>
      <c r="AQ146" s="19"/>
      <c r="AR146" s="19" t="str">
        <f>$K146</f>
        <v>2026 Chevrolet BLAZER EV AWD</v>
      </c>
      <c r="AS146" s="19"/>
      <c r="AT146" s="19"/>
      <c r="AU146" s="19"/>
      <c r="AV146" s="19"/>
      <c r="AW146" s="19"/>
      <c r="AX146" s="19"/>
      <c r="AY146" s="19"/>
      <c r="AZ146" s="19"/>
      <c r="BA146" s="19"/>
      <c r="BB146" s="19"/>
      <c r="BC146" s="19"/>
      <c r="BD146" s="19"/>
      <c r="BE146" s="19"/>
      <c r="BF146" s="19"/>
      <c r="BG146" s="19" t="str">
        <f>$K146</f>
        <v>2026 Chevrolet BLAZER EV AWD</v>
      </c>
      <c r="BH146" s="19"/>
      <c r="BI146" s="19"/>
      <c r="BJ146" s="19"/>
      <c r="BK146" s="19"/>
      <c r="BL146" s="19"/>
      <c r="BM146" s="129"/>
      <c r="BN146" s="19"/>
      <c r="BO146" s="19"/>
      <c r="BP146" s="19"/>
      <c r="BQ146" s="19"/>
      <c r="BR146" s="19"/>
      <c r="BS146" s="19"/>
      <c r="BT146" s="130"/>
      <c r="BU146" s="19"/>
      <c r="BV146" s="19"/>
      <c r="BW146" s="116"/>
      <c r="BX146" s="19"/>
      <c r="BY146" s="19"/>
      <c r="BZ146" s="19"/>
      <c r="CA146" s="19"/>
      <c r="CB146" s="19"/>
      <c r="CC146" s="19"/>
      <c r="CD146" s="19"/>
      <c r="CE146" s="19"/>
      <c r="CF146" s="19"/>
      <c r="CG146" s="19"/>
      <c r="CH146" s="19"/>
      <c r="CI146" s="19"/>
      <c r="CJ146" s="19"/>
      <c r="CK146" s="19"/>
      <c r="CL146" s="19"/>
      <c r="CM146" s="19" t="str">
        <f>$K146</f>
        <v>2026 Chevrolet BLAZER EV AWD</v>
      </c>
      <c r="CN146" s="19"/>
      <c r="CO146" s="19"/>
      <c r="CP146" s="19"/>
      <c r="CQ146" s="19"/>
      <c r="CR146" s="19"/>
      <c r="CS146" s="19"/>
      <c r="CT146" s="19"/>
      <c r="CU146" s="19"/>
      <c r="CV146" s="19"/>
      <c r="CW146" s="19"/>
      <c r="CX146" s="19"/>
      <c r="CY146" s="19"/>
      <c r="CZ146" s="19"/>
      <c r="DA146" s="19"/>
      <c r="DB146" s="19"/>
      <c r="DC146" s="19"/>
      <c r="DD146" s="19" t="str">
        <f>$K146</f>
        <v>2026 Chevrolet BLAZER EV AWD</v>
      </c>
      <c r="DE146" s="19"/>
      <c r="DF146" s="19"/>
      <c r="DG146" s="19"/>
      <c r="DH146" s="19"/>
      <c r="DI146" s="19"/>
      <c r="DJ146" s="19"/>
      <c r="DK146" s="19"/>
      <c r="DL146" s="19"/>
      <c r="DM146" s="19"/>
      <c r="DN146" s="19"/>
      <c r="DO146" s="19"/>
      <c r="DP146" s="19"/>
      <c r="DQ146" s="19"/>
      <c r="DR146" s="19"/>
      <c r="DS146" s="19"/>
      <c r="DT146" s="19"/>
      <c r="DU146" s="19" t="str">
        <f>$K146</f>
        <v>2026 Chevrolet BLAZER EV AWD</v>
      </c>
      <c r="DV146" s="19"/>
      <c r="DW146" s="19"/>
      <c r="DX146" s="19"/>
      <c r="DY146" s="19"/>
      <c r="DZ146" s="19"/>
      <c r="EA146" s="117"/>
      <c r="EB146" s="19"/>
      <c r="EC146" s="19"/>
      <c r="ED146" s="19"/>
      <c r="EE146" s="19"/>
      <c r="EF146" s="19"/>
      <c r="EG146"/>
      <c r="EH146"/>
      <c r="EI146"/>
      <c r="EJ146"/>
      <c r="EK146"/>
      <c r="EL146"/>
      <c r="EM146"/>
      <c r="EN146"/>
      <c r="EO146"/>
      <c r="EP146"/>
      <c r="EQ146"/>
      <c r="ER146"/>
      <c r="ES146"/>
      <c r="ET146"/>
      <c r="EU146"/>
      <c r="EV146"/>
      <c r="EW146"/>
      <c r="EX146" s="19" t="s">
        <v>1971</v>
      </c>
      <c r="EY146"/>
      <c r="EZ146"/>
      <c r="FA146"/>
      <c r="FB146"/>
      <c r="FC146"/>
      <c r="FD146"/>
      <c r="FE146"/>
      <c r="FF146"/>
      <c r="FG146"/>
      <c r="FH146"/>
      <c r="FI146"/>
    </row>
    <row r="147" spans="1:165" s="66" customFormat="1" x14ac:dyDescent="0.35">
      <c r="A147">
        <v>2026</v>
      </c>
      <c r="B147" t="s">
        <v>211</v>
      </c>
      <c r="C147" s="112" t="s">
        <v>212</v>
      </c>
      <c r="D147" t="s">
        <v>1456</v>
      </c>
      <c r="E147" t="s">
        <v>214</v>
      </c>
      <c r="F147">
        <v>419</v>
      </c>
      <c r="G147" s="113">
        <v>0</v>
      </c>
      <c r="H147"/>
      <c r="I147" t="s">
        <v>1391</v>
      </c>
      <c r="J147">
        <v>92</v>
      </c>
      <c r="K147">
        <v>77</v>
      </c>
      <c r="L147">
        <v>85</v>
      </c>
      <c r="M147">
        <v>132</v>
      </c>
      <c r="N147">
        <v>110.5</v>
      </c>
      <c r="O147">
        <v>121.373</v>
      </c>
      <c r="P147">
        <v>92.4</v>
      </c>
      <c r="Q147">
        <v>77.349999999999994</v>
      </c>
      <c r="R147">
        <v>84.961100000000002</v>
      </c>
      <c r="S147"/>
      <c r="T147"/>
      <c r="U147"/>
      <c r="V147" t="s">
        <v>170</v>
      </c>
      <c r="W147" t="s">
        <v>171</v>
      </c>
      <c r="X147" t="s">
        <v>1436</v>
      </c>
      <c r="Y147">
        <v>1</v>
      </c>
      <c r="Z147" t="s">
        <v>173</v>
      </c>
      <c r="AA147" t="s">
        <v>173</v>
      </c>
      <c r="AB147" t="s">
        <v>170</v>
      </c>
      <c r="AC147" t="s">
        <v>232</v>
      </c>
      <c r="AD147"/>
      <c r="AE147"/>
      <c r="AF147">
        <v>302</v>
      </c>
      <c r="AG147" t="s">
        <v>1392</v>
      </c>
      <c r="AH147" t="s">
        <v>1393</v>
      </c>
      <c r="AI147" t="s">
        <v>178</v>
      </c>
      <c r="AJ147" t="s">
        <v>179</v>
      </c>
      <c r="AK147">
        <v>4</v>
      </c>
      <c r="AL147" t="s">
        <v>1394</v>
      </c>
      <c r="AM147"/>
      <c r="AN147"/>
      <c r="AO147">
        <v>104</v>
      </c>
      <c r="AP147">
        <v>26</v>
      </c>
      <c r="AQ147"/>
      <c r="AR147"/>
      <c r="AS147">
        <v>1000</v>
      </c>
      <c r="AT147">
        <v>1000</v>
      </c>
      <c r="AU147"/>
      <c r="AV147"/>
      <c r="AW147"/>
      <c r="AX147"/>
      <c r="AY147"/>
      <c r="AZ147"/>
      <c r="BA147"/>
      <c r="BB147"/>
      <c r="BC147"/>
      <c r="BD147"/>
      <c r="BE147"/>
      <c r="BF147"/>
      <c r="BG147"/>
      <c r="BH147"/>
      <c r="BI147"/>
      <c r="BJ147"/>
      <c r="BK147"/>
      <c r="BL147"/>
      <c r="BM147"/>
      <c r="BN147" s="114"/>
      <c r="BO147"/>
      <c r="BP147"/>
      <c r="BQ147">
        <v>31</v>
      </c>
      <c r="BR147" t="s">
        <v>887</v>
      </c>
      <c r="BS147"/>
      <c r="BT147" t="s">
        <v>1395</v>
      </c>
      <c r="BU147" s="115">
        <v>45873</v>
      </c>
      <c r="BV147">
        <v>37214</v>
      </c>
      <c r="BW147" s="116"/>
      <c r="BX147" t="s">
        <v>173</v>
      </c>
      <c r="BY147" t="s">
        <v>173</v>
      </c>
      <c r="BZ147"/>
      <c r="CA147"/>
      <c r="CB147" t="s">
        <v>173</v>
      </c>
      <c r="CC147" t="s">
        <v>173</v>
      </c>
      <c r="CD147"/>
      <c r="CE147"/>
      <c r="CF147"/>
      <c r="CG147"/>
      <c r="CH147"/>
      <c r="CI147"/>
      <c r="CJ147"/>
      <c r="CK147" t="s">
        <v>259</v>
      </c>
      <c r="CL147"/>
      <c r="CM147">
        <v>2</v>
      </c>
      <c r="CN147" t="s">
        <v>260</v>
      </c>
      <c r="CO147"/>
      <c r="CP147">
        <v>336</v>
      </c>
      <c r="CQ147">
        <v>290</v>
      </c>
      <c r="CR147">
        <v>155</v>
      </c>
      <c r="CS147" t="s">
        <v>1437</v>
      </c>
      <c r="CT147"/>
      <c r="CU147"/>
      <c r="CV147" t="s">
        <v>262</v>
      </c>
      <c r="CW147"/>
      <c r="CX147" t="s">
        <v>263</v>
      </c>
      <c r="CY147" t="s">
        <v>172</v>
      </c>
      <c r="CZ147"/>
      <c r="DA147"/>
      <c r="DB147"/>
      <c r="DC147"/>
      <c r="DD147">
        <v>4</v>
      </c>
      <c r="DE147" t="s">
        <v>307</v>
      </c>
      <c r="DF147" t="s">
        <v>988</v>
      </c>
      <c r="DG147" t="s">
        <v>1757</v>
      </c>
      <c r="DH147"/>
      <c r="DI147"/>
      <c r="DJ147"/>
      <c r="DK147"/>
      <c r="DL147" t="s">
        <v>173</v>
      </c>
      <c r="DM147" t="s">
        <v>173</v>
      </c>
      <c r="DN147"/>
      <c r="DO147"/>
      <c r="DP147" t="s">
        <v>173</v>
      </c>
      <c r="DQ147" t="s">
        <v>189</v>
      </c>
      <c r="DR147" t="s">
        <v>1758</v>
      </c>
      <c r="DS147"/>
      <c r="DT147"/>
      <c r="DU147"/>
      <c r="DV147"/>
      <c r="DW147"/>
      <c r="DX147"/>
      <c r="DY147"/>
      <c r="DZ147"/>
      <c r="EA147" s="117"/>
      <c r="EB147">
        <v>9</v>
      </c>
      <c r="EC147">
        <v>10</v>
      </c>
      <c r="ED147"/>
      <c r="EE147" t="s">
        <v>1443</v>
      </c>
      <c r="EF147">
        <v>10</v>
      </c>
      <c r="EG147"/>
      <c r="EH147"/>
      <c r="EI147"/>
      <c r="EJ147"/>
      <c r="EK147"/>
      <c r="EL147"/>
      <c r="EM147"/>
      <c r="EN147"/>
      <c r="EO147"/>
      <c r="EP147"/>
      <c r="EQ147"/>
      <c r="ER147"/>
      <c r="ES147"/>
      <c r="ET147"/>
      <c r="EU147">
        <v>3500</v>
      </c>
      <c r="EV147"/>
      <c r="EW147">
        <v>0</v>
      </c>
      <c r="EX147">
        <v>0</v>
      </c>
      <c r="EY147">
        <v>0</v>
      </c>
      <c r="EZ147"/>
      <c r="FA147">
        <v>11.2</v>
      </c>
      <c r="FB147"/>
      <c r="FC147"/>
      <c r="FD147"/>
      <c r="FE147"/>
      <c r="FF147"/>
      <c r="FG147" s="94">
        <v>326</v>
      </c>
      <c r="FH147" s="94">
        <v>273</v>
      </c>
      <c r="FI147" s="94">
        <v>302</v>
      </c>
    </row>
    <row r="148" spans="1:165" s="66" customFormat="1" x14ac:dyDescent="0.35">
      <c r="A148">
        <v>2026</v>
      </c>
      <c r="B148" t="s">
        <v>211</v>
      </c>
      <c r="C148" s="112" t="s">
        <v>212</v>
      </c>
      <c r="D148" t="s">
        <v>1456</v>
      </c>
      <c r="E148" t="s">
        <v>214</v>
      </c>
      <c r="F148">
        <v>419</v>
      </c>
      <c r="G148" s="113">
        <v>0</v>
      </c>
      <c r="H148"/>
      <c r="I148" t="s">
        <v>1391</v>
      </c>
      <c r="J148">
        <v>36</v>
      </c>
      <c r="K148">
        <v>44</v>
      </c>
      <c r="L148">
        <v>40</v>
      </c>
      <c r="M148">
        <v>25.536899999999999</v>
      </c>
      <c r="N148">
        <v>30.496400000000001</v>
      </c>
      <c r="O148">
        <v>27.768699999999999</v>
      </c>
      <c r="P148">
        <v>36.4773</v>
      </c>
      <c r="Q148">
        <v>43.5747</v>
      </c>
      <c r="R148">
        <v>39.671100000000003</v>
      </c>
      <c r="S148"/>
      <c r="T148"/>
      <c r="U148"/>
      <c r="V148" t="s">
        <v>170</v>
      </c>
      <c r="W148" t="s">
        <v>171</v>
      </c>
      <c r="X148" t="s">
        <v>1436</v>
      </c>
      <c r="Y148">
        <v>1</v>
      </c>
      <c r="Z148" t="s">
        <v>173</v>
      </c>
      <c r="AA148" t="s">
        <v>173</v>
      </c>
      <c r="AB148" t="s">
        <v>170</v>
      </c>
      <c r="AC148" t="s">
        <v>232</v>
      </c>
      <c r="AD148"/>
      <c r="AE148"/>
      <c r="AF148">
        <v>302</v>
      </c>
      <c r="AG148" t="s">
        <v>1392</v>
      </c>
      <c r="AH148" t="s">
        <v>1393</v>
      </c>
      <c r="AI148" t="s">
        <v>1399</v>
      </c>
      <c r="AJ148" t="s">
        <v>1400</v>
      </c>
      <c r="AK148">
        <v>4</v>
      </c>
      <c r="AL148" t="s">
        <v>1394</v>
      </c>
      <c r="AM148"/>
      <c r="AN148"/>
      <c r="AO148">
        <v>104</v>
      </c>
      <c r="AP148">
        <v>26</v>
      </c>
      <c r="AQ148"/>
      <c r="AR148"/>
      <c r="AS148">
        <v>1000</v>
      </c>
      <c r="AT148">
        <v>1000</v>
      </c>
      <c r="AU148"/>
      <c r="AV148"/>
      <c r="AW148"/>
      <c r="AX148"/>
      <c r="AY148"/>
      <c r="AZ148"/>
      <c r="BA148"/>
      <c r="BB148"/>
      <c r="BC148"/>
      <c r="BD148"/>
      <c r="BE148"/>
      <c r="BF148"/>
      <c r="BG148"/>
      <c r="BH148"/>
      <c r="BI148"/>
      <c r="BJ148"/>
      <c r="BK148"/>
      <c r="BL148"/>
      <c r="BM148"/>
      <c r="BN148" s="114"/>
      <c r="BO148"/>
      <c r="BP148"/>
      <c r="BQ148">
        <v>31</v>
      </c>
      <c r="BR148" t="s">
        <v>887</v>
      </c>
      <c r="BS148"/>
      <c r="BT148" t="s">
        <v>1395</v>
      </c>
      <c r="BU148" s="115">
        <v>45873</v>
      </c>
      <c r="BV148">
        <v>37214</v>
      </c>
      <c r="BW148" s="116"/>
      <c r="BX148" t="s">
        <v>173</v>
      </c>
      <c r="BY148" t="s">
        <v>173</v>
      </c>
      <c r="BZ148"/>
      <c r="CA148"/>
      <c r="CB148" t="s">
        <v>173</v>
      </c>
      <c r="CC148" t="s">
        <v>173</v>
      </c>
      <c r="CD148"/>
      <c r="CE148"/>
      <c r="CF148"/>
      <c r="CG148"/>
      <c r="CH148"/>
      <c r="CI148"/>
      <c r="CJ148"/>
      <c r="CK148" t="s">
        <v>259</v>
      </c>
      <c r="CL148"/>
      <c r="CM148">
        <v>2</v>
      </c>
      <c r="CN148" t="s">
        <v>260</v>
      </c>
      <c r="CO148"/>
      <c r="CP148">
        <v>336</v>
      </c>
      <c r="CQ148">
        <v>290</v>
      </c>
      <c r="CR148">
        <v>155</v>
      </c>
      <c r="CS148" t="s">
        <v>1437</v>
      </c>
      <c r="CT148"/>
      <c r="CU148"/>
      <c r="CV148" t="s">
        <v>262</v>
      </c>
      <c r="CW148"/>
      <c r="CX148" t="s">
        <v>263</v>
      </c>
      <c r="CY148" t="s">
        <v>172</v>
      </c>
      <c r="CZ148"/>
      <c r="DA148"/>
      <c r="DB148"/>
      <c r="DC148"/>
      <c r="DD148">
        <v>4</v>
      </c>
      <c r="DE148" t="s">
        <v>307</v>
      </c>
      <c r="DF148" t="s">
        <v>988</v>
      </c>
      <c r="DG148" t="s">
        <v>1757</v>
      </c>
      <c r="DH148"/>
      <c r="DI148"/>
      <c r="DJ148"/>
      <c r="DK148"/>
      <c r="DL148" t="s">
        <v>173</v>
      </c>
      <c r="DM148" t="s">
        <v>173</v>
      </c>
      <c r="DN148"/>
      <c r="DO148"/>
      <c r="DP148" t="s">
        <v>173</v>
      </c>
      <c r="DQ148" t="s">
        <v>189</v>
      </c>
      <c r="DR148" t="s">
        <v>1758</v>
      </c>
      <c r="DS148"/>
      <c r="DT148"/>
      <c r="DU148"/>
      <c r="DV148"/>
      <c r="DW148"/>
      <c r="DX148"/>
      <c r="DY148"/>
      <c r="DZ148"/>
      <c r="EA148" s="117"/>
      <c r="EB148">
        <v>9</v>
      </c>
      <c r="EC148">
        <v>10</v>
      </c>
      <c r="ED148"/>
      <c r="EE148" t="s">
        <v>1443</v>
      </c>
      <c r="EF148">
        <v>10</v>
      </c>
      <c r="EG148"/>
      <c r="EH148"/>
      <c r="EI148"/>
      <c r="EJ148"/>
      <c r="EK148"/>
      <c r="EL148"/>
      <c r="EM148"/>
      <c r="EN148"/>
      <c r="EO148"/>
      <c r="EP148"/>
      <c r="EQ148"/>
      <c r="ER148"/>
      <c r="ES148"/>
      <c r="ET148"/>
      <c r="EU148">
        <v>3500</v>
      </c>
      <c r="EV148"/>
      <c r="EW148">
        <v>0</v>
      </c>
      <c r="EX148">
        <v>0</v>
      </c>
      <c r="EY148">
        <v>0</v>
      </c>
      <c r="EZ148"/>
      <c r="FA148">
        <v>11.2</v>
      </c>
      <c r="FB148"/>
      <c r="FC148"/>
      <c r="FD148"/>
      <c r="FE148"/>
      <c r="FF148"/>
      <c r="FG148" s="94">
        <v>326</v>
      </c>
      <c r="FH148" s="94">
        <v>273</v>
      </c>
      <c r="FI148" s="94">
        <v>302</v>
      </c>
    </row>
    <row r="149" spans="1:165" s="66" customFormat="1" x14ac:dyDescent="0.35">
      <c r="A149" s="19"/>
      <c r="B149" s="19"/>
      <c r="C149" s="19"/>
      <c r="D149" s="19"/>
      <c r="E149" s="19"/>
      <c r="F149" s="128"/>
      <c r="G149" s="19"/>
      <c r="H149" s="19"/>
      <c r="I149" s="19"/>
      <c r="J149" s="19"/>
      <c r="K149" s="19" t="str">
        <f>_xlfn.CONCAT(A150," ",C150," ",D150)</f>
        <v>2026 Chevrolet BLAZER EV AWD</v>
      </c>
      <c r="L149" s="19"/>
      <c r="M149" s="19"/>
      <c r="N149" s="19"/>
      <c r="O149" s="19"/>
      <c r="P149" s="19"/>
      <c r="Q149" s="19"/>
      <c r="R149" s="19"/>
      <c r="S149" s="19"/>
      <c r="T149" s="19"/>
      <c r="U149" s="19"/>
      <c r="V149" s="19"/>
      <c r="W149" s="19"/>
      <c r="X149" s="19"/>
      <c r="Y149" s="19"/>
      <c r="Z149" s="19"/>
      <c r="AA149" s="19"/>
      <c r="AB149" s="19" t="str">
        <f>$K149</f>
        <v>2026 Chevrolet BLAZER EV AWD</v>
      </c>
      <c r="AC149" s="19"/>
      <c r="AD149" s="19"/>
      <c r="AE149" s="19"/>
      <c r="AF149" s="19"/>
      <c r="AG149" s="19"/>
      <c r="AH149" s="19"/>
      <c r="AI149" s="19"/>
      <c r="AJ149" s="19"/>
      <c r="AK149" s="19"/>
      <c r="AL149" s="19"/>
      <c r="AM149" s="19"/>
      <c r="AN149" s="19"/>
      <c r="AO149" s="19"/>
      <c r="AP149" s="19"/>
      <c r="AQ149" s="19"/>
      <c r="AR149" s="19" t="str">
        <f>$K149</f>
        <v>2026 Chevrolet BLAZER EV AWD</v>
      </c>
      <c r="AS149" s="19"/>
      <c r="AT149" s="19"/>
      <c r="AU149" s="19"/>
      <c r="AV149" s="19"/>
      <c r="AW149" s="19"/>
      <c r="AX149" s="19"/>
      <c r="AY149" s="19"/>
      <c r="AZ149" s="19"/>
      <c r="BA149" s="19"/>
      <c r="BB149" s="19"/>
      <c r="BC149" s="19"/>
      <c r="BD149" s="19"/>
      <c r="BE149" s="19"/>
      <c r="BF149" s="19"/>
      <c r="BG149" s="19" t="str">
        <f>$K149</f>
        <v>2026 Chevrolet BLAZER EV AWD</v>
      </c>
      <c r="BH149" s="19"/>
      <c r="BI149" s="19"/>
      <c r="BJ149" s="19"/>
      <c r="BK149" s="19"/>
      <c r="BL149" s="19"/>
      <c r="BM149" s="129"/>
      <c r="BN149" s="19"/>
      <c r="BO149" s="19"/>
      <c r="BP149" s="19"/>
      <c r="BQ149" s="19"/>
      <c r="BR149" s="19"/>
      <c r="BS149" s="19"/>
      <c r="BT149" s="130"/>
      <c r="BU149" s="19"/>
      <c r="BV149" s="19"/>
      <c r="BW149" s="116"/>
      <c r="BX149" s="19"/>
      <c r="BY149" s="19"/>
      <c r="BZ149" s="19"/>
      <c r="CA149" s="19"/>
      <c r="CB149" s="19"/>
      <c r="CC149" s="19"/>
      <c r="CD149" s="19"/>
      <c r="CE149" s="19"/>
      <c r="CF149" s="19"/>
      <c r="CG149" s="19"/>
      <c r="CH149" s="19"/>
      <c r="CI149" s="19"/>
      <c r="CJ149" s="19"/>
      <c r="CK149" s="19"/>
      <c r="CL149" s="19"/>
      <c r="CM149" s="19" t="str">
        <f>$K149</f>
        <v>2026 Chevrolet BLAZER EV AWD</v>
      </c>
      <c r="CN149" s="19"/>
      <c r="CO149" s="19"/>
      <c r="CP149" s="19"/>
      <c r="CQ149" s="19"/>
      <c r="CR149" s="19"/>
      <c r="CS149" s="19"/>
      <c r="CT149" s="19"/>
      <c r="CU149" s="19"/>
      <c r="CV149" s="19"/>
      <c r="CW149" s="19"/>
      <c r="CX149" s="19"/>
      <c r="CY149" s="19"/>
      <c r="CZ149" s="19"/>
      <c r="DA149" s="19"/>
      <c r="DB149" s="19"/>
      <c r="DC149" s="19"/>
      <c r="DD149" s="19" t="str">
        <f>$K149</f>
        <v>2026 Chevrolet BLAZER EV AWD</v>
      </c>
      <c r="DE149" s="19"/>
      <c r="DF149" s="19"/>
      <c r="DG149" s="19"/>
      <c r="DH149" s="19"/>
      <c r="DI149" s="19"/>
      <c r="DJ149" s="19"/>
      <c r="DK149" s="19"/>
      <c r="DL149" s="19"/>
      <c r="DM149" s="19"/>
      <c r="DN149" s="19"/>
      <c r="DO149" s="19"/>
      <c r="DP149" s="19"/>
      <c r="DQ149" s="19"/>
      <c r="DR149" s="19"/>
      <c r="DS149" s="19"/>
      <c r="DT149" s="19"/>
      <c r="DU149" s="19" t="str">
        <f>$K149</f>
        <v>2026 Chevrolet BLAZER EV AWD</v>
      </c>
      <c r="DV149" s="19"/>
      <c r="DW149" s="19"/>
      <c r="DX149" s="19"/>
      <c r="DY149" s="19"/>
      <c r="DZ149" s="19"/>
      <c r="EA149" s="117"/>
      <c r="EB149" s="19"/>
      <c r="EC149" s="19"/>
      <c r="ED149" s="19"/>
      <c r="EE149" s="19"/>
      <c r="EF149" s="19"/>
      <c r="EG149"/>
      <c r="EH149"/>
      <c r="EI149"/>
      <c r="EJ149"/>
      <c r="EK149"/>
      <c r="EL149"/>
      <c r="EM149"/>
      <c r="EN149"/>
      <c r="EO149"/>
      <c r="EP149"/>
      <c r="EQ149"/>
      <c r="ER149"/>
      <c r="ES149"/>
      <c r="ET149"/>
      <c r="EU149"/>
      <c r="EV149"/>
      <c r="EW149"/>
      <c r="EX149" s="19" t="s">
        <v>1971</v>
      </c>
      <c r="EY149"/>
      <c r="EZ149"/>
      <c r="FA149"/>
      <c r="FB149"/>
      <c r="FC149"/>
      <c r="FD149"/>
      <c r="FE149"/>
      <c r="FF149"/>
      <c r="FG149"/>
      <c r="FH149"/>
      <c r="FI149"/>
    </row>
    <row r="150" spans="1:165" s="66" customFormat="1" x14ac:dyDescent="0.35">
      <c r="A150">
        <v>2026</v>
      </c>
      <c r="B150" t="s">
        <v>211</v>
      </c>
      <c r="C150" s="112" t="s">
        <v>212</v>
      </c>
      <c r="D150" t="s">
        <v>1456</v>
      </c>
      <c r="E150" t="s">
        <v>214</v>
      </c>
      <c r="F150">
        <v>427</v>
      </c>
      <c r="G150" s="113">
        <v>0</v>
      </c>
      <c r="H150"/>
      <c r="I150" t="s">
        <v>1391</v>
      </c>
      <c r="J150">
        <v>102</v>
      </c>
      <c r="K150">
        <v>86</v>
      </c>
      <c r="L150">
        <v>94</v>
      </c>
      <c r="M150">
        <v>145.49950000000001</v>
      </c>
      <c r="N150">
        <v>123.56740000000001</v>
      </c>
      <c r="O150">
        <v>134.7379</v>
      </c>
      <c r="P150">
        <v>101.8496</v>
      </c>
      <c r="Q150">
        <v>86.497200000000007</v>
      </c>
      <c r="R150">
        <v>94.316500000000005</v>
      </c>
      <c r="S150"/>
      <c r="T150"/>
      <c r="U150"/>
      <c r="V150" t="s">
        <v>170</v>
      </c>
      <c r="W150" t="s">
        <v>171</v>
      </c>
      <c r="X150" t="s">
        <v>1436</v>
      </c>
      <c r="Y150">
        <v>1</v>
      </c>
      <c r="Z150" t="s">
        <v>173</v>
      </c>
      <c r="AA150" t="s">
        <v>173</v>
      </c>
      <c r="AB150" t="s">
        <v>170</v>
      </c>
      <c r="AC150" t="s">
        <v>232</v>
      </c>
      <c r="AD150"/>
      <c r="AE150"/>
      <c r="AF150">
        <v>283</v>
      </c>
      <c r="AG150" t="s">
        <v>1392</v>
      </c>
      <c r="AH150" t="s">
        <v>1393</v>
      </c>
      <c r="AI150" t="s">
        <v>178</v>
      </c>
      <c r="AJ150" t="s">
        <v>179</v>
      </c>
      <c r="AK150">
        <v>4</v>
      </c>
      <c r="AL150" t="s">
        <v>1394</v>
      </c>
      <c r="AM150"/>
      <c r="AN150"/>
      <c r="AO150">
        <v>104</v>
      </c>
      <c r="AP150">
        <v>26</v>
      </c>
      <c r="AQ150"/>
      <c r="AR150"/>
      <c r="AS150">
        <v>900</v>
      </c>
      <c r="AT150">
        <v>900</v>
      </c>
      <c r="AU150"/>
      <c r="AV150"/>
      <c r="AW150"/>
      <c r="AX150"/>
      <c r="AY150"/>
      <c r="AZ150"/>
      <c r="BA150"/>
      <c r="BB150"/>
      <c r="BC150"/>
      <c r="BD150"/>
      <c r="BE150"/>
      <c r="BF150"/>
      <c r="BG150"/>
      <c r="BH150"/>
      <c r="BI150"/>
      <c r="BJ150"/>
      <c r="BK150"/>
      <c r="BL150"/>
      <c r="BM150"/>
      <c r="BN150" s="114"/>
      <c r="BO150"/>
      <c r="BP150"/>
      <c r="BQ150">
        <v>31</v>
      </c>
      <c r="BR150" t="s">
        <v>887</v>
      </c>
      <c r="BS150"/>
      <c r="BT150" t="s">
        <v>1395</v>
      </c>
      <c r="BU150" s="115">
        <v>45873</v>
      </c>
      <c r="BV150">
        <v>37063</v>
      </c>
      <c r="BW150" s="116"/>
      <c r="BX150" t="s">
        <v>173</v>
      </c>
      <c r="BY150" t="s">
        <v>173</v>
      </c>
      <c r="BZ150"/>
      <c r="CA150"/>
      <c r="CB150" t="s">
        <v>173</v>
      </c>
      <c r="CC150" t="s">
        <v>173</v>
      </c>
      <c r="CD150"/>
      <c r="CE150"/>
      <c r="CF150"/>
      <c r="CG150"/>
      <c r="CH150"/>
      <c r="CI150"/>
      <c r="CJ150"/>
      <c r="CK150" t="s">
        <v>259</v>
      </c>
      <c r="CL150"/>
      <c r="CM150">
        <v>1</v>
      </c>
      <c r="CN150" t="s">
        <v>260</v>
      </c>
      <c r="CO150"/>
      <c r="CP150">
        <v>336</v>
      </c>
      <c r="CQ150">
        <v>290</v>
      </c>
      <c r="CR150">
        <v>156</v>
      </c>
      <c r="CS150" t="s">
        <v>1437</v>
      </c>
      <c r="CT150"/>
      <c r="CU150"/>
      <c r="CV150" t="s">
        <v>262</v>
      </c>
      <c r="CW150"/>
      <c r="CX150" t="s">
        <v>263</v>
      </c>
      <c r="CY150" t="s">
        <v>172</v>
      </c>
      <c r="CZ150"/>
      <c r="DA150"/>
      <c r="DB150"/>
      <c r="DC150"/>
      <c r="DD150">
        <v>2</v>
      </c>
      <c r="DE150" t="s">
        <v>760</v>
      </c>
      <c r="DF150"/>
      <c r="DG150" t="s">
        <v>1457</v>
      </c>
      <c r="DH150"/>
      <c r="DI150"/>
      <c r="DJ150"/>
      <c r="DK150"/>
      <c r="DL150" t="s">
        <v>173</v>
      </c>
      <c r="DM150" t="s">
        <v>172</v>
      </c>
      <c r="DN150"/>
      <c r="DO150"/>
      <c r="DP150" t="s">
        <v>173</v>
      </c>
      <c r="DQ150" t="s">
        <v>189</v>
      </c>
      <c r="DR150" t="s">
        <v>1458</v>
      </c>
      <c r="DS150"/>
      <c r="DT150"/>
      <c r="DU150"/>
      <c r="DV150"/>
      <c r="DW150"/>
      <c r="DX150"/>
      <c r="DY150"/>
      <c r="DZ150"/>
      <c r="EA150" s="117"/>
      <c r="EB150">
        <v>9</v>
      </c>
      <c r="EC150">
        <v>10</v>
      </c>
      <c r="ED150"/>
      <c r="EE150" t="s">
        <v>1459</v>
      </c>
      <c r="EF150">
        <v>10</v>
      </c>
      <c r="EG150"/>
      <c r="EH150"/>
      <c r="EI150"/>
      <c r="EJ150"/>
      <c r="EK150"/>
      <c r="EL150"/>
      <c r="EM150"/>
      <c r="EN150"/>
      <c r="EO150"/>
      <c r="EP150"/>
      <c r="EQ150"/>
      <c r="ER150"/>
      <c r="ES150"/>
      <c r="ET150"/>
      <c r="EU150">
        <v>4000</v>
      </c>
      <c r="EV150"/>
      <c r="EW150">
        <v>0</v>
      </c>
      <c r="EX150">
        <v>0</v>
      </c>
      <c r="EY150">
        <v>0</v>
      </c>
      <c r="EZ150"/>
      <c r="FA150">
        <v>9.5</v>
      </c>
      <c r="FB150"/>
      <c r="FC150"/>
      <c r="FD150"/>
      <c r="FE150"/>
      <c r="FF150"/>
      <c r="FG150" s="94">
        <v>304</v>
      </c>
      <c r="FH150" s="94">
        <v>258</v>
      </c>
      <c r="FI150" s="94">
        <v>283</v>
      </c>
    </row>
    <row r="151" spans="1:165" s="66" customFormat="1" x14ac:dyDescent="0.35">
      <c r="A151">
        <v>2026</v>
      </c>
      <c r="B151" t="s">
        <v>211</v>
      </c>
      <c r="C151" s="112" t="s">
        <v>212</v>
      </c>
      <c r="D151" t="s">
        <v>1456</v>
      </c>
      <c r="E151" t="s">
        <v>214</v>
      </c>
      <c r="F151">
        <v>427</v>
      </c>
      <c r="G151" s="113">
        <v>0</v>
      </c>
      <c r="H151"/>
      <c r="I151" t="s">
        <v>1391</v>
      </c>
      <c r="J151">
        <v>33</v>
      </c>
      <c r="K151">
        <v>39</v>
      </c>
      <c r="L151">
        <v>36</v>
      </c>
      <c r="M151">
        <v>23.162800000000001</v>
      </c>
      <c r="N151">
        <v>27.279800000000002</v>
      </c>
      <c r="O151">
        <v>25.0154</v>
      </c>
      <c r="P151">
        <v>33.0929</v>
      </c>
      <c r="Q151">
        <v>38.9666</v>
      </c>
      <c r="R151">
        <v>35.7361</v>
      </c>
      <c r="S151"/>
      <c r="T151"/>
      <c r="U151"/>
      <c r="V151" t="s">
        <v>170</v>
      </c>
      <c r="W151" t="s">
        <v>171</v>
      </c>
      <c r="X151" t="s">
        <v>1436</v>
      </c>
      <c r="Y151">
        <v>1</v>
      </c>
      <c r="Z151" t="s">
        <v>173</v>
      </c>
      <c r="AA151" t="s">
        <v>173</v>
      </c>
      <c r="AB151" t="s">
        <v>170</v>
      </c>
      <c r="AC151" t="s">
        <v>232</v>
      </c>
      <c r="AD151"/>
      <c r="AE151"/>
      <c r="AF151">
        <v>283</v>
      </c>
      <c r="AG151" t="s">
        <v>1392</v>
      </c>
      <c r="AH151" t="s">
        <v>1393</v>
      </c>
      <c r="AI151" t="s">
        <v>1399</v>
      </c>
      <c r="AJ151" t="s">
        <v>1400</v>
      </c>
      <c r="AK151">
        <v>4</v>
      </c>
      <c r="AL151" t="s">
        <v>1394</v>
      </c>
      <c r="AM151"/>
      <c r="AN151"/>
      <c r="AO151">
        <v>104</v>
      </c>
      <c r="AP151">
        <v>26</v>
      </c>
      <c r="AQ151"/>
      <c r="AR151"/>
      <c r="AS151">
        <v>900</v>
      </c>
      <c r="AT151">
        <v>900</v>
      </c>
      <c r="AU151"/>
      <c r="AV151"/>
      <c r="AW151"/>
      <c r="AX151"/>
      <c r="AY151"/>
      <c r="AZ151"/>
      <c r="BA151"/>
      <c r="BB151"/>
      <c r="BC151"/>
      <c r="BD151"/>
      <c r="BE151"/>
      <c r="BF151"/>
      <c r="BG151"/>
      <c r="BH151"/>
      <c r="BI151"/>
      <c r="BJ151"/>
      <c r="BK151"/>
      <c r="BL151"/>
      <c r="BM151"/>
      <c r="BN151" s="114"/>
      <c r="BO151"/>
      <c r="BP151"/>
      <c r="BQ151">
        <v>31</v>
      </c>
      <c r="BR151" t="s">
        <v>887</v>
      </c>
      <c r="BS151"/>
      <c r="BT151" t="s">
        <v>1395</v>
      </c>
      <c r="BU151" s="115">
        <v>45873</v>
      </c>
      <c r="BV151">
        <v>37063</v>
      </c>
      <c r="BW151" s="116"/>
      <c r="BX151" t="s">
        <v>173</v>
      </c>
      <c r="BY151" t="s">
        <v>173</v>
      </c>
      <c r="BZ151"/>
      <c r="CA151"/>
      <c r="CB151" t="s">
        <v>173</v>
      </c>
      <c r="CC151" t="s">
        <v>173</v>
      </c>
      <c r="CD151"/>
      <c r="CE151"/>
      <c r="CF151"/>
      <c r="CG151"/>
      <c r="CH151"/>
      <c r="CI151"/>
      <c r="CJ151"/>
      <c r="CK151" t="s">
        <v>259</v>
      </c>
      <c r="CL151"/>
      <c r="CM151">
        <v>1</v>
      </c>
      <c r="CN151" t="s">
        <v>260</v>
      </c>
      <c r="CO151"/>
      <c r="CP151">
        <v>336</v>
      </c>
      <c r="CQ151">
        <v>290</v>
      </c>
      <c r="CR151">
        <v>156</v>
      </c>
      <c r="CS151" t="s">
        <v>1437</v>
      </c>
      <c r="CT151"/>
      <c r="CU151"/>
      <c r="CV151" t="s">
        <v>262</v>
      </c>
      <c r="CW151"/>
      <c r="CX151" t="s">
        <v>263</v>
      </c>
      <c r="CY151" t="s">
        <v>172</v>
      </c>
      <c r="CZ151"/>
      <c r="DA151"/>
      <c r="DB151"/>
      <c r="DC151"/>
      <c r="DD151">
        <v>2</v>
      </c>
      <c r="DE151" t="s">
        <v>760</v>
      </c>
      <c r="DF151"/>
      <c r="DG151" t="s">
        <v>1457</v>
      </c>
      <c r="DH151"/>
      <c r="DI151"/>
      <c r="DJ151"/>
      <c r="DK151"/>
      <c r="DL151" t="s">
        <v>173</v>
      </c>
      <c r="DM151" t="s">
        <v>172</v>
      </c>
      <c r="DN151"/>
      <c r="DO151"/>
      <c r="DP151" t="s">
        <v>173</v>
      </c>
      <c r="DQ151" t="s">
        <v>189</v>
      </c>
      <c r="DR151" t="s">
        <v>1458</v>
      </c>
      <c r="DS151"/>
      <c r="DT151"/>
      <c r="DU151"/>
      <c r="DV151"/>
      <c r="DW151"/>
      <c r="DX151"/>
      <c r="DY151"/>
      <c r="DZ151"/>
      <c r="EA151" s="117"/>
      <c r="EB151">
        <v>9</v>
      </c>
      <c r="EC151">
        <v>10</v>
      </c>
      <c r="ED151"/>
      <c r="EE151" t="s">
        <v>1459</v>
      </c>
      <c r="EF151">
        <v>10</v>
      </c>
      <c r="EG151"/>
      <c r="EH151"/>
      <c r="EI151"/>
      <c r="EJ151"/>
      <c r="EK151"/>
      <c r="EL151"/>
      <c r="EM151"/>
      <c r="EN151"/>
      <c r="EO151"/>
      <c r="EP151"/>
      <c r="EQ151"/>
      <c r="ER151"/>
      <c r="ES151"/>
      <c r="ET151"/>
      <c r="EU151">
        <v>4000</v>
      </c>
      <c r="EV151"/>
      <c r="EW151">
        <v>0</v>
      </c>
      <c r="EX151">
        <v>0</v>
      </c>
      <c r="EY151">
        <v>0</v>
      </c>
      <c r="EZ151"/>
      <c r="FA151">
        <v>9.5</v>
      </c>
      <c r="FB151"/>
      <c r="FC151"/>
      <c r="FD151"/>
      <c r="FE151"/>
      <c r="FF151"/>
      <c r="FG151" s="94">
        <v>304</v>
      </c>
      <c r="FH151" s="94">
        <v>258</v>
      </c>
      <c r="FI151" s="94">
        <v>283</v>
      </c>
    </row>
    <row r="152" spans="1:165" s="66" customFormat="1" x14ac:dyDescent="0.35">
      <c r="A152" s="19"/>
      <c r="B152" s="19"/>
      <c r="C152" s="19"/>
      <c r="D152" s="19"/>
      <c r="E152" s="19"/>
      <c r="F152" s="128"/>
      <c r="G152" s="19"/>
      <c r="H152" s="19"/>
      <c r="I152" s="19"/>
      <c r="J152" s="19"/>
      <c r="K152" s="19" t="str">
        <f>_xlfn.CONCAT(A153," ",C153," ",D153)</f>
        <v>2026 Chevrolet EQUINOX EV AWD</v>
      </c>
      <c r="L152" s="19"/>
      <c r="M152" s="19"/>
      <c r="N152" s="19"/>
      <c r="O152" s="19"/>
      <c r="P152" s="19"/>
      <c r="Q152" s="19"/>
      <c r="R152" s="19"/>
      <c r="S152" s="19"/>
      <c r="T152" s="19"/>
      <c r="U152" s="19"/>
      <c r="V152" s="19"/>
      <c r="W152" s="19"/>
      <c r="X152" s="19"/>
      <c r="Y152" s="19"/>
      <c r="Z152" s="19"/>
      <c r="AA152" s="19"/>
      <c r="AB152" s="19" t="str">
        <f>$K152</f>
        <v>2026 Chevrolet EQUINOX EV AWD</v>
      </c>
      <c r="AC152" s="19"/>
      <c r="AD152" s="19"/>
      <c r="AE152" s="19"/>
      <c r="AF152" s="19"/>
      <c r="AG152" s="19"/>
      <c r="AH152" s="19"/>
      <c r="AI152" s="19"/>
      <c r="AJ152" s="19"/>
      <c r="AK152" s="19"/>
      <c r="AL152" s="19"/>
      <c r="AM152" s="19"/>
      <c r="AN152" s="19"/>
      <c r="AO152" s="19"/>
      <c r="AP152" s="19"/>
      <c r="AQ152" s="19"/>
      <c r="AR152" s="19" t="str">
        <f>$K152</f>
        <v>2026 Chevrolet EQUINOX EV AWD</v>
      </c>
      <c r="AS152" s="19"/>
      <c r="AT152" s="19"/>
      <c r="AU152" s="19"/>
      <c r="AV152" s="19"/>
      <c r="AW152" s="19"/>
      <c r="AX152" s="19"/>
      <c r="AY152" s="19"/>
      <c r="AZ152" s="19"/>
      <c r="BA152" s="19"/>
      <c r="BB152" s="19"/>
      <c r="BC152" s="19"/>
      <c r="BD152" s="19"/>
      <c r="BE152" s="19"/>
      <c r="BF152" s="19"/>
      <c r="BG152" s="19" t="str">
        <f>$K152</f>
        <v>2026 Chevrolet EQUINOX EV AWD</v>
      </c>
      <c r="BH152" s="19"/>
      <c r="BI152" s="19"/>
      <c r="BJ152" s="19"/>
      <c r="BK152" s="19"/>
      <c r="BL152" s="19"/>
      <c r="BM152" s="129"/>
      <c r="BN152" s="19"/>
      <c r="BO152" s="19"/>
      <c r="BP152" s="19"/>
      <c r="BQ152" s="19"/>
      <c r="BR152" s="19"/>
      <c r="BS152" s="19"/>
      <c r="BT152" s="130"/>
      <c r="BU152" s="19"/>
      <c r="BV152" s="19"/>
      <c r="BW152" s="116"/>
      <c r="BX152" s="19"/>
      <c r="BY152" s="19"/>
      <c r="BZ152" s="19"/>
      <c r="CA152" s="19"/>
      <c r="CB152" s="19"/>
      <c r="CC152" s="19"/>
      <c r="CD152" s="19"/>
      <c r="CE152" s="19"/>
      <c r="CF152" s="19"/>
      <c r="CG152" s="19"/>
      <c r="CH152" s="19"/>
      <c r="CI152" s="19"/>
      <c r="CJ152" s="19"/>
      <c r="CK152" s="19"/>
      <c r="CL152" s="19"/>
      <c r="CM152" s="19" t="str">
        <f>$K152</f>
        <v>2026 Chevrolet EQUINOX EV AWD</v>
      </c>
      <c r="CN152" s="19"/>
      <c r="CO152" s="19"/>
      <c r="CP152" s="19"/>
      <c r="CQ152" s="19"/>
      <c r="CR152" s="19"/>
      <c r="CS152" s="19"/>
      <c r="CT152" s="19"/>
      <c r="CU152" s="19"/>
      <c r="CV152" s="19"/>
      <c r="CW152" s="19"/>
      <c r="CX152" s="19"/>
      <c r="CY152" s="19"/>
      <c r="CZ152" s="19"/>
      <c r="DA152" s="19"/>
      <c r="DB152" s="19"/>
      <c r="DC152" s="19"/>
      <c r="DD152" s="19" t="str">
        <f>$K152</f>
        <v>2026 Chevrolet EQUINOX EV AWD</v>
      </c>
      <c r="DE152" s="19"/>
      <c r="DF152" s="19"/>
      <c r="DG152" s="19"/>
      <c r="DH152" s="19"/>
      <c r="DI152" s="19"/>
      <c r="DJ152" s="19"/>
      <c r="DK152" s="19"/>
      <c r="DL152" s="19"/>
      <c r="DM152" s="19"/>
      <c r="DN152" s="19"/>
      <c r="DO152" s="19"/>
      <c r="DP152" s="19"/>
      <c r="DQ152" s="19"/>
      <c r="DR152" s="19"/>
      <c r="DS152" s="19"/>
      <c r="DT152" s="19"/>
      <c r="DU152" s="19" t="str">
        <f>$K152</f>
        <v>2026 Chevrolet EQUINOX EV AWD</v>
      </c>
      <c r="DV152" s="19"/>
      <c r="DW152" s="19"/>
      <c r="DX152" s="19"/>
      <c r="DY152" s="19"/>
      <c r="DZ152" s="19"/>
      <c r="EA152" s="117"/>
      <c r="EB152" s="19"/>
      <c r="EC152" s="19"/>
      <c r="ED152" s="19"/>
      <c r="EE152" s="19"/>
      <c r="EF152" s="19"/>
      <c r="EG152"/>
      <c r="EH152"/>
      <c r="EI152"/>
      <c r="EJ152"/>
      <c r="EK152"/>
      <c r="EL152"/>
      <c r="EM152"/>
      <c r="EN152"/>
      <c r="EO152"/>
      <c r="EP152"/>
      <c r="EQ152"/>
      <c r="ER152"/>
      <c r="ES152"/>
      <c r="ET152"/>
      <c r="EU152"/>
      <c r="EV152"/>
      <c r="EW152"/>
      <c r="EX152" s="19" t="s">
        <v>1972</v>
      </c>
      <c r="EY152"/>
      <c r="EZ152"/>
      <c r="FA152"/>
      <c r="FB152"/>
      <c r="FC152"/>
      <c r="FD152"/>
      <c r="FE152"/>
      <c r="FF152"/>
      <c r="FG152"/>
      <c r="FH152"/>
      <c r="FI152"/>
    </row>
    <row r="153" spans="1:165" s="66" customFormat="1" x14ac:dyDescent="0.35">
      <c r="A153">
        <v>2026</v>
      </c>
      <c r="B153" t="s">
        <v>211</v>
      </c>
      <c r="C153" s="112" t="s">
        <v>212</v>
      </c>
      <c r="D153" t="s">
        <v>1759</v>
      </c>
      <c r="E153" t="s">
        <v>214</v>
      </c>
      <c r="F153">
        <v>426</v>
      </c>
      <c r="G153" s="113">
        <v>0</v>
      </c>
      <c r="H153"/>
      <c r="I153" t="s">
        <v>1391</v>
      </c>
      <c r="J153">
        <v>112</v>
      </c>
      <c r="K153">
        <v>95</v>
      </c>
      <c r="L153">
        <v>103</v>
      </c>
      <c r="M153">
        <v>159.5</v>
      </c>
      <c r="N153">
        <v>135.30000000000001</v>
      </c>
      <c r="O153">
        <v>147.61850000000001</v>
      </c>
      <c r="P153">
        <v>111.65</v>
      </c>
      <c r="Q153">
        <v>94.71</v>
      </c>
      <c r="R153">
        <v>103.333</v>
      </c>
      <c r="S153"/>
      <c r="T153"/>
      <c r="U153"/>
      <c r="V153" t="s">
        <v>170</v>
      </c>
      <c r="W153" t="s">
        <v>171</v>
      </c>
      <c r="X153" t="s">
        <v>1436</v>
      </c>
      <c r="Y153">
        <v>1</v>
      </c>
      <c r="Z153" t="s">
        <v>173</v>
      </c>
      <c r="AA153" t="s">
        <v>173</v>
      </c>
      <c r="AB153" t="s">
        <v>170</v>
      </c>
      <c r="AC153" t="s">
        <v>232</v>
      </c>
      <c r="AD153"/>
      <c r="AE153"/>
      <c r="AF153">
        <v>307</v>
      </c>
      <c r="AG153" t="s">
        <v>1392</v>
      </c>
      <c r="AH153" t="s">
        <v>1393</v>
      </c>
      <c r="AI153" t="s">
        <v>178</v>
      </c>
      <c r="AJ153" t="s">
        <v>179</v>
      </c>
      <c r="AK153">
        <v>4</v>
      </c>
      <c r="AL153" t="s">
        <v>1394</v>
      </c>
      <c r="AM153"/>
      <c r="AN153"/>
      <c r="AO153"/>
      <c r="AP153"/>
      <c r="AQ153"/>
      <c r="AR153"/>
      <c r="AS153">
        <v>850</v>
      </c>
      <c r="AT153">
        <v>850</v>
      </c>
      <c r="AU153"/>
      <c r="AV153"/>
      <c r="AW153"/>
      <c r="AX153"/>
      <c r="AY153"/>
      <c r="AZ153"/>
      <c r="BA153"/>
      <c r="BB153"/>
      <c r="BC153"/>
      <c r="BD153"/>
      <c r="BE153"/>
      <c r="BF153"/>
      <c r="BG153"/>
      <c r="BH153"/>
      <c r="BI153"/>
      <c r="BJ153"/>
      <c r="BK153"/>
      <c r="BL153"/>
      <c r="BM153"/>
      <c r="BN153" s="114"/>
      <c r="BO153"/>
      <c r="BP153"/>
      <c r="BQ153">
        <v>31</v>
      </c>
      <c r="BR153" t="s">
        <v>887</v>
      </c>
      <c r="BS153"/>
      <c r="BT153" t="s">
        <v>1395</v>
      </c>
      <c r="BU153" s="115">
        <v>45887</v>
      </c>
      <c r="BV153">
        <v>37007</v>
      </c>
      <c r="BW153" s="116"/>
      <c r="BX153" t="s">
        <v>173</v>
      </c>
      <c r="BY153" t="s">
        <v>173</v>
      </c>
      <c r="BZ153"/>
      <c r="CA153"/>
      <c r="CB153" t="s">
        <v>173</v>
      </c>
      <c r="CC153" t="s">
        <v>173</v>
      </c>
      <c r="CD153"/>
      <c r="CE153"/>
      <c r="CF153"/>
      <c r="CG153"/>
      <c r="CH153"/>
      <c r="CI153"/>
      <c r="CJ153"/>
      <c r="CK153" t="s">
        <v>259</v>
      </c>
      <c r="CL153"/>
      <c r="CM153">
        <v>1</v>
      </c>
      <c r="CN153" t="s">
        <v>260</v>
      </c>
      <c r="CO153"/>
      <c r="CP153">
        <v>336</v>
      </c>
      <c r="CQ153">
        <v>290</v>
      </c>
      <c r="CR153">
        <v>156</v>
      </c>
      <c r="CS153" t="s">
        <v>1437</v>
      </c>
      <c r="CT153"/>
      <c r="CU153"/>
      <c r="CV153" t="s">
        <v>262</v>
      </c>
      <c r="CW153"/>
      <c r="CX153" t="s">
        <v>263</v>
      </c>
      <c r="CY153" t="s">
        <v>172</v>
      </c>
      <c r="CZ153"/>
      <c r="DA153"/>
      <c r="DB153"/>
      <c r="DC153"/>
      <c r="DD153">
        <v>2</v>
      </c>
      <c r="DE153" t="s">
        <v>760</v>
      </c>
      <c r="DF153"/>
      <c r="DG153" t="s">
        <v>1457</v>
      </c>
      <c r="DH153"/>
      <c r="DI153"/>
      <c r="DJ153"/>
      <c r="DK153"/>
      <c r="DL153" t="s">
        <v>173</v>
      </c>
      <c r="DM153" t="s">
        <v>172</v>
      </c>
      <c r="DN153"/>
      <c r="DO153"/>
      <c r="DP153" t="s">
        <v>173</v>
      </c>
      <c r="DQ153" t="s">
        <v>189</v>
      </c>
      <c r="DR153" t="s">
        <v>1759</v>
      </c>
      <c r="DS153"/>
      <c r="DT153"/>
      <c r="DU153"/>
      <c r="DV153"/>
      <c r="DW153"/>
      <c r="DX153"/>
      <c r="DY153"/>
      <c r="DZ153"/>
      <c r="EA153" s="117"/>
      <c r="EB153">
        <v>9</v>
      </c>
      <c r="EC153">
        <v>10</v>
      </c>
      <c r="ED153"/>
      <c r="EE153" t="s">
        <v>1459</v>
      </c>
      <c r="EF153">
        <v>10</v>
      </c>
      <c r="EG153"/>
      <c r="EH153"/>
      <c r="EI153"/>
      <c r="EJ153"/>
      <c r="EK153"/>
      <c r="EL153"/>
      <c r="EM153"/>
      <c r="EN153"/>
      <c r="EO153"/>
      <c r="EP153"/>
      <c r="EQ153"/>
      <c r="ER153"/>
      <c r="ES153"/>
      <c r="ET153"/>
      <c r="EU153">
        <v>4250</v>
      </c>
      <c r="EV153"/>
      <c r="EW153">
        <v>0</v>
      </c>
      <c r="EX153">
        <v>0</v>
      </c>
      <c r="EY153">
        <v>0</v>
      </c>
      <c r="EZ153"/>
      <c r="FA153">
        <v>9.5</v>
      </c>
      <c r="FB153"/>
      <c r="FC153"/>
      <c r="FD153"/>
      <c r="FE153"/>
      <c r="FF153"/>
      <c r="FG153" s="94">
        <v>329</v>
      </c>
      <c r="FH153" s="94">
        <v>280</v>
      </c>
      <c r="FI153" s="94">
        <v>307</v>
      </c>
    </row>
    <row r="154" spans="1:165" s="66" customFormat="1" x14ac:dyDescent="0.35">
      <c r="A154">
        <v>2026</v>
      </c>
      <c r="B154" t="s">
        <v>211</v>
      </c>
      <c r="C154" s="112" t="s">
        <v>212</v>
      </c>
      <c r="D154" t="s">
        <v>1759</v>
      </c>
      <c r="E154" t="s">
        <v>214</v>
      </c>
      <c r="F154">
        <v>426</v>
      </c>
      <c r="G154" s="113">
        <v>0</v>
      </c>
      <c r="H154"/>
      <c r="I154" t="s">
        <v>1391</v>
      </c>
      <c r="J154">
        <v>30</v>
      </c>
      <c r="K154">
        <v>36</v>
      </c>
      <c r="L154">
        <v>33</v>
      </c>
      <c r="M154">
        <v>21.1341</v>
      </c>
      <c r="N154">
        <v>24.909700000000001</v>
      </c>
      <c r="O154">
        <v>22.833100000000002</v>
      </c>
      <c r="P154">
        <v>30.188099999999999</v>
      </c>
      <c r="Q154">
        <v>35.587600000000002</v>
      </c>
      <c r="R154">
        <v>32.617899999999999</v>
      </c>
      <c r="S154"/>
      <c r="T154"/>
      <c r="U154"/>
      <c r="V154" t="s">
        <v>170</v>
      </c>
      <c r="W154" t="s">
        <v>171</v>
      </c>
      <c r="X154" t="s">
        <v>1436</v>
      </c>
      <c r="Y154">
        <v>1</v>
      </c>
      <c r="Z154" t="s">
        <v>173</v>
      </c>
      <c r="AA154" t="s">
        <v>173</v>
      </c>
      <c r="AB154" t="s">
        <v>170</v>
      </c>
      <c r="AC154" t="s">
        <v>232</v>
      </c>
      <c r="AD154"/>
      <c r="AE154"/>
      <c r="AF154">
        <v>307</v>
      </c>
      <c r="AG154" t="s">
        <v>1392</v>
      </c>
      <c r="AH154" t="s">
        <v>1393</v>
      </c>
      <c r="AI154" t="s">
        <v>1399</v>
      </c>
      <c r="AJ154" t="s">
        <v>1400</v>
      </c>
      <c r="AK154">
        <v>4</v>
      </c>
      <c r="AL154" t="s">
        <v>1394</v>
      </c>
      <c r="AM154"/>
      <c r="AN154"/>
      <c r="AO154"/>
      <c r="AP154"/>
      <c r="AQ154"/>
      <c r="AR154"/>
      <c r="AS154">
        <v>850</v>
      </c>
      <c r="AT154">
        <v>850</v>
      </c>
      <c r="AU154"/>
      <c r="AV154"/>
      <c r="AW154"/>
      <c r="AX154"/>
      <c r="AY154"/>
      <c r="AZ154"/>
      <c r="BA154"/>
      <c r="BB154"/>
      <c r="BC154"/>
      <c r="BD154"/>
      <c r="BE154"/>
      <c r="BF154"/>
      <c r="BG154"/>
      <c r="BH154"/>
      <c r="BI154"/>
      <c r="BJ154"/>
      <c r="BK154"/>
      <c r="BL154"/>
      <c r="BM154"/>
      <c r="BN154" s="114"/>
      <c r="BO154"/>
      <c r="BP154"/>
      <c r="BQ154">
        <v>31</v>
      </c>
      <c r="BR154" t="s">
        <v>887</v>
      </c>
      <c r="BS154"/>
      <c r="BT154" t="s">
        <v>1395</v>
      </c>
      <c r="BU154" s="115">
        <v>45887</v>
      </c>
      <c r="BV154">
        <v>37007</v>
      </c>
      <c r="BW154" s="116"/>
      <c r="BX154" t="s">
        <v>173</v>
      </c>
      <c r="BY154" t="s">
        <v>173</v>
      </c>
      <c r="BZ154"/>
      <c r="CA154"/>
      <c r="CB154" t="s">
        <v>173</v>
      </c>
      <c r="CC154" t="s">
        <v>173</v>
      </c>
      <c r="CD154"/>
      <c r="CE154"/>
      <c r="CF154"/>
      <c r="CG154"/>
      <c r="CH154"/>
      <c r="CI154"/>
      <c r="CJ154"/>
      <c r="CK154" t="s">
        <v>259</v>
      </c>
      <c r="CL154"/>
      <c r="CM154">
        <v>1</v>
      </c>
      <c r="CN154" t="s">
        <v>260</v>
      </c>
      <c r="CO154"/>
      <c r="CP154">
        <v>336</v>
      </c>
      <c r="CQ154">
        <v>290</v>
      </c>
      <c r="CR154">
        <v>156</v>
      </c>
      <c r="CS154" t="s">
        <v>1437</v>
      </c>
      <c r="CT154"/>
      <c r="CU154"/>
      <c r="CV154" t="s">
        <v>262</v>
      </c>
      <c r="CW154"/>
      <c r="CX154" t="s">
        <v>263</v>
      </c>
      <c r="CY154" t="s">
        <v>172</v>
      </c>
      <c r="CZ154"/>
      <c r="DA154"/>
      <c r="DB154"/>
      <c r="DC154"/>
      <c r="DD154">
        <v>2</v>
      </c>
      <c r="DE154" t="s">
        <v>760</v>
      </c>
      <c r="DF154"/>
      <c r="DG154" t="s">
        <v>1457</v>
      </c>
      <c r="DH154"/>
      <c r="DI154"/>
      <c r="DJ154"/>
      <c r="DK154"/>
      <c r="DL154" t="s">
        <v>173</v>
      </c>
      <c r="DM154" t="s">
        <v>172</v>
      </c>
      <c r="DN154"/>
      <c r="DO154"/>
      <c r="DP154" t="s">
        <v>173</v>
      </c>
      <c r="DQ154" t="s">
        <v>189</v>
      </c>
      <c r="DR154" t="s">
        <v>1759</v>
      </c>
      <c r="DS154"/>
      <c r="DT154"/>
      <c r="DU154"/>
      <c r="DV154"/>
      <c r="DW154"/>
      <c r="DX154"/>
      <c r="DY154"/>
      <c r="DZ154"/>
      <c r="EA154" s="117"/>
      <c r="EB154">
        <v>9</v>
      </c>
      <c r="EC154">
        <v>10</v>
      </c>
      <c r="ED154"/>
      <c r="EE154" t="s">
        <v>1459</v>
      </c>
      <c r="EF154">
        <v>10</v>
      </c>
      <c r="EG154"/>
      <c r="EH154"/>
      <c r="EI154"/>
      <c r="EJ154"/>
      <c r="EK154"/>
      <c r="EL154"/>
      <c r="EM154"/>
      <c r="EN154"/>
      <c r="EO154"/>
      <c r="EP154"/>
      <c r="EQ154"/>
      <c r="ER154"/>
      <c r="ES154"/>
      <c r="ET154"/>
      <c r="EU154">
        <v>4250</v>
      </c>
      <c r="EV154"/>
      <c r="EW154">
        <v>0</v>
      </c>
      <c r="EX154">
        <v>0</v>
      </c>
      <c r="EY154">
        <v>0</v>
      </c>
      <c r="EZ154"/>
      <c r="FA154">
        <v>9.5</v>
      </c>
      <c r="FB154"/>
      <c r="FC154"/>
      <c r="FD154"/>
      <c r="FE154"/>
      <c r="FF154"/>
      <c r="FG154" s="94">
        <v>329</v>
      </c>
      <c r="FH154" s="94">
        <v>280</v>
      </c>
      <c r="FI154" s="94">
        <v>307</v>
      </c>
    </row>
    <row r="155" spans="1:165" s="66" customFormat="1" x14ac:dyDescent="0.35">
      <c r="A155" s="19"/>
      <c r="B155" s="19"/>
      <c r="C155" s="19"/>
      <c r="D155" s="19"/>
      <c r="E155" s="19"/>
      <c r="F155" s="128"/>
      <c r="G155" s="19"/>
      <c r="H155" s="19"/>
      <c r="I155" s="19"/>
      <c r="J155" s="19"/>
      <c r="K155" s="19" t="str">
        <f>_xlfn.CONCAT(A156," ",C156," ",D156)</f>
        <v>2026 Chevrolet EQUINOX EV AWD</v>
      </c>
      <c r="L155" s="19"/>
      <c r="M155" s="19"/>
      <c r="N155" s="19"/>
      <c r="O155" s="19"/>
      <c r="P155" s="19"/>
      <c r="Q155" s="19"/>
      <c r="R155" s="19"/>
      <c r="S155" s="19"/>
      <c r="T155" s="19"/>
      <c r="U155" s="19"/>
      <c r="V155" s="19"/>
      <c r="W155" s="19"/>
      <c r="X155" s="19"/>
      <c r="Y155" s="19"/>
      <c r="Z155" s="19"/>
      <c r="AA155" s="19"/>
      <c r="AB155" s="19" t="str">
        <f>$K155</f>
        <v>2026 Chevrolet EQUINOX EV AWD</v>
      </c>
      <c r="AC155" s="19"/>
      <c r="AD155" s="19"/>
      <c r="AE155" s="19"/>
      <c r="AF155" s="19"/>
      <c r="AG155" s="19"/>
      <c r="AH155" s="19"/>
      <c r="AI155" s="19"/>
      <c r="AJ155" s="19"/>
      <c r="AK155" s="19"/>
      <c r="AL155" s="19"/>
      <c r="AM155" s="19"/>
      <c r="AN155" s="19"/>
      <c r="AO155" s="19"/>
      <c r="AP155" s="19"/>
      <c r="AQ155" s="19"/>
      <c r="AR155" s="19" t="str">
        <f>$K155</f>
        <v>2026 Chevrolet EQUINOX EV AWD</v>
      </c>
      <c r="AS155" s="19"/>
      <c r="AT155" s="19"/>
      <c r="AU155" s="19"/>
      <c r="AV155" s="19"/>
      <c r="AW155" s="19"/>
      <c r="AX155" s="19"/>
      <c r="AY155" s="19"/>
      <c r="AZ155" s="19"/>
      <c r="BA155" s="19"/>
      <c r="BB155" s="19"/>
      <c r="BC155" s="19"/>
      <c r="BD155" s="19"/>
      <c r="BE155" s="19"/>
      <c r="BF155" s="19"/>
      <c r="BG155" s="19" t="str">
        <f>$K155</f>
        <v>2026 Chevrolet EQUINOX EV AWD</v>
      </c>
      <c r="BH155" s="19"/>
      <c r="BI155" s="19"/>
      <c r="BJ155" s="19"/>
      <c r="BK155" s="19"/>
      <c r="BL155" s="19"/>
      <c r="BM155" s="129"/>
      <c r="BN155" s="19"/>
      <c r="BO155" s="19"/>
      <c r="BP155" s="19"/>
      <c r="BQ155" s="19"/>
      <c r="BR155" s="19"/>
      <c r="BS155" s="19"/>
      <c r="BT155" s="130"/>
      <c r="BU155" s="19"/>
      <c r="BV155" s="19"/>
      <c r="BW155" s="116"/>
      <c r="BX155" s="19"/>
      <c r="BY155" s="19"/>
      <c r="BZ155" s="19"/>
      <c r="CA155" s="19"/>
      <c r="CB155" s="19"/>
      <c r="CC155" s="19"/>
      <c r="CD155" s="19"/>
      <c r="CE155" s="19"/>
      <c r="CF155" s="19"/>
      <c r="CG155" s="19"/>
      <c r="CH155" s="19"/>
      <c r="CI155" s="19"/>
      <c r="CJ155" s="19"/>
      <c r="CK155" s="19"/>
      <c r="CL155" s="19"/>
      <c r="CM155" s="19" t="str">
        <f>$K155</f>
        <v>2026 Chevrolet EQUINOX EV AWD</v>
      </c>
      <c r="CN155" s="19"/>
      <c r="CO155" s="19"/>
      <c r="CP155" s="19"/>
      <c r="CQ155" s="19"/>
      <c r="CR155" s="19"/>
      <c r="CS155" s="19"/>
      <c r="CT155" s="19"/>
      <c r="CU155" s="19"/>
      <c r="CV155" s="19"/>
      <c r="CW155" s="19"/>
      <c r="CX155" s="19"/>
      <c r="CY155" s="19"/>
      <c r="CZ155" s="19"/>
      <c r="DA155" s="19"/>
      <c r="DB155" s="19"/>
      <c r="DC155" s="19"/>
      <c r="DD155" s="19" t="str">
        <f>$K155</f>
        <v>2026 Chevrolet EQUINOX EV AWD</v>
      </c>
      <c r="DE155" s="19"/>
      <c r="DF155" s="19"/>
      <c r="DG155" s="19"/>
      <c r="DH155" s="19"/>
      <c r="DI155" s="19"/>
      <c r="DJ155" s="19"/>
      <c r="DK155" s="19"/>
      <c r="DL155" s="19"/>
      <c r="DM155" s="19"/>
      <c r="DN155" s="19"/>
      <c r="DO155" s="19"/>
      <c r="DP155" s="19"/>
      <c r="DQ155" s="19"/>
      <c r="DR155" s="19"/>
      <c r="DS155" s="19"/>
      <c r="DT155" s="19"/>
      <c r="DU155" s="19" t="str">
        <f>$K155</f>
        <v>2026 Chevrolet EQUINOX EV AWD</v>
      </c>
      <c r="DV155" s="19"/>
      <c r="DW155" s="19"/>
      <c r="DX155" s="19"/>
      <c r="DY155" s="19"/>
      <c r="DZ155" s="19"/>
      <c r="EA155" s="117"/>
      <c r="EB155" s="19"/>
      <c r="EC155" s="19"/>
      <c r="ED155" s="19"/>
      <c r="EE155" s="19"/>
      <c r="EF155" s="19"/>
      <c r="EG155"/>
      <c r="EH155"/>
      <c r="EI155"/>
      <c r="EJ155"/>
      <c r="EK155"/>
      <c r="EL155"/>
      <c r="EM155"/>
      <c r="EN155"/>
      <c r="EO155"/>
      <c r="EP155"/>
      <c r="EQ155"/>
      <c r="ER155"/>
      <c r="ES155"/>
      <c r="ET155"/>
      <c r="EU155"/>
      <c r="EV155"/>
      <c r="EW155"/>
      <c r="EX155" s="19" t="s">
        <v>1972</v>
      </c>
      <c r="EY155"/>
      <c r="EZ155"/>
      <c r="FA155"/>
      <c r="FB155"/>
      <c r="FC155"/>
      <c r="FD155"/>
      <c r="FE155"/>
      <c r="FF155"/>
      <c r="FG155"/>
      <c r="FH155"/>
      <c r="FI155"/>
    </row>
    <row r="156" spans="1:165" s="66" customFormat="1" x14ac:dyDescent="0.35">
      <c r="A156">
        <v>2026</v>
      </c>
      <c r="B156" t="s">
        <v>211</v>
      </c>
      <c r="C156" s="112" t="s">
        <v>212</v>
      </c>
      <c r="D156" t="s">
        <v>1759</v>
      </c>
      <c r="E156" t="s">
        <v>214</v>
      </c>
      <c r="F156">
        <v>428</v>
      </c>
      <c r="G156" s="113">
        <v>0</v>
      </c>
      <c r="H156"/>
      <c r="I156" t="s">
        <v>1391</v>
      </c>
      <c r="J156">
        <v>103</v>
      </c>
      <c r="K156">
        <v>88</v>
      </c>
      <c r="L156">
        <v>96</v>
      </c>
      <c r="M156">
        <v>147.69999999999999</v>
      </c>
      <c r="N156">
        <v>126.1</v>
      </c>
      <c r="O156">
        <v>137.12979999999999</v>
      </c>
      <c r="P156">
        <v>103.39</v>
      </c>
      <c r="Q156">
        <v>88.27</v>
      </c>
      <c r="R156">
        <v>95.990899999999996</v>
      </c>
      <c r="S156"/>
      <c r="T156"/>
      <c r="U156"/>
      <c r="V156" t="s">
        <v>170</v>
      </c>
      <c r="W156" t="s">
        <v>171</v>
      </c>
      <c r="X156" t="s">
        <v>1436</v>
      </c>
      <c r="Y156">
        <v>1</v>
      </c>
      <c r="Z156" t="s">
        <v>173</v>
      </c>
      <c r="AA156" t="s">
        <v>173</v>
      </c>
      <c r="AB156" t="s">
        <v>170</v>
      </c>
      <c r="AC156" t="s">
        <v>232</v>
      </c>
      <c r="AD156"/>
      <c r="AE156"/>
      <c r="AF156">
        <v>288</v>
      </c>
      <c r="AG156" t="s">
        <v>1392</v>
      </c>
      <c r="AH156" t="s">
        <v>1393</v>
      </c>
      <c r="AI156" t="s">
        <v>178</v>
      </c>
      <c r="AJ156" t="s">
        <v>179</v>
      </c>
      <c r="AK156">
        <v>4</v>
      </c>
      <c r="AL156" t="s">
        <v>1394</v>
      </c>
      <c r="AM156"/>
      <c r="AN156"/>
      <c r="AO156"/>
      <c r="AP156"/>
      <c r="AQ156"/>
      <c r="AR156"/>
      <c r="AS156">
        <v>900</v>
      </c>
      <c r="AT156">
        <v>900</v>
      </c>
      <c r="AU156"/>
      <c r="AV156"/>
      <c r="AW156"/>
      <c r="AX156"/>
      <c r="AY156"/>
      <c r="AZ156"/>
      <c r="BA156"/>
      <c r="BB156"/>
      <c r="BC156"/>
      <c r="BD156"/>
      <c r="BE156"/>
      <c r="BF156"/>
      <c r="BG156"/>
      <c r="BH156"/>
      <c r="BI156"/>
      <c r="BJ156"/>
      <c r="BK156"/>
      <c r="BL156"/>
      <c r="BM156"/>
      <c r="BN156" s="114"/>
      <c r="BO156"/>
      <c r="BP156"/>
      <c r="BQ156">
        <v>31</v>
      </c>
      <c r="BR156" t="s">
        <v>887</v>
      </c>
      <c r="BS156"/>
      <c r="BT156" t="s">
        <v>1395</v>
      </c>
      <c r="BU156" s="115">
        <v>45887</v>
      </c>
      <c r="BV156">
        <v>37006</v>
      </c>
      <c r="BW156" s="116"/>
      <c r="BX156" t="s">
        <v>173</v>
      </c>
      <c r="BY156" t="s">
        <v>173</v>
      </c>
      <c r="BZ156"/>
      <c r="CA156"/>
      <c r="CB156" t="s">
        <v>173</v>
      </c>
      <c r="CC156" t="s">
        <v>173</v>
      </c>
      <c r="CD156"/>
      <c r="CE156"/>
      <c r="CF156"/>
      <c r="CG156"/>
      <c r="CH156"/>
      <c r="CI156"/>
      <c r="CJ156"/>
      <c r="CK156" t="s">
        <v>259</v>
      </c>
      <c r="CL156"/>
      <c r="CM156">
        <v>1</v>
      </c>
      <c r="CN156" t="s">
        <v>260</v>
      </c>
      <c r="CO156"/>
      <c r="CP156">
        <v>336</v>
      </c>
      <c r="CQ156">
        <v>290</v>
      </c>
      <c r="CR156">
        <v>156</v>
      </c>
      <c r="CS156" t="s">
        <v>1437</v>
      </c>
      <c r="CT156"/>
      <c r="CU156"/>
      <c r="CV156" t="s">
        <v>262</v>
      </c>
      <c r="CW156"/>
      <c r="CX156" t="s">
        <v>263</v>
      </c>
      <c r="CY156" t="s">
        <v>172</v>
      </c>
      <c r="CZ156"/>
      <c r="DA156"/>
      <c r="DB156"/>
      <c r="DC156"/>
      <c r="DD156">
        <v>2</v>
      </c>
      <c r="DE156" t="s">
        <v>307</v>
      </c>
      <c r="DF156" t="s">
        <v>1760</v>
      </c>
      <c r="DG156" t="s">
        <v>1457</v>
      </c>
      <c r="DH156"/>
      <c r="DI156"/>
      <c r="DJ156"/>
      <c r="DK156"/>
      <c r="DL156" t="s">
        <v>173</v>
      </c>
      <c r="DM156" t="s">
        <v>172</v>
      </c>
      <c r="DN156"/>
      <c r="DO156"/>
      <c r="DP156" t="s">
        <v>173</v>
      </c>
      <c r="DQ156" t="s">
        <v>189</v>
      </c>
      <c r="DR156" t="s">
        <v>1759</v>
      </c>
      <c r="DS156"/>
      <c r="DT156"/>
      <c r="DU156"/>
      <c r="DV156"/>
      <c r="DW156"/>
      <c r="DX156"/>
      <c r="DY156"/>
      <c r="DZ156"/>
      <c r="EA156" s="117"/>
      <c r="EB156">
        <v>9</v>
      </c>
      <c r="EC156">
        <v>10</v>
      </c>
      <c r="ED156"/>
      <c r="EE156" t="s">
        <v>1459</v>
      </c>
      <c r="EF156">
        <v>10</v>
      </c>
      <c r="EG156"/>
      <c r="EH156"/>
      <c r="EI156"/>
      <c r="EJ156"/>
      <c r="EK156"/>
      <c r="EL156"/>
      <c r="EM156"/>
      <c r="EN156"/>
      <c r="EO156"/>
      <c r="EP156"/>
      <c r="EQ156"/>
      <c r="ER156"/>
      <c r="ES156"/>
      <c r="ET156"/>
      <c r="EU156">
        <v>4000</v>
      </c>
      <c r="EV156"/>
      <c r="EW156">
        <v>0</v>
      </c>
      <c r="EX156">
        <v>0</v>
      </c>
      <c r="EY156">
        <v>0</v>
      </c>
      <c r="EZ156"/>
      <c r="FA156">
        <v>5.9</v>
      </c>
      <c r="FB156"/>
      <c r="FC156"/>
      <c r="FD156"/>
      <c r="FE156"/>
      <c r="FF156"/>
      <c r="FG156" s="94">
        <v>308</v>
      </c>
      <c r="FH156" s="94">
        <v>263</v>
      </c>
      <c r="FI156" s="94">
        <v>288</v>
      </c>
    </row>
    <row r="157" spans="1:165" s="66" customFormat="1" x14ac:dyDescent="0.35">
      <c r="A157">
        <v>2026</v>
      </c>
      <c r="B157" t="s">
        <v>211</v>
      </c>
      <c r="C157" s="112" t="s">
        <v>212</v>
      </c>
      <c r="D157" t="s">
        <v>1759</v>
      </c>
      <c r="E157" t="s">
        <v>214</v>
      </c>
      <c r="F157">
        <v>428</v>
      </c>
      <c r="G157" s="113">
        <v>0</v>
      </c>
      <c r="H157"/>
      <c r="I157" t="s">
        <v>1391</v>
      </c>
      <c r="J157">
        <v>33</v>
      </c>
      <c r="K157">
        <v>38</v>
      </c>
      <c r="L157">
        <v>35</v>
      </c>
      <c r="M157">
        <v>22.824100000000001</v>
      </c>
      <c r="N157">
        <v>26.728000000000002</v>
      </c>
      <c r="O157">
        <v>24.5809</v>
      </c>
      <c r="P157">
        <v>32.599899999999998</v>
      </c>
      <c r="Q157">
        <v>38.183999999999997</v>
      </c>
      <c r="R157">
        <v>35.112699999999997</v>
      </c>
      <c r="S157"/>
      <c r="T157"/>
      <c r="U157"/>
      <c r="V157" t="s">
        <v>170</v>
      </c>
      <c r="W157" t="s">
        <v>171</v>
      </c>
      <c r="X157" t="s">
        <v>1436</v>
      </c>
      <c r="Y157">
        <v>1</v>
      </c>
      <c r="Z157" t="s">
        <v>173</v>
      </c>
      <c r="AA157" t="s">
        <v>173</v>
      </c>
      <c r="AB157" t="s">
        <v>170</v>
      </c>
      <c r="AC157" t="s">
        <v>232</v>
      </c>
      <c r="AD157"/>
      <c r="AE157"/>
      <c r="AF157">
        <v>288</v>
      </c>
      <c r="AG157" t="s">
        <v>1392</v>
      </c>
      <c r="AH157" t="s">
        <v>1393</v>
      </c>
      <c r="AI157" t="s">
        <v>1399</v>
      </c>
      <c r="AJ157" t="s">
        <v>1400</v>
      </c>
      <c r="AK157">
        <v>4</v>
      </c>
      <c r="AL157" t="s">
        <v>1394</v>
      </c>
      <c r="AM157"/>
      <c r="AN157"/>
      <c r="AO157"/>
      <c r="AP157"/>
      <c r="AQ157"/>
      <c r="AR157"/>
      <c r="AS157">
        <v>900</v>
      </c>
      <c r="AT157">
        <v>900</v>
      </c>
      <c r="AU157"/>
      <c r="AV157"/>
      <c r="AW157"/>
      <c r="AX157"/>
      <c r="AY157"/>
      <c r="AZ157"/>
      <c r="BA157"/>
      <c r="BB157"/>
      <c r="BC157"/>
      <c r="BD157"/>
      <c r="BE157"/>
      <c r="BF157"/>
      <c r="BG157"/>
      <c r="BH157"/>
      <c r="BI157"/>
      <c r="BJ157"/>
      <c r="BK157"/>
      <c r="BL157"/>
      <c r="BM157"/>
      <c r="BN157" s="114"/>
      <c r="BO157"/>
      <c r="BP157"/>
      <c r="BQ157">
        <v>31</v>
      </c>
      <c r="BR157" t="s">
        <v>887</v>
      </c>
      <c r="BS157"/>
      <c r="BT157" t="s">
        <v>1395</v>
      </c>
      <c r="BU157" s="115">
        <v>45887</v>
      </c>
      <c r="BV157">
        <v>37006</v>
      </c>
      <c r="BW157" s="116"/>
      <c r="BX157" t="s">
        <v>173</v>
      </c>
      <c r="BY157" t="s">
        <v>173</v>
      </c>
      <c r="BZ157"/>
      <c r="CA157"/>
      <c r="CB157" t="s">
        <v>173</v>
      </c>
      <c r="CC157" t="s">
        <v>173</v>
      </c>
      <c r="CD157"/>
      <c r="CE157"/>
      <c r="CF157"/>
      <c r="CG157"/>
      <c r="CH157"/>
      <c r="CI157"/>
      <c r="CJ157"/>
      <c r="CK157" t="s">
        <v>259</v>
      </c>
      <c r="CL157"/>
      <c r="CM157">
        <v>1</v>
      </c>
      <c r="CN157" t="s">
        <v>260</v>
      </c>
      <c r="CO157"/>
      <c r="CP157">
        <v>336</v>
      </c>
      <c r="CQ157">
        <v>290</v>
      </c>
      <c r="CR157">
        <v>156</v>
      </c>
      <c r="CS157" t="s">
        <v>1437</v>
      </c>
      <c r="CT157"/>
      <c r="CU157"/>
      <c r="CV157" t="s">
        <v>262</v>
      </c>
      <c r="CW157"/>
      <c r="CX157" t="s">
        <v>263</v>
      </c>
      <c r="CY157" t="s">
        <v>172</v>
      </c>
      <c r="CZ157"/>
      <c r="DA157"/>
      <c r="DB157"/>
      <c r="DC157"/>
      <c r="DD157">
        <v>2</v>
      </c>
      <c r="DE157" t="s">
        <v>760</v>
      </c>
      <c r="DF157"/>
      <c r="DG157" t="s">
        <v>1457</v>
      </c>
      <c r="DH157"/>
      <c r="DI157"/>
      <c r="DJ157"/>
      <c r="DK157"/>
      <c r="DL157" t="s">
        <v>173</v>
      </c>
      <c r="DM157" t="s">
        <v>172</v>
      </c>
      <c r="DN157"/>
      <c r="DO157"/>
      <c r="DP157" t="s">
        <v>173</v>
      </c>
      <c r="DQ157" t="s">
        <v>189</v>
      </c>
      <c r="DR157" t="s">
        <v>1759</v>
      </c>
      <c r="DS157"/>
      <c r="DT157"/>
      <c r="DU157"/>
      <c r="DV157"/>
      <c r="DW157"/>
      <c r="DX157"/>
      <c r="DY157"/>
      <c r="DZ157"/>
      <c r="EA157" s="117"/>
      <c r="EB157">
        <v>9</v>
      </c>
      <c r="EC157">
        <v>10</v>
      </c>
      <c r="ED157"/>
      <c r="EE157" t="s">
        <v>1459</v>
      </c>
      <c r="EF157">
        <v>10</v>
      </c>
      <c r="EG157"/>
      <c r="EH157"/>
      <c r="EI157"/>
      <c r="EJ157"/>
      <c r="EK157"/>
      <c r="EL157"/>
      <c r="EM157"/>
      <c r="EN157"/>
      <c r="EO157"/>
      <c r="EP157"/>
      <c r="EQ157"/>
      <c r="ER157"/>
      <c r="ES157"/>
      <c r="ET157"/>
      <c r="EU157">
        <v>4000</v>
      </c>
      <c r="EV157"/>
      <c r="EW157">
        <v>0</v>
      </c>
      <c r="EX157">
        <v>0</v>
      </c>
      <c r="EY157">
        <v>0</v>
      </c>
      <c r="EZ157"/>
      <c r="FA157">
        <v>5.9</v>
      </c>
      <c r="FB157"/>
      <c r="FC157"/>
      <c r="FD157"/>
      <c r="FE157"/>
      <c r="FF157"/>
      <c r="FG157" s="94">
        <v>308</v>
      </c>
      <c r="FH157" s="94">
        <v>263</v>
      </c>
      <c r="FI157" s="94">
        <v>288</v>
      </c>
    </row>
    <row r="158" spans="1:165" s="66" customFormat="1" x14ac:dyDescent="0.35">
      <c r="A158" s="19"/>
      <c r="B158" s="19"/>
      <c r="C158" s="19"/>
      <c r="D158" s="19"/>
      <c r="E158" s="19"/>
      <c r="F158" s="128"/>
      <c r="G158" s="19"/>
      <c r="H158" s="19"/>
      <c r="I158" s="19"/>
      <c r="J158" s="19"/>
      <c r="K158" s="19" t="str">
        <f>_xlfn.CONCAT(A159," ",C159," ",D159)</f>
        <v>2026 Dodge Charger Daytona R/T AWD 245/55ZR18</v>
      </c>
      <c r="L158" s="19"/>
      <c r="M158" s="19"/>
      <c r="N158" s="19"/>
      <c r="O158" s="19"/>
      <c r="P158" s="19"/>
      <c r="Q158" s="19"/>
      <c r="R158" s="19"/>
      <c r="S158" s="19"/>
      <c r="T158" s="19"/>
      <c r="U158" s="19"/>
      <c r="V158" s="19"/>
      <c r="W158" s="19"/>
      <c r="X158" s="19"/>
      <c r="Y158" s="19"/>
      <c r="Z158" s="19"/>
      <c r="AA158" s="19"/>
      <c r="AB158" s="19" t="str">
        <f>$K158</f>
        <v>2026 Dodge Charger Daytona R/T AWD 245/55ZR18</v>
      </c>
      <c r="AC158" s="19"/>
      <c r="AD158" s="19"/>
      <c r="AE158" s="19"/>
      <c r="AF158" s="19"/>
      <c r="AG158" s="19"/>
      <c r="AH158" s="19"/>
      <c r="AI158" s="19"/>
      <c r="AJ158" s="19"/>
      <c r="AK158" s="19"/>
      <c r="AL158" s="19"/>
      <c r="AM158" s="19"/>
      <c r="AN158" s="19"/>
      <c r="AO158" s="19"/>
      <c r="AP158" s="19"/>
      <c r="AQ158" s="19"/>
      <c r="AR158" s="19" t="str">
        <f>$K158</f>
        <v>2026 Dodge Charger Daytona R/T AWD 245/55ZR18</v>
      </c>
      <c r="AS158" s="19"/>
      <c r="AT158" s="19"/>
      <c r="AU158" s="19"/>
      <c r="AV158" s="19"/>
      <c r="AW158" s="19"/>
      <c r="AX158" s="19"/>
      <c r="AY158" s="19"/>
      <c r="AZ158" s="19"/>
      <c r="BA158" s="19"/>
      <c r="BB158" s="19"/>
      <c r="BC158" s="19"/>
      <c r="BD158" s="19"/>
      <c r="BE158" s="19"/>
      <c r="BF158" s="19"/>
      <c r="BG158" s="19" t="str">
        <f>$K158</f>
        <v>2026 Dodge Charger Daytona R/T AWD 245/55ZR18</v>
      </c>
      <c r="BH158" s="19"/>
      <c r="BI158" s="19"/>
      <c r="BJ158" s="19"/>
      <c r="BK158" s="19"/>
      <c r="BL158" s="19"/>
      <c r="BM158" s="129"/>
      <c r="BN158" s="19"/>
      <c r="BO158" s="19"/>
      <c r="BP158" s="19"/>
      <c r="BQ158" s="19"/>
      <c r="BR158" s="19"/>
      <c r="BS158" s="19"/>
      <c r="BT158" s="130"/>
      <c r="BU158" s="19"/>
      <c r="BV158" s="19"/>
      <c r="BW158" s="116"/>
      <c r="BX158" s="19"/>
      <c r="BY158" s="19"/>
      <c r="BZ158" s="19"/>
      <c r="CA158" s="19"/>
      <c r="CB158" s="19"/>
      <c r="CC158" s="19"/>
      <c r="CD158" s="19"/>
      <c r="CE158" s="19"/>
      <c r="CF158" s="19"/>
      <c r="CG158" s="19"/>
      <c r="CH158" s="19"/>
      <c r="CI158" s="19"/>
      <c r="CJ158" s="19"/>
      <c r="CK158" s="19"/>
      <c r="CL158" s="19"/>
      <c r="CM158" s="19" t="str">
        <f>$K158</f>
        <v>2026 Dodge Charger Daytona R/T AWD 245/55ZR18</v>
      </c>
      <c r="CN158" s="19"/>
      <c r="CO158" s="19"/>
      <c r="CP158" s="19"/>
      <c r="CQ158" s="19"/>
      <c r="CR158" s="19"/>
      <c r="CS158" s="19"/>
      <c r="CT158" s="19"/>
      <c r="CU158" s="19"/>
      <c r="CV158" s="19"/>
      <c r="CW158" s="19"/>
      <c r="CX158" s="19"/>
      <c r="CY158" s="19"/>
      <c r="CZ158" s="19"/>
      <c r="DA158" s="19"/>
      <c r="DB158" s="19"/>
      <c r="DC158" s="19"/>
      <c r="DD158" s="19" t="str">
        <f>$K158</f>
        <v>2026 Dodge Charger Daytona R/T AWD 245/55ZR18</v>
      </c>
      <c r="DE158" s="19"/>
      <c r="DF158" s="19"/>
      <c r="DG158" s="19"/>
      <c r="DH158" s="19"/>
      <c r="DI158" s="19"/>
      <c r="DJ158" s="19"/>
      <c r="DK158" s="19"/>
      <c r="DL158" s="19"/>
      <c r="DM158" s="19"/>
      <c r="DN158" s="19"/>
      <c r="DO158" s="19"/>
      <c r="DP158" s="19"/>
      <c r="DQ158" s="19"/>
      <c r="DR158" s="19"/>
      <c r="DS158" s="19"/>
      <c r="DT158" s="19"/>
      <c r="DU158" s="19" t="str">
        <f>$K158</f>
        <v>2026 Dodge Charger Daytona R/T AWD 245/55ZR18</v>
      </c>
      <c r="DV158" s="19"/>
      <c r="DW158" s="19"/>
      <c r="DX158" s="19"/>
      <c r="DY158" s="19"/>
      <c r="DZ158" s="19"/>
      <c r="EA158" s="117"/>
      <c r="EB158" s="19"/>
      <c r="EC158" s="19"/>
      <c r="ED158" s="19"/>
      <c r="EE158" s="19"/>
      <c r="EF158" s="19"/>
      <c r="EG158"/>
      <c r="EH158"/>
      <c r="EI158"/>
      <c r="EJ158"/>
      <c r="EK158"/>
      <c r="EL158"/>
      <c r="EM158"/>
      <c r="EN158"/>
      <c r="EO158"/>
      <c r="EP158"/>
      <c r="EQ158"/>
      <c r="ER158"/>
      <c r="ES158"/>
      <c r="ET158"/>
      <c r="EU158"/>
      <c r="EV158"/>
      <c r="EW158"/>
      <c r="EX158" s="19" t="s">
        <v>1973</v>
      </c>
      <c r="EY158"/>
      <c r="EZ158"/>
      <c r="FA158"/>
      <c r="FB158"/>
      <c r="FC158"/>
      <c r="FD158"/>
      <c r="FE158"/>
      <c r="FF158"/>
      <c r="FG158"/>
      <c r="FH158"/>
      <c r="FI158"/>
    </row>
    <row r="159" spans="1:165" s="66" customFormat="1" x14ac:dyDescent="0.35">
      <c r="A159">
        <v>2026</v>
      </c>
      <c r="B159" t="s">
        <v>688</v>
      </c>
      <c r="C159" s="112" t="s">
        <v>1039</v>
      </c>
      <c r="D159" t="s">
        <v>1721</v>
      </c>
      <c r="E159" t="s">
        <v>691</v>
      </c>
      <c r="F159">
        <v>2</v>
      </c>
      <c r="G159" s="113">
        <v>0</v>
      </c>
      <c r="H159"/>
      <c r="I159" t="s">
        <v>1391</v>
      </c>
      <c r="J159">
        <v>91</v>
      </c>
      <c r="K159">
        <v>78</v>
      </c>
      <c r="L159">
        <v>85</v>
      </c>
      <c r="M159">
        <v>132.4</v>
      </c>
      <c r="N159">
        <v>113.2</v>
      </c>
      <c r="O159">
        <v>123.0112</v>
      </c>
      <c r="P159">
        <v>91</v>
      </c>
      <c r="Q159">
        <v>78</v>
      </c>
      <c r="R159">
        <v>85</v>
      </c>
      <c r="S159"/>
      <c r="T159"/>
      <c r="U159"/>
      <c r="V159" t="s">
        <v>170</v>
      </c>
      <c r="W159" t="s">
        <v>171</v>
      </c>
      <c r="X159"/>
      <c r="Y159">
        <v>1</v>
      </c>
      <c r="Z159" t="s">
        <v>173</v>
      </c>
      <c r="AA159" t="s">
        <v>173</v>
      </c>
      <c r="AB159" t="s">
        <v>170</v>
      </c>
      <c r="AC159" t="s">
        <v>232</v>
      </c>
      <c r="AD159"/>
      <c r="AE159"/>
      <c r="AF159">
        <v>263</v>
      </c>
      <c r="AG159" t="s">
        <v>1392</v>
      </c>
      <c r="AH159" t="s">
        <v>1393</v>
      </c>
      <c r="AI159" t="s">
        <v>178</v>
      </c>
      <c r="AJ159" t="s">
        <v>179</v>
      </c>
      <c r="AK159" t="s">
        <v>173</v>
      </c>
      <c r="AL159" t="s">
        <v>180</v>
      </c>
      <c r="AM159"/>
      <c r="AN159"/>
      <c r="AO159">
        <v>105</v>
      </c>
      <c r="AP159">
        <v>25</v>
      </c>
      <c r="AQ159"/>
      <c r="AR159"/>
      <c r="AS159">
        <v>1000</v>
      </c>
      <c r="AT159">
        <v>1000</v>
      </c>
      <c r="AU159"/>
      <c r="AV159"/>
      <c r="AW159"/>
      <c r="AX159"/>
      <c r="AY159"/>
      <c r="AZ159"/>
      <c r="BA159"/>
      <c r="BB159"/>
      <c r="BC159"/>
      <c r="BD159"/>
      <c r="BE159"/>
      <c r="BF159"/>
      <c r="BG159"/>
      <c r="BH159"/>
      <c r="BI159"/>
      <c r="BJ159"/>
      <c r="BK159"/>
      <c r="BL159"/>
      <c r="BM159"/>
      <c r="BN159" s="114"/>
      <c r="BO159"/>
      <c r="BP159"/>
      <c r="BQ159">
        <v>6</v>
      </c>
      <c r="BR159" t="s">
        <v>536</v>
      </c>
      <c r="BS159" t="s">
        <v>182</v>
      </c>
      <c r="BT159" t="s">
        <v>1395</v>
      </c>
      <c r="BU159" s="115">
        <v>45873</v>
      </c>
      <c r="BV159">
        <v>37230</v>
      </c>
      <c r="BW159" s="116"/>
      <c r="BX159" t="s">
        <v>173</v>
      </c>
      <c r="BY159" t="s">
        <v>173</v>
      </c>
      <c r="BZ159"/>
      <c r="CA159"/>
      <c r="CB159" t="s">
        <v>173</v>
      </c>
      <c r="CC159" t="s">
        <v>173</v>
      </c>
      <c r="CD159"/>
      <c r="CE159"/>
      <c r="CF159"/>
      <c r="CG159"/>
      <c r="CH159"/>
      <c r="CI159"/>
      <c r="CJ159"/>
      <c r="CK159" t="s">
        <v>259</v>
      </c>
      <c r="CL159"/>
      <c r="CM159">
        <v>1</v>
      </c>
      <c r="CN159" t="s">
        <v>260</v>
      </c>
      <c r="CO159"/>
      <c r="CP159">
        <v>442</v>
      </c>
      <c r="CQ159">
        <v>262</v>
      </c>
      <c r="CR159">
        <v>163</v>
      </c>
      <c r="CS159" t="s">
        <v>261</v>
      </c>
      <c r="CT159"/>
      <c r="CU159"/>
      <c r="CV159" t="s">
        <v>262</v>
      </c>
      <c r="CW159"/>
      <c r="CX159" t="s">
        <v>263</v>
      </c>
      <c r="CY159" t="s">
        <v>172</v>
      </c>
      <c r="CZ159"/>
      <c r="DA159"/>
      <c r="DB159"/>
      <c r="DC159"/>
      <c r="DD159">
        <v>2</v>
      </c>
      <c r="DE159" t="s">
        <v>530</v>
      </c>
      <c r="DF159"/>
      <c r="DG159">
        <v>250</v>
      </c>
      <c r="DH159"/>
      <c r="DI159"/>
      <c r="DJ159"/>
      <c r="DK159"/>
      <c r="DL159" t="s">
        <v>173</v>
      </c>
      <c r="DM159" t="s">
        <v>172</v>
      </c>
      <c r="DN159"/>
      <c r="DO159"/>
      <c r="DP159" t="s">
        <v>173</v>
      </c>
      <c r="DQ159" t="s">
        <v>189</v>
      </c>
      <c r="DR159"/>
      <c r="DS159"/>
      <c r="DT159"/>
      <c r="DU159"/>
      <c r="DV159"/>
      <c r="DW159"/>
      <c r="DX159"/>
      <c r="DY159"/>
      <c r="DZ159"/>
      <c r="EA159" s="117"/>
      <c r="EB159">
        <v>9</v>
      </c>
      <c r="EC159">
        <v>10</v>
      </c>
      <c r="ED159"/>
      <c r="EE159" t="s">
        <v>1461</v>
      </c>
      <c r="EF159">
        <v>10</v>
      </c>
      <c r="EG159"/>
      <c r="EH159"/>
      <c r="EI159"/>
      <c r="EJ159"/>
      <c r="EK159"/>
      <c r="EL159"/>
      <c r="EM159"/>
      <c r="EN159"/>
      <c r="EO159"/>
      <c r="EP159"/>
      <c r="EQ159"/>
      <c r="ER159"/>
      <c r="ES159"/>
      <c r="ET159"/>
      <c r="EU159">
        <v>3500</v>
      </c>
      <c r="EV159"/>
      <c r="EW159">
        <v>0</v>
      </c>
      <c r="EX159">
        <v>0</v>
      </c>
      <c r="EY159">
        <v>0</v>
      </c>
      <c r="EZ159"/>
      <c r="FA159">
        <v>10</v>
      </c>
      <c r="FB159"/>
      <c r="FC159"/>
      <c r="FD159"/>
      <c r="FE159"/>
      <c r="FF159"/>
      <c r="FG159" s="94">
        <v>279</v>
      </c>
      <c r="FH159" s="94">
        <v>243</v>
      </c>
      <c r="FI159" s="94">
        <v>263</v>
      </c>
    </row>
    <row r="160" spans="1:165" s="66" customFormat="1" x14ac:dyDescent="0.35">
      <c r="A160">
        <v>2026</v>
      </c>
      <c r="B160" t="s">
        <v>688</v>
      </c>
      <c r="C160" s="112" t="s">
        <v>1039</v>
      </c>
      <c r="D160" t="s">
        <v>1721</v>
      </c>
      <c r="E160" t="s">
        <v>691</v>
      </c>
      <c r="F160">
        <v>2</v>
      </c>
      <c r="G160" s="113">
        <v>0</v>
      </c>
      <c r="H160"/>
      <c r="I160" t="s">
        <v>1391</v>
      </c>
      <c r="J160">
        <v>37</v>
      </c>
      <c r="K160">
        <v>43</v>
      </c>
      <c r="L160">
        <v>40</v>
      </c>
      <c r="M160">
        <v>25.456399999999999</v>
      </c>
      <c r="N160">
        <v>29.7837</v>
      </c>
      <c r="O160">
        <v>27.403700000000001</v>
      </c>
      <c r="P160">
        <v>37</v>
      </c>
      <c r="Q160">
        <v>42.535299999999999</v>
      </c>
      <c r="R160">
        <v>40</v>
      </c>
      <c r="S160"/>
      <c r="T160"/>
      <c r="U160"/>
      <c r="V160" t="s">
        <v>170</v>
      </c>
      <c r="W160" t="s">
        <v>171</v>
      </c>
      <c r="X160"/>
      <c r="Y160">
        <v>1</v>
      </c>
      <c r="Z160" t="s">
        <v>173</v>
      </c>
      <c r="AA160" t="s">
        <v>173</v>
      </c>
      <c r="AB160" t="s">
        <v>170</v>
      </c>
      <c r="AC160" t="s">
        <v>232</v>
      </c>
      <c r="AD160"/>
      <c r="AE160"/>
      <c r="AF160">
        <v>263</v>
      </c>
      <c r="AG160" t="s">
        <v>1392</v>
      </c>
      <c r="AH160" t="s">
        <v>1393</v>
      </c>
      <c r="AI160" t="s">
        <v>1399</v>
      </c>
      <c r="AJ160" t="s">
        <v>1400</v>
      </c>
      <c r="AK160" t="s">
        <v>173</v>
      </c>
      <c r="AL160" t="s">
        <v>180</v>
      </c>
      <c r="AM160"/>
      <c r="AN160"/>
      <c r="AO160">
        <v>105</v>
      </c>
      <c r="AP160">
        <v>25</v>
      </c>
      <c r="AQ160"/>
      <c r="AR160"/>
      <c r="AS160">
        <v>1000</v>
      </c>
      <c r="AT160">
        <v>1000</v>
      </c>
      <c r="AU160"/>
      <c r="AV160"/>
      <c r="AW160"/>
      <c r="AX160"/>
      <c r="AY160"/>
      <c r="AZ160"/>
      <c r="BA160"/>
      <c r="BB160"/>
      <c r="BC160"/>
      <c r="BD160"/>
      <c r="BE160"/>
      <c r="BF160"/>
      <c r="BG160"/>
      <c r="BH160"/>
      <c r="BI160"/>
      <c r="BJ160"/>
      <c r="BK160"/>
      <c r="BL160"/>
      <c r="BM160"/>
      <c r="BN160" s="114"/>
      <c r="BO160"/>
      <c r="BP160"/>
      <c r="BQ160">
        <v>6</v>
      </c>
      <c r="BR160" t="s">
        <v>536</v>
      </c>
      <c r="BS160" t="s">
        <v>182</v>
      </c>
      <c r="BT160" t="s">
        <v>1395</v>
      </c>
      <c r="BU160" s="115">
        <v>45873</v>
      </c>
      <c r="BV160">
        <v>37230</v>
      </c>
      <c r="BW160" s="116"/>
      <c r="BX160" t="s">
        <v>173</v>
      </c>
      <c r="BY160" t="s">
        <v>173</v>
      </c>
      <c r="BZ160"/>
      <c r="CA160"/>
      <c r="CB160" t="s">
        <v>173</v>
      </c>
      <c r="CC160" t="s">
        <v>173</v>
      </c>
      <c r="CD160"/>
      <c r="CE160"/>
      <c r="CF160"/>
      <c r="CG160"/>
      <c r="CH160"/>
      <c r="CI160"/>
      <c r="CJ160"/>
      <c r="CK160" t="s">
        <v>259</v>
      </c>
      <c r="CL160"/>
      <c r="CM160">
        <v>1</v>
      </c>
      <c r="CN160" t="s">
        <v>260</v>
      </c>
      <c r="CO160"/>
      <c r="CP160">
        <v>442</v>
      </c>
      <c r="CQ160">
        <v>262</v>
      </c>
      <c r="CR160">
        <v>163</v>
      </c>
      <c r="CS160" t="s">
        <v>261</v>
      </c>
      <c r="CT160"/>
      <c r="CU160"/>
      <c r="CV160" t="s">
        <v>262</v>
      </c>
      <c r="CW160"/>
      <c r="CX160" t="s">
        <v>263</v>
      </c>
      <c r="CY160" t="s">
        <v>172</v>
      </c>
      <c r="CZ160"/>
      <c r="DA160"/>
      <c r="DB160"/>
      <c r="DC160"/>
      <c r="DD160">
        <v>2</v>
      </c>
      <c r="DE160" t="s">
        <v>530</v>
      </c>
      <c r="DF160"/>
      <c r="DG160">
        <v>250</v>
      </c>
      <c r="DH160"/>
      <c r="DI160"/>
      <c r="DJ160"/>
      <c r="DK160"/>
      <c r="DL160" t="s">
        <v>173</v>
      </c>
      <c r="DM160" t="s">
        <v>172</v>
      </c>
      <c r="DN160"/>
      <c r="DO160"/>
      <c r="DP160" t="s">
        <v>173</v>
      </c>
      <c r="DQ160" t="s">
        <v>189</v>
      </c>
      <c r="DR160"/>
      <c r="DS160"/>
      <c r="DT160"/>
      <c r="DU160"/>
      <c r="DV160"/>
      <c r="DW160"/>
      <c r="DX160"/>
      <c r="DY160"/>
      <c r="DZ160"/>
      <c r="EA160" s="117"/>
      <c r="EB160">
        <v>9</v>
      </c>
      <c r="EC160">
        <v>10</v>
      </c>
      <c r="ED160"/>
      <c r="EE160" t="s">
        <v>1461</v>
      </c>
      <c r="EF160">
        <v>10</v>
      </c>
      <c r="EG160"/>
      <c r="EH160"/>
      <c r="EI160"/>
      <c r="EJ160"/>
      <c r="EK160"/>
      <c r="EL160"/>
      <c r="EM160"/>
      <c r="EN160"/>
      <c r="EO160"/>
      <c r="EP160"/>
      <c r="EQ160"/>
      <c r="ER160"/>
      <c r="ES160"/>
      <c r="ET160"/>
      <c r="EU160">
        <v>3500</v>
      </c>
      <c r="EV160"/>
      <c r="EW160">
        <v>0</v>
      </c>
      <c r="EX160">
        <v>0</v>
      </c>
      <c r="EY160">
        <v>0</v>
      </c>
      <c r="EZ160"/>
      <c r="FA160">
        <v>10</v>
      </c>
      <c r="FB160"/>
      <c r="FC160"/>
      <c r="FD160"/>
      <c r="FE160"/>
      <c r="FF160"/>
      <c r="FG160" s="94">
        <v>279</v>
      </c>
      <c r="FH160" s="94">
        <v>243</v>
      </c>
      <c r="FI160" s="94">
        <v>263</v>
      </c>
    </row>
    <row r="161" spans="1:165" s="66" customFormat="1" x14ac:dyDescent="0.35">
      <c r="A161" s="19"/>
      <c r="B161" s="19"/>
      <c r="C161" s="19"/>
      <c r="D161" s="19"/>
      <c r="E161" s="19"/>
      <c r="F161" s="128"/>
      <c r="G161" s="19"/>
      <c r="H161" s="19"/>
      <c r="I161" s="19"/>
      <c r="J161" s="19"/>
      <c r="K161" s="19" t="str">
        <f>_xlfn.CONCAT(A162," ",C162," ",D162)</f>
        <v>2026 Dodge Charger Daytona R/T AWD 255/45R20</v>
      </c>
      <c r="L161" s="19"/>
      <c r="M161" s="19"/>
      <c r="N161" s="19"/>
      <c r="O161" s="19"/>
      <c r="P161" s="19"/>
      <c r="Q161" s="19"/>
      <c r="R161" s="19"/>
      <c r="S161" s="19"/>
      <c r="T161" s="19"/>
      <c r="U161" s="19"/>
      <c r="V161" s="19"/>
      <c r="W161" s="19"/>
      <c r="X161" s="19"/>
      <c r="Y161" s="19"/>
      <c r="Z161" s="19"/>
      <c r="AA161" s="19"/>
      <c r="AB161" s="19" t="str">
        <f>$K161</f>
        <v>2026 Dodge Charger Daytona R/T AWD 255/45R20</v>
      </c>
      <c r="AC161" s="19"/>
      <c r="AD161" s="19"/>
      <c r="AE161" s="19"/>
      <c r="AF161" s="19"/>
      <c r="AG161" s="19"/>
      <c r="AH161" s="19"/>
      <c r="AI161" s="19"/>
      <c r="AJ161" s="19"/>
      <c r="AK161" s="19"/>
      <c r="AL161" s="19"/>
      <c r="AM161" s="19"/>
      <c r="AN161" s="19"/>
      <c r="AO161" s="19"/>
      <c r="AP161" s="19"/>
      <c r="AQ161" s="19"/>
      <c r="AR161" s="19" t="str">
        <f>$K161</f>
        <v>2026 Dodge Charger Daytona R/T AWD 255/45R20</v>
      </c>
      <c r="AS161" s="19"/>
      <c r="AT161" s="19"/>
      <c r="AU161" s="19"/>
      <c r="AV161" s="19"/>
      <c r="AW161" s="19"/>
      <c r="AX161" s="19"/>
      <c r="AY161" s="19"/>
      <c r="AZ161" s="19"/>
      <c r="BA161" s="19"/>
      <c r="BB161" s="19"/>
      <c r="BC161" s="19"/>
      <c r="BD161" s="19"/>
      <c r="BE161" s="19"/>
      <c r="BF161" s="19"/>
      <c r="BG161" s="19" t="str">
        <f>$K161</f>
        <v>2026 Dodge Charger Daytona R/T AWD 255/45R20</v>
      </c>
      <c r="BH161" s="19"/>
      <c r="BI161" s="19"/>
      <c r="BJ161" s="19"/>
      <c r="BK161" s="19"/>
      <c r="BL161" s="19"/>
      <c r="BM161" s="129"/>
      <c r="BN161" s="19"/>
      <c r="BO161" s="19"/>
      <c r="BP161" s="19"/>
      <c r="BQ161" s="19"/>
      <c r="BR161" s="19"/>
      <c r="BS161" s="19"/>
      <c r="BT161" s="130"/>
      <c r="BU161" s="19"/>
      <c r="BV161" s="19"/>
      <c r="BW161" s="116"/>
      <c r="BX161" s="19"/>
      <c r="BY161" s="19"/>
      <c r="BZ161" s="19"/>
      <c r="CA161" s="19"/>
      <c r="CB161" s="19"/>
      <c r="CC161" s="19"/>
      <c r="CD161" s="19"/>
      <c r="CE161" s="19"/>
      <c r="CF161" s="19"/>
      <c r="CG161" s="19"/>
      <c r="CH161" s="19"/>
      <c r="CI161" s="19"/>
      <c r="CJ161" s="19"/>
      <c r="CK161" s="19"/>
      <c r="CL161" s="19"/>
      <c r="CM161" s="19" t="str">
        <f>$K161</f>
        <v>2026 Dodge Charger Daytona R/T AWD 255/45R20</v>
      </c>
      <c r="CN161" s="19"/>
      <c r="CO161" s="19"/>
      <c r="CP161" s="19"/>
      <c r="CQ161" s="19"/>
      <c r="CR161" s="19"/>
      <c r="CS161" s="19"/>
      <c r="CT161" s="19"/>
      <c r="CU161" s="19"/>
      <c r="CV161" s="19"/>
      <c r="CW161" s="19"/>
      <c r="CX161" s="19"/>
      <c r="CY161" s="19"/>
      <c r="CZ161" s="19"/>
      <c r="DA161" s="19"/>
      <c r="DB161" s="19"/>
      <c r="DC161" s="19"/>
      <c r="DD161" s="19" t="str">
        <f>$K161</f>
        <v>2026 Dodge Charger Daytona R/T AWD 255/45R20</v>
      </c>
      <c r="DE161" s="19"/>
      <c r="DF161" s="19"/>
      <c r="DG161" s="19"/>
      <c r="DH161" s="19"/>
      <c r="DI161" s="19"/>
      <c r="DJ161" s="19"/>
      <c r="DK161" s="19"/>
      <c r="DL161" s="19"/>
      <c r="DM161" s="19"/>
      <c r="DN161" s="19"/>
      <c r="DO161" s="19"/>
      <c r="DP161" s="19"/>
      <c r="DQ161" s="19"/>
      <c r="DR161" s="19"/>
      <c r="DS161" s="19"/>
      <c r="DT161" s="19"/>
      <c r="DU161" s="19" t="str">
        <f>$K161</f>
        <v>2026 Dodge Charger Daytona R/T AWD 255/45R20</v>
      </c>
      <c r="DV161" s="19"/>
      <c r="DW161" s="19"/>
      <c r="DX161" s="19"/>
      <c r="DY161" s="19"/>
      <c r="DZ161" s="19"/>
      <c r="EA161" s="117"/>
      <c r="EB161" s="19"/>
      <c r="EC161" s="19"/>
      <c r="ED161" s="19"/>
      <c r="EE161" s="19"/>
      <c r="EF161" s="19"/>
      <c r="EG161"/>
      <c r="EH161"/>
      <c r="EI161"/>
      <c r="EJ161"/>
      <c r="EK161"/>
      <c r="EL161"/>
      <c r="EM161"/>
      <c r="EN161"/>
      <c r="EO161"/>
      <c r="EP161"/>
      <c r="EQ161"/>
      <c r="ER161"/>
      <c r="ES161"/>
      <c r="ET161"/>
      <c r="EU161"/>
      <c r="EV161"/>
      <c r="EW161"/>
      <c r="EX161" s="19" t="s">
        <v>1974</v>
      </c>
      <c r="EY161"/>
      <c r="EZ161"/>
      <c r="FA161"/>
      <c r="FB161"/>
      <c r="FC161"/>
      <c r="FD161"/>
      <c r="FE161"/>
      <c r="FF161"/>
      <c r="FG161"/>
      <c r="FH161"/>
      <c r="FI161"/>
    </row>
    <row r="162" spans="1:165" s="66" customFormat="1" x14ac:dyDescent="0.35">
      <c r="A162">
        <v>2026</v>
      </c>
      <c r="B162" t="s">
        <v>688</v>
      </c>
      <c r="C162" s="112" t="s">
        <v>1039</v>
      </c>
      <c r="D162" t="s">
        <v>1722</v>
      </c>
      <c r="E162" t="s">
        <v>691</v>
      </c>
      <c r="F162">
        <v>3</v>
      </c>
      <c r="G162" s="113">
        <v>0</v>
      </c>
      <c r="H162"/>
      <c r="I162" t="s">
        <v>1391</v>
      </c>
      <c r="J162">
        <v>100</v>
      </c>
      <c r="K162">
        <v>89</v>
      </c>
      <c r="L162">
        <v>95</v>
      </c>
      <c r="M162">
        <v>142.30000000000001</v>
      </c>
      <c r="N162">
        <v>127.7</v>
      </c>
      <c r="O162">
        <v>135.33709999999999</v>
      </c>
      <c r="P162">
        <v>99.61</v>
      </c>
      <c r="Q162">
        <v>89.39</v>
      </c>
      <c r="R162">
        <v>94.736000000000004</v>
      </c>
      <c r="S162"/>
      <c r="T162"/>
      <c r="U162"/>
      <c r="V162" t="s">
        <v>170</v>
      </c>
      <c r="W162" t="s">
        <v>171</v>
      </c>
      <c r="X162"/>
      <c r="Y162">
        <v>1</v>
      </c>
      <c r="Z162" t="s">
        <v>173</v>
      </c>
      <c r="AA162" t="s">
        <v>173</v>
      </c>
      <c r="AB162" t="s">
        <v>170</v>
      </c>
      <c r="AC162" t="s">
        <v>232</v>
      </c>
      <c r="AD162"/>
      <c r="AE162"/>
      <c r="AF162">
        <v>295</v>
      </c>
      <c r="AG162" t="s">
        <v>1392</v>
      </c>
      <c r="AH162" t="s">
        <v>1393</v>
      </c>
      <c r="AI162" t="s">
        <v>178</v>
      </c>
      <c r="AJ162" t="s">
        <v>179</v>
      </c>
      <c r="AK162" t="s">
        <v>173</v>
      </c>
      <c r="AL162" t="s">
        <v>180</v>
      </c>
      <c r="AM162"/>
      <c r="AN162"/>
      <c r="AO162">
        <v>105</v>
      </c>
      <c r="AP162">
        <v>25</v>
      </c>
      <c r="AQ162"/>
      <c r="AR162"/>
      <c r="AS162">
        <v>900</v>
      </c>
      <c r="AT162">
        <v>900</v>
      </c>
      <c r="AU162"/>
      <c r="AV162"/>
      <c r="AW162"/>
      <c r="AX162"/>
      <c r="AY162"/>
      <c r="AZ162"/>
      <c r="BA162"/>
      <c r="BB162"/>
      <c r="BC162"/>
      <c r="BD162"/>
      <c r="BE162"/>
      <c r="BF162"/>
      <c r="BG162"/>
      <c r="BH162"/>
      <c r="BI162"/>
      <c r="BJ162"/>
      <c r="BK162"/>
      <c r="BL162"/>
      <c r="BM162"/>
      <c r="BN162" s="114"/>
      <c r="BO162"/>
      <c r="BP162"/>
      <c r="BQ162">
        <v>6</v>
      </c>
      <c r="BR162" t="s">
        <v>536</v>
      </c>
      <c r="BS162" t="s">
        <v>182</v>
      </c>
      <c r="BT162" t="s">
        <v>1395</v>
      </c>
      <c r="BU162" s="115">
        <v>45867</v>
      </c>
      <c r="BV162">
        <v>37212</v>
      </c>
      <c r="BW162" s="116"/>
      <c r="BX162" t="s">
        <v>173</v>
      </c>
      <c r="BY162" t="s">
        <v>173</v>
      </c>
      <c r="BZ162"/>
      <c r="CA162"/>
      <c r="CB162" t="s">
        <v>173</v>
      </c>
      <c r="CC162" t="s">
        <v>173</v>
      </c>
      <c r="CD162"/>
      <c r="CE162"/>
      <c r="CF162"/>
      <c r="CG162"/>
      <c r="CH162"/>
      <c r="CI162"/>
      <c r="CJ162"/>
      <c r="CK162" t="s">
        <v>259</v>
      </c>
      <c r="CL162"/>
      <c r="CM162">
        <v>1</v>
      </c>
      <c r="CN162" t="s">
        <v>260</v>
      </c>
      <c r="CO162"/>
      <c r="CP162">
        <v>442</v>
      </c>
      <c r="CQ162">
        <v>262</v>
      </c>
      <c r="CR162">
        <v>163</v>
      </c>
      <c r="CS162" t="s">
        <v>261</v>
      </c>
      <c r="CT162"/>
      <c r="CU162"/>
      <c r="CV162" t="s">
        <v>262</v>
      </c>
      <c r="CW162"/>
      <c r="CX162" t="s">
        <v>263</v>
      </c>
      <c r="CY162" t="s">
        <v>172</v>
      </c>
      <c r="CZ162"/>
      <c r="DA162"/>
      <c r="DB162"/>
      <c r="DC162"/>
      <c r="DD162">
        <v>2</v>
      </c>
      <c r="DE162" t="s">
        <v>530</v>
      </c>
      <c r="DF162"/>
      <c r="DG162">
        <v>250</v>
      </c>
      <c r="DH162"/>
      <c r="DI162"/>
      <c r="DJ162"/>
      <c r="DK162"/>
      <c r="DL162" t="s">
        <v>173</v>
      </c>
      <c r="DM162" t="s">
        <v>172</v>
      </c>
      <c r="DN162"/>
      <c r="DO162"/>
      <c r="DP162" t="s">
        <v>173</v>
      </c>
      <c r="DQ162" t="s">
        <v>189</v>
      </c>
      <c r="DR162"/>
      <c r="DS162"/>
      <c r="DT162"/>
      <c r="DU162"/>
      <c r="DV162"/>
      <c r="DW162"/>
      <c r="DX162"/>
      <c r="DY162"/>
      <c r="DZ162"/>
      <c r="EA162" s="117"/>
      <c r="EB162">
        <v>9</v>
      </c>
      <c r="EC162">
        <v>10</v>
      </c>
      <c r="ED162"/>
      <c r="EE162" t="s">
        <v>1461</v>
      </c>
      <c r="EF162">
        <v>10</v>
      </c>
      <c r="EG162"/>
      <c r="EH162"/>
      <c r="EI162"/>
      <c r="EJ162"/>
      <c r="EK162"/>
      <c r="EL162"/>
      <c r="EM162"/>
      <c r="EN162"/>
      <c r="EO162"/>
      <c r="EP162"/>
      <c r="EQ162"/>
      <c r="ER162"/>
      <c r="ES162"/>
      <c r="ET162"/>
      <c r="EU162">
        <v>4000</v>
      </c>
      <c r="EV162"/>
      <c r="EW162">
        <v>0</v>
      </c>
      <c r="EX162">
        <v>0</v>
      </c>
      <c r="EY162">
        <v>0</v>
      </c>
      <c r="EZ162"/>
      <c r="FA162">
        <v>10</v>
      </c>
      <c r="FB162"/>
      <c r="FC162"/>
      <c r="FD162"/>
      <c r="FE162"/>
      <c r="FF162"/>
      <c r="FG162" s="94">
        <v>309</v>
      </c>
      <c r="FH162" s="94">
        <v>278</v>
      </c>
      <c r="FI162" s="94">
        <v>295</v>
      </c>
    </row>
    <row r="163" spans="1:165" s="66" customFormat="1" x14ac:dyDescent="0.35">
      <c r="A163">
        <v>2026</v>
      </c>
      <c r="B163" t="s">
        <v>688</v>
      </c>
      <c r="C163" s="112" t="s">
        <v>1039</v>
      </c>
      <c r="D163" t="s">
        <v>1722</v>
      </c>
      <c r="E163" t="s">
        <v>691</v>
      </c>
      <c r="F163">
        <v>3</v>
      </c>
      <c r="G163" s="113">
        <v>0</v>
      </c>
      <c r="H163"/>
      <c r="I163" t="s">
        <v>1391</v>
      </c>
      <c r="J163">
        <v>34</v>
      </c>
      <c r="K163">
        <v>38</v>
      </c>
      <c r="L163">
        <v>36</v>
      </c>
      <c r="M163">
        <v>23.6812</v>
      </c>
      <c r="N163">
        <v>26.392099999999999</v>
      </c>
      <c r="O163">
        <v>24.9011</v>
      </c>
      <c r="P163">
        <v>33.837000000000003</v>
      </c>
      <c r="Q163">
        <v>37.705599999999997</v>
      </c>
      <c r="R163">
        <v>35.577800000000003</v>
      </c>
      <c r="S163"/>
      <c r="T163"/>
      <c r="U163"/>
      <c r="V163" t="s">
        <v>170</v>
      </c>
      <c r="W163" t="s">
        <v>171</v>
      </c>
      <c r="X163"/>
      <c r="Y163">
        <v>1</v>
      </c>
      <c r="Z163" t="s">
        <v>173</v>
      </c>
      <c r="AA163" t="s">
        <v>173</v>
      </c>
      <c r="AB163" t="s">
        <v>170</v>
      </c>
      <c r="AC163" t="s">
        <v>232</v>
      </c>
      <c r="AD163"/>
      <c r="AE163"/>
      <c r="AF163">
        <v>295</v>
      </c>
      <c r="AG163" t="s">
        <v>1392</v>
      </c>
      <c r="AH163" t="s">
        <v>1393</v>
      </c>
      <c r="AI163" t="s">
        <v>1399</v>
      </c>
      <c r="AJ163" t="s">
        <v>1400</v>
      </c>
      <c r="AK163" t="s">
        <v>173</v>
      </c>
      <c r="AL163" t="s">
        <v>180</v>
      </c>
      <c r="AM163"/>
      <c r="AN163"/>
      <c r="AO163">
        <v>105</v>
      </c>
      <c r="AP163">
        <v>25</v>
      </c>
      <c r="AQ163"/>
      <c r="AR163"/>
      <c r="AS163">
        <v>900</v>
      </c>
      <c r="AT163">
        <v>900</v>
      </c>
      <c r="AU163"/>
      <c r="AV163"/>
      <c r="AW163"/>
      <c r="AX163"/>
      <c r="AY163"/>
      <c r="AZ163"/>
      <c r="BA163"/>
      <c r="BB163"/>
      <c r="BC163"/>
      <c r="BD163"/>
      <c r="BE163"/>
      <c r="BF163"/>
      <c r="BG163"/>
      <c r="BH163"/>
      <c r="BI163"/>
      <c r="BJ163"/>
      <c r="BK163"/>
      <c r="BL163"/>
      <c r="BM163"/>
      <c r="BN163" s="114"/>
      <c r="BO163"/>
      <c r="BP163"/>
      <c r="BQ163">
        <v>6</v>
      </c>
      <c r="BR163" t="s">
        <v>536</v>
      </c>
      <c r="BS163" t="s">
        <v>182</v>
      </c>
      <c r="BT163" t="s">
        <v>1395</v>
      </c>
      <c r="BU163" s="115">
        <v>45867</v>
      </c>
      <c r="BV163">
        <v>37212</v>
      </c>
      <c r="BW163" s="116"/>
      <c r="BX163" t="s">
        <v>173</v>
      </c>
      <c r="BY163" t="s">
        <v>173</v>
      </c>
      <c r="BZ163"/>
      <c r="CA163"/>
      <c r="CB163" t="s">
        <v>173</v>
      </c>
      <c r="CC163" t="s">
        <v>173</v>
      </c>
      <c r="CD163"/>
      <c r="CE163"/>
      <c r="CF163"/>
      <c r="CG163"/>
      <c r="CH163"/>
      <c r="CI163"/>
      <c r="CJ163"/>
      <c r="CK163" t="s">
        <v>259</v>
      </c>
      <c r="CL163"/>
      <c r="CM163">
        <v>1</v>
      </c>
      <c r="CN163" t="s">
        <v>260</v>
      </c>
      <c r="CO163"/>
      <c r="CP163">
        <v>442</v>
      </c>
      <c r="CQ163">
        <v>262</v>
      </c>
      <c r="CR163">
        <v>163</v>
      </c>
      <c r="CS163" t="s">
        <v>261</v>
      </c>
      <c r="CT163"/>
      <c r="CU163"/>
      <c r="CV163" t="s">
        <v>262</v>
      </c>
      <c r="CW163"/>
      <c r="CX163" t="s">
        <v>263</v>
      </c>
      <c r="CY163" t="s">
        <v>172</v>
      </c>
      <c r="CZ163"/>
      <c r="DA163"/>
      <c r="DB163"/>
      <c r="DC163"/>
      <c r="DD163">
        <v>2</v>
      </c>
      <c r="DE163" t="s">
        <v>530</v>
      </c>
      <c r="DF163"/>
      <c r="DG163">
        <v>250</v>
      </c>
      <c r="DH163"/>
      <c r="DI163"/>
      <c r="DJ163"/>
      <c r="DK163"/>
      <c r="DL163" t="s">
        <v>173</v>
      </c>
      <c r="DM163" t="s">
        <v>172</v>
      </c>
      <c r="DN163"/>
      <c r="DO163"/>
      <c r="DP163" t="s">
        <v>173</v>
      </c>
      <c r="DQ163" t="s">
        <v>189</v>
      </c>
      <c r="DR163"/>
      <c r="DS163"/>
      <c r="DT163"/>
      <c r="DU163"/>
      <c r="DV163"/>
      <c r="DW163"/>
      <c r="DX163"/>
      <c r="DY163"/>
      <c r="DZ163"/>
      <c r="EA163" s="117"/>
      <c r="EB163">
        <v>9</v>
      </c>
      <c r="EC163">
        <v>10</v>
      </c>
      <c r="ED163"/>
      <c r="EE163" t="s">
        <v>1461</v>
      </c>
      <c r="EF163">
        <v>10</v>
      </c>
      <c r="EG163"/>
      <c r="EH163"/>
      <c r="EI163"/>
      <c r="EJ163"/>
      <c r="EK163"/>
      <c r="EL163"/>
      <c r="EM163"/>
      <c r="EN163"/>
      <c r="EO163"/>
      <c r="EP163"/>
      <c r="EQ163"/>
      <c r="ER163"/>
      <c r="ES163"/>
      <c r="ET163"/>
      <c r="EU163">
        <v>4000</v>
      </c>
      <c r="EV163"/>
      <c r="EW163">
        <v>0</v>
      </c>
      <c r="EX163">
        <v>0</v>
      </c>
      <c r="EY163">
        <v>0</v>
      </c>
      <c r="EZ163"/>
      <c r="FA163">
        <v>10</v>
      </c>
      <c r="FB163"/>
      <c r="FC163"/>
      <c r="FD163"/>
      <c r="FE163"/>
      <c r="FF163"/>
      <c r="FG163" s="94">
        <v>309</v>
      </c>
      <c r="FH163" s="94">
        <v>278</v>
      </c>
      <c r="FI163" s="94">
        <v>295</v>
      </c>
    </row>
    <row r="164" spans="1:165" s="66" customFormat="1" x14ac:dyDescent="0.35">
      <c r="A164" s="19"/>
      <c r="B164" s="19"/>
      <c r="C164" s="19"/>
      <c r="D164" s="19"/>
      <c r="E164" s="19"/>
      <c r="F164" s="128"/>
      <c r="G164" s="19"/>
      <c r="H164" s="19"/>
      <c r="I164" s="19"/>
      <c r="J164" s="19"/>
      <c r="K164" s="19" t="str">
        <f>_xlfn.CONCAT(A165," ",C165," ",D165)</f>
        <v>2026 Dodge Charger Daytona R/T AWD 275/40R20</v>
      </c>
      <c r="L164" s="19"/>
      <c r="M164" s="19"/>
      <c r="N164" s="19"/>
      <c r="O164" s="19"/>
      <c r="P164" s="19"/>
      <c r="Q164" s="19"/>
      <c r="R164" s="19"/>
      <c r="S164" s="19"/>
      <c r="T164" s="19"/>
      <c r="U164" s="19"/>
      <c r="V164" s="19"/>
      <c r="W164" s="19"/>
      <c r="X164" s="19"/>
      <c r="Y164" s="19"/>
      <c r="Z164" s="19"/>
      <c r="AA164" s="19"/>
      <c r="AB164" s="19" t="str">
        <f>$K164</f>
        <v>2026 Dodge Charger Daytona R/T AWD 275/40R20</v>
      </c>
      <c r="AC164" s="19"/>
      <c r="AD164" s="19"/>
      <c r="AE164" s="19"/>
      <c r="AF164" s="19"/>
      <c r="AG164" s="19"/>
      <c r="AH164" s="19"/>
      <c r="AI164" s="19"/>
      <c r="AJ164" s="19"/>
      <c r="AK164" s="19"/>
      <c r="AL164" s="19"/>
      <c r="AM164" s="19"/>
      <c r="AN164" s="19"/>
      <c r="AO164" s="19"/>
      <c r="AP164" s="19"/>
      <c r="AQ164" s="19"/>
      <c r="AR164" s="19" t="str">
        <f>$K164</f>
        <v>2026 Dodge Charger Daytona R/T AWD 275/40R20</v>
      </c>
      <c r="AS164" s="19"/>
      <c r="AT164" s="19"/>
      <c r="AU164" s="19"/>
      <c r="AV164" s="19"/>
      <c r="AW164" s="19"/>
      <c r="AX164" s="19"/>
      <c r="AY164" s="19"/>
      <c r="AZ164" s="19"/>
      <c r="BA164" s="19"/>
      <c r="BB164" s="19"/>
      <c r="BC164" s="19"/>
      <c r="BD164" s="19"/>
      <c r="BE164" s="19"/>
      <c r="BF164" s="19"/>
      <c r="BG164" s="19" t="str">
        <f>$K164</f>
        <v>2026 Dodge Charger Daytona R/T AWD 275/40R20</v>
      </c>
      <c r="BH164" s="19"/>
      <c r="BI164" s="19"/>
      <c r="BJ164" s="19"/>
      <c r="BK164" s="19"/>
      <c r="BL164" s="19"/>
      <c r="BM164" s="129"/>
      <c r="BN164" s="19"/>
      <c r="BO164" s="19"/>
      <c r="BP164" s="19"/>
      <c r="BQ164" s="19"/>
      <c r="BR164" s="19"/>
      <c r="BS164" s="19"/>
      <c r="BT164" s="130"/>
      <c r="BU164" s="19"/>
      <c r="BV164" s="19"/>
      <c r="BW164" s="116"/>
      <c r="BX164" s="19"/>
      <c r="BY164" s="19"/>
      <c r="BZ164" s="19"/>
      <c r="CA164" s="19"/>
      <c r="CB164" s="19"/>
      <c r="CC164" s="19"/>
      <c r="CD164" s="19"/>
      <c r="CE164" s="19"/>
      <c r="CF164" s="19"/>
      <c r="CG164" s="19"/>
      <c r="CH164" s="19"/>
      <c r="CI164" s="19"/>
      <c r="CJ164" s="19"/>
      <c r="CK164" s="19"/>
      <c r="CL164" s="19"/>
      <c r="CM164" s="19" t="str">
        <f>$K164</f>
        <v>2026 Dodge Charger Daytona R/T AWD 275/40R20</v>
      </c>
      <c r="CN164" s="19"/>
      <c r="CO164" s="19"/>
      <c r="CP164" s="19"/>
      <c r="CQ164" s="19"/>
      <c r="CR164" s="19"/>
      <c r="CS164" s="19"/>
      <c r="CT164" s="19"/>
      <c r="CU164" s="19"/>
      <c r="CV164" s="19"/>
      <c r="CW164" s="19"/>
      <c r="CX164" s="19"/>
      <c r="CY164" s="19"/>
      <c r="CZ164" s="19"/>
      <c r="DA164" s="19"/>
      <c r="DB164" s="19"/>
      <c r="DC164" s="19"/>
      <c r="DD164" s="19" t="str">
        <f>$K164</f>
        <v>2026 Dodge Charger Daytona R/T AWD 275/40R20</v>
      </c>
      <c r="DE164" s="19"/>
      <c r="DF164" s="19"/>
      <c r="DG164" s="19"/>
      <c r="DH164" s="19"/>
      <c r="DI164" s="19"/>
      <c r="DJ164" s="19"/>
      <c r="DK164" s="19"/>
      <c r="DL164" s="19"/>
      <c r="DM164" s="19"/>
      <c r="DN164" s="19"/>
      <c r="DO164" s="19"/>
      <c r="DP164" s="19"/>
      <c r="DQ164" s="19"/>
      <c r="DR164" s="19"/>
      <c r="DS164" s="19"/>
      <c r="DT164" s="19"/>
      <c r="DU164" s="19" t="str">
        <f>$K164</f>
        <v>2026 Dodge Charger Daytona R/T AWD 275/40R20</v>
      </c>
      <c r="DV164" s="19"/>
      <c r="DW164" s="19"/>
      <c r="DX164" s="19"/>
      <c r="DY164" s="19"/>
      <c r="DZ164" s="19"/>
      <c r="EA164" s="117"/>
      <c r="EB164" s="19"/>
      <c r="EC164" s="19"/>
      <c r="ED164" s="19"/>
      <c r="EE164" s="19"/>
      <c r="EF164" s="19"/>
      <c r="EG164"/>
      <c r="EH164"/>
      <c r="EI164"/>
      <c r="EJ164"/>
      <c r="EK164"/>
      <c r="EL164"/>
      <c r="EM164"/>
      <c r="EN164"/>
      <c r="EO164"/>
      <c r="EP164"/>
      <c r="EQ164"/>
      <c r="ER164"/>
      <c r="ES164"/>
      <c r="ET164"/>
      <c r="EU164"/>
      <c r="EV164"/>
      <c r="EW164"/>
      <c r="EX164" s="19" t="s">
        <v>1975</v>
      </c>
      <c r="EY164"/>
      <c r="EZ164"/>
      <c r="FA164"/>
      <c r="FB164"/>
      <c r="FC164"/>
      <c r="FD164"/>
      <c r="FE164"/>
      <c r="FF164"/>
      <c r="FG164"/>
      <c r="FH164"/>
      <c r="FI164"/>
    </row>
    <row r="165" spans="1:165" s="66" customFormat="1" x14ac:dyDescent="0.35">
      <c r="A165">
        <v>2026</v>
      </c>
      <c r="B165" t="s">
        <v>688</v>
      </c>
      <c r="C165" s="112" t="s">
        <v>1039</v>
      </c>
      <c r="D165" t="s">
        <v>1723</v>
      </c>
      <c r="E165" t="s">
        <v>691</v>
      </c>
      <c r="F165">
        <v>4</v>
      </c>
      <c r="G165" s="113">
        <v>0</v>
      </c>
      <c r="H165"/>
      <c r="I165" t="s">
        <v>1391</v>
      </c>
      <c r="J165">
        <v>89</v>
      </c>
      <c r="K165">
        <v>76</v>
      </c>
      <c r="L165">
        <v>83</v>
      </c>
      <c r="M165">
        <v>132.4</v>
      </c>
      <c r="N165">
        <v>113.2</v>
      </c>
      <c r="O165">
        <v>123.0112</v>
      </c>
      <c r="P165">
        <v>89</v>
      </c>
      <c r="Q165">
        <v>76</v>
      </c>
      <c r="R165">
        <v>83</v>
      </c>
      <c r="S165"/>
      <c r="T165"/>
      <c r="U165"/>
      <c r="V165" t="s">
        <v>170</v>
      </c>
      <c r="W165" t="s">
        <v>171</v>
      </c>
      <c r="X165"/>
      <c r="Y165">
        <v>1</v>
      </c>
      <c r="Z165" t="s">
        <v>173</v>
      </c>
      <c r="AA165" t="s">
        <v>173</v>
      </c>
      <c r="AB165" t="s">
        <v>170</v>
      </c>
      <c r="AC165" t="s">
        <v>232</v>
      </c>
      <c r="AD165"/>
      <c r="AE165"/>
      <c r="AF165">
        <v>258</v>
      </c>
      <c r="AG165" t="s">
        <v>1392</v>
      </c>
      <c r="AH165" t="s">
        <v>1393</v>
      </c>
      <c r="AI165" t="s">
        <v>178</v>
      </c>
      <c r="AJ165" t="s">
        <v>179</v>
      </c>
      <c r="AK165" t="s">
        <v>173</v>
      </c>
      <c r="AL165" t="s">
        <v>180</v>
      </c>
      <c r="AM165"/>
      <c r="AN165"/>
      <c r="AO165">
        <v>105</v>
      </c>
      <c r="AP165">
        <v>25</v>
      </c>
      <c r="AQ165"/>
      <c r="AR165"/>
      <c r="AS165">
        <v>1050</v>
      </c>
      <c r="AT165">
        <v>1050</v>
      </c>
      <c r="AU165"/>
      <c r="AV165"/>
      <c r="AW165"/>
      <c r="AX165"/>
      <c r="AY165"/>
      <c r="AZ165"/>
      <c r="BA165"/>
      <c r="BB165"/>
      <c r="BC165"/>
      <c r="BD165"/>
      <c r="BE165"/>
      <c r="BF165"/>
      <c r="BG165"/>
      <c r="BH165"/>
      <c r="BI165"/>
      <c r="BJ165"/>
      <c r="BK165"/>
      <c r="BL165"/>
      <c r="BM165"/>
      <c r="BN165" s="114"/>
      <c r="BO165"/>
      <c r="BP165"/>
      <c r="BQ165">
        <v>6</v>
      </c>
      <c r="BR165" t="s">
        <v>536</v>
      </c>
      <c r="BS165" t="s">
        <v>182</v>
      </c>
      <c r="BT165" t="s">
        <v>1395</v>
      </c>
      <c r="BU165" s="115">
        <v>45873</v>
      </c>
      <c r="BV165">
        <v>37231</v>
      </c>
      <c r="BW165" s="116"/>
      <c r="BX165" t="s">
        <v>173</v>
      </c>
      <c r="BY165" t="s">
        <v>173</v>
      </c>
      <c r="BZ165"/>
      <c r="CA165"/>
      <c r="CB165" t="s">
        <v>173</v>
      </c>
      <c r="CC165" t="s">
        <v>173</v>
      </c>
      <c r="CD165"/>
      <c r="CE165"/>
      <c r="CF165"/>
      <c r="CG165"/>
      <c r="CH165"/>
      <c r="CI165"/>
      <c r="CJ165"/>
      <c r="CK165" t="s">
        <v>259</v>
      </c>
      <c r="CL165"/>
      <c r="CM165">
        <v>1</v>
      </c>
      <c r="CN165" t="s">
        <v>260</v>
      </c>
      <c r="CO165"/>
      <c r="CP165">
        <v>442</v>
      </c>
      <c r="CQ165">
        <v>262</v>
      </c>
      <c r="CR165">
        <v>163</v>
      </c>
      <c r="CS165" t="s">
        <v>261</v>
      </c>
      <c r="CT165"/>
      <c r="CU165"/>
      <c r="CV165" t="s">
        <v>262</v>
      </c>
      <c r="CW165"/>
      <c r="CX165" t="s">
        <v>263</v>
      </c>
      <c r="CY165" t="s">
        <v>172</v>
      </c>
      <c r="CZ165"/>
      <c r="DA165"/>
      <c r="DB165"/>
      <c r="DC165"/>
      <c r="DD165">
        <v>2</v>
      </c>
      <c r="DE165" t="s">
        <v>530</v>
      </c>
      <c r="DF165"/>
      <c r="DG165">
        <v>250</v>
      </c>
      <c r="DH165"/>
      <c r="DI165"/>
      <c r="DJ165"/>
      <c r="DK165"/>
      <c r="DL165" t="s">
        <v>173</v>
      </c>
      <c r="DM165" t="s">
        <v>172</v>
      </c>
      <c r="DN165"/>
      <c r="DO165"/>
      <c r="DP165" t="s">
        <v>173</v>
      </c>
      <c r="DQ165" t="s">
        <v>189</v>
      </c>
      <c r="DR165"/>
      <c r="DS165"/>
      <c r="DT165"/>
      <c r="DU165"/>
      <c r="DV165"/>
      <c r="DW165"/>
      <c r="DX165"/>
      <c r="DY165"/>
      <c r="DZ165"/>
      <c r="EA165" s="117"/>
      <c r="EB165">
        <v>9</v>
      </c>
      <c r="EC165">
        <v>10</v>
      </c>
      <c r="ED165"/>
      <c r="EE165" t="s">
        <v>1461</v>
      </c>
      <c r="EF165">
        <v>10</v>
      </c>
      <c r="EG165"/>
      <c r="EH165"/>
      <c r="EI165"/>
      <c r="EJ165"/>
      <c r="EK165"/>
      <c r="EL165"/>
      <c r="EM165"/>
      <c r="EN165"/>
      <c r="EO165"/>
      <c r="EP165"/>
      <c r="EQ165"/>
      <c r="ER165"/>
      <c r="ES165"/>
      <c r="ET165"/>
      <c r="EU165">
        <v>3250</v>
      </c>
      <c r="EV165"/>
      <c r="EW165">
        <v>0</v>
      </c>
      <c r="EX165">
        <v>0</v>
      </c>
      <c r="EY165">
        <v>0</v>
      </c>
      <c r="EZ165"/>
      <c r="FA165">
        <v>10</v>
      </c>
      <c r="FB165"/>
      <c r="FC165"/>
      <c r="FD165"/>
      <c r="FE165"/>
      <c r="FF165"/>
      <c r="FG165" s="94">
        <v>275</v>
      </c>
      <c r="FH165" s="94">
        <v>237</v>
      </c>
      <c r="FI165" s="94">
        <v>258</v>
      </c>
    </row>
    <row r="166" spans="1:165" s="66" customFormat="1" x14ac:dyDescent="0.35">
      <c r="A166">
        <v>2026</v>
      </c>
      <c r="B166" t="s">
        <v>688</v>
      </c>
      <c r="C166" s="112" t="s">
        <v>1039</v>
      </c>
      <c r="D166" t="s">
        <v>1723</v>
      </c>
      <c r="E166" t="s">
        <v>691</v>
      </c>
      <c r="F166">
        <v>4</v>
      </c>
      <c r="G166" s="113">
        <v>0</v>
      </c>
      <c r="H166"/>
      <c r="I166" t="s">
        <v>1391</v>
      </c>
      <c r="J166">
        <v>38</v>
      </c>
      <c r="K166">
        <v>44</v>
      </c>
      <c r="L166">
        <v>41</v>
      </c>
      <c r="M166">
        <v>25.456399999999999</v>
      </c>
      <c r="N166">
        <v>29.7837</v>
      </c>
      <c r="O166">
        <v>27.403700000000001</v>
      </c>
      <c r="P166">
        <v>38</v>
      </c>
      <c r="Q166">
        <v>44</v>
      </c>
      <c r="R166">
        <v>41</v>
      </c>
      <c r="S166"/>
      <c r="T166"/>
      <c r="U166"/>
      <c r="V166" t="s">
        <v>170</v>
      </c>
      <c r="W166" t="s">
        <v>171</v>
      </c>
      <c r="X166"/>
      <c r="Y166">
        <v>1</v>
      </c>
      <c r="Z166" t="s">
        <v>173</v>
      </c>
      <c r="AA166" t="s">
        <v>173</v>
      </c>
      <c r="AB166" t="s">
        <v>170</v>
      </c>
      <c r="AC166" t="s">
        <v>232</v>
      </c>
      <c r="AD166"/>
      <c r="AE166"/>
      <c r="AF166">
        <v>258</v>
      </c>
      <c r="AG166" t="s">
        <v>1392</v>
      </c>
      <c r="AH166" t="s">
        <v>1393</v>
      </c>
      <c r="AI166" t="s">
        <v>1399</v>
      </c>
      <c r="AJ166" t="s">
        <v>1400</v>
      </c>
      <c r="AK166" t="s">
        <v>173</v>
      </c>
      <c r="AL166" t="s">
        <v>180</v>
      </c>
      <c r="AM166"/>
      <c r="AN166"/>
      <c r="AO166">
        <v>105</v>
      </c>
      <c r="AP166">
        <v>25</v>
      </c>
      <c r="AQ166"/>
      <c r="AR166"/>
      <c r="AS166">
        <v>1050</v>
      </c>
      <c r="AT166">
        <v>1050</v>
      </c>
      <c r="AU166"/>
      <c r="AV166"/>
      <c r="AW166"/>
      <c r="AX166"/>
      <c r="AY166"/>
      <c r="AZ166"/>
      <c r="BA166"/>
      <c r="BB166"/>
      <c r="BC166"/>
      <c r="BD166"/>
      <c r="BE166"/>
      <c r="BF166"/>
      <c r="BG166"/>
      <c r="BH166"/>
      <c r="BI166"/>
      <c r="BJ166"/>
      <c r="BK166"/>
      <c r="BL166"/>
      <c r="BM166"/>
      <c r="BN166" s="114"/>
      <c r="BO166"/>
      <c r="BP166"/>
      <c r="BQ166">
        <v>6</v>
      </c>
      <c r="BR166" t="s">
        <v>536</v>
      </c>
      <c r="BS166" t="s">
        <v>182</v>
      </c>
      <c r="BT166" t="s">
        <v>1395</v>
      </c>
      <c r="BU166" s="115">
        <v>45873</v>
      </c>
      <c r="BV166">
        <v>37231</v>
      </c>
      <c r="BW166" s="116"/>
      <c r="BX166" t="s">
        <v>173</v>
      </c>
      <c r="BY166" t="s">
        <v>173</v>
      </c>
      <c r="BZ166"/>
      <c r="CA166"/>
      <c r="CB166" t="s">
        <v>173</v>
      </c>
      <c r="CC166" t="s">
        <v>173</v>
      </c>
      <c r="CD166"/>
      <c r="CE166"/>
      <c r="CF166"/>
      <c r="CG166"/>
      <c r="CH166"/>
      <c r="CI166"/>
      <c r="CJ166"/>
      <c r="CK166" t="s">
        <v>259</v>
      </c>
      <c r="CL166"/>
      <c r="CM166">
        <v>1</v>
      </c>
      <c r="CN166" t="s">
        <v>260</v>
      </c>
      <c r="CO166"/>
      <c r="CP166">
        <v>442</v>
      </c>
      <c r="CQ166">
        <v>262</v>
      </c>
      <c r="CR166">
        <v>163</v>
      </c>
      <c r="CS166" t="s">
        <v>261</v>
      </c>
      <c r="CT166"/>
      <c r="CU166"/>
      <c r="CV166" t="s">
        <v>262</v>
      </c>
      <c r="CW166"/>
      <c r="CX166" t="s">
        <v>263</v>
      </c>
      <c r="CY166" t="s">
        <v>172</v>
      </c>
      <c r="CZ166"/>
      <c r="DA166"/>
      <c r="DB166"/>
      <c r="DC166"/>
      <c r="DD166">
        <v>2</v>
      </c>
      <c r="DE166" t="s">
        <v>530</v>
      </c>
      <c r="DF166"/>
      <c r="DG166">
        <v>250</v>
      </c>
      <c r="DH166"/>
      <c r="DI166"/>
      <c r="DJ166"/>
      <c r="DK166"/>
      <c r="DL166" t="s">
        <v>173</v>
      </c>
      <c r="DM166" t="s">
        <v>172</v>
      </c>
      <c r="DN166"/>
      <c r="DO166"/>
      <c r="DP166" t="s">
        <v>173</v>
      </c>
      <c r="DQ166" t="s">
        <v>189</v>
      </c>
      <c r="DR166"/>
      <c r="DS166"/>
      <c r="DT166"/>
      <c r="DU166"/>
      <c r="DV166"/>
      <c r="DW166"/>
      <c r="DX166"/>
      <c r="DY166"/>
      <c r="DZ166"/>
      <c r="EA166" s="117"/>
      <c r="EB166">
        <v>9</v>
      </c>
      <c r="EC166">
        <v>10</v>
      </c>
      <c r="ED166"/>
      <c r="EE166" t="s">
        <v>1461</v>
      </c>
      <c r="EF166">
        <v>10</v>
      </c>
      <c r="EG166"/>
      <c r="EH166"/>
      <c r="EI166"/>
      <c r="EJ166"/>
      <c r="EK166"/>
      <c r="EL166"/>
      <c r="EM166"/>
      <c r="EN166"/>
      <c r="EO166"/>
      <c r="EP166"/>
      <c r="EQ166"/>
      <c r="ER166"/>
      <c r="ES166"/>
      <c r="ET166"/>
      <c r="EU166">
        <v>3250</v>
      </c>
      <c r="EV166"/>
      <c r="EW166">
        <v>0</v>
      </c>
      <c r="EX166">
        <v>0</v>
      </c>
      <c r="EY166">
        <v>0</v>
      </c>
      <c r="EZ166"/>
      <c r="FA166">
        <v>10</v>
      </c>
      <c r="FB166"/>
      <c r="FC166"/>
      <c r="FD166"/>
      <c r="FE166"/>
      <c r="FF166"/>
      <c r="FG166" s="94">
        <v>275</v>
      </c>
      <c r="FH166" s="94">
        <v>237</v>
      </c>
      <c r="FI166" s="94">
        <v>258</v>
      </c>
    </row>
    <row r="167" spans="1:165" s="66" customFormat="1" x14ac:dyDescent="0.35">
      <c r="A167" s="19"/>
      <c r="B167" s="19"/>
      <c r="C167" s="19"/>
      <c r="D167" s="19"/>
      <c r="E167" s="19"/>
      <c r="F167" s="128"/>
      <c r="G167" s="19"/>
      <c r="H167" s="19"/>
      <c r="I167" s="19"/>
      <c r="J167" s="19"/>
      <c r="K167" s="19" t="str">
        <f>_xlfn.CONCAT(A168," ",C168," ",D168)</f>
        <v>2026 Dodge Charger Daytona R/T AWD 305/35ZR20</v>
      </c>
      <c r="L167" s="19"/>
      <c r="M167" s="19"/>
      <c r="N167" s="19"/>
      <c r="O167" s="19"/>
      <c r="P167" s="19"/>
      <c r="Q167" s="19"/>
      <c r="R167" s="19"/>
      <c r="S167" s="19"/>
      <c r="T167" s="19"/>
      <c r="U167" s="19"/>
      <c r="V167" s="19"/>
      <c r="W167" s="19"/>
      <c r="X167" s="19"/>
      <c r="Y167" s="19"/>
      <c r="Z167" s="19"/>
      <c r="AA167" s="19"/>
      <c r="AB167" s="19" t="str">
        <f>$K167</f>
        <v>2026 Dodge Charger Daytona R/T AWD 305/35ZR20</v>
      </c>
      <c r="AC167" s="19"/>
      <c r="AD167" s="19"/>
      <c r="AE167" s="19"/>
      <c r="AF167" s="19"/>
      <c r="AG167" s="19"/>
      <c r="AH167" s="19"/>
      <c r="AI167" s="19"/>
      <c r="AJ167" s="19"/>
      <c r="AK167" s="19"/>
      <c r="AL167" s="19"/>
      <c r="AM167" s="19"/>
      <c r="AN167" s="19"/>
      <c r="AO167" s="19"/>
      <c r="AP167" s="19"/>
      <c r="AQ167" s="19"/>
      <c r="AR167" s="19" t="str">
        <f>$K167</f>
        <v>2026 Dodge Charger Daytona R/T AWD 305/35ZR20</v>
      </c>
      <c r="AS167" s="19"/>
      <c r="AT167" s="19"/>
      <c r="AU167" s="19"/>
      <c r="AV167" s="19"/>
      <c r="AW167" s="19"/>
      <c r="AX167" s="19"/>
      <c r="AY167" s="19"/>
      <c r="AZ167" s="19"/>
      <c r="BA167" s="19"/>
      <c r="BB167" s="19"/>
      <c r="BC167" s="19"/>
      <c r="BD167" s="19"/>
      <c r="BE167" s="19"/>
      <c r="BF167" s="19"/>
      <c r="BG167" s="19" t="str">
        <f>$K167</f>
        <v>2026 Dodge Charger Daytona R/T AWD 305/35ZR20</v>
      </c>
      <c r="BH167" s="19"/>
      <c r="BI167" s="19"/>
      <c r="BJ167" s="19"/>
      <c r="BK167" s="19"/>
      <c r="BL167" s="19"/>
      <c r="BM167" s="129"/>
      <c r="BN167" s="19"/>
      <c r="BO167" s="19"/>
      <c r="BP167" s="19"/>
      <c r="BQ167" s="19"/>
      <c r="BR167" s="19"/>
      <c r="BS167" s="19"/>
      <c r="BT167" s="130"/>
      <c r="BU167" s="19"/>
      <c r="BV167" s="19"/>
      <c r="BW167" s="116"/>
      <c r="BX167" s="19"/>
      <c r="BY167" s="19"/>
      <c r="BZ167" s="19"/>
      <c r="CA167" s="19"/>
      <c r="CB167" s="19"/>
      <c r="CC167" s="19"/>
      <c r="CD167" s="19"/>
      <c r="CE167" s="19"/>
      <c r="CF167" s="19"/>
      <c r="CG167" s="19"/>
      <c r="CH167" s="19"/>
      <c r="CI167" s="19"/>
      <c r="CJ167" s="19"/>
      <c r="CK167" s="19"/>
      <c r="CL167" s="19"/>
      <c r="CM167" s="19" t="str">
        <f>$K167</f>
        <v>2026 Dodge Charger Daytona R/T AWD 305/35ZR20</v>
      </c>
      <c r="CN167" s="19"/>
      <c r="CO167" s="19"/>
      <c r="CP167" s="19"/>
      <c r="CQ167" s="19"/>
      <c r="CR167" s="19"/>
      <c r="CS167" s="19"/>
      <c r="CT167" s="19"/>
      <c r="CU167" s="19"/>
      <c r="CV167" s="19"/>
      <c r="CW167" s="19"/>
      <c r="CX167" s="19"/>
      <c r="CY167" s="19"/>
      <c r="CZ167" s="19"/>
      <c r="DA167" s="19"/>
      <c r="DB167" s="19"/>
      <c r="DC167" s="19"/>
      <c r="DD167" s="19" t="str">
        <f>$K167</f>
        <v>2026 Dodge Charger Daytona R/T AWD 305/35ZR20</v>
      </c>
      <c r="DE167" s="19"/>
      <c r="DF167" s="19"/>
      <c r="DG167" s="19"/>
      <c r="DH167" s="19"/>
      <c r="DI167" s="19"/>
      <c r="DJ167" s="19"/>
      <c r="DK167" s="19"/>
      <c r="DL167" s="19"/>
      <c r="DM167" s="19"/>
      <c r="DN167" s="19"/>
      <c r="DO167" s="19"/>
      <c r="DP167" s="19"/>
      <c r="DQ167" s="19"/>
      <c r="DR167" s="19"/>
      <c r="DS167" s="19"/>
      <c r="DT167" s="19"/>
      <c r="DU167" s="19" t="str">
        <f>$K167</f>
        <v>2026 Dodge Charger Daytona R/T AWD 305/35ZR20</v>
      </c>
      <c r="DV167" s="19"/>
      <c r="DW167" s="19"/>
      <c r="DX167" s="19"/>
      <c r="DY167" s="19"/>
      <c r="DZ167" s="19"/>
      <c r="EA167" s="117"/>
      <c r="EB167" s="19"/>
      <c r="EC167" s="19"/>
      <c r="ED167" s="19"/>
      <c r="EE167" s="19"/>
      <c r="EF167" s="19"/>
      <c r="EG167"/>
      <c r="EH167"/>
      <c r="EI167"/>
      <c r="EJ167"/>
      <c r="EK167"/>
      <c r="EL167"/>
      <c r="EM167"/>
      <c r="EN167"/>
      <c r="EO167"/>
      <c r="EP167"/>
      <c r="EQ167"/>
      <c r="ER167"/>
      <c r="ES167"/>
      <c r="ET167"/>
      <c r="EU167"/>
      <c r="EV167"/>
      <c r="EW167"/>
      <c r="EX167" s="19" t="s">
        <v>1976</v>
      </c>
      <c r="EY167"/>
      <c r="EZ167"/>
      <c r="FA167"/>
      <c r="FB167"/>
      <c r="FC167"/>
      <c r="FD167"/>
      <c r="FE167"/>
      <c r="FF167"/>
      <c r="FG167"/>
      <c r="FH167"/>
      <c r="FI167"/>
    </row>
    <row r="168" spans="1:165" s="66" customFormat="1" x14ac:dyDescent="0.35">
      <c r="A168">
        <v>2026</v>
      </c>
      <c r="B168" t="s">
        <v>688</v>
      </c>
      <c r="C168" s="112" t="s">
        <v>1039</v>
      </c>
      <c r="D168" t="s">
        <v>1460</v>
      </c>
      <c r="E168" t="s">
        <v>691</v>
      </c>
      <c r="F168">
        <v>5</v>
      </c>
      <c r="G168" s="113">
        <v>0</v>
      </c>
      <c r="H168"/>
      <c r="I168" t="s">
        <v>1391</v>
      </c>
      <c r="J168">
        <v>93</v>
      </c>
      <c r="K168">
        <v>79</v>
      </c>
      <c r="L168">
        <v>86</v>
      </c>
      <c r="M168">
        <v>132.4</v>
      </c>
      <c r="N168">
        <v>113.2</v>
      </c>
      <c r="O168">
        <v>123.0112</v>
      </c>
      <c r="P168">
        <v>92.68</v>
      </c>
      <c r="Q168">
        <v>79.239999999999995</v>
      </c>
      <c r="R168">
        <v>86.107799999999997</v>
      </c>
      <c r="S168"/>
      <c r="T168"/>
      <c r="U168"/>
      <c r="V168" t="s">
        <v>170</v>
      </c>
      <c r="W168" t="s">
        <v>171</v>
      </c>
      <c r="X168"/>
      <c r="Y168">
        <v>1</v>
      </c>
      <c r="Z168" t="s">
        <v>173</v>
      </c>
      <c r="AA168" t="s">
        <v>173</v>
      </c>
      <c r="AB168" t="s">
        <v>170</v>
      </c>
      <c r="AC168" t="s">
        <v>232</v>
      </c>
      <c r="AD168"/>
      <c r="AE168"/>
      <c r="AF168">
        <v>267</v>
      </c>
      <c r="AG168" t="s">
        <v>1392</v>
      </c>
      <c r="AH168" t="s">
        <v>1393</v>
      </c>
      <c r="AI168" t="s">
        <v>178</v>
      </c>
      <c r="AJ168" t="s">
        <v>179</v>
      </c>
      <c r="AK168" t="s">
        <v>173</v>
      </c>
      <c r="AL168" t="s">
        <v>180</v>
      </c>
      <c r="AM168"/>
      <c r="AN168"/>
      <c r="AO168">
        <v>105</v>
      </c>
      <c r="AP168">
        <v>25</v>
      </c>
      <c r="AQ168"/>
      <c r="AR168"/>
      <c r="AS168">
        <v>1000</v>
      </c>
      <c r="AT168">
        <v>1000</v>
      </c>
      <c r="AU168"/>
      <c r="AV168"/>
      <c r="AW168"/>
      <c r="AX168"/>
      <c r="AY168"/>
      <c r="AZ168"/>
      <c r="BA168"/>
      <c r="BB168"/>
      <c r="BC168"/>
      <c r="BD168"/>
      <c r="BE168"/>
      <c r="BF168"/>
      <c r="BG168"/>
      <c r="BH168"/>
      <c r="BI168"/>
      <c r="BJ168"/>
      <c r="BK168"/>
      <c r="BL168"/>
      <c r="BM168"/>
      <c r="BN168" s="114"/>
      <c r="BO168"/>
      <c r="BP168"/>
      <c r="BQ168">
        <v>6</v>
      </c>
      <c r="BR168" t="s">
        <v>536</v>
      </c>
      <c r="BS168" t="s">
        <v>182</v>
      </c>
      <c r="BT168" t="s">
        <v>1395</v>
      </c>
      <c r="BU168" s="115">
        <v>45867</v>
      </c>
      <c r="BV168">
        <v>37116</v>
      </c>
      <c r="BW168" s="116"/>
      <c r="BX168" t="s">
        <v>173</v>
      </c>
      <c r="BY168" t="s">
        <v>173</v>
      </c>
      <c r="BZ168"/>
      <c r="CA168"/>
      <c r="CB168" t="s">
        <v>173</v>
      </c>
      <c r="CC168" t="s">
        <v>173</v>
      </c>
      <c r="CD168"/>
      <c r="CE168"/>
      <c r="CF168"/>
      <c r="CG168"/>
      <c r="CH168"/>
      <c r="CI168"/>
      <c r="CJ168"/>
      <c r="CK168" t="s">
        <v>259</v>
      </c>
      <c r="CL168"/>
      <c r="CM168">
        <v>1</v>
      </c>
      <c r="CN168" t="s">
        <v>260</v>
      </c>
      <c r="CO168"/>
      <c r="CP168">
        <v>442</v>
      </c>
      <c r="CQ168">
        <v>262</v>
      </c>
      <c r="CR168">
        <v>163</v>
      </c>
      <c r="CS168" t="s">
        <v>261</v>
      </c>
      <c r="CT168"/>
      <c r="CU168"/>
      <c r="CV168" t="s">
        <v>262</v>
      </c>
      <c r="CW168"/>
      <c r="CX168" t="s">
        <v>263</v>
      </c>
      <c r="CY168" t="s">
        <v>172</v>
      </c>
      <c r="CZ168"/>
      <c r="DA168"/>
      <c r="DB168"/>
      <c r="DC168"/>
      <c r="DD168">
        <v>2</v>
      </c>
      <c r="DE168" t="s">
        <v>530</v>
      </c>
      <c r="DF168"/>
      <c r="DG168">
        <v>250</v>
      </c>
      <c r="DH168"/>
      <c r="DI168"/>
      <c r="DJ168"/>
      <c r="DK168"/>
      <c r="DL168" t="s">
        <v>173</v>
      </c>
      <c r="DM168" t="s">
        <v>172</v>
      </c>
      <c r="DN168"/>
      <c r="DO168"/>
      <c r="DP168" t="s">
        <v>173</v>
      </c>
      <c r="DQ168" t="s">
        <v>189</v>
      </c>
      <c r="DR168"/>
      <c r="DS168"/>
      <c r="DT168"/>
      <c r="DU168"/>
      <c r="DV168"/>
      <c r="DW168"/>
      <c r="DX168"/>
      <c r="DY168"/>
      <c r="DZ168"/>
      <c r="EA168" s="117"/>
      <c r="EB168">
        <v>9</v>
      </c>
      <c r="EC168">
        <v>10</v>
      </c>
      <c r="ED168"/>
      <c r="EE168" t="s">
        <v>1461</v>
      </c>
      <c r="EF168">
        <v>10</v>
      </c>
      <c r="EG168"/>
      <c r="EH168"/>
      <c r="EI168"/>
      <c r="EJ168"/>
      <c r="EK168"/>
      <c r="EL168"/>
      <c r="EM168"/>
      <c r="EN168"/>
      <c r="EO168"/>
      <c r="EP168"/>
      <c r="EQ168"/>
      <c r="ER168"/>
      <c r="ES168"/>
      <c r="ET168"/>
      <c r="EU168">
        <v>3500</v>
      </c>
      <c r="EV168"/>
      <c r="EW168">
        <v>0</v>
      </c>
      <c r="EX168">
        <v>0</v>
      </c>
      <c r="EY168">
        <v>0</v>
      </c>
      <c r="EZ168"/>
      <c r="FA168">
        <v>10</v>
      </c>
      <c r="FB168"/>
      <c r="FC168"/>
      <c r="FD168"/>
      <c r="FE168"/>
      <c r="FF168"/>
      <c r="FG168" s="94">
        <v>286</v>
      </c>
      <c r="FH168" s="94">
        <v>244</v>
      </c>
      <c r="FI168" s="94">
        <v>267</v>
      </c>
    </row>
    <row r="169" spans="1:165" s="66" customFormat="1" x14ac:dyDescent="0.35">
      <c r="A169">
        <v>2026</v>
      </c>
      <c r="B169" t="s">
        <v>688</v>
      </c>
      <c r="C169" s="112" t="s">
        <v>1039</v>
      </c>
      <c r="D169" t="s">
        <v>1460</v>
      </c>
      <c r="E169" t="s">
        <v>691</v>
      </c>
      <c r="F169">
        <v>5</v>
      </c>
      <c r="G169" s="113">
        <v>0</v>
      </c>
      <c r="H169"/>
      <c r="I169" t="s">
        <v>1391</v>
      </c>
      <c r="J169">
        <v>36</v>
      </c>
      <c r="K169">
        <v>43</v>
      </c>
      <c r="L169">
        <v>39</v>
      </c>
      <c r="M169">
        <v>25.456399999999999</v>
      </c>
      <c r="N169">
        <v>29.7837</v>
      </c>
      <c r="O169">
        <v>27.403700000000001</v>
      </c>
      <c r="P169">
        <v>36.367100000000001</v>
      </c>
      <c r="Q169">
        <v>42.535299999999999</v>
      </c>
      <c r="R169">
        <v>39.142800000000001</v>
      </c>
      <c r="S169"/>
      <c r="T169"/>
      <c r="U169"/>
      <c r="V169" t="s">
        <v>170</v>
      </c>
      <c r="W169" t="s">
        <v>171</v>
      </c>
      <c r="X169"/>
      <c r="Y169">
        <v>1</v>
      </c>
      <c r="Z169" t="s">
        <v>173</v>
      </c>
      <c r="AA169" t="s">
        <v>173</v>
      </c>
      <c r="AB169" t="s">
        <v>170</v>
      </c>
      <c r="AC169" t="s">
        <v>232</v>
      </c>
      <c r="AD169"/>
      <c r="AE169"/>
      <c r="AF169">
        <v>267</v>
      </c>
      <c r="AG169" t="s">
        <v>1392</v>
      </c>
      <c r="AH169" t="s">
        <v>1393</v>
      </c>
      <c r="AI169" t="s">
        <v>1399</v>
      </c>
      <c r="AJ169" t="s">
        <v>1400</v>
      </c>
      <c r="AK169" t="s">
        <v>173</v>
      </c>
      <c r="AL169" t="s">
        <v>180</v>
      </c>
      <c r="AM169"/>
      <c r="AN169"/>
      <c r="AO169">
        <v>105</v>
      </c>
      <c r="AP169">
        <v>25</v>
      </c>
      <c r="AQ169"/>
      <c r="AR169"/>
      <c r="AS169">
        <v>1000</v>
      </c>
      <c r="AT169">
        <v>1000</v>
      </c>
      <c r="AU169"/>
      <c r="AV169"/>
      <c r="AW169"/>
      <c r="AX169"/>
      <c r="AY169"/>
      <c r="AZ169"/>
      <c r="BA169"/>
      <c r="BB169"/>
      <c r="BC169"/>
      <c r="BD169"/>
      <c r="BE169"/>
      <c r="BF169"/>
      <c r="BG169"/>
      <c r="BH169"/>
      <c r="BI169"/>
      <c r="BJ169"/>
      <c r="BK169"/>
      <c r="BL169"/>
      <c r="BM169"/>
      <c r="BN169" s="114"/>
      <c r="BO169"/>
      <c r="BP169"/>
      <c r="BQ169">
        <v>6</v>
      </c>
      <c r="BR169" t="s">
        <v>536</v>
      </c>
      <c r="BS169" t="s">
        <v>182</v>
      </c>
      <c r="BT169" t="s">
        <v>1395</v>
      </c>
      <c r="BU169" s="115">
        <v>45867</v>
      </c>
      <c r="BV169">
        <v>37116</v>
      </c>
      <c r="BW169" s="116"/>
      <c r="BX169" t="s">
        <v>173</v>
      </c>
      <c r="BY169" t="s">
        <v>173</v>
      </c>
      <c r="BZ169"/>
      <c r="CA169"/>
      <c r="CB169" t="s">
        <v>173</v>
      </c>
      <c r="CC169" t="s">
        <v>173</v>
      </c>
      <c r="CD169"/>
      <c r="CE169"/>
      <c r="CF169"/>
      <c r="CG169"/>
      <c r="CH169"/>
      <c r="CI169"/>
      <c r="CJ169"/>
      <c r="CK169" t="s">
        <v>259</v>
      </c>
      <c r="CL169"/>
      <c r="CM169">
        <v>1</v>
      </c>
      <c r="CN169" t="s">
        <v>260</v>
      </c>
      <c r="CO169"/>
      <c r="CP169">
        <v>442</v>
      </c>
      <c r="CQ169">
        <v>262</v>
      </c>
      <c r="CR169">
        <v>163</v>
      </c>
      <c r="CS169" t="s">
        <v>261</v>
      </c>
      <c r="CT169"/>
      <c r="CU169"/>
      <c r="CV169" t="s">
        <v>262</v>
      </c>
      <c r="CW169"/>
      <c r="CX169" t="s">
        <v>263</v>
      </c>
      <c r="CY169" t="s">
        <v>172</v>
      </c>
      <c r="CZ169"/>
      <c r="DA169"/>
      <c r="DB169"/>
      <c r="DC169"/>
      <c r="DD169">
        <v>2</v>
      </c>
      <c r="DE169" t="s">
        <v>530</v>
      </c>
      <c r="DF169"/>
      <c r="DG169">
        <v>250</v>
      </c>
      <c r="DH169"/>
      <c r="DI169"/>
      <c r="DJ169"/>
      <c r="DK169"/>
      <c r="DL169" t="s">
        <v>173</v>
      </c>
      <c r="DM169" t="s">
        <v>172</v>
      </c>
      <c r="DN169"/>
      <c r="DO169"/>
      <c r="DP169" t="s">
        <v>173</v>
      </c>
      <c r="DQ169" t="s">
        <v>189</v>
      </c>
      <c r="DR169"/>
      <c r="DS169"/>
      <c r="DT169"/>
      <c r="DU169"/>
      <c r="DV169"/>
      <c r="DW169"/>
      <c r="DX169"/>
      <c r="DY169"/>
      <c r="DZ169"/>
      <c r="EA169" s="117"/>
      <c r="EB169">
        <v>9</v>
      </c>
      <c r="EC169">
        <v>10</v>
      </c>
      <c r="ED169"/>
      <c r="EE169" t="s">
        <v>1461</v>
      </c>
      <c r="EF169">
        <v>10</v>
      </c>
      <c r="EG169"/>
      <c r="EH169"/>
      <c r="EI169"/>
      <c r="EJ169"/>
      <c r="EK169"/>
      <c r="EL169"/>
      <c r="EM169"/>
      <c r="EN169"/>
      <c r="EO169"/>
      <c r="EP169"/>
      <c r="EQ169"/>
      <c r="ER169"/>
      <c r="ES169"/>
      <c r="ET169"/>
      <c r="EU169">
        <v>3500</v>
      </c>
      <c r="EV169"/>
      <c r="EW169">
        <v>0</v>
      </c>
      <c r="EX169">
        <v>0</v>
      </c>
      <c r="EY169">
        <v>0</v>
      </c>
      <c r="EZ169"/>
      <c r="FA169">
        <v>10</v>
      </c>
      <c r="FB169"/>
      <c r="FC169"/>
      <c r="FD169"/>
      <c r="FE169"/>
      <c r="FF169"/>
      <c r="FG169" s="94">
        <v>286</v>
      </c>
      <c r="FH169" s="94">
        <v>244</v>
      </c>
      <c r="FI169" s="94">
        <v>267</v>
      </c>
    </row>
    <row r="170" spans="1:165" s="66" customFormat="1" x14ac:dyDescent="0.35">
      <c r="A170" s="19"/>
      <c r="B170" s="19"/>
      <c r="C170" s="19"/>
      <c r="D170" s="19"/>
      <c r="E170" s="19"/>
      <c r="F170" s="128"/>
      <c r="G170" s="19"/>
      <c r="H170" s="19"/>
      <c r="I170" s="19"/>
      <c r="J170" s="19"/>
      <c r="K170" s="19" t="str">
        <f>_xlfn.CONCAT(A171," ",C171," ",D171)</f>
        <v>2026 Dodge Charger Daytona Scat Pack AWD 305/35ZR20</v>
      </c>
      <c r="L170" s="19"/>
      <c r="M170" s="19"/>
      <c r="N170" s="19"/>
      <c r="O170" s="19"/>
      <c r="P170" s="19"/>
      <c r="Q170" s="19"/>
      <c r="R170" s="19"/>
      <c r="S170" s="19"/>
      <c r="T170" s="19"/>
      <c r="U170" s="19"/>
      <c r="V170" s="19"/>
      <c r="W170" s="19"/>
      <c r="X170" s="19"/>
      <c r="Y170" s="19"/>
      <c r="Z170" s="19"/>
      <c r="AA170" s="19"/>
      <c r="AB170" s="19" t="str">
        <f>$K170</f>
        <v>2026 Dodge Charger Daytona Scat Pack AWD 305/35ZR20</v>
      </c>
      <c r="AC170" s="19"/>
      <c r="AD170" s="19"/>
      <c r="AE170" s="19"/>
      <c r="AF170" s="19"/>
      <c r="AG170" s="19"/>
      <c r="AH170" s="19"/>
      <c r="AI170" s="19"/>
      <c r="AJ170" s="19"/>
      <c r="AK170" s="19"/>
      <c r="AL170" s="19"/>
      <c r="AM170" s="19"/>
      <c r="AN170" s="19"/>
      <c r="AO170" s="19"/>
      <c r="AP170" s="19"/>
      <c r="AQ170" s="19"/>
      <c r="AR170" s="19" t="str">
        <f>$K170</f>
        <v>2026 Dodge Charger Daytona Scat Pack AWD 305/35ZR20</v>
      </c>
      <c r="AS170" s="19"/>
      <c r="AT170" s="19"/>
      <c r="AU170" s="19"/>
      <c r="AV170" s="19"/>
      <c r="AW170" s="19"/>
      <c r="AX170" s="19"/>
      <c r="AY170" s="19"/>
      <c r="AZ170" s="19"/>
      <c r="BA170" s="19"/>
      <c r="BB170" s="19"/>
      <c r="BC170" s="19"/>
      <c r="BD170" s="19"/>
      <c r="BE170" s="19"/>
      <c r="BF170" s="19"/>
      <c r="BG170" s="19" t="str">
        <f>$K170</f>
        <v>2026 Dodge Charger Daytona Scat Pack AWD 305/35ZR20</v>
      </c>
      <c r="BH170" s="19"/>
      <c r="BI170" s="19"/>
      <c r="BJ170" s="19"/>
      <c r="BK170" s="19"/>
      <c r="BL170" s="19"/>
      <c r="BM170" s="129"/>
      <c r="BN170" s="19"/>
      <c r="BO170" s="19"/>
      <c r="BP170" s="19"/>
      <c r="BQ170" s="19"/>
      <c r="BR170" s="19"/>
      <c r="BS170" s="19"/>
      <c r="BT170" s="130"/>
      <c r="BU170" s="19"/>
      <c r="BV170" s="19"/>
      <c r="BW170" s="116"/>
      <c r="BX170" s="19"/>
      <c r="BY170" s="19"/>
      <c r="BZ170" s="19"/>
      <c r="CA170" s="19"/>
      <c r="CB170" s="19"/>
      <c r="CC170" s="19"/>
      <c r="CD170" s="19"/>
      <c r="CE170" s="19"/>
      <c r="CF170" s="19"/>
      <c r="CG170" s="19"/>
      <c r="CH170" s="19"/>
      <c r="CI170" s="19"/>
      <c r="CJ170" s="19"/>
      <c r="CK170" s="19"/>
      <c r="CL170" s="19"/>
      <c r="CM170" s="19" t="str">
        <f>$K170</f>
        <v>2026 Dodge Charger Daytona Scat Pack AWD 305/35ZR20</v>
      </c>
      <c r="CN170" s="19"/>
      <c r="CO170" s="19"/>
      <c r="CP170" s="19"/>
      <c r="CQ170" s="19"/>
      <c r="CR170" s="19"/>
      <c r="CS170" s="19"/>
      <c r="CT170" s="19"/>
      <c r="CU170" s="19"/>
      <c r="CV170" s="19"/>
      <c r="CW170" s="19"/>
      <c r="CX170" s="19"/>
      <c r="CY170" s="19"/>
      <c r="CZ170" s="19"/>
      <c r="DA170" s="19"/>
      <c r="DB170" s="19"/>
      <c r="DC170" s="19"/>
      <c r="DD170" s="19" t="str">
        <f>$K170</f>
        <v>2026 Dodge Charger Daytona Scat Pack AWD 305/35ZR20</v>
      </c>
      <c r="DE170" s="19"/>
      <c r="DF170" s="19"/>
      <c r="DG170" s="19"/>
      <c r="DH170" s="19"/>
      <c r="DI170" s="19"/>
      <c r="DJ170" s="19"/>
      <c r="DK170" s="19"/>
      <c r="DL170" s="19"/>
      <c r="DM170" s="19"/>
      <c r="DN170" s="19"/>
      <c r="DO170" s="19"/>
      <c r="DP170" s="19"/>
      <c r="DQ170" s="19"/>
      <c r="DR170" s="19"/>
      <c r="DS170" s="19"/>
      <c r="DT170" s="19"/>
      <c r="DU170" s="19" t="str">
        <f>$K170</f>
        <v>2026 Dodge Charger Daytona Scat Pack AWD 305/35ZR20</v>
      </c>
      <c r="DV170" s="19"/>
      <c r="DW170" s="19"/>
      <c r="DX170" s="19"/>
      <c r="DY170" s="19"/>
      <c r="DZ170" s="19"/>
      <c r="EA170" s="117"/>
      <c r="EB170" s="19"/>
      <c r="EC170" s="19"/>
      <c r="ED170" s="19"/>
      <c r="EE170" s="19"/>
      <c r="EF170" s="19"/>
      <c r="EG170"/>
      <c r="EH170"/>
      <c r="EI170"/>
      <c r="EJ170"/>
      <c r="EK170"/>
      <c r="EL170"/>
      <c r="EM170"/>
      <c r="EN170"/>
      <c r="EO170"/>
      <c r="EP170"/>
      <c r="EQ170"/>
      <c r="ER170"/>
      <c r="ES170"/>
      <c r="ET170"/>
      <c r="EU170"/>
      <c r="EV170"/>
      <c r="EW170"/>
      <c r="EX170" s="19" t="s">
        <v>1977</v>
      </c>
      <c r="EY170"/>
      <c r="EZ170"/>
      <c r="FA170"/>
      <c r="FB170"/>
      <c r="FC170"/>
      <c r="FD170"/>
      <c r="FE170"/>
      <c r="FF170"/>
      <c r="FG170"/>
      <c r="FH170"/>
      <c r="FI170"/>
    </row>
    <row r="171" spans="1:165" s="66" customFormat="1" x14ac:dyDescent="0.35">
      <c r="A171">
        <v>2026</v>
      </c>
      <c r="B171" t="s">
        <v>688</v>
      </c>
      <c r="C171" s="112" t="s">
        <v>1039</v>
      </c>
      <c r="D171" t="s">
        <v>1462</v>
      </c>
      <c r="E171" t="s">
        <v>691</v>
      </c>
      <c r="F171">
        <v>6</v>
      </c>
      <c r="G171" s="113">
        <v>0</v>
      </c>
      <c r="H171"/>
      <c r="I171" t="s">
        <v>1391</v>
      </c>
      <c r="J171">
        <v>93</v>
      </c>
      <c r="K171">
        <v>79</v>
      </c>
      <c r="L171">
        <v>86</v>
      </c>
      <c r="M171">
        <v>132.4</v>
      </c>
      <c r="N171">
        <v>113.2</v>
      </c>
      <c r="O171">
        <v>123.0112</v>
      </c>
      <c r="P171">
        <v>92.68</v>
      </c>
      <c r="Q171">
        <v>79.239999999999995</v>
      </c>
      <c r="R171">
        <v>86.107799999999997</v>
      </c>
      <c r="S171"/>
      <c r="T171"/>
      <c r="U171"/>
      <c r="V171" t="s">
        <v>170</v>
      </c>
      <c r="W171" t="s">
        <v>171</v>
      </c>
      <c r="X171"/>
      <c r="Y171">
        <v>1</v>
      </c>
      <c r="Z171" t="s">
        <v>173</v>
      </c>
      <c r="AA171" t="s">
        <v>173</v>
      </c>
      <c r="AB171" t="s">
        <v>170</v>
      </c>
      <c r="AC171" t="s">
        <v>232</v>
      </c>
      <c r="AD171"/>
      <c r="AE171"/>
      <c r="AF171">
        <v>267</v>
      </c>
      <c r="AG171" t="s">
        <v>1392</v>
      </c>
      <c r="AH171" t="s">
        <v>1393</v>
      </c>
      <c r="AI171" t="s">
        <v>178</v>
      </c>
      <c r="AJ171" t="s">
        <v>179</v>
      </c>
      <c r="AK171" t="s">
        <v>173</v>
      </c>
      <c r="AL171" t="s">
        <v>180</v>
      </c>
      <c r="AM171"/>
      <c r="AN171"/>
      <c r="AO171">
        <v>105</v>
      </c>
      <c r="AP171">
        <v>25</v>
      </c>
      <c r="AQ171"/>
      <c r="AR171"/>
      <c r="AS171">
        <v>1000</v>
      </c>
      <c r="AT171">
        <v>1000</v>
      </c>
      <c r="AU171"/>
      <c r="AV171"/>
      <c r="AW171"/>
      <c r="AX171"/>
      <c r="AY171"/>
      <c r="AZ171"/>
      <c r="BA171"/>
      <c r="BB171"/>
      <c r="BC171"/>
      <c r="BD171"/>
      <c r="BE171"/>
      <c r="BF171"/>
      <c r="BG171"/>
      <c r="BH171"/>
      <c r="BI171"/>
      <c r="BJ171"/>
      <c r="BK171"/>
      <c r="BL171"/>
      <c r="BM171"/>
      <c r="BN171" s="114"/>
      <c r="BO171"/>
      <c r="BP171"/>
      <c r="BQ171">
        <v>6</v>
      </c>
      <c r="BR171" t="s">
        <v>536</v>
      </c>
      <c r="BS171" t="s">
        <v>182</v>
      </c>
      <c r="BT171" t="s">
        <v>1395</v>
      </c>
      <c r="BU171" s="115">
        <v>45867</v>
      </c>
      <c r="BV171">
        <v>37115</v>
      </c>
      <c r="BW171" s="116"/>
      <c r="BX171" t="s">
        <v>173</v>
      </c>
      <c r="BY171" t="s">
        <v>173</v>
      </c>
      <c r="BZ171"/>
      <c r="CA171"/>
      <c r="CB171" t="s">
        <v>173</v>
      </c>
      <c r="CC171" t="s">
        <v>173</v>
      </c>
      <c r="CD171"/>
      <c r="CE171"/>
      <c r="CF171"/>
      <c r="CG171"/>
      <c r="CH171"/>
      <c r="CI171"/>
      <c r="CJ171"/>
      <c r="CK171" t="s">
        <v>259</v>
      </c>
      <c r="CL171"/>
      <c r="CM171">
        <v>1</v>
      </c>
      <c r="CN171" t="s">
        <v>260</v>
      </c>
      <c r="CO171"/>
      <c r="CP171">
        <v>442</v>
      </c>
      <c r="CQ171">
        <v>262</v>
      </c>
      <c r="CR171">
        <v>163</v>
      </c>
      <c r="CS171" t="s">
        <v>261</v>
      </c>
      <c r="CT171"/>
      <c r="CU171"/>
      <c r="CV171" t="s">
        <v>262</v>
      </c>
      <c r="CW171"/>
      <c r="CX171" t="s">
        <v>263</v>
      </c>
      <c r="CY171" t="s">
        <v>172</v>
      </c>
      <c r="CZ171"/>
      <c r="DA171"/>
      <c r="DB171"/>
      <c r="DC171"/>
      <c r="DD171">
        <v>2</v>
      </c>
      <c r="DE171" t="s">
        <v>530</v>
      </c>
      <c r="DF171"/>
      <c r="DG171">
        <v>250</v>
      </c>
      <c r="DH171"/>
      <c r="DI171"/>
      <c r="DJ171"/>
      <c r="DK171"/>
      <c r="DL171" t="s">
        <v>173</v>
      </c>
      <c r="DM171" t="s">
        <v>172</v>
      </c>
      <c r="DN171"/>
      <c r="DO171"/>
      <c r="DP171" t="s">
        <v>173</v>
      </c>
      <c r="DQ171" t="s">
        <v>189</v>
      </c>
      <c r="DR171"/>
      <c r="DS171"/>
      <c r="DT171"/>
      <c r="DU171"/>
      <c r="DV171"/>
      <c r="DW171"/>
      <c r="DX171"/>
      <c r="DY171"/>
      <c r="DZ171"/>
      <c r="EA171" s="117"/>
      <c r="EB171">
        <v>9</v>
      </c>
      <c r="EC171">
        <v>10</v>
      </c>
      <c r="ED171"/>
      <c r="EE171" t="s">
        <v>1461</v>
      </c>
      <c r="EF171">
        <v>10</v>
      </c>
      <c r="EG171"/>
      <c r="EH171"/>
      <c r="EI171"/>
      <c r="EJ171"/>
      <c r="EK171"/>
      <c r="EL171"/>
      <c r="EM171"/>
      <c r="EN171"/>
      <c r="EO171"/>
      <c r="EP171"/>
      <c r="EQ171"/>
      <c r="ER171"/>
      <c r="ES171"/>
      <c r="ET171"/>
      <c r="EU171">
        <v>3500</v>
      </c>
      <c r="EV171"/>
      <c r="EW171">
        <v>0</v>
      </c>
      <c r="EX171">
        <v>0</v>
      </c>
      <c r="EY171">
        <v>0</v>
      </c>
      <c r="EZ171"/>
      <c r="FA171">
        <v>10</v>
      </c>
      <c r="FB171"/>
      <c r="FC171"/>
      <c r="FD171"/>
      <c r="FE171"/>
      <c r="FF171"/>
      <c r="FG171" s="94">
        <v>286</v>
      </c>
      <c r="FH171" s="94">
        <v>244</v>
      </c>
      <c r="FI171" s="94">
        <v>267</v>
      </c>
    </row>
    <row r="172" spans="1:165" s="66" customFormat="1" x14ac:dyDescent="0.35">
      <c r="A172">
        <v>2026</v>
      </c>
      <c r="B172" t="s">
        <v>688</v>
      </c>
      <c r="C172" s="112" t="s">
        <v>1039</v>
      </c>
      <c r="D172" t="s">
        <v>1462</v>
      </c>
      <c r="E172" t="s">
        <v>691</v>
      </c>
      <c r="F172">
        <v>6</v>
      </c>
      <c r="G172" s="113">
        <v>0</v>
      </c>
      <c r="H172"/>
      <c r="I172" t="s">
        <v>1391</v>
      </c>
      <c r="J172">
        <v>36</v>
      </c>
      <c r="K172">
        <v>43</v>
      </c>
      <c r="L172">
        <v>39</v>
      </c>
      <c r="M172">
        <v>25.456399999999999</v>
      </c>
      <c r="N172">
        <v>29.7837</v>
      </c>
      <c r="O172">
        <v>27.403700000000001</v>
      </c>
      <c r="P172">
        <v>36.367100000000001</v>
      </c>
      <c r="Q172">
        <v>42.535299999999999</v>
      </c>
      <c r="R172">
        <v>39.142800000000001</v>
      </c>
      <c r="S172"/>
      <c r="T172"/>
      <c r="U172"/>
      <c r="V172" t="s">
        <v>170</v>
      </c>
      <c r="W172" t="s">
        <v>171</v>
      </c>
      <c r="X172"/>
      <c r="Y172">
        <v>1</v>
      </c>
      <c r="Z172" t="s">
        <v>173</v>
      </c>
      <c r="AA172" t="s">
        <v>173</v>
      </c>
      <c r="AB172" t="s">
        <v>170</v>
      </c>
      <c r="AC172" t="s">
        <v>232</v>
      </c>
      <c r="AD172"/>
      <c r="AE172"/>
      <c r="AF172">
        <v>267</v>
      </c>
      <c r="AG172" t="s">
        <v>1392</v>
      </c>
      <c r="AH172" t="s">
        <v>1393</v>
      </c>
      <c r="AI172" t="s">
        <v>1399</v>
      </c>
      <c r="AJ172" t="s">
        <v>1400</v>
      </c>
      <c r="AK172" t="s">
        <v>173</v>
      </c>
      <c r="AL172" t="s">
        <v>180</v>
      </c>
      <c r="AM172"/>
      <c r="AN172"/>
      <c r="AO172">
        <v>105</v>
      </c>
      <c r="AP172">
        <v>25</v>
      </c>
      <c r="AQ172"/>
      <c r="AR172"/>
      <c r="AS172">
        <v>1000</v>
      </c>
      <c r="AT172">
        <v>1000</v>
      </c>
      <c r="AU172"/>
      <c r="AV172"/>
      <c r="AW172"/>
      <c r="AX172"/>
      <c r="AY172"/>
      <c r="AZ172"/>
      <c r="BA172"/>
      <c r="BB172"/>
      <c r="BC172"/>
      <c r="BD172"/>
      <c r="BE172"/>
      <c r="BF172"/>
      <c r="BG172"/>
      <c r="BH172"/>
      <c r="BI172"/>
      <c r="BJ172"/>
      <c r="BK172"/>
      <c r="BL172"/>
      <c r="BM172"/>
      <c r="BN172" s="114"/>
      <c r="BO172"/>
      <c r="BP172"/>
      <c r="BQ172">
        <v>6</v>
      </c>
      <c r="BR172" t="s">
        <v>536</v>
      </c>
      <c r="BS172" t="s">
        <v>182</v>
      </c>
      <c r="BT172" t="s">
        <v>1395</v>
      </c>
      <c r="BU172" s="115">
        <v>45867</v>
      </c>
      <c r="BV172">
        <v>37115</v>
      </c>
      <c r="BW172" s="116"/>
      <c r="BX172" t="s">
        <v>173</v>
      </c>
      <c r="BY172" t="s">
        <v>173</v>
      </c>
      <c r="BZ172"/>
      <c r="CA172"/>
      <c r="CB172" t="s">
        <v>173</v>
      </c>
      <c r="CC172" t="s">
        <v>173</v>
      </c>
      <c r="CD172"/>
      <c r="CE172"/>
      <c r="CF172"/>
      <c r="CG172"/>
      <c r="CH172"/>
      <c r="CI172"/>
      <c r="CJ172"/>
      <c r="CK172" t="s">
        <v>259</v>
      </c>
      <c r="CL172"/>
      <c r="CM172">
        <v>1</v>
      </c>
      <c r="CN172" t="s">
        <v>260</v>
      </c>
      <c r="CO172"/>
      <c r="CP172">
        <v>442</v>
      </c>
      <c r="CQ172">
        <v>262</v>
      </c>
      <c r="CR172">
        <v>163</v>
      </c>
      <c r="CS172" t="s">
        <v>261</v>
      </c>
      <c r="CT172"/>
      <c r="CU172"/>
      <c r="CV172" t="s">
        <v>262</v>
      </c>
      <c r="CW172"/>
      <c r="CX172" t="s">
        <v>263</v>
      </c>
      <c r="CY172" t="s">
        <v>172</v>
      </c>
      <c r="CZ172"/>
      <c r="DA172"/>
      <c r="DB172"/>
      <c r="DC172"/>
      <c r="DD172">
        <v>2</v>
      </c>
      <c r="DE172" t="s">
        <v>530</v>
      </c>
      <c r="DF172"/>
      <c r="DG172">
        <v>250</v>
      </c>
      <c r="DH172"/>
      <c r="DI172"/>
      <c r="DJ172"/>
      <c r="DK172"/>
      <c r="DL172" t="s">
        <v>173</v>
      </c>
      <c r="DM172" t="s">
        <v>172</v>
      </c>
      <c r="DN172"/>
      <c r="DO172"/>
      <c r="DP172" t="s">
        <v>173</v>
      </c>
      <c r="DQ172" t="s">
        <v>189</v>
      </c>
      <c r="DR172"/>
      <c r="DS172"/>
      <c r="DT172"/>
      <c r="DU172"/>
      <c r="DV172"/>
      <c r="DW172"/>
      <c r="DX172"/>
      <c r="DY172"/>
      <c r="DZ172"/>
      <c r="EA172" s="117"/>
      <c r="EB172">
        <v>9</v>
      </c>
      <c r="EC172">
        <v>10</v>
      </c>
      <c r="ED172"/>
      <c r="EE172" t="s">
        <v>1461</v>
      </c>
      <c r="EF172">
        <v>10</v>
      </c>
      <c r="EG172"/>
      <c r="EH172"/>
      <c r="EI172"/>
      <c r="EJ172"/>
      <c r="EK172"/>
      <c r="EL172"/>
      <c r="EM172"/>
      <c r="EN172"/>
      <c r="EO172"/>
      <c r="EP172"/>
      <c r="EQ172"/>
      <c r="ER172"/>
      <c r="ES172"/>
      <c r="ET172"/>
      <c r="EU172">
        <v>3500</v>
      </c>
      <c r="EV172"/>
      <c r="EW172">
        <v>0</v>
      </c>
      <c r="EX172">
        <v>0</v>
      </c>
      <c r="EY172">
        <v>0</v>
      </c>
      <c r="EZ172"/>
      <c r="FA172">
        <v>10</v>
      </c>
      <c r="FB172"/>
      <c r="FC172"/>
      <c r="FD172"/>
      <c r="FE172"/>
      <c r="FF172"/>
      <c r="FG172" s="94">
        <v>286</v>
      </c>
      <c r="FH172" s="94">
        <v>244</v>
      </c>
      <c r="FI172" s="94">
        <v>267</v>
      </c>
    </row>
    <row r="173" spans="1:165" s="66" customFormat="1" x14ac:dyDescent="0.35">
      <c r="A173" s="19"/>
      <c r="B173" s="19"/>
      <c r="C173" s="19"/>
      <c r="D173" s="19"/>
      <c r="E173" s="19"/>
      <c r="F173" s="128"/>
      <c r="G173" s="19"/>
      <c r="H173" s="19"/>
      <c r="I173" s="19"/>
      <c r="J173" s="19"/>
      <c r="K173" s="19" t="str">
        <f>_xlfn.CONCAT(A174," ",C174," ",D174)</f>
        <v>2026 Dodge Charger Daytona Scat Pack AWD 325/35ZR20 Rear</v>
      </c>
      <c r="L173" s="19"/>
      <c r="M173" s="19"/>
      <c r="N173" s="19"/>
      <c r="O173" s="19"/>
      <c r="P173" s="19"/>
      <c r="Q173" s="19"/>
      <c r="R173" s="19"/>
      <c r="S173" s="19"/>
      <c r="T173" s="19"/>
      <c r="U173" s="19"/>
      <c r="V173" s="19"/>
      <c r="W173" s="19"/>
      <c r="X173" s="19"/>
      <c r="Y173" s="19"/>
      <c r="Z173" s="19"/>
      <c r="AA173" s="19"/>
      <c r="AB173" s="19" t="str">
        <f>$K173</f>
        <v>2026 Dodge Charger Daytona Scat Pack AWD 325/35ZR20 Rear</v>
      </c>
      <c r="AC173" s="19"/>
      <c r="AD173" s="19"/>
      <c r="AE173" s="19"/>
      <c r="AF173" s="19"/>
      <c r="AG173" s="19"/>
      <c r="AH173" s="19"/>
      <c r="AI173" s="19"/>
      <c r="AJ173" s="19"/>
      <c r="AK173" s="19"/>
      <c r="AL173" s="19"/>
      <c r="AM173" s="19"/>
      <c r="AN173" s="19"/>
      <c r="AO173" s="19"/>
      <c r="AP173" s="19"/>
      <c r="AQ173" s="19"/>
      <c r="AR173" s="19" t="str">
        <f>$K173</f>
        <v>2026 Dodge Charger Daytona Scat Pack AWD 325/35ZR20 Rear</v>
      </c>
      <c r="AS173" s="19"/>
      <c r="AT173" s="19"/>
      <c r="AU173" s="19"/>
      <c r="AV173" s="19"/>
      <c r="AW173" s="19"/>
      <c r="AX173" s="19"/>
      <c r="AY173" s="19"/>
      <c r="AZ173" s="19"/>
      <c r="BA173" s="19"/>
      <c r="BB173" s="19"/>
      <c r="BC173" s="19"/>
      <c r="BD173" s="19"/>
      <c r="BE173" s="19"/>
      <c r="BF173" s="19"/>
      <c r="BG173" s="19" t="str">
        <f>$K173</f>
        <v>2026 Dodge Charger Daytona Scat Pack AWD 325/35ZR20 Rear</v>
      </c>
      <c r="BH173" s="19"/>
      <c r="BI173" s="19"/>
      <c r="BJ173" s="19"/>
      <c r="BK173" s="19"/>
      <c r="BL173" s="19"/>
      <c r="BM173" s="129"/>
      <c r="BN173" s="19"/>
      <c r="BO173" s="19"/>
      <c r="BP173" s="19"/>
      <c r="BQ173" s="19"/>
      <c r="BR173" s="19"/>
      <c r="BS173" s="19"/>
      <c r="BT173" s="130"/>
      <c r="BU173" s="19"/>
      <c r="BV173" s="19"/>
      <c r="BW173" s="116"/>
      <c r="BX173" s="19"/>
      <c r="BY173" s="19"/>
      <c r="BZ173" s="19"/>
      <c r="CA173" s="19"/>
      <c r="CB173" s="19"/>
      <c r="CC173" s="19"/>
      <c r="CD173" s="19"/>
      <c r="CE173" s="19"/>
      <c r="CF173" s="19"/>
      <c r="CG173" s="19"/>
      <c r="CH173" s="19"/>
      <c r="CI173" s="19"/>
      <c r="CJ173" s="19"/>
      <c r="CK173" s="19"/>
      <c r="CL173" s="19"/>
      <c r="CM173" s="19" t="str">
        <f>$K173</f>
        <v>2026 Dodge Charger Daytona Scat Pack AWD 325/35ZR20 Rear</v>
      </c>
      <c r="CN173" s="19"/>
      <c r="CO173" s="19"/>
      <c r="CP173" s="19"/>
      <c r="CQ173" s="19"/>
      <c r="CR173" s="19"/>
      <c r="CS173" s="19"/>
      <c r="CT173" s="19"/>
      <c r="CU173" s="19"/>
      <c r="CV173" s="19"/>
      <c r="CW173" s="19"/>
      <c r="CX173" s="19"/>
      <c r="CY173" s="19"/>
      <c r="CZ173" s="19"/>
      <c r="DA173" s="19"/>
      <c r="DB173" s="19"/>
      <c r="DC173" s="19"/>
      <c r="DD173" s="19" t="str">
        <f>$K173</f>
        <v>2026 Dodge Charger Daytona Scat Pack AWD 325/35ZR20 Rear</v>
      </c>
      <c r="DE173" s="19"/>
      <c r="DF173" s="19"/>
      <c r="DG173" s="19"/>
      <c r="DH173" s="19"/>
      <c r="DI173" s="19"/>
      <c r="DJ173" s="19"/>
      <c r="DK173" s="19"/>
      <c r="DL173" s="19"/>
      <c r="DM173" s="19"/>
      <c r="DN173" s="19"/>
      <c r="DO173" s="19"/>
      <c r="DP173" s="19"/>
      <c r="DQ173" s="19"/>
      <c r="DR173" s="19"/>
      <c r="DS173" s="19"/>
      <c r="DT173" s="19"/>
      <c r="DU173" s="19" t="str">
        <f>$K173</f>
        <v>2026 Dodge Charger Daytona Scat Pack AWD 325/35ZR20 Rear</v>
      </c>
      <c r="DV173" s="19"/>
      <c r="DW173" s="19"/>
      <c r="DX173" s="19"/>
      <c r="DY173" s="19"/>
      <c r="DZ173" s="19"/>
      <c r="EA173" s="117"/>
      <c r="EB173" s="19"/>
      <c r="EC173" s="19"/>
      <c r="ED173" s="19"/>
      <c r="EE173" s="19"/>
      <c r="EF173" s="19"/>
      <c r="EG173"/>
      <c r="EH173"/>
      <c r="EI173"/>
      <c r="EJ173"/>
      <c r="EK173"/>
      <c r="EL173"/>
      <c r="EM173"/>
      <c r="EN173"/>
      <c r="EO173"/>
      <c r="EP173"/>
      <c r="EQ173"/>
      <c r="ER173"/>
      <c r="ES173"/>
      <c r="ET173"/>
      <c r="EU173"/>
      <c r="EV173"/>
      <c r="EW173"/>
      <c r="EX173" s="19" t="s">
        <v>1978</v>
      </c>
      <c r="EY173"/>
      <c r="EZ173"/>
      <c r="FA173"/>
      <c r="FB173"/>
      <c r="FC173"/>
      <c r="FD173"/>
      <c r="FE173"/>
      <c r="FF173"/>
      <c r="FG173"/>
      <c r="FH173"/>
      <c r="FI173"/>
    </row>
    <row r="174" spans="1:165" s="66" customFormat="1" x14ac:dyDescent="0.35">
      <c r="A174">
        <v>2026</v>
      </c>
      <c r="B174" t="s">
        <v>688</v>
      </c>
      <c r="C174" s="112" t="s">
        <v>1039</v>
      </c>
      <c r="D174" t="s">
        <v>1463</v>
      </c>
      <c r="E174" t="s">
        <v>691</v>
      </c>
      <c r="F174">
        <v>7</v>
      </c>
      <c r="G174" s="113">
        <v>0</v>
      </c>
      <c r="H174"/>
      <c r="I174" t="s">
        <v>1391</v>
      </c>
      <c r="J174">
        <v>77</v>
      </c>
      <c r="K174">
        <v>68</v>
      </c>
      <c r="L174">
        <v>72</v>
      </c>
      <c r="M174">
        <v>109.5</v>
      </c>
      <c r="N174">
        <v>96.7</v>
      </c>
      <c r="O174">
        <v>103.3442</v>
      </c>
      <c r="P174">
        <v>76.650000000000006</v>
      </c>
      <c r="Q174">
        <v>67.69</v>
      </c>
      <c r="R174">
        <v>72.340900000000005</v>
      </c>
      <c r="S174"/>
      <c r="T174"/>
      <c r="U174"/>
      <c r="V174" t="s">
        <v>170</v>
      </c>
      <c r="W174" t="s">
        <v>171</v>
      </c>
      <c r="X174"/>
      <c r="Y174">
        <v>1</v>
      </c>
      <c r="Z174" t="s">
        <v>173</v>
      </c>
      <c r="AA174" t="s">
        <v>173</v>
      </c>
      <c r="AB174" t="s">
        <v>170</v>
      </c>
      <c r="AC174" t="s">
        <v>232</v>
      </c>
      <c r="AD174"/>
      <c r="AE174"/>
      <c r="AF174">
        <v>223</v>
      </c>
      <c r="AG174" t="s">
        <v>1392</v>
      </c>
      <c r="AH174" t="s">
        <v>1393</v>
      </c>
      <c r="AI174" t="s">
        <v>178</v>
      </c>
      <c r="AJ174" t="s">
        <v>179</v>
      </c>
      <c r="AK174" t="s">
        <v>173</v>
      </c>
      <c r="AL174" t="s">
        <v>180</v>
      </c>
      <c r="AM174"/>
      <c r="AN174"/>
      <c r="AO174">
        <v>105</v>
      </c>
      <c r="AP174">
        <v>25</v>
      </c>
      <c r="AQ174"/>
      <c r="AR174"/>
      <c r="AS174">
        <v>1200</v>
      </c>
      <c r="AT174">
        <v>1200</v>
      </c>
      <c r="AU174"/>
      <c r="AV174"/>
      <c r="AW174"/>
      <c r="AX174"/>
      <c r="AY174"/>
      <c r="AZ174"/>
      <c r="BA174"/>
      <c r="BB174"/>
      <c r="BC174"/>
      <c r="BD174"/>
      <c r="BE174"/>
      <c r="BF174"/>
      <c r="BG174"/>
      <c r="BH174"/>
      <c r="BI174"/>
      <c r="BJ174"/>
      <c r="BK174"/>
      <c r="BL174"/>
      <c r="BM174"/>
      <c r="BN174" s="114"/>
      <c r="BO174"/>
      <c r="BP174"/>
      <c r="BQ174">
        <v>6</v>
      </c>
      <c r="BR174" t="s">
        <v>536</v>
      </c>
      <c r="BS174" t="s">
        <v>182</v>
      </c>
      <c r="BT174" t="s">
        <v>1395</v>
      </c>
      <c r="BU174" s="115">
        <v>45796</v>
      </c>
      <c r="BV174">
        <v>36948</v>
      </c>
      <c r="BW174" s="116"/>
      <c r="BX174" t="s">
        <v>172</v>
      </c>
      <c r="BY174" t="s">
        <v>173</v>
      </c>
      <c r="BZ174"/>
      <c r="CA174"/>
      <c r="CB174" t="s">
        <v>173</v>
      </c>
      <c r="CC174" t="s">
        <v>173</v>
      </c>
      <c r="CD174"/>
      <c r="CE174"/>
      <c r="CF174"/>
      <c r="CG174"/>
      <c r="CH174"/>
      <c r="CI174"/>
      <c r="CJ174"/>
      <c r="CK174" t="s">
        <v>259</v>
      </c>
      <c r="CL174"/>
      <c r="CM174">
        <v>1</v>
      </c>
      <c r="CN174" t="s">
        <v>260</v>
      </c>
      <c r="CO174"/>
      <c r="CP174">
        <v>442</v>
      </c>
      <c r="CQ174">
        <v>262</v>
      </c>
      <c r="CR174">
        <v>163</v>
      </c>
      <c r="CS174" t="s">
        <v>261</v>
      </c>
      <c r="CT174"/>
      <c r="CU174"/>
      <c r="CV174" t="s">
        <v>262</v>
      </c>
      <c r="CW174"/>
      <c r="CX174" t="s">
        <v>263</v>
      </c>
      <c r="CY174" t="s">
        <v>172</v>
      </c>
      <c r="CZ174"/>
      <c r="DA174"/>
      <c r="DB174"/>
      <c r="DC174"/>
      <c r="DD174">
        <v>2</v>
      </c>
      <c r="DE174" t="s">
        <v>530</v>
      </c>
      <c r="DF174"/>
      <c r="DG174">
        <v>250</v>
      </c>
      <c r="DH174"/>
      <c r="DI174"/>
      <c r="DJ174"/>
      <c r="DK174"/>
      <c r="DL174" t="s">
        <v>173</v>
      </c>
      <c r="DM174" t="s">
        <v>172</v>
      </c>
      <c r="DN174"/>
      <c r="DO174"/>
      <c r="DP174" t="s">
        <v>173</v>
      </c>
      <c r="DQ174" t="s">
        <v>189</v>
      </c>
      <c r="DR174"/>
      <c r="DS174"/>
      <c r="DT174"/>
      <c r="DU174"/>
      <c r="DV174"/>
      <c r="DW174"/>
      <c r="DX174"/>
      <c r="DY174"/>
      <c r="DZ174"/>
      <c r="EA174" s="117"/>
      <c r="EB174">
        <v>9</v>
      </c>
      <c r="EC174">
        <v>10</v>
      </c>
      <c r="ED174"/>
      <c r="EE174" t="s">
        <v>1461</v>
      </c>
      <c r="EF174">
        <v>10</v>
      </c>
      <c r="EG174"/>
      <c r="EH174"/>
      <c r="EI174"/>
      <c r="EJ174"/>
      <c r="EK174"/>
      <c r="EL174"/>
      <c r="EM174"/>
      <c r="EN174"/>
      <c r="EO174"/>
      <c r="EP174"/>
      <c r="EQ174"/>
      <c r="ER174"/>
      <c r="ES174"/>
      <c r="ET174"/>
      <c r="EU174">
        <v>2500</v>
      </c>
      <c r="EV174"/>
      <c r="EW174">
        <v>0</v>
      </c>
      <c r="EX174">
        <v>0</v>
      </c>
      <c r="EY174">
        <v>0</v>
      </c>
      <c r="EZ174"/>
      <c r="FA174">
        <v>10</v>
      </c>
      <c r="FB174"/>
      <c r="FC174"/>
      <c r="FD174"/>
      <c r="FE174"/>
      <c r="FF174"/>
      <c r="FG174" s="94">
        <v>235</v>
      </c>
      <c r="FH174" s="94">
        <v>208</v>
      </c>
      <c r="FI174" s="94">
        <v>223</v>
      </c>
    </row>
    <row r="175" spans="1:165" s="66" customFormat="1" x14ac:dyDescent="0.35">
      <c r="A175">
        <v>2026</v>
      </c>
      <c r="B175" t="s">
        <v>688</v>
      </c>
      <c r="C175" s="112" t="s">
        <v>1039</v>
      </c>
      <c r="D175" t="s">
        <v>1463</v>
      </c>
      <c r="E175" t="s">
        <v>691</v>
      </c>
      <c r="F175">
        <v>7</v>
      </c>
      <c r="G175" s="113">
        <v>0</v>
      </c>
      <c r="H175"/>
      <c r="I175" t="s">
        <v>1391</v>
      </c>
      <c r="J175">
        <v>44</v>
      </c>
      <c r="K175">
        <v>50</v>
      </c>
      <c r="L175">
        <v>47</v>
      </c>
      <c r="M175">
        <v>30.773199999999999</v>
      </c>
      <c r="N175">
        <v>34.870699999999999</v>
      </c>
      <c r="O175">
        <v>32.617100000000001</v>
      </c>
      <c r="P175">
        <v>43.9726</v>
      </c>
      <c r="Q175">
        <v>49.793199999999999</v>
      </c>
      <c r="R175">
        <v>46.591900000000003</v>
      </c>
      <c r="S175"/>
      <c r="T175"/>
      <c r="U175"/>
      <c r="V175" t="s">
        <v>170</v>
      </c>
      <c r="W175" t="s">
        <v>171</v>
      </c>
      <c r="X175"/>
      <c r="Y175">
        <v>1</v>
      </c>
      <c r="Z175" t="s">
        <v>173</v>
      </c>
      <c r="AA175" t="s">
        <v>173</v>
      </c>
      <c r="AB175" t="s">
        <v>170</v>
      </c>
      <c r="AC175" t="s">
        <v>232</v>
      </c>
      <c r="AD175"/>
      <c r="AE175"/>
      <c r="AF175">
        <v>223</v>
      </c>
      <c r="AG175" t="s">
        <v>1392</v>
      </c>
      <c r="AH175" t="s">
        <v>1393</v>
      </c>
      <c r="AI175" t="s">
        <v>1399</v>
      </c>
      <c r="AJ175" t="s">
        <v>1400</v>
      </c>
      <c r="AK175" t="s">
        <v>173</v>
      </c>
      <c r="AL175" t="s">
        <v>180</v>
      </c>
      <c r="AM175"/>
      <c r="AN175"/>
      <c r="AO175">
        <v>105</v>
      </c>
      <c r="AP175">
        <v>25</v>
      </c>
      <c r="AQ175"/>
      <c r="AR175"/>
      <c r="AS175">
        <v>1200</v>
      </c>
      <c r="AT175">
        <v>1200</v>
      </c>
      <c r="AU175"/>
      <c r="AV175"/>
      <c r="AW175"/>
      <c r="AX175"/>
      <c r="AY175"/>
      <c r="AZ175"/>
      <c r="BA175"/>
      <c r="BB175"/>
      <c r="BC175"/>
      <c r="BD175"/>
      <c r="BE175"/>
      <c r="BF175"/>
      <c r="BG175"/>
      <c r="BH175"/>
      <c r="BI175"/>
      <c r="BJ175"/>
      <c r="BK175"/>
      <c r="BL175"/>
      <c r="BM175"/>
      <c r="BN175" s="114"/>
      <c r="BO175"/>
      <c r="BP175"/>
      <c r="BQ175">
        <v>6</v>
      </c>
      <c r="BR175" t="s">
        <v>536</v>
      </c>
      <c r="BS175" t="s">
        <v>182</v>
      </c>
      <c r="BT175" t="s">
        <v>1395</v>
      </c>
      <c r="BU175" s="115">
        <v>45796</v>
      </c>
      <c r="BV175">
        <v>36948</v>
      </c>
      <c r="BW175" s="116"/>
      <c r="BX175" t="s">
        <v>172</v>
      </c>
      <c r="BY175" t="s">
        <v>173</v>
      </c>
      <c r="BZ175"/>
      <c r="CA175"/>
      <c r="CB175" t="s">
        <v>173</v>
      </c>
      <c r="CC175" t="s">
        <v>173</v>
      </c>
      <c r="CD175"/>
      <c r="CE175"/>
      <c r="CF175"/>
      <c r="CG175"/>
      <c r="CH175"/>
      <c r="CI175"/>
      <c r="CJ175"/>
      <c r="CK175" t="s">
        <v>259</v>
      </c>
      <c r="CL175"/>
      <c r="CM175">
        <v>1</v>
      </c>
      <c r="CN175" t="s">
        <v>260</v>
      </c>
      <c r="CO175"/>
      <c r="CP175">
        <v>442</v>
      </c>
      <c r="CQ175">
        <v>262</v>
      </c>
      <c r="CR175">
        <v>163</v>
      </c>
      <c r="CS175" t="s">
        <v>261</v>
      </c>
      <c r="CT175"/>
      <c r="CU175"/>
      <c r="CV175" t="s">
        <v>262</v>
      </c>
      <c r="CW175"/>
      <c r="CX175" t="s">
        <v>263</v>
      </c>
      <c r="CY175" t="s">
        <v>172</v>
      </c>
      <c r="CZ175"/>
      <c r="DA175"/>
      <c r="DB175"/>
      <c r="DC175"/>
      <c r="DD175">
        <v>2</v>
      </c>
      <c r="DE175" t="s">
        <v>530</v>
      </c>
      <c r="DF175"/>
      <c r="DG175">
        <v>250</v>
      </c>
      <c r="DH175"/>
      <c r="DI175"/>
      <c r="DJ175"/>
      <c r="DK175"/>
      <c r="DL175" t="s">
        <v>173</v>
      </c>
      <c r="DM175" t="s">
        <v>172</v>
      </c>
      <c r="DN175"/>
      <c r="DO175"/>
      <c r="DP175" t="s">
        <v>173</v>
      </c>
      <c r="DQ175" t="s">
        <v>189</v>
      </c>
      <c r="DR175"/>
      <c r="DS175"/>
      <c r="DT175"/>
      <c r="DU175"/>
      <c r="DV175"/>
      <c r="DW175"/>
      <c r="DX175"/>
      <c r="DY175"/>
      <c r="DZ175"/>
      <c r="EA175" s="117"/>
      <c r="EB175">
        <v>9</v>
      </c>
      <c r="EC175">
        <v>10</v>
      </c>
      <c r="ED175"/>
      <c r="EE175" t="s">
        <v>1461</v>
      </c>
      <c r="EF175">
        <v>10</v>
      </c>
      <c r="EG175"/>
      <c r="EH175"/>
      <c r="EI175"/>
      <c r="EJ175"/>
      <c r="EK175"/>
      <c r="EL175"/>
      <c r="EM175"/>
      <c r="EN175"/>
      <c r="EO175"/>
      <c r="EP175"/>
      <c r="EQ175"/>
      <c r="ER175"/>
      <c r="ES175"/>
      <c r="ET175"/>
      <c r="EU175">
        <v>2500</v>
      </c>
      <c r="EV175"/>
      <c r="EW175">
        <v>0</v>
      </c>
      <c r="EX175">
        <v>0</v>
      </c>
      <c r="EY175">
        <v>0</v>
      </c>
      <c r="EZ175"/>
      <c r="FA175">
        <v>10</v>
      </c>
      <c r="FB175"/>
      <c r="FC175"/>
      <c r="FD175"/>
      <c r="FE175"/>
      <c r="FF175"/>
      <c r="FG175" s="94">
        <v>235</v>
      </c>
      <c r="FH175" s="94">
        <v>208</v>
      </c>
      <c r="FI175" s="94">
        <v>223</v>
      </c>
    </row>
    <row r="176" spans="1:165" s="66" customFormat="1" x14ac:dyDescent="0.35">
      <c r="A176" s="19"/>
      <c r="B176" s="19"/>
      <c r="C176" s="19"/>
      <c r="D176" s="19"/>
      <c r="E176" s="19"/>
      <c r="F176" s="128"/>
      <c r="G176" s="19"/>
      <c r="H176" s="19"/>
      <c r="I176" s="19"/>
      <c r="J176" s="19"/>
      <c r="K176" s="19" t="str">
        <f>_xlfn.CONCAT(A177," ",C177," ",D177)</f>
        <v>2026 Dodge Charger Daytona Scat Pack AWD 325/35ZR20 Rear A/S</v>
      </c>
      <c r="L176" s="19"/>
      <c r="M176" s="19"/>
      <c r="N176" s="19"/>
      <c r="O176" s="19"/>
      <c r="P176" s="19"/>
      <c r="Q176" s="19"/>
      <c r="R176" s="19"/>
      <c r="S176" s="19"/>
      <c r="T176" s="19"/>
      <c r="U176" s="19"/>
      <c r="V176" s="19"/>
      <c r="W176" s="19"/>
      <c r="X176" s="19"/>
      <c r="Y176" s="19"/>
      <c r="Z176" s="19"/>
      <c r="AA176" s="19"/>
      <c r="AB176" s="19" t="str">
        <f>$K176</f>
        <v>2026 Dodge Charger Daytona Scat Pack AWD 325/35ZR20 Rear A/S</v>
      </c>
      <c r="AC176" s="19"/>
      <c r="AD176" s="19"/>
      <c r="AE176" s="19"/>
      <c r="AF176" s="19"/>
      <c r="AG176" s="19"/>
      <c r="AH176" s="19"/>
      <c r="AI176" s="19"/>
      <c r="AJ176" s="19"/>
      <c r="AK176" s="19"/>
      <c r="AL176" s="19"/>
      <c r="AM176" s="19"/>
      <c r="AN176" s="19"/>
      <c r="AO176" s="19"/>
      <c r="AP176" s="19"/>
      <c r="AQ176" s="19"/>
      <c r="AR176" s="19" t="str">
        <f>$K176</f>
        <v>2026 Dodge Charger Daytona Scat Pack AWD 325/35ZR20 Rear A/S</v>
      </c>
      <c r="AS176" s="19"/>
      <c r="AT176" s="19"/>
      <c r="AU176" s="19"/>
      <c r="AV176" s="19"/>
      <c r="AW176" s="19"/>
      <c r="AX176" s="19"/>
      <c r="AY176" s="19"/>
      <c r="AZ176" s="19"/>
      <c r="BA176" s="19"/>
      <c r="BB176" s="19"/>
      <c r="BC176" s="19"/>
      <c r="BD176" s="19"/>
      <c r="BE176" s="19"/>
      <c r="BF176" s="19"/>
      <c r="BG176" s="19" t="str">
        <f>$K176</f>
        <v>2026 Dodge Charger Daytona Scat Pack AWD 325/35ZR20 Rear A/S</v>
      </c>
      <c r="BH176" s="19"/>
      <c r="BI176" s="19"/>
      <c r="BJ176" s="19"/>
      <c r="BK176" s="19"/>
      <c r="BL176" s="19"/>
      <c r="BM176" s="129"/>
      <c r="BN176" s="19"/>
      <c r="BO176" s="19"/>
      <c r="BP176" s="19"/>
      <c r="BQ176" s="19"/>
      <c r="BR176" s="19"/>
      <c r="BS176" s="19"/>
      <c r="BT176" s="130"/>
      <c r="BU176" s="19"/>
      <c r="BV176" s="19"/>
      <c r="BW176" s="116"/>
      <c r="BX176" s="19"/>
      <c r="BY176" s="19"/>
      <c r="BZ176" s="19"/>
      <c r="CA176" s="19"/>
      <c r="CB176" s="19"/>
      <c r="CC176" s="19"/>
      <c r="CD176" s="19"/>
      <c r="CE176" s="19"/>
      <c r="CF176" s="19"/>
      <c r="CG176" s="19"/>
      <c r="CH176" s="19"/>
      <c r="CI176" s="19"/>
      <c r="CJ176" s="19"/>
      <c r="CK176" s="19"/>
      <c r="CL176" s="19"/>
      <c r="CM176" s="19" t="str">
        <f>$K176</f>
        <v>2026 Dodge Charger Daytona Scat Pack AWD 325/35ZR20 Rear A/S</v>
      </c>
      <c r="CN176" s="19"/>
      <c r="CO176" s="19"/>
      <c r="CP176" s="19"/>
      <c r="CQ176" s="19"/>
      <c r="CR176" s="19"/>
      <c r="CS176" s="19"/>
      <c r="CT176" s="19"/>
      <c r="CU176" s="19"/>
      <c r="CV176" s="19"/>
      <c r="CW176" s="19"/>
      <c r="CX176" s="19"/>
      <c r="CY176" s="19"/>
      <c r="CZ176" s="19"/>
      <c r="DA176" s="19"/>
      <c r="DB176" s="19"/>
      <c r="DC176" s="19"/>
      <c r="DD176" s="19" t="str">
        <f>$K176</f>
        <v>2026 Dodge Charger Daytona Scat Pack AWD 325/35ZR20 Rear A/S</v>
      </c>
      <c r="DE176" s="19"/>
      <c r="DF176" s="19"/>
      <c r="DG176" s="19"/>
      <c r="DH176" s="19"/>
      <c r="DI176" s="19"/>
      <c r="DJ176" s="19"/>
      <c r="DK176" s="19"/>
      <c r="DL176" s="19"/>
      <c r="DM176" s="19"/>
      <c r="DN176" s="19"/>
      <c r="DO176" s="19"/>
      <c r="DP176" s="19"/>
      <c r="DQ176" s="19"/>
      <c r="DR176" s="19"/>
      <c r="DS176" s="19"/>
      <c r="DT176" s="19"/>
      <c r="DU176" s="19" t="str">
        <f>$K176</f>
        <v>2026 Dodge Charger Daytona Scat Pack AWD 325/35ZR20 Rear A/S</v>
      </c>
      <c r="DV176" s="19"/>
      <c r="DW176" s="19"/>
      <c r="DX176" s="19"/>
      <c r="DY176" s="19"/>
      <c r="DZ176" s="19"/>
      <c r="EA176" s="117"/>
      <c r="EB176" s="19"/>
      <c r="EC176" s="19"/>
      <c r="ED176" s="19"/>
      <c r="EE176" s="19"/>
      <c r="EF176" s="19"/>
      <c r="EG176"/>
      <c r="EH176"/>
      <c r="EI176"/>
      <c r="EJ176"/>
      <c r="EK176"/>
      <c r="EL176"/>
      <c r="EM176"/>
      <c r="EN176"/>
      <c r="EO176"/>
      <c r="EP176"/>
      <c r="EQ176"/>
      <c r="ER176"/>
      <c r="ES176"/>
      <c r="ET176"/>
      <c r="EU176"/>
      <c r="EV176"/>
      <c r="EW176"/>
      <c r="EX176" s="19" t="s">
        <v>1979</v>
      </c>
      <c r="EY176"/>
      <c r="EZ176"/>
      <c r="FA176"/>
      <c r="FB176"/>
      <c r="FC176"/>
      <c r="FD176"/>
      <c r="FE176"/>
      <c r="FF176"/>
      <c r="FG176"/>
      <c r="FH176"/>
      <c r="FI176"/>
    </row>
    <row r="177" spans="1:165" s="66" customFormat="1" x14ac:dyDescent="0.35">
      <c r="A177">
        <v>2026</v>
      </c>
      <c r="B177" t="s">
        <v>688</v>
      </c>
      <c r="C177" s="112" t="s">
        <v>1039</v>
      </c>
      <c r="D177" t="s">
        <v>1464</v>
      </c>
      <c r="E177" t="s">
        <v>691</v>
      </c>
      <c r="F177">
        <v>8</v>
      </c>
      <c r="G177" s="113">
        <v>0</v>
      </c>
      <c r="H177"/>
      <c r="I177" t="s">
        <v>1391</v>
      </c>
      <c r="J177">
        <v>82</v>
      </c>
      <c r="K177">
        <v>73</v>
      </c>
      <c r="L177">
        <v>78</v>
      </c>
      <c r="M177">
        <v>117.6</v>
      </c>
      <c r="N177">
        <v>103.9</v>
      </c>
      <c r="O177">
        <v>111.0129</v>
      </c>
      <c r="P177">
        <v>82.32</v>
      </c>
      <c r="Q177">
        <v>72.73</v>
      </c>
      <c r="R177">
        <v>77.709000000000003</v>
      </c>
      <c r="S177"/>
      <c r="T177"/>
      <c r="U177"/>
      <c r="V177" t="s">
        <v>170</v>
      </c>
      <c r="W177" t="s">
        <v>171</v>
      </c>
      <c r="X177"/>
      <c r="Y177">
        <v>1</v>
      </c>
      <c r="Z177" t="s">
        <v>173</v>
      </c>
      <c r="AA177" t="s">
        <v>173</v>
      </c>
      <c r="AB177" t="s">
        <v>170</v>
      </c>
      <c r="AC177" t="s">
        <v>232</v>
      </c>
      <c r="AD177"/>
      <c r="AE177"/>
      <c r="AF177">
        <v>241</v>
      </c>
      <c r="AG177" t="s">
        <v>1392</v>
      </c>
      <c r="AH177" t="s">
        <v>1393</v>
      </c>
      <c r="AI177" t="s">
        <v>178</v>
      </c>
      <c r="AJ177" t="s">
        <v>179</v>
      </c>
      <c r="AK177" t="s">
        <v>173</v>
      </c>
      <c r="AL177" t="s">
        <v>180</v>
      </c>
      <c r="AM177"/>
      <c r="AN177"/>
      <c r="AO177">
        <v>105</v>
      </c>
      <c r="AP177">
        <v>25</v>
      </c>
      <c r="AQ177"/>
      <c r="AR177"/>
      <c r="AS177">
        <v>1100</v>
      </c>
      <c r="AT177">
        <v>1100</v>
      </c>
      <c r="AU177"/>
      <c r="AV177"/>
      <c r="AW177"/>
      <c r="AX177"/>
      <c r="AY177"/>
      <c r="AZ177"/>
      <c r="BA177"/>
      <c r="BB177"/>
      <c r="BC177"/>
      <c r="BD177"/>
      <c r="BE177"/>
      <c r="BF177"/>
      <c r="BG177"/>
      <c r="BH177"/>
      <c r="BI177"/>
      <c r="BJ177"/>
      <c r="BK177"/>
      <c r="BL177"/>
      <c r="BM177"/>
      <c r="BN177" s="114"/>
      <c r="BO177"/>
      <c r="BP177"/>
      <c r="BQ177">
        <v>6</v>
      </c>
      <c r="BR177" t="s">
        <v>536</v>
      </c>
      <c r="BS177" t="s">
        <v>182</v>
      </c>
      <c r="BT177" t="s">
        <v>1395</v>
      </c>
      <c r="BU177" s="115">
        <v>45796</v>
      </c>
      <c r="BV177">
        <v>36949</v>
      </c>
      <c r="BW177" s="116"/>
      <c r="BX177" t="s">
        <v>172</v>
      </c>
      <c r="BY177" t="s">
        <v>173</v>
      </c>
      <c r="BZ177"/>
      <c r="CA177"/>
      <c r="CB177" t="s">
        <v>173</v>
      </c>
      <c r="CC177" t="s">
        <v>173</v>
      </c>
      <c r="CD177"/>
      <c r="CE177"/>
      <c r="CF177"/>
      <c r="CG177"/>
      <c r="CH177"/>
      <c r="CI177"/>
      <c r="CJ177"/>
      <c r="CK177" t="s">
        <v>259</v>
      </c>
      <c r="CL177"/>
      <c r="CM177">
        <v>1</v>
      </c>
      <c r="CN177" t="s">
        <v>260</v>
      </c>
      <c r="CO177"/>
      <c r="CP177">
        <v>442</v>
      </c>
      <c r="CQ177">
        <v>262</v>
      </c>
      <c r="CR177">
        <v>163</v>
      </c>
      <c r="CS177" t="s">
        <v>261</v>
      </c>
      <c r="CT177"/>
      <c r="CU177"/>
      <c r="CV177" t="s">
        <v>262</v>
      </c>
      <c r="CW177"/>
      <c r="CX177" t="s">
        <v>263</v>
      </c>
      <c r="CY177" t="s">
        <v>172</v>
      </c>
      <c r="CZ177"/>
      <c r="DA177"/>
      <c r="DB177"/>
      <c r="DC177"/>
      <c r="DD177">
        <v>2</v>
      </c>
      <c r="DE177" t="s">
        <v>530</v>
      </c>
      <c r="DF177"/>
      <c r="DG177">
        <v>250</v>
      </c>
      <c r="DH177"/>
      <c r="DI177"/>
      <c r="DJ177"/>
      <c r="DK177"/>
      <c r="DL177" t="s">
        <v>173</v>
      </c>
      <c r="DM177" t="s">
        <v>172</v>
      </c>
      <c r="DN177"/>
      <c r="DO177"/>
      <c r="DP177" t="s">
        <v>173</v>
      </c>
      <c r="DQ177" t="s">
        <v>189</v>
      </c>
      <c r="DR177"/>
      <c r="DS177"/>
      <c r="DT177"/>
      <c r="DU177"/>
      <c r="DV177"/>
      <c r="DW177"/>
      <c r="DX177"/>
      <c r="DY177"/>
      <c r="DZ177"/>
      <c r="EA177" s="117"/>
      <c r="EB177">
        <v>9</v>
      </c>
      <c r="EC177">
        <v>10</v>
      </c>
      <c r="ED177"/>
      <c r="EE177" t="s">
        <v>1461</v>
      </c>
      <c r="EF177">
        <v>10</v>
      </c>
      <c r="EG177"/>
      <c r="EH177"/>
      <c r="EI177"/>
      <c r="EJ177"/>
      <c r="EK177"/>
      <c r="EL177"/>
      <c r="EM177"/>
      <c r="EN177"/>
      <c r="EO177"/>
      <c r="EP177"/>
      <c r="EQ177"/>
      <c r="ER177"/>
      <c r="ES177"/>
      <c r="ET177"/>
      <c r="EU177">
        <v>3000</v>
      </c>
      <c r="EV177"/>
      <c r="EW177">
        <v>0</v>
      </c>
      <c r="EX177">
        <v>0</v>
      </c>
      <c r="EY177">
        <v>0</v>
      </c>
      <c r="EZ177"/>
      <c r="FA177">
        <v>10</v>
      </c>
      <c r="FB177"/>
      <c r="FC177"/>
      <c r="FD177"/>
      <c r="FE177"/>
      <c r="FF177"/>
      <c r="FG177" s="94">
        <v>254</v>
      </c>
      <c r="FH177" s="94">
        <v>225</v>
      </c>
      <c r="FI177" s="94">
        <v>241</v>
      </c>
    </row>
    <row r="178" spans="1:165" s="66" customFormat="1" x14ac:dyDescent="0.35">
      <c r="A178">
        <v>2026</v>
      </c>
      <c r="B178" t="s">
        <v>688</v>
      </c>
      <c r="C178" s="112" t="s">
        <v>1039</v>
      </c>
      <c r="D178" t="s">
        <v>1464</v>
      </c>
      <c r="E178" t="s">
        <v>691</v>
      </c>
      <c r="F178">
        <v>8</v>
      </c>
      <c r="G178" s="113">
        <v>0</v>
      </c>
      <c r="H178"/>
      <c r="I178" t="s">
        <v>1391</v>
      </c>
      <c r="J178">
        <v>41</v>
      </c>
      <c r="K178">
        <v>46</v>
      </c>
      <c r="L178">
        <v>43</v>
      </c>
      <c r="M178">
        <v>28.660299999999999</v>
      </c>
      <c r="N178">
        <v>32.440600000000003</v>
      </c>
      <c r="O178">
        <v>30.3614</v>
      </c>
      <c r="P178">
        <v>40.943899999999999</v>
      </c>
      <c r="Q178">
        <v>46.342599999999997</v>
      </c>
      <c r="R178">
        <v>43.3733</v>
      </c>
      <c r="S178"/>
      <c r="T178"/>
      <c r="U178"/>
      <c r="V178" t="s">
        <v>170</v>
      </c>
      <c r="W178" t="s">
        <v>171</v>
      </c>
      <c r="X178"/>
      <c r="Y178">
        <v>1</v>
      </c>
      <c r="Z178" t="s">
        <v>173</v>
      </c>
      <c r="AA178" t="s">
        <v>173</v>
      </c>
      <c r="AB178" t="s">
        <v>170</v>
      </c>
      <c r="AC178" t="s">
        <v>232</v>
      </c>
      <c r="AD178"/>
      <c r="AE178"/>
      <c r="AF178">
        <v>241</v>
      </c>
      <c r="AG178" t="s">
        <v>1392</v>
      </c>
      <c r="AH178" t="s">
        <v>1393</v>
      </c>
      <c r="AI178" t="s">
        <v>1399</v>
      </c>
      <c r="AJ178" t="s">
        <v>1400</v>
      </c>
      <c r="AK178" t="s">
        <v>173</v>
      </c>
      <c r="AL178" t="s">
        <v>180</v>
      </c>
      <c r="AM178"/>
      <c r="AN178"/>
      <c r="AO178">
        <v>105</v>
      </c>
      <c r="AP178">
        <v>25</v>
      </c>
      <c r="AQ178"/>
      <c r="AR178"/>
      <c r="AS178">
        <v>1100</v>
      </c>
      <c r="AT178">
        <v>1100</v>
      </c>
      <c r="AU178"/>
      <c r="AV178"/>
      <c r="AW178"/>
      <c r="AX178"/>
      <c r="AY178"/>
      <c r="AZ178"/>
      <c r="BA178"/>
      <c r="BB178"/>
      <c r="BC178"/>
      <c r="BD178"/>
      <c r="BE178"/>
      <c r="BF178"/>
      <c r="BG178"/>
      <c r="BH178"/>
      <c r="BI178"/>
      <c r="BJ178"/>
      <c r="BK178"/>
      <c r="BL178"/>
      <c r="BM178"/>
      <c r="BN178" s="114"/>
      <c r="BO178"/>
      <c r="BP178"/>
      <c r="BQ178">
        <v>6</v>
      </c>
      <c r="BR178" t="s">
        <v>536</v>
      </c>
      <c r="BS178" t="s">
        <v>182</v>
      </c>
      <c r="BT178" t="s">
        <v>1395</v>
      </c>
      <c r="BU178" s="115">
        <v>45796</v>
      </c>
      <c r="BV178">
        <v>36949</v>
      </c>
      <c r="BW178" s="116"/>
      <c r="BX178" t="s">
        <v>172</v>
      </c>
      <c r="BY178" t="s">
        <v>173</v>
      </c>
      <c r="BZ178"/>
      <c r="CA178"/>
      <c r="CB178" t="s">
        <v>173</v>
      </c>
      <c r="CC178" t="s">
        <v>173</v>
      </c>
      <c r="CD178"/>
      <c r="CE178"/>
      <c r="CF178"/>
      <c r="CG178"/>
      <c r="CH178"/>
      <c r="CI178"/>
      <c r="CJ178"/>
      <c r="CK178" t="s">
        <v>259</v>
      </c>
      <c r="CL178"/>
      <c r="CM178">
        <v>1</v>
      </c>
      <c r="CN178" t="s">
        <v>260</v>
      </c>
      <c r="CO178"/>
      <c r="CP178">
        <v>442</v>
      </c>
      <c r="CQ178">
        <v>262</v>
      </c>
      <c r="CR178">
        <v>163</v>
      </c>
      <c r="CS178" t="s">
        <v>261</v>
      </c>
      <c r="CT178"/>
      <c r="CU178"/>
      <c r="CV178" t="s">
        <v>262</v>
      </c>
      <c r="CW178"/>
      <c r="CX178" t="s">
        <v>263</v>
      </c>
      <c r="CY178" t="s">
        <v>172</v>
      </c>
      <c r="CZ178"/>
      <c r="DA178"/>
      <c r="DB178"/>
      <c r="DC178"/>
      <c r="DD178">
        <v>2</v>
      </c>
      <c r="DE178" t="s">
        <v>530</v>
      </c>
      <c r="DF178"/>
      <c r="DG178">
        <v>250</v>
      </c>
      <c r="DH178"/>
      <c r="DI178"/>
      <c r="DJ178"/>
      <c r="DK178"/>
      <c r="DL178" t="s">
        <v>173</v>
      </c>
      <c r="DM178" t="s">
        <v>172</v>
      </c>
      <c r="DN178"/>
      <c r="DO178"/>
      <c r="DP178" t="s">
        <v>173</v>
      </c>
      <c r="DQ178" t="s">
        <v>189</v>
      </c>
      <c r="DR178"/>
      <c r="DS178"/>
      <c r="DT178"/>
      <c r="DU178"/>
      <c r="DV178"/>
      <c r="DW178"/>
      <c r="DX178"/>
      <c r="DY178"/>
      <c r="DZ178"/>
      <c r="EA178" s="117"/>
      <c r="EB178">
        <v>9</v>
      </c>
      <c r="EC178">
        <v>10</v>
      </c>
      <c r="ED178"/>
      <c r="EE178" t="s">
        <v>1461</v>
      </c>
      <c r="EF178">
        <v>10</v>
      </c>
      <c r="EG178"/>
      <c r="EH178"/>
      <c r="EI178"/>
      <c r="EJ178"/>
      <c r="EK178"/>
      <c r="EL178"/>
      <c r="EM178"/>
      <c r="EN178"/>
      <c r="EO178"/>
      <c r="EP178"/>
      <c r="EQ178"/>
      <c r="ER178"/>
      <c r="ES178"/>
      <c r="ET178"/>
      <c r="EU178">
        <v>3000</v>
      </c>
      <c r="EV178"/>
      <c r="EW178">
        <v>0</v>
      </c>
      <c r="EX178">
        <v>0</v>
      </c>
      <c r="EY178">
        <v>0</v>
      </c>
      <c r="EZ178"/>
      <c r="FA178">
        <v>10</v>
      </c>
      <c r="FB178"/>
      <c r="FC178"/>
      <c r="FD178"/>
      <c r="FE178"/>
      <c r="FF178"/>
      <c r="FG178" s="94">
        <v>254</v>
      </c>
      <c r="FH178" s="94">
        <v>225</v>
      </c>
      <c r="FI178" s="94">
        <v>241</v>
      </c>
    </row>
    <row r="179" spans="1:165" s="66" customFormat="1" x14ac:dyDescent="0.35">
      <c r="A179" s="19"/>
      <c r="B179" s="19"/>
      <c r="C179" s="19"/>
      <c r="D179" s="19"/>
      <c r="E179" s="19"/>
      <c r="F179" s="128"/>
      <c r="G179" s="19"/>
      <c r="H179" s="19"/>
      <c r="I179" s="19"/>
      <c r="J179" s="19"/>
      <c r="K179" s="19" t="str">
        <f>_xlfn.CONCAT(A180," ",C180," ",D180)</f>
        <v>2026 GENESIS Electrified G80</v>
      </c>
      <c r="L179" s="19"/>
      <c r="M179" s="19"/>
      <c r="N179" s="19"/>
      <c r="O179" s="19"/>
      <c r="P179" s="19"/>
      <c r="Q179" s="19"/>
      <c r="R179" s="19"/>
      <c r="S179" s="19"/>
      <c r="T179" s="19"/>
      <c r="U179" s="19"/>
      <c r="V179" s="19"/>
      <c r="W179" s="19"/>
      <c r="X179" s="19"/>
      <c r="Y179" s="19"/>
      <c r="Z179" s="19"/>
      <c r="AA179" s="19"/>
      <c r="AB179" s="19" t="str">
        <f>$K179</f>
        <v>2026 GENESIS Electrified G80</v>
      </c>
      <c r="AC179" s="19"/>
      <c r="AD179" s="19"/>
      <c r="AE179" s="19"/>
      <c r="AF179" s="19"/>
      <c r="AG179" s="19"/>
      <c r="AH179" s="19"/>
      <c r="AI179" s="19"/>
      <c r="AJ179" s="19"/>
      <c r="AK179" s="19"/>
      <c r="AL179" s="19"/>
      <c r="AM179" s="19"/>
      <c r="AN179" s="19"/>
      <c r="AO179" s="19"/>
      <c r="AP179" s="19"/>
      <c r="AQ179" s="19"/>
      <c r="AR179" s="19" t="str">
        <f>$K179</f>
        <v>2026 GENESIS Electrified G80</v>
      </c>
      <c r="AS179" s="19"/>
      <c r="AT179" s="19"/>
      <c r="AU179" s="19"/>
      <c r="AV179" s="19"/>
      <c r="AW179" s="19"/>
      <c r="AX179" s="19"/>
      <c r="AY179" s="19"/>
      <c r="AZ179" s="19"/>
      <c r="BA179" s="19"/>
      <c r="BB179" s="19"/>
      <c r="BC179" s="19"/>
      <c r="BD179" s="19"/>
      <c r="BE179" s="19"/>
      <c r="BF179" s="19"/>
      <c r="BG179" s="19" t="str">
        <f>$K179</f>
        <v>2026 GENESIS Electrified G80</v>
      </c>
      <c r="BH179" s="19"/>
      <c r="BI179" s="19"/>
      <c r="BJ179" s="19"/>
      <c r="BK179" s="19"/>
      <c r="BL179" s="19"/>
      <c r="BM179" s="129"/>
      <c r="BN179" s="19"/>
      <c r="BO179" s="19"/>
      <c r="BP179" s="19"/>
      <c r="BQ179" s="19"/>
      <c r="BR179" s="19"/>
      <c r="BS179" s="19"/>
      <c r="BT179" s="130"/>
      <c r="BU179" s="19"/>
      <c r="BV179" s="19"/>
      <c r="BW179" s="116"/>
      <c r="BX179" s="19"/>
      <c r="BY179" s="19"/>
      <c r="BZ179" s="19"/>
      <c r="CA179" s="19"/>
      <c r="CB179" s="19"/>
      <c r="CC179" s="19"/>
      <c r="CD179" s="19"/>
      <c r="CE179" s="19"/>
      <c r="CF179" s="19"/>
      <c r="CG179" s="19"/>
      <c r="CH179" s="19"/>
      <c r="CI179" s="19"/>
      <c r="CJ179" s="19"/>
      <c r="CK179" s="19"/>
      <c r="CL179" s="19"/>
      <c r="CM179" s="19" t="str">
        <f>$K179</f>
        <v>2026 GENESIS Electrified G80</v>
      </c>
      <c r="CN179" s="19"/>
      <c r="CO179" s="19"/>
      <c r="CP179" s="19"/>
      <c r="CQ179" s="19"/>
      <c r="CR179" s="19"/>
      <c r="CS179" s="19"/>
      <c r="CT179" s="19"/>
      <c r="CU179" s="19"/>
      <c r="CV179" s="19"/>
      <c r="CW179" s="19"/>
      <c r="CX179" s="19"/>
      <c r="CY179" s="19"/>
      <c r="CZ179" s="19"/>
      <c r="DA179" s="19"/>
      <c r="DB179" s="19"/>
      <c r="DC179" s="19"/>
      <c r="DD179" s="19" t="str">
        <f>$K179</f>
        <v>2026 GENESIS Electrified G80</v>
      </c>
      <c r="DE179" s="19"/>
      <c r="DF179" s="19"/>
      <c r="DG179" s="19"/>
      <c r="DH179" s="19"/>
      <c r="DI179" s="19"/>
      <c r="DJ179" s="19"/>
      <c r="DK179" s="19"/>
      <c r="DL179" s="19"/>
      <c r="DM179" s="19"/>
      <c r="DN179" s="19"/>
      <c r="DO179" s="19"/>
      <c r="DP179" s="19"/>
      <c r="DQ179" s="19"/>
      <c r="DR179" s="19"/>
      <c r="DS179" s="19"/>
      <c r="DT179" s="19"/>
      <c r="DU179" s="19" t="str">
        <f>$K179</f>
        <v>2026 GENESIS Electrified G80</v>
      </c>
      <c r="DV179" s="19"/>
      <c r="DW179" s="19"/>
      <c r="DX179" s="19"/>
      <c r="DY179" s="19"/>
      <c r="DZ179" s="19"/>
      <c r="EA179" s="117"/>
      <c r="EB179" s="19"/>
      <c r="EC179" s="19"/>
      <c r="ED179" s="19"/>
      <c r="EE179" s="19"/>
      <c r="EF179" s="19"/>
      <c r="EG179"/>
      <c r="EH179"/>
      <c r="EI179"/>
      <c r="EJ179"/>
      <c r="EK179"/>
      <c r="EL179"/>
      <c r="EM179"/>
      <c r="EN179"/>
      <c r="EO179"/>
      <c r="EP179"/>
      <c r="EQ179"/>
      <c r="ER179"/>
      <c r="ES179"/>
      <c r="ET179"/>
      <c r="EU179"/>
      <c r="EV179"/>
      <c r="EW179"/>
      <c r="EX179" s="19" t="s">
        <v>1980</v>
      </c>
      <c r="EY179"/>
      <c r="EZ179"/>
      <c r="FA179"/>
      <c r="FB179"/>
      <c r="FC179"/>
      <c r="FD179"/>
      <c r="FE179"/>
      <c r="FF179"/>
      <c r="FG179"/>
      <c r="FH179"/>
      <c r="FI179"/>
    </row>
    <row r="180" spans="1:165" s="66" customFormat="1" x14ac:dyDescent="0.35">
      <c r="A180">
        <v>2026</v>
      </c>
      <c r="B180" t="s">
        <v>400</v>
      </c>
      <c r="C180" s="112" t="s">
        <v>401</v>
      </c>
      <c r="D180" t="s">
        <v>1465</v>
      </c>
      <c r="E180" t="s">
        <v>403</v>
      </c>
      <c r="F180">
        <v>5</v>
      </c>
      <c r="G180" s="113">
        <v>0</v>
      </c>
      <c r="H180"/>
      <c r="I180" t="s">
        <v>1391</v>
      </c>
      <c r="J180">
        <v>99</v>
      </c>
      <c r="K180">
        <v>93</v>
      </c>
      <c r="L180">
        <v>96</v>
      </c>
      <c r="M180">
        <v>144.19999999999999</v>
      </c>
      <c r="N180">
        <v>135</v>
      </c>
      <c r="O180">
        <v>139.90940000000001</v>
      </c>
      <c r="P180">
        <v>99</v>
      </c>
      <c r="Q180">
        <v>93</v>
      </c>
      <c r="R180">
        <v>96</v>
      </c>
      <c r="S180"/>
      <c r="T180"/>
      <c r="U180"/>
      <c r="V180" t="s">
        <v>170</v>
      </c>
      <c r="W180" t="s">
        <v>171</v>
      </c>
      <c r="X180" t="s">
        <v>1466</v>
      </c>
      <c r="Y180">
        <v>1</v>
      </c>
      <c r="Z180" t="s">
        <v>173</v>
      </c>
      <c r="AA180" t="s">
        <v>173</v>
      </c>
      <c r="AB180" t="s">
        <v>170</v>
      </c>
      <c r="AC180" t="s">
        <v>232</v>
      </c>
      <c r="AD180"/>
      <c r="AE180"/>
      <c r="AF180">
        <v>300</v>
      </c>
      <c r="AG180" t="s">
        <v>1392</v>
      </c>
      <c r="AH180" t="s">
        <v>1393</v>
      </c>
      <c r="AI180" t="s">
        <v>178</v>
      </c>
      <c r="AJ180" t="s">
        <v>179</v>
      </c>
      <c r="AK180">
        <v>4</v>
      </c>
      <c r="AL180" t="s">
        <v>1394</v>
      </c>
      <c r="AM180"/>
      <c r="AN180"/>
      <c r="AO180">
        <v>102</v>
      </c>
      <c r="AP180">
        <v>12</v>
      </c>
      <c r="AQ180"/>
      <c r="AR180"/>
      <c r="AS180">
        <v>900</v>
      </c>
      <c r="AT180">
        <v>900</v>
      </c>
      <c r="AU180"/>
      <c r="AV180"/>
      <c r="AW180"/>
      <c r="AX180"/>
      <c r="AY180"/>
      <c r="AZ180"/>
      <c r="BA180"/>
      <c r="BB180"/>
      <c r="BC180"/>
      <c r="BD180"/>
      <c r="BE180"/>
      <c r="BF180"/>
      <c r="BG180"/>
      <c r="BH180"/>
      <c r="BI180"/>
      <c r="BJ180"/>
      <c r="BK180"/>
      <c r="BL180"/>
      <c r="BM180"/>
      <c r="BN180" s="114"/>
      <c r="BO180"/>
      <c r="BP180"/>
      <c r="BQ180">
        <v>5</v>
      </c>
      <c r="BR180" t="s">
        <v>460</v>
      </c>
      <c r="BS180" t="s">
        <v>182</v>
      </c>
      <c r="BT180" t="s">
        <v>1395</v>
      </c>
      <c r="BU180" s="115">
        <v>45709</v>
      </c>
      <c r="BV180">
        <v>36319</v>
      </c>
      <c r="BW180" s="116"/>
      <c r="BX180" t="s">
        <v>173</v>
      </c>
      <c r="BY180" t="s">
        <v>173</v>
      </c>
      <c r="BZ180"/>
      <c r="CA180"/>
      <c r="CB180" t="s">
        <v>173</v>
      </c>
      <c r="CC180" t="s">
        <v>173</v>
      </c>
      <c r="CD180"/>
      <c r="CE180"/>
      <c r="CF180"/>
      <c r="CG180"/>
      <c r="CH180"/>
      <c r="CI180"/>
      <c r="CJ180"/>
      <c r="CK180" t="s">
        <v>259</v>
      </c>
      <c r="CL180"/>
      <c r="CM180">
        <v>1</v>
      </c>
      <c r="CN180" t="s">
        <v>260</v>
      </c>
      <c r="CO180"/>
      <c r="CP180">
        <v>523</v>
      </c>
      <c r="CQ180">
        <v>180.9</v>
      </c>
      <c r="CR180">
        <v>170.2</v>
      </c>
      <c r="CS180" t="s">
        <v>1437</v>
      </c>
      <c r="CT180"/>
      <c r="CU180"/>
      <c r="CV180" t="s">
        <v>262</v>
      </c>
      <c r="CW180"/>
      <c r="CX180" t="s">
        <v>263</v>
      </c>
      <c r="CY180" t="s">
        <v>172</v>
      </c>
      <c r="CZ180"/>
      <c r="DA180"/>
      <c r="DB180"/>
      <c r="DC180" t="s">
        <v>1467</v>
      </c>
      <c r="DD180">
        <v>2</v>
      </c>
      <c r="DE180" t="s">
        <v>307</v>
      </c>
      <c r="DF180" t="s">
        <v>330</v>
      </c>
      <c r="DG180">
        <v>136</v>
      </c>
      <c r="DH180"/>
      <c r="DI180"/>
      <c r="DJ180"/>
      <c r="DK180"/>
      <c r="DL180" t="s">
        <v>173</v>
      </c>
      <c r="DM180" t="s">
        <v>172</v>
      </c>
      <c r="DN180"/>
      <c r="DO180"/>
      <c r="DP180" t="s">
        <v>173</v>
      </c>
      <c r="DQ180" t="s">
        <v>189</v>
      </c>
      <c r="DR180"/>
      <c r="DS180"/>
      <c r="DT180"/>
      <c r="DU180"/>
      <c r="DV180"/>
      <c r="DW180"/>
      <c r="DX180"/>
      <c r="DY180"/>
      <c r="DZ180"/>
      <c r="EA180" s="117"/>
      <c r="EB180">
        <v>9</v>
      </c>
      <c r="EC180">
        <v>10</v>
      </c>
      <c r="ED180"/>
      <c r="EE180" t="s">
        <v>1468</v>
      </c>
      <c r="EF180">
        <v>10</v>
      </c>
      <c r="EG180"/>
      <c r="EH180"/>
      <c r="EI180"/>
      <c r="EJ180"/>
      <c r="EK180"/>
      <c r="EL180"/>
      <c r="EM180"/>
      <c r="EN180"/>
      <c r="EO180"/>
      <c r="EP180"/>
      <c r="EQ180"/>
      <c r="ER180"/>
      <c r="ES180"/>
      <c r="ET180"/>
      <c r="EU180">
        <v>4000</v>
      </c>
      <c r="EV180"/>
      <c r="EW180">
        <v>0</v>
      </c>
      <c r="EX180">
        <v>0</v>
      </c>
      <c r="EY180">
        <v>0</v>
      </c>
      <c r="EZ180"/>
      <c r="FA180">
        <v>10.3</v>
      </c>
      <c r="FB180"/>
      <c r="FC180"/>
      <c r="FD180"/>
      <c r="FE180"/>
      <c r="FF180"/>
      <c r="FG180" s="94">
        <v>306</v>
      </c>
      <c r="FH180" s="94">
        <v>292</v>
      </c>
      <c r="FI180" s="94">
        <v>300</v>
      </c>
    </row>
    <row r="181" spans="1:165" s="66" customFormat="1" x14ac:dyDescent="0.35">
      <c r="A181">
        <v>2026</v>
      </c>
      <c r="B181" t="s">
        <v>400</v>
      </c>
      <c r="C181" s="112" t="s">
        <v>401</v>
      </c>
      <c r="D181" t="s">
        <v>1465</v>
      </c>
      <c r="E181" t="s">
        <v>403</v>
      </c>
      <c r="F181">
        <v>5</v>
      </c>
      <c r="G181" s="113">
        <v>0</v>
      </c>
      <c r="H181"/>
      <c r="I181" t="s">
        <v>1391</v>
      </c>
      <c r="J181">
        <v>34</v>
      </c>
      <c r="K181">
        <v>36</v>
      </c>
      <c r="L181">
        <v>35</v>
      </c>
      <c r="M181">
        <v>23.376999999999999</v>
      </c>
      <c r="N181">
        <v>24.964500000000001</v>
      </c>
      <c r="O181">
        <v>24.0914</v>
      </c>
      <c r="P181">
        <v>34</v>
      </c>
      <c r="Q181">
        <v>35.666699999999999</v>
      </c>
      <c r="R181">
        <v>35</v>
      </c>
      <c r="S181"/>
      <c r="T181"/>
      <c r="U181"/>
      <c r="V181" t="s">
        <v>170</v>
      </c>
      <c r="W181" t="s">
        <v>171</v>
      </c>
      <c r="X181" t="s">
        <v>1466</v>
      </c>
      <c r="Y181">
        <v>1</v>
      </c>
      <c r="Z181" t="s">
        <v>173</v>
      </c>
      <c r="AA181" t="s">
        <v>173</v>
      </c>
      <c r="AB181" t="s">
        <v>170</v>
      </c>
      <c r="AC181" t="s">
        <v>232</v>
      </c>
      <c r="AD181"/>
      <c r="AE181"/>
      <c r="AF181">
        <v>300</v>
      </c>
      <c r="AG181" t="s">
        <v>1392</v>
      </c>
      <c r="AH181" t="s">
        <v>1393</v>
      </c>
      <c r="AI181" t="s">
        <v>1399</v>
      </c>
      <c r="AJ181" t="s">
        <v>1400</v>
      </c>
      <c r="AK181">
        <v>4</v>
      </c>
      <c r="AL181" t="s">
        <v>1394</v>
      </c>
      <c r="AM181"/>
      <c r="AN181"/>
      <c r="AO181">
        <v>102</v>
      </c>
      <c r="AP181">
        <v>12</v>
      </c>
      <c r="AQ181"/>
      <c r="AR181"/>
      <c r="AS181">
        <v>900</v>
      </c>
      <c r="AT181">
        <v>900</v>
      </c>
      <c r="AU181"/>
      <c r="AV181"/>
      <c r="AW181"/>
      <c r="AX181"/>
      <c r="AY181"/>
      <c r="AZ181"/>
      <c r="BA181"/>
      <c r="BB181"/>
      <c r="BC181"/>
      <c r="BD181"/>
      <c r="BE181"/>
      <c r="BF181"/>
      <c r="BG181"/>
      <c r="BH181"/>
      <c r="BI181"/>
      <c r="BJ181"/>
      <c r="BK181"/>
      <c r="BL181"/>
      <c r="BM181"/>
      <c r="BN181" s="114"/>
      <c r="BO181"/>
      <c r="BP181"/>
      <c r="BQ181">
        <v>5</v>
      </c>
      <c r="BR181" t="s">
        <v>460</v>
      </c>
      <c r="BS181" t="s">
        <v>182</v>
      </c>
      <c r="BT181" t="s">
        <v>1395</v>
      </c>
      <c r="BU181" s="115">
        <v>45709</v>
      </c>
      <c r="BV181">
        <v>36319</v>
      </c>
      <c r="BW181" s="116"/>
      <c r="BX181" t="s">
        <v>173</v>
      </c>
      <c r="BY181" t="s">
        <v>173</v>
      </c>
      <c r="BZ181"/>
      <c r="CA181"/>
      <c r="CB181" t="s">
        <v>173</v>
      </c>
      <c r="CC181" t="s">
        <v>173</v>
      </c>
      <c r="CD181"/>
      <c r="CE181"/>
      <c r="CF181"/>
      <c r="CG181"/>
      <c r="CH181"/>
      <c r="CI181"/>
      <c r="CJ181"/>
      <c r="CK181" t="s">
        <v>259</v>
      </c>
      <c r="CL181"/>
      <c r="CM181">
        <v>1</v>
      </c>
      <c r="CN181" t="s">
        <v>260</v>
      </c>
      <c r="CO181"/>
      <c r="CP181">
        <v>523</v>
      </c>
      <c r="CQ181">
        <v>180.9</v>
      </c>
      <c r="CR181">
        <v>170.2</v>
      </c>
      <c r="CS181" t="s">
        <v>1437</v>
      </c>
      <c r="CT181"/>
      <c r="CU181"/>
      <c r="CV181" t="s">
        <v>262</v>
      </c>
      <c r="CW181"/>
      <c r="CX181" t="s">
        <v>263</v>
      </c>
      <c r="CY181" t="s">
        <v>172</v>
      </c>
      <c r="CZ181"/>
      <c r="DA181"/>
      <c r="DB181"/>
      <c r="DC181" t="s">
        <v>1467</v>
      </c>
      <c r="DD181">
        <v>2</v>
      </c>
      <c r="DE181" t="s">
        <v>307</v>
      </c>
      <c r="DF181" t="s">
        <v>330</v>
      </c>
      <c r="DG181">
        <v>136</v>
      </c>
      <c r="DH181"/>
      <c r="DI181"/>
      <c r="DJ181"/>
      <c r="DK181"/>
      <c r="DL181" t="s">
        <v>173</v>
      </c>
      <c r="DM181" t="s">
        <v>172</v>
      </c>
      <c r="DN181"/>
      <c r="DO181"/>
      <c r="DP181" t="s">
        <v>173</v>
      </c>
      <c r="DQ181" t="s">
        <v>189</v>
      </c>
      <c r="DR181"/>
      <c r="DS181"/>
      <c r="DT181"/>
      <c r="DU181"/>
      <c r="DV181"/>
      <c r="DW181"/>
      <c r="DX181"/>
      <c r="DY181"/>
      <c r="DZ181"/>
      <c r="EA181" s="117"/>
      <c r="EB181">
        <v>9</v>
      </c>
      <c r="EC181">
        <v>10</v>
      </c>
      <c r="ED181"/>
      <c r="EE181" t="s">
        <v>1468</v>
      </c>
      <c r="EF181">
        <v>10</v>
      </c>
      <c r="EG181"/>
      <c r="EH181"/>
      <c r="EI181"/>
      <c r="EJ181"/>
      <c r="EK181"/>
      <c r="EL181"/>
      <c r="EM181"/>
      <c r="EN181"/>
      <c r="EO181"/>
      <c r="EP181"/>
      <c r="EQ181"/>
      <c r="ER181"/>
      <c r="ES181"/>
      <c r="ET181"/>
      <c r="EU181">
        <v>4000</v>
      </c>
      <c r="EV181"/>
      <c r="EW181">
        <v>0</v>
      </c>
      <c r="EX181">
        <v>0</v>
      </c>
      <c r="EY181">
        <v>0</v>
      </c>
      <c r="EZ181"/>
      <c r="FA181">
        <v>10.3</v>
      </c>
      <c r="FB181"/>
      <c r="FC181"/>
      <c r="FD181"/>
      <c r="FE181"/>
      <c r="FF181"/>
      <c r="FG181" s="94">
        <v>306</v>
      </c>
      <c r="FH181" s="94">
        <v>292</v>
      </c>
      <c r="FI181" s="94">
        <v>300</v>
      </c>
    </row>
    <row r="182" spans="1:165" s="66" customFormat="1" x14ac:dyDescent="0.35">
      <c r="A182" s="19"/>
      <c r="B182" s="19"/>
      <c r="C182" s="19"/>
      <c r="D182" s="19"/>
      <c r="E182" s="19"/>
      <c r="F182" s="128"/>
      <c r="G182" s="19"/>
      <c r="H182" s="19"/>
      <c r="I182" s="19"/>
      <c r="J182" s="19"/>
      <c r="K182" s="19" t="str">
        <f>_xlfn.CONCAT(A183," ",C183," ",D183)</f>
        <v>2026 GENESIS GV60 RWD</v>
      </c>
      <c r="L182" s="19"/>
      <c r="M182" s="19"/>
      <c r="N182" s="19"/>
      <c r="O182" s="19"/>
      <c r="P182" s="19"/>
      <c r="Q182" s="19"/>
      <c r="R182" s="19"/>
      <c r="S182" s="19"/>
      <c r="T182" s="19"/>
      <c r="U182" s="19"/>
      <c r="V182" s="19"/>
      <c r="W182" s="19"/>
      <c r="X182" s="19"/>
      <c r="Y182" s="19"/>
      <c r="Z182" s="19"/>
      <c r="AA182" s="19"/>
      <c r="AB182" s="19" t="str">
        <f>$K182</f>
        <v>2026 GENESIS GV60 RWD</v>
      </c>
      <c r="AC182" s="19"/>
      <c r="AD182" s="19"/>
      <c r="AE182" s="19"/>
      <c r="AF182" s="19"/>
      <c r="AG182" s="19"/>
      <c r="AH182" s="19"/>
      <c r="AI182" s="19"/>
      <c r="AJ182" s="19"/>
      <c r="AK182" s="19"/>
      <c r="AL182" s="19"/>
      <c r="AM182" s="19"/>
      <c r="AN182" s="19"/>
      <c r="AO182" s="19"/>
      <c r="AP182" s="19"/>
      <c r="AQ182" s="19"/>
      <c r="AR182" s="19" t="str">
        <f>$K182</f>
        <v>2026 GENESIS GV60 RWD</v>
      </c>
      <c r="AS182" s="19"/>
      <c r="AT182" s="19"/>
      <c r="AU182" s="19"/>
      <c r="AV182" s="19"/>
      <c r="AW182" s="19"/>
      <c r="AX182" s="19"/>
      <c r="AY182" s="19"/>
      <c r="AZ182" s="19"/>
      <c r="BA182" s="19"/>
      <c r="BB182" s="19"/>
      <c r="BC182" s="19"/>
      <c r="BD182" s="19"/>
      <c r="BE182" s="19"/>
      <c r="BF182" s="19"/>
      <c r="BG182" s="19" t="str">
        <f>$K182</f>
        <v>2026 GENESIS GV60 RWD</v>
      </c>
      <c r="BH182" s="19"/>
      <c r="BI182" s="19"/>
      <c r="BJ182" s="19"/>
      <c r="BK182" s="19"/>
      <c r="BL182" s="19"/>
      <c r="BM182" s="129"/>
      <c r="BN182" s="19"/>
      <c r="BO182" s="19"/>
      <c r="BP182" s="19"/>
      <c r="BQ182" s="19"/>
      <c r="BR182" s="19"/>
      <c r="BS182" s="19"/>
      <c r="BT182" s="130"/>
      <c r="BU182" s="19"/>
      <c r="BV182" s="19"/>
      <c r="BW182" s="116"/>
      <c r="BX182" s="19"/>
      <c r="BY182" s="19"/>
      <c r="BZ182" s="19"/>
      <c r="CA182" s="19"/>
      <c r="CB182" s="19"/>
      <c r="CC182" s="19"/>
      <c r="CD182" s="19"/>
      <c r="CE182" s="19"/>
      <c r="CF182" s="19"/>
      <c r="CG182" s="19"/>
      <c r="CH182" s="19"/>
      <c r="CI182" s="19"/>
      <c r="CJ182" s="19"/>
      <c r="CK182" s="19"/>
      <c r="CL182" s="19"/>
      <c r="CM182" s="19" t="str">
        <f>$K182</f>
        <v>2026 GENESIS GV60 RWD</v>
      </c>
      <c r="CN182" s="19"/>
      <c r="CO182" s="19"/>
      <c r="CP182" s="19"/>
      <c r="CQ182" s="19"/>
      <c r="CR182" s="19"/>
      <c r="CS182" s="19"/>
      <c r="CT182" s="19"/>
      <c r="CU182" s="19"/>
      <c r="CV182" s="19"/>
      <c r="CW182" s="19"/>
      <c r="CX182" s="19"/>
      <c r="CY182" s="19"/>
      <c r="CZ182" s="19"/>
      <c r="DA182" s="19"/>
      <c r="DB182" s="19"/>
      <c r="DC182" s="19"/>
      <c r="DD182" s="19" t="str">
        <f>$K182</f>
        <v>2026 GENESIS GV60 RWD</v>
      </c>
      <c r="DE182" s="19"/>
      <c r="DF182" s="19"/>
      <c r="DG182" s="19"/>
      <c r="DH182" s="19"/>
      <c r="DI182" s="19"/>
      <c r="DJ182" s="19"/>
      <c r="DK182" s="19"/>
      <c r="DL182" s="19"/>
      <c r="DM182" s="19"/>
      <c r="DN182" s="19"/>
      <c r="DO182" s="19"/>
      <c r="DP182" s="19"/>
      <c r="DQ182" s="19"/>
      <c r="DR182" s="19"/>
      <c r="DS182" s="19"/>
      <c r="DT182" s="19"/>
      <c r="DU182" s="19" t="str">
        <f>$K182</f>
        <v>2026 GENESIS GV60 RWD</v>
      </c>
      <c r="DV182" s="19"/>
      <c r="DW182" s="19"/>
      <c r="DX182" s="19"/>
      <c r="DY182" s="19"/>
      <c r="DZ182" s="19"/>
      <c r="EA182" s="117"/>
      <c r="EB182" s="19"/>
      <c r="EC182" s="19"/>
      <c r="ED182" s="19"/>
      <c r="EE182" s="19"/>
      <c r="EF182" s="19"/>
      <c r="EG182"/>
      <c r="EH182"/>
      <c r="EI182"/>
      <c r="EJ182"/>
      <c r="EK182"/>
      <c r="EL182"/>
      <c r="EM182"/>
      <c r="EN182"/>
      <c r="EO182"/>
      <c r="EP182"/>
      <c r="EQ182"/>
      <c r="ER182"/>
      <c r="ES182"/>
      <c r="ET182"/>
      <c r="EU182"/>
      <c r="EV182"/>
      <c r="EW182"/>
      <c r="EX182" s="19" t="s">
        <v>1981</v>
      </c>
      <c r="EY182"/>
      <c r="EZ182"/>
      <c r="FA182"/>
      <c r="FB182"/>
      <c r="FC182"/>
      <c r="FD182"/>
      <c r="FE182"/>
      <c r="FF182"/>
      <c r="FG182"/>
      <c r="FH182"/>
      <c r="FI182"/>
    </row>
    <row r="183" spans="1:165" s="66" customFormat="1" x14ac:dyDescent="0.35">
      <c r="A183">
        <v>2026</v>
      </c>
      <c r="B183" t="s">
        <v>400</v>
      </c>
      <c r="C183" s="112" t="s">
        <v>401</v>
      </c>
      <c r="D183" t="s">
        <v>1469</v>
      </c>
      <c r="E183" t="s">
        <v>403</v>
      </c>
      <c r="F183">
        <v>1</v>
      </c>
      <c r="G183" s="113">
        <v>0</v>
      </c>
      <c r="H183"/>
      <c r="I183" t="s">
        <v>1391</v>
      </c>
      <c r="J183">
        <v>119</v>
      </c>
      <c r="K183">
        <v>101</v>
      </c>
      <c r="L183">
        <v>110</v>
      </c>
      <c r="M183">
        <v>170.5</v>
      </c>
      <c r="N183">
        <v>144.1</v>
      </c>
      <c r="O183">
        <v>157.51410000000001</v>
      </c>
      <c r="P183">
        <v>119.35</v>
      </c>
      <c r="Q183">
        <v>100.87</v>
      </c>
      <c r="R183">
        <v>110.2599</v>
      </c>
      <c r="S183"/>
      <c r="T183"/>
      <c r="U183"/>
      <c r="V183" t="s">
        <v>170</v>
      </c>
      <c r="W183" t="s">
        <v>171</v>
      </c>
      <c r="X183" t="s">
        <v>1466</v>
      </c>
      <c r="Y183">
        <v>1</v>
      </c>
      <c r="Z183" t="s">
        <v>173</v>
      </c>
      <c r="AA183" t="s">
        <v>173</v>
      </c>
      <c r="AB183" t="s">
        <v>174</v>
      </c>
      <c r="AC183" t="s">
        <v>175</v>
      </c>
      <c r="AD183"/>
      <c r="AE183"/>
      <c r="AF183">
        <v>306</v>
      </c>
      <c r="AG183" t="s">
        <v>1392</v>
      </c>
      <c r="AH183" t="s">
        <v>1393</v>
      </c>
      <c r="AI183" t="s">
        <v>178</v>
      </c>
      <c r="AJ183" t="s">
        <v>179</v>
      </c>
      <c r="AK183">
        <v>4</v>
      </c>
      <c r="AL183" t="s">
        <v>1394</v>
      </c>
      <c r="AM183"/>
      <c r="AN183"/>
      <c r="AO183">
        <v>102</v>
      </c>
      <c r="AP183">
        <v>24</v>
      </c>
      <c r="AQ183"/>
      <c r="AR183"/>
      <c r="AS183">
        <v>800</v>
      </c>
      <c r="AT183">
        <v>800</v>
      </c>
      <c r="AU183"/>
      <c r="AV183"/>
      <c r="AW183"/>
      <c r="AX183"/>
      <c r="AY183"/>
      <c r="AZ183"/>
      <c r="BA183"/>
      <c r="BB183"/>
      <c r="BC183"/>
      <c r="BD183"/>
      <c r="BE183"/>
      <c r="BF183"/>
      <c r="BG183"/>
      <c r="BH183"/>
      <c r="BI183"/>
      <c r="BJ183"/>
      <c r="BK183"/>
      <c r="BL183"/>
      <c r="BM183"/>
      <c r="BN183" s="114"/>
      <c r="BO183"/>
      <c r="BP183"/>
      <c r="BQ183">
        <v>30</v>
      </c>
      <c r="BR183" t="s">
        <v>798</v>
      </c>
      <c r="BS183"/>
      <c r="BT183" t="s">
        <v>1395</v>
      </c>
      <c r="BU183" s="115">
        <v>45839</v>
      </c>
      <c r="BV183">
        <v>36891</v>
      </c>
      <c r="BW183" s="116"/>
      <c r="BX183" t="s">
        <v>173</v>
      </c>
      <c r="BY183" t="s">
        <v>173</v>
      </c>
      <c r="BZ183"/>
      <c r="CA183"/>
      <c r="CB183" t="s">
        <v>173</v>
      </c>
      <c r="CC183" t="s">
        <v>173</v>
      </c>
      <c r="CD183"/>
      <c r="CE183"/>
      <c r="CF183"/>
      <c r="CG183"/>
      <c r="CH183"/>
      <c r="CI183"/>
      <c r="CJ183"/>
      <c r="CK183" t="s">
        <v>259</v>
      </c>
      <c r="CL183"/>
      <c r="CM183">
        <v>1</v>
      </c>
      <c r="CN183" t="s">
        <v>260</v>
      </c>
      <c r="CO183"/>
      <c r="CP183">
        <v>697</v>
      </c>
      <c r="CQ183">
        <v>120.6</v>
      </c>
      <c r="CR183">
        <v>175</v>
      </c>
      <c r="CS183" t="s">
        <v>1437</v>
      </c>
      <c r="CT183"/>
      <c r="CU183"/>
      <c r="CV183" t="s">
        <v>262</v>
      </c>
      <c r="CW183"/>
      <c r="CX183" t="s">
        <v>702</v>
      </c>
      <c r="CY183" t="s">
        <v>172</v>
      </c>
      <c r="CZ183"/>
      <c r="DA183"/>
      <c r="DB183"/>
      <c r="DC183" t="s">
        <v>1470</v>
      </c>
      <c r="DD183">
        <v>1</v>
      </c>
      <c r="DE183" t="s">
        <v>307</v>
      </c>
      <c r="DF183" t="s">
        <v>1471</v>
      </c>
      <c r="DG183">
        <v>168</v>
      </c>
      <c r="DH183"/>
      <c r="DI183"/>
      <c r="DJ183"/>
      <c r="DK183"/>
      <c r="DL183" t="s">
        <v>173</v>
      </c>
      <c r="DM183" t="s">
        <v>172</v>
      </c>
      <c r="DN183"/>
      <c r="DO183"/>
      <c r="DP183" t="s">
        <v>173</v>
      </c>
      <c r="DQ183" t="s">
        <v>189</v>
      </c>
      <c r="DR183" t="s">
        <v>1472</v>
      </c>
      <c r="DS183"/>
      <c r="DT183"/>
      <c r="DU183"/>
      <c r="DV183"/>
      <c r="DW183"/>
      <c r="DX183"/>
      <c r="DY183"/>
      <c r="DZ183"/>
      <c r="EA183" s="117"/>
      <c r="EB183">
        <v>9</v>
      </c>
      <c r="EC183">
        <v>10</v>
      </c>
      <c r="ED183"/>
      <c r="EE183" t="s">
        <v>1473</v>
      </c>
      <c r="EF183">
        <v>10</v>
      </c>
      <c r="EG183"/>
      <c r="EH183"/>
      <c r="EI183"/>
      <c r="EJ183"/>
      <c r="EK183"/>
      <c r="EL183"/>
      <c r="EM183"/>
      <c r="EN183"/>
      <c r="EO183"/>
      <c r="EP183"/>
      <c r="EQ183"/>
      <c r="ER183"/>
      <c r="ES183"/>
      <c r="ET183"/>
      <c r="EU183">
        <v>4500</v>
      </c>
      <c r="EV183"/>
      <c r="EW183">
        <v>0</v>
      </c>
      <c r="EX183">
        <v>0</v>
      </c>
      <c r="EY183">
        <v>0</v>
      </c>
      <c r="EZ183"/>
      <c r="FA183">
        <v>8.1</v>
      </c>
      <c r="FB183"/>
      <c r="FC183"/>
      <c r="FD183"/>
      <c r="FE183"/>
      <c r="FF183"/>
      <c r="FG183" s="94">
        <v>329</v>
      </c>
      <c r="FH183" s="94">
        <v>278</v>
      </c>
      <c r="FI183" s="94">
        <v>306</v>
      </c>
    </row>
    <row r="184" spans="1:165" s="66" customFormat="1" x14ac:dyDescent="0.35">
      <c r="A184">
        <v>2026</v>
      </c>
      <c r="B184" t="s">
        <v>400</v>
      </c>
      <c r="C184" s="112" t="s">
        <v>401</v>
      </c>
      <c r="D184" t="s">
        <v>1469</v>
      </c>
      <c r="E184" t="s">
        <v>403</v>
      </c>
      <c r="F184">
        <v>1</v>
      </c>
      <c r="G184" s="113">
        <v>0</v>
      </c>
      <c r="H184"/>
      <c r="I184" t="s">
        <v>1391</v>
      </c>
      <c r="J184">
        <v>28</v>
      </c>
      <c r="K184">
        <v>33</v>
      </c>
      <c r="L184">
        <v>31</v>
      </c>
      <c r="M184">
        <v>19.767700000000001</v>
      </c>
      <c r="N184">
        <v>23.394100000000002</v>
      </c>
      <c r="O184">
        <v>21.3996</v>
      </c>
      <c r="P184">
        <v>28.240500000000001</v>
      </c>
      <c r="Q184">
        <v>33.414299999999997</v>
      </c>
      <c r="R184">
        <v>30.5687</v>
      </c>
      <c r="S184"/>
      <c r="T184"/>
      <c r="U184"/>
      <c r="V184" t="s">
        <v>170</v>
      </c>
      <c r="W184" t="s">
        <v>171</v>
      </c>
      <c r="X184" t="s">
        <v>1466</v>
      </c>
      <c r="Y184">
        <v>1</v>
      </c>
      <c r="Z184" t="s">
        <v>173</v>
      </c>
      <c r="AA184" t="s">
        <v>173</v>
      </c>
      <c r="AB184" t="s">
        <v>174</v>
      </c>
      <c r="AC184" t="s">
        <v>175</v>
      </c>
      <c r="AD184"/>
      <c r="AE184"/>
      <c r="AF184">
        <v>306</v>
      </c>
      <c r="AG184" t="s">
        <v>1392</v>
      </c>
      <c r="AH184" t="s">
        <v>1393</v>
      </c>
      <c r="AI184" t="s">
        <v>1399</v>
      </c>
      <c r="AJ184" t="s">
        <v>1400</v>
      </c>
      <c r="AK184">
        <v>4</v>
      </c>
      <c r="AL184" t="s">
        <v>1394</v>
      </c>
      <c r="AM184"/>
      <c r="AN184"/>
      <c r="AO184">
        <v>102</v>
      </c>
      <c r="AP184">
        <v>24</v>
      </c>
      <c r="AQ184"/>
      <c r="AR184"/>
      <c r="AS184">
        <v>800</v>
      </c>
      <c r="AT184">
        <v>800</v>
      </c>
      <c r="AU184"/>
      <c r="AV184"/>
      <c r="AW184"/>
      <c r="AX184"/>
      <c r="AY184"/>
      <c r="AZ184"/>
      <c r="BA184"/>
      <c r="BB184"/>
      <c r="BC184"/>
      <c r="BD184"/>
      <c r="BE184"/>
      <c r="BF184"/>
      <c r="BG184"/>
      <c r="BH184"/>
      <c r="BI184"/>
      <c r="BJ184"/>
      <c r="BK184"/>
      <c r="BL184"/>
      <c r="BM184"/>
      <c r="BN184" s="114"/>
      <c r="BO184"/>
      <c r="BP184"/>
      <c r="BQ184">
        <v>30</v>
      </c>
      <c r="BR184" t="s">
        <v>798</v>
      </c>
      <c r="BS184"/>
      <c r="BT184" t="s">
        <v>1395</v>
      </c>
      <c r="BU184" s="115">
        <v>45839</v>
      </c>
      <c r="BV184">
        <v>36891</v>
      </c>
      <c r="BW184" s="116"/>
      <c r="BX184" t="s">
        <v>173</v>
      </c>
      <c r="BY184" t="s">
        <v>173</v>
      </c>
      <c r="BZ184"/>
      <c r="CA184"/>
      <c r="CB184" t="s">
        <v>173</v>
      </c>
      <c r="CC184" t="s">
        <v>173</v>
      </c>
      <c r="CD184"/>
      <c r="CE184"/>
      <c r="CF184"/>
      <c r="CG184"/>
      <c r="CH184"/>
      <c r="CI184"/>
      <c r="CJ184"/>
      <c r="CK184" t="s">
        <v>259</v>
      </c>
      <c r="CL184"/>
      <c r="CM184">
        <v>1</v>
      </c>
      <c r="CN184" t="s">
        <v>260</v>
      </c>
      <c r="CO184"/>
      <c r="CP184">
        <v>697</v>
      </c>
      <c r="CQ184">
        <v>120.6</v>
      </c>
      <c r="CR184">
        <v>175</v>
      </c>
      <c r="CS184" t="s">
        <v>1437</v>
      </c>
      <c r="CT184"/>
      <c r="CU184"/>
      <c r="CV184" t="s">
        <v>262</v>
      </c>
      <c r="CW184"/>
      <c r="CX184" t="s">
        <v>702</v>
      </c>
      <c r="CY184" t="s">
        <v>172</v>
      </c>
      <c r="CZ184"/>
      <c r="DA184"/>
      <c r="DB184"/>
      <c r="DC184" t="s">
        <v>1470</v>
      </c>
      <c r="DD184">
        <v>1</v>
      </c>
      <c r="DE184" t="s">
        <v>307</v>
      </c>
      <c r="DF184" t="s">
        <v>1471</v>
      </c>
      <c r="DG184">
        <v>168</v>
      </c>
      <c r="DH184"/>
      <c r="DI184"/>
      <c r="DJ184"/>
      <c r="DK184"/>
      <c r="DL184" t="s">
        <v>173</v>
      </c>
      <c r="DM184" t="s">
        <v>172</v>
      </c>
      <c r="DN184"/>
      <c r="DO184"/>
      <c r="DP184" t="s">
        <v>173</v>
      </c>
      <c r="DQ184" t="s">
        <v>189</v>
      </c>
      <c r="DR184" t="s">
        <v>1472</v>
      </c>
      <c r="DS184"/>
      <c r="DT184"/>
      <c r="DU184"/>
      <c r="DV184"/>
      <c r="DW184"/>
      <c r="DX184"/>
      <c r="DY184"/>
      <c r="DZ184"/>
      <c r="EA184" s="117"/>
      <c r="EB184">
        <v>9</v>
      </c>
      <c r="EC184">
        <v>10</v>
      </c>
      <c r="ED184"/>
      <c r="EE184" t="s">
        <v>1473</v>
      </c>
      <c r="EF184">
        <v>10</v>
      </c>
      <c r="EG184"/>
      <c r="EH184"/>
      <c r="EI184"/>
      <c r="EJ184"/>
      <c r="EK184"/>
      <c r="EL184"/>
      <c r="EM184"/>
      <c r="EN184"/>
      <c r="EO184"/>
      <c r="EP184"/>
      <c r="EQ184"/>
      <c r="ER184"/>
      <c r="ES184"/>
      <c r="ET184"/>
      <c r="EU184">
        <v>4500</v>
      </c>
      <c r="EV184"/>
      <c r="EW184">
        <v>0</v>
      </c>
      <c r="EX184">
        <v>0</v>
      </c>
      <c r="EY184">
        <v>0</v>
      </c>
      <c r="EZ184"/>
      <c r="FA184">
        <v>8.1</v>
      </c>
      <c r="FB184"/>
      <c r="FC184"/>
      <c r="FD184"/>
      <c r="FE184"/>
      <c r="FF184"/>
      <c r="FG184" s="94">
        <v>329</v>
      </c>
      <c r="FH184" s="94">
        <v>278</v>
      </c>
      <c r="FI184" s="94">
        <v>306</v>
      </c>
    </row>
    <row r="185" spans="1:165" s="66" customFormat="1" x14ac:dyDescent="0.35">
      <c r="A185" s="19"/>
      <c r="B185" s="19"/>
      <c r="C185" s="19"/>
      <c r="D185" s="19"/>
      <c r="E185" s="19"/>
      <c r="F185" s="128"/>
      <c r="G185" s="19"/>
      <c r="H185" s="19"/>
      <c r="I185" s="19"/>
      <c r="J185" s="19"/>
      <c r="K185" s="19" t="str">
        <f>_xlfn.CONCAT(A186," ",C186," ",D186)</f>
        <v>2026 GENESIS GV60 AWD Advanced with 20''</v>
      </c>
      <c r="L185" s="19"/>
      <c r="M185" s="19"/>
      <c r="N185" s="19"/>
      <c r="O185" s="19"/>
      <c r="P185" s="19"/>
      <c r="Q185" s="19"/>
      <c r="R185" s="19"/>
      <c r="S185" s="19"/>
      <c r="T185" s="19"/>
      <c r="U185" s="19"/>
      <c r="V185" s="19"/>
      <c r="W185" s="19"/>
      <c r="X185" s="19"/>
      <c r="Y185" s="19"/>
      <c r="Z185" s="19"/>
      <c r="AA185" s="19"/>
      <c r="AB185" s="19" t="str">
        <f>$K185</f>
        <v>2026 GENESIS GV60 AWD Advanced with 20''</v>
      </c>
      <c r="AC185" s="19"/>
      <c r="AD185" s="19"/>
      <c r="AE185" s="19"/>
      <c r="AF185" s="19"/>
      <c r="AG185" s="19"/>
      <c r="AH185" s="19"/>
      <c r="AI185" s="19"/>
      <c r="AJ185" s="19"/>
      <c r="AK185" s="19"/>
      <c r="AL185" s="19"/>
      <c r="AM185" s="19"/>
      <c r="AN185" s="19"/>
      <c r="AO185" s="19"/>
      <c r="AP185" s="19"/>
      <c r="AQ185" s="19"/>
      <c r="AR185" s="19" t="str">
        <f>$K185</f>
        <v>2026 GENESIS GV60 AWD Advanced with 20''</v>
      </c>
      <c r="AS185" s="19"/>
      <c r="AT185" s="19"/>
      <c r="AU185" s="19"/>
      <c r="AV185" s="19"/>
      <c r="AW185" s="19"/>
      <c r="AX185" s="19"/>
      <c r="AY185" s="19"/>
      <c r="AZ185" s="19"/>
      <c r="BA185" s="19"/>
      <c r="BB185" s="19"/>
      <c r="BC185" s="19"/>
      <c r="BD185" s="19"/>
      <c r="BE185" s="19"/>
      <c r="BF185" s="19"/>
      <c r="BG185" s="19" t="str">
        <f>$K185</f>
        <v>2026 GENESIS GV60 AWD Advanced with 20''</v>
      </c>
      <c r="BH185" s="19"/>
      <c r="BI185" s="19"/>
      <c r="BJ185" s="19"/>
      <c r="BK185" s="19"/>
      <c r="BL185" s="19"/>
      <c r="BM185" s="129"/>
      <c r="BN185" s="19"/>
      <c r="BO185" s="19"/>
      <c r="BP185" s="19"/>
      <c r="BQ185" s="19"/>
      <c r="BR185" s="19"/>
      <c r="BS185" s="19"/>
      <c r="BT185" s="130"/>
      <c r="BU185" s="19"/>
      <c r="BV185" s="19"/>
      <c r="BW185" s="116"/>
      <c r="BX185" s="19"/>
      <c r="BY185" s="19"/>
      <c r="BZ185" s="19"/>
      <c r="CA185" s="19"/>
      <c r="CB185" s="19"/>
      <c r="CC185" s="19"/>
      <c r="CD185" s="19"/>
      <c r="CE185" s="19"/>
      <c r="CF185" s="19"/>
      <c r="CG185" s="19"/>
      <c r="CH185" s="19"/>
      <c r="CI185" s="19"/>
      <c r="CJ185" s="19"/>
      <c r="CK185" s="19"/>
      <c r="CL185" s="19"/>
      <c r="CM185" s="19" t="str">
        <f>$K185</f>
        <v>2026 GENESIS GV60 AWD Advanced with 20''</v>
      </c>
      <c r="CN185" s="19"/>
      <c r="CO185" s="19"/>
      <c r="CP185" s="19"/>
      <c r="CQ185" s="19"/>
      <c r="CR185" s="19"/>
      <c r="CS185" s="19"/>
      <c r="CT185" s="19"/>
      <c r="CU185" s="19"/>
      <c r="CV185" s="19"/>
      <c r="CW185" s="19"/>
      <c r="CX185" s="19"/>
      <c r="CY185" s="19"/>
      <c r="CZ185" s="19"/>
      <c r="DA185" s="19"/>
      <c r="DB185" s="19"/>
      <c r="DC185" s="19"/>
      <c r="DD185" s="19" t="str">
        <f>$K185</f>
        <v>2026 GENESIS GV60 AWD Advanced with 20''</v>
      </c>
      <c r="DE185" s="19"/>
      <c r="DF185" s="19"/>
      <c r="DG185" s="19"/>
      <c r="DH185" s="19"/>
      <c r="DI185" s="19"/>
      <c r="DJ185" s="19"/>
      <c r="DK185" s="19"/>
      <c r="DL185" s="19"/>
      <c r="DM185" s="19"/>
      <c r="DN185" s="19"/>
      <c r="DO185" s="19"/>
      <c r="DP185" s="19"/>
      <c r="DQ185" s="19"/>
      <c r="DR185" s="19"/>
      <c r="DS185" s="19"/>
      <c r="DT185" s="19"/>
      <c r="DU185" s="19" t="str">
        <f>$K185</f>
        <v>2026 GENESIS GV60 AWD Advanced with 20''</v>
      </c>
      <c r="DV185" s="19"/>
      <c r="DW185" s="19"/>
      <c r="DX185" s="19"/>
      <c r="DY185" s="19"/>
      <c r="DZ185" s="19"/>
      <c r="EA185" s="117"/>
      <c r="EB185" s="19"/>
      <c r="EC185" s="19"/>
      <c r="ED185" s="19"/>
      <c r="EE185" s="19"/>
      <c r="EF185" s="19"/>
      <c r="EG185"/>
      <c r="EH185"/>
      <c r="EI185"/>
      <c r="EJ185"/>
      <c r="EK185"/>
      <c r="EL185"/>
      <c r="EM185"/>
      <c r="EN185"/>
      <c r="EO185"/>
      <c r="EP185"/>
      <c r="EQ185"/>
      <c r="ER185"/>
      <c r="ES185"/>
      <c r="ET185"/>
      <c r="EU185"/>
      <c r="EV185"/>
      <c r="EW185"/>
      <c r="EX185" s="19" t="s">
        <v>1982</v>
      </c>
      <c r="EY185"/>
      <c r="EZ185"/>
      <c r="FA185"/>
      <c r="FB185"/>
      <c r="FC185"/>
      <c r="FD185"/>
      <c r="FE185"/>
      <c r="FF185"/>
      <c r="FG185"/>
      <c r="FH185"/>
      <c r="FI185"/>
    </row>
    <row r="186" spans="1:165" s="66" customFormat="1" x14ac:dyDescent="0.35">
      <c r="A186">
        <v>2026</v>
      </c>
      <c r="B186" t="s">
        <v>400</v>
      </c>
      <c r="C186" s="112" t="s">
        <v>401</v>
      </c>
      <c r="D186" t="s">
        <v>1478</v>
      </c>
      <c r="E186" t="s">
        <v>403</v>
      </c>
      <c r="F186">
        <v>3</v>
      </c>
      <c r="G186" s="113">
        <v>0</v>
      </c>
      <c r="H186"/>
      <c r="I186" t="s">
        <v>1391</v>
      </c>
      <c r="J186">
        <v>102</v>
      </c>
      <c r="K186">
        <v>89</v>
      </c>
      <c r="L186">
        <v>96</v>
      </c>
      <c r="M186">
        <v>146.19999999999999</v>
      </c>
      <c r="N186">
        <v>127</v>
      </c>
      <c r="O186">
        <v>136.88730000000001</v>
      </c>
      <c r="P186">
        <v>102.34</v>
      </c>
      <c r="Q186">
        <v>88.9</v>
      </c>
      <c r="R186">
        <v>95.821100000000001</v>
      </c>
      <c r="S186"/>
      <c r="T186"/>
      <c r="U186"/>
      <c r="V186" t="s">
        <v>170</v>
      </c>
      <c r="W186" t="s">
        <v>171</v>
      </c>
      <c r="X186" t="s">
        <v>1466</v>
      </c>
      <c r="Y186">
        <v>1</v>
      </c>
      <c r="Z186" t="s">
        <v>173</v>
      </c>
      <c r="AA186" t="s">
        <v>173</v>
      </c>
      <c r="AB186" t="s">
        <v>170</v>
      </c>
      <c r="AC186" t="s">
        <v>232</v>
      </c>
      <c r="AD186"/>
      <c r="AE186"/>
      <c r="AF186">
        <v>267</v>
      </c>
      <c r="AG186" t="s">
        <v>1392</v>
      </c>
      <c r="AH186" t="s">
        <v>1393</v>
      </c>
      <c r="AI186" t="s">
        <v>178</v>
      </c>
      <c r="AJ186" t="s">
        <v>179</v>
      </c>
      <c r="AK186">
        <v>4</v>
      </c>
      <c r="AL186" t="s">
        <v>1394</v>
      </c>
      <c r="AM186"/>
      <c r="AN186"/>
      <c r="AO186">
        <v>102</v>
      </c>
      <c r="AP186">
        <v>24</v>
      </c>
      <c r="AQ186"/>
      <c r="AR186"/>
      <c r="AS186">
        <v>900</v>
      </c>
      <c r="AT186">
        <v>900</v>
      </c>
      <c r="AU186"/>
      <c r="AV186"/>
      <c r="AW186"/>
      <c r="AX186"/>
      <c r="AY186"/>
      <c r="AZ186"/>
      <c r="BA186"/>
      <c r="BB186"/>
      <c r="BC186"/>
      <c r="BD186"/>
      <c r="BE186"/>
      <c r="BF186"/>
      <c r="BG186"/>
      <c r="BH186"/>
      <c r="BI186"/>
      <c r="BJ186"/>
      <c r="BK186"/>
      <c r="BL186"/>
      <c r="BM186"/>
      <c r="BN186" s="114"/>
      <c r="BO186"/>
      <c r="BP186"/>
      <c r="BQ186">
        <v>31</v>
      </c>
      <c r="BR186" t="s">
        <v>887</v>
      </c>
      <c r="BS186"/>
      <c r="BT186" t="s">
        <v>1395</v>
      </c>
      <c r="BU186" s="115">
        <v>45839</v>
      </c>
      <c r="BV186">
        <v>36857</v>
      </c>
      <c r="BW186" s="116"/>
      <c r="BX186" t="s">
        <v>173</v>
      </c>
      <c r="BY186" t="s">
        <v>173</v>
      </c>
      <c r="BZ186"/>
      <c r="CA186"/>
      <c r="CB186" t="s">
        <v>173</v>
      </c>
      <c r="CC186" t="s">
        <v>173</v>
      </c>
      <c r="CD186"/>
      <c r="CE186"/>
      <c r="CF186"/>
      <c r="CG186"/>
      <c r="CH186"/>
      <c r="CI186"/>
      <c r="CJ186"/>
      <c r="CK186" t="s">
        <v>259</v>
      </c>
      <c r="CL186"/>
      <c r="CM186">
        <v>1</v>
      </c>
      <c r="CN186" t="s">
        <v>260</v>
      </c>
      <c r="CO186"/>
      <c r="CP186">
        <v>697</v>
      </c>
      <c r="CQ186">
        <v>120.6</v>
      </c>
      <c r="CR186">
        <v>175.6</v>
      </c>
      <c r="CS186" t="s">
        <v>1437</v>
      </c>
      <c r="CT186"/>
      <c r="CU186"/>
      <c r="CV186" t="s">
        <v>262</v>
      </c>
      <c r="CW186"/>
      <c r="CX186" t="s">
        <v>263</v>
      </c>
      <c r="CY186" t="s">
        <v>172</v>
      </c>
      <c r="CZ186"/>
      <c r="DA186"/>
      <c r="DB186"/>
      <c r="DC186" t="s">
        <v>1470</v>
      </c>
      <c r="DD186">
        <v>2</v>
      </c>
      <c r="DE186" t="s">
        <v>307</v>
      </c>
      <c r="DF186" t="s">
        <v>1471</v>
      </c>
      <c r="DG186" t="s">
        <v>1475</v>
      </c>
      <c r="DH186"/>
      <c r="DI186"/>
      <c r="DJ186"/>
      <c r="DK186"/>
      <c r="DL186" t="s">
        <v>173</v>
      </c>
      <c r="DM186" t="s">
        <v>172</v>
      </c>
      <c r="DN186"/>
      <c r="DO186"/>
      <c r="DP186" t="s">
        <v>173</v>
      </c>
      <c r="DQ186" t="s">
        <v>189</v>
      </c>
      <c r="DR186" t="s">
        <v>1479</v>
      </c>
      <c r="DS186"/>
      <c r="DT186"/>
      <c r="DU186"/>
      <c r="DV186"/>
      <c r="DW186"/>
      <c r="DX186"/>
      <c r="DY186"/>
      <c r="DZ186"/>
      <c r="EA186" s="117"/>
      <c r="EB186">
        <v>9</v>
      </c>
      <c r="EC186">
        <v>10</v>
      </c>
      <c r="ED186"/>
      <c r="EE186" t="s">
        <v>1477</v>
      </c>
      <c r="EF186">
        <v>10</v>
      </c>
      <c r="EG186"/>
      <c r="EH186"/>
      <c r="EI186"/>
      <c r="EJ186"/>
      <c r="EK186"/>
      <c r="EL186"/>
      <c r="EM186"/>
      <c r="EN186"/>
      <c r="EO186"/>
      <c r="EP186"/>
      <c r="EQ186"/>
      <c r="ER186"/>
      <c r="ES186"/>
      <c r="ET186"/>
      <c r="EU186">
        <v>4000</v>
      </c>
      <c r="EV186"/>
      <c r="EW186">
        <v>0</v>
      </c>
      <c r="EX186">
        <v>0</v>
      </c>
      <c r="EY186">
        <v>0</v>
      </c>
      <c r="EZ186"/>
      <c r="FA186">
        <v>9.1999999999999993</v>
      </c>
      <c r="FB186"/>
      <c r="FC186"/>
      <c r="FD186"/>
      <c r="FE186"/>
      <c r="FF186"/>
      <c r="FG186" s="94">
        <v>284</v>
      </c>
      <c r="FH186" s="94">
        <v>247</v>
      </c>
      <c r="FI186" s="94">
        <v>267</v>
      </c>
    </row>
    <row r="187" spans="1:165" s="66" customFormat="1" x14ac:dyDescent="0.35">
      <c r="A187">
        <v>2026</v>
      </c>
      <c r="B187" t="s">
        <v>400</v>
      </c>
      <c r="C187" s="112" t="s">
        <v>401</v>
      </c>
      <c r="D187" t="s">
        <v>1478</v>
      </c>
      <c r="E187" t="s">
        <v>403</v>
      </c>
      <c r="F187">
        <v>3</v>
      </c>
      <c r="G187" s="113">
        <v>0</v>
      </c>
      <c r="H187"/>
      <c r="I187" t="s">
        <v>1391</v>
      </c>
      <c r="J187">
        <v>33</v>
      </c>
      <c r="K187">
        <v>38</v>
      </c>
      <c r="L187">
        <v>35</v>
      </c>
      <c r="M187">
        <v>23.059899999999999</v>
      </c>
      <c r="N187">
        <v>26.548999999999999</v>
      </c>
      <c r="O187">
        <v>24.63</v>
      </c>
      <c r="P187">
        <v>32.9343</v>
      </c>
      <c r="Q187">
        <v>37.913400000000003</v>
      </c>
      <c r="R187">
        <v>35.174900000000001</v>
      </c>
      <c r="S187"/>
      <c r="T187"/>
      <c r="U187"/>
      <c r="V187" t="s">
        <v>170</v>
      </c>
      <c r="W187" t="s">
        <v>171</v>
      </c>
      <c r="X187" t="s">
        <v>1466</v>
      </c>
      <c r="Y187">
        <v>1</v>
      </c>
      <c r="Z187" t="s">
        <v>173</v>
      </c>
      <c r="AA187" t="s">
        <v>173</v>
      </c>
      <c r="AB187" t="s">
        <v>170</v>
      </c>
      <c r="AC187" t="s">
        <v>232</v>
      </c>
      <c r="AD187"/>
      <c r="AE187"/>
      <c r="AF187">
        <v>267</v>
      </c>
      <c r="AG187" t="s">
        <v>1392</v>
      </c>
      <c r="AH187" t="s">
        <v>1393</v>
      </c>
      <c r="AI187" t="s">
        <v>1399</v>
      </c>
      <c r="AJ187" t="s">
        <v>1400</v>
      </c>
      <c r="AK187">
        <v>4</v>
      </c>
      <c r="AL187" t="s">
        <v>1394</v>
      </c>
      <c r="AM187"/>
      <c r="AN187"/>
      <c r="AO187">
        <v>102</v>
      </c>
      <c r="AP187">
        <v>24</v>
      </c>
      <c r="AQ187"/>
      <c r="AR187"/>
      <c r="AS187">
        <v>900</v>
      </c>
      <c r="AT187">
        <v>900</v>
      </c>
      <c r="AU187"/>
      <c r="AV187"/>
      <c r="AW187"/>
      <c r="AX187"/>
      <c r="AY187"/>
      <c r="AZ187"/>
      <c r="BA187"/>
      <c r="BB187"/>
      <c r="BC187"/>
      <c r="BD187"/>
      <c r="BE187"/>
      <c r="BF187"/>
      <c r="BG187"/>
      <c r="BH187"/>
      <c r="BI187"/>
      <c r="BJ187"/>
      <c r="BK187"/>
      <c r="BL187"/>
      <c r="BM187"/>
      <c r="BN187" s="114"/>
      <c r="BO187"/>
      <c r="BP187"/>
      <c r="BQ187">
        <v>31</v>
      </c>
      <c r="BR187" t="s">
        <v>887</v>
      </c>
      <c r="BS187"/>
      <c r="BT187" t="s">
        <v>1395</v>
      </c>
      <c r="BU187" s="115">
        <v>45839</v>
      </c>
      <c r="BV187">
        <v>36857</v>
      </c>
      <c r="BW187" s="116"/>
      <c r="BX187" t="s">
        <v>173</v>
      </c>
      <c r="BY187" t="s">
        <v>173</v>
      </c>
      <c r="BZ187"/>
      <c r="CA187"/>
      <c r="CB187" t="s">
        <v>173</v>
      </c>
      <c r="CC187" t="s">
        <v>173</v>
      </c>
      <c r="CD187"/>
      <c r="CE187"/>
      <c r="CF187"/>
      <c r="CG187"/>
      <c r="CH187"/>
      <c r="CI187"/>
      <c r="CJ187"/>
      <c r="CK187" t="s">
        <v>259</v>
      </c>
      <c r="CL187"/>
      <c r="CM187">
        <v>1</v>
      </c>
      <c r="CN187" t="s">
        <v>260</v>
      </c>
      <c r="CO187"/>
      <c r="CP187">
        <v>697</v>
      </c>
      <c r="CQ187">
        <v>120.6</v>
      </c>
      <c r="CR187">
        <v>175.6</v>
      </c>
      <c r="CS187" t="s">
        <v>1437</v>
      </c>
      <c r="CT187"/>
      <c r="CU187"/>
      <c r="CV187" t="s">
        <v>262</v>
      </c>
      <c r="CW187"/>
      <c r="CX187" t="s">
        <v>263</v>
      </c>
      <c r="CY187" t="s">
        <v>172</v>
      </c>
      <c r="CZ187"/>
      <c r="DA187"/>
      <c r="DB187"/>
      <c r="DC187" t="s">
        <v>1470</v>
      </c>
      <c r="DD187">
        <v>2</v>
      </c>
      <c r="DE187" t="s">
        <v>307</v>
      </c>
      <c r="DF187" t="s">
        <v>1471</v>
      </c>
      <c r="DG187" t="s">
        <v>1475</v>
      </c>
      <c r="DH187"/>
      <c r="DI187"/>
      <c r="DJ187"/>
      <c r="DK187"/>
      <c r="DL187" t="s">
        <v>173</v>
      </c>
      <c r="DM187" t="s">
        <v>172</v>
      </c>
      <c r="DN187"/>
      <c r="DO187"/>
      <c r="DP187" t="s">
        <v>173</v>
      </c>
      <c r="DQ187" t="s">
        <v>189</v>
      </c>
      <c r="DR187" t="s">
        <v>1479</v>
      </c>
      <c r="DS187"/>
      <c r="DT187"/>
      <c r="DU187"/>
      <c r="DV187"/>
      <c r="DW187"/>
      <c r="DX187"/>
      <c r="DY187"/>
      <c r="DZ187"/>
      <c r="EA187" s="117"/>
      <c r="EB187">
        <v>9</v>
      </c>
      <c r="EC187">
        <v>10</v>
      </c>
      <c r="ED187"/>
      <c r="EE187" t="s">
        <v>1477</v>
      </c>
      <c r="EF187">
        <v>10</v>
      </c>
      <c r="EG187"/>
      <c r="EH187"/>
      <c r="EI187"/>
      <c r="EJ187"/>
      <c r="EK187"/>
      <c r="EL187"/>
      <c r="EM187"/>
      <c r="EN187"/>
      <c r="EO187"/>
      <c r="EP187"/>
      <c r="EQ187"/>
      <c r="ER187"/>
      <c r="ES187"/>
      <c r="ET187"/>
      <c r="EU187">
        <v>4000</v>
      </c>
      <c r="EV187"/>
      <c r="EW187">
        <v>0</v>
      </c>
      <c r="EX187">
        <v>0</v>
      </c>
      <c r="EY187">
        <v>0</v>
      </c>
      <c r="EZ187"/>
      <c r="FA187">
        <v>9.1999999999999993</v>
      </c>
      <c r="FB187"/>
      <c r="FC187"/>
      <c r="FD187"/>
      <c r="FE187"/>
      <c r="FF187"/>
      <c r="FG187" s="94">
        <v>284</v>
      </c>
      <c r="FH187" s="94">
        <v>247</v>
      </c>
      <c r="FI187" s="94">
        <v>267</v>
      </c>
    </row>
    <row r="188" spans="1:165" s="66" customFormat="1" x14ac:dyDescent="0.35">
      <c r="A188" s="19"/>
      <c r="B188" s="19"/>
      <c r="C188" s="19"/>
      <c r="D188" s="19"/>
      <c r="E188" s="19"/>
      <c r="F188" s="128"/>
      <c r="G188" s="19"/>
      <c r="H188" s="19"/>
      <c r="I188" s="19"/>
      <c r="J188" s="19"/>
      <c r="K188" s="19" t="str">
        <f>_xlfn.CONCAT(A189," ",C189," ",D189)</f>
        <v>2026 GENESIS GV60 AWD Performance</v>
      </c>
      <c r="L188" s="19"/>
      <c r="M188" s="19"/>
      <c r="N188" s="19"/>
      <c r="O188" s="19"/>
      <c r="P188" s="19"/>
      <c r="Q188" s="19"/>
      <c r="R188" s="19"/>
      <c r="S188" s="19"/>
      <c r="T188" s="19"/>
      <c r="U188" s="19"/>
      <c r="V188" s="19"/>
      <c r="W188" s="19"/>
      <c r="X188" s="19"/>
      <c r="Y188" s="19"/>
      <c r="Z188" s="19"/>
      <c r="AA188" s="19"/>
      <c r="AB188" s="19" t="str">
        <f>$K188</f>
        <v>2026 GENESIS GV60 AWD Performance</v>
      </c>
      <c r="AC188" s="19"/>
      <c r="AD188" s="19"/>
      <c r="AE188" s="19"/>
      <c r="AF188" s="19"/>
      <c r="AG188" s="19"/>
      <c r="AH188" s="19"/>
      <c r="AI188" s="19"/>
      <c r="AJ188" s="19"/>
      <c r="AK188" s="19"/>
      <c r="AL188" s="19"/>
      <c r="AM188" s="19"/>
      <c r="AN188" s="19"/>
      <c r="AO188" s="19"/>
      <c r="AP188" s="19"/>
      <c r="AQ188" s="19"/>
      <c r="AR188" s="19" t="str">
        <f>$K188</f>
        <v>2026 GENESIS GV60 AWD Performance</v>
      </c>
      <c r="AS188" s="19"/>
      <c r="AT188" s="19"/>
      <c r="AU188" s="19"/>
      <c r="AV188" s="19"/>
      <c r="AW188" s="19"/>
      <c r="AX188" s="19"/>
      <c r="AY188" s="19"/>
      <c r="AZ188" s="19"/>
      <c r="BA188" s="19"/>
      <c r="BB188" s="19"/>
      <c r="BC188" s="19"/>
      <c r="BD188" s="19"/>
      <c r="BE188" s="19"/>
      <c r="BF188" s="19"/>
      <c r="BG188" s="19" t="str">
        <f>$K188</f>
        <v>2026 GENESIS GV60 AWD Performance</v>
      </c>
      <c r="BH188" s="19"/>
      <c r="BI188" s="19"/>
      <c r="BJ188" s="19"/>
      <c r="BK188" s="19"/>
      <c r="BL188" s="19"/>
      <c r="BM188" s="129"/>
      <c r="BN188" s="19"/>
      <c r="BO188" s="19"/>
      <c r="BP188" s="19"/>
      <c r="BQ188" s="19"/>
      <c r="BR188" s="19"/>
      <c r="BS188" s="19"/>
      <c r="BT188" s="130"/>
      <c r="BU188" s="19"/>
      <c r="BV188" s="19"/>
      <c r="BW188" s="116"/>
      <c r="BX188" s="19"/>
      <c r="BY188" s="19"/>
      <c r="BZ188" s="19"/>
      <c r="CA188" s="19"/>
      <c r="CB188" s="19"/>
      <c r="CC188" s="19"/>
      <c r="CD188" s="19"/>
      <c r="CE188" s="19"/>
      <c r="CF188" s="19"/>
      <c r="CG188" s="19"/>
      <c r="CH188" s="19"/>
      <c r="CI188" s="19"/>
      <c r="CJ188" s="19"/>
      <c r="CK188" s="19"/>
      <c r="CL188" s="19"/>
      <c r="CM188" s="19" t="str">
        <f>$K188</f>
        <v>2026 GENESIS GV60 AWD Performance</v>
      </c>
      <c r="CN188" s="19"/>
      <c r="CO188" s="19"/>
      <c r="CP188" s="19"/>
      <c r="CQ188" s="19"/>
      <c r="CR188" s="19"/>
      <c r="CS188" s="19"/>
      <c r="CT188" s="19"/>
      <c r="CU188" s="19"/>
      <c r="CV188" s="19"/>
      <c r="CW188" s="19"/>
      <c r="CX188" s="19"/>
      <c r="CY188" s="19"/>
      <c r="CZ188" s="19"/>
      <c r="DA188" s="19"/>
      <c r="DB188" s="19"/>
      <c r="DC188" s="19"/>
      <c r="DD188" s="19" t="str">
        <f>$K188</f>
        <v>2026 GENESIS GV60 AWD Performance</v>
      </c>
      <c r="DE188" s="19"/>
      <c r="DF188" s="19"/>
      <c r="DG188" s="19"/>
      <c r="DH188" s="19"/>
      <c r="DI188" s="19"/>
      <c r="DJ188" s="19"/>
      <c r="DK188" s="19"/>
      <c r="DL188" s="19"/>
      <c r="DM188" s="19"/>
      <c r="DN188" s="19"/>
      <c r="DO188" s="19"/>
      <c r="DP188" s="19"/>
      <c r="DQ188" s="19"/>
      <c r="DR188" s="19"/>
      <c r="DS188" s="19"/>
      <c r="DT188" s="19"/>
      <c r="DU188" s="19" t="str">
        <f>$K188</f>
        <v>2026 GENESIS GV60 AWD Performance</v>
      </c>
      <c r="DV188" s="19"/>
      <c r="DW188" s="19"/>
      <c r="DX188" s="19"/>
      <c r="DY188" s="19"/>
      <c r="DZ188" s="19"/>
      <c r="EA188" s="117"/>
      <c r="EB188" s="19"/>
      <c r="EC188" s="19"/>
      <c r="ED188" s="19"/>
      <c r="EE188" s="19"/>
      <c r="EF188" s="19"/>
      <c r="EG188"/>
      <c r="EH188"/>
      <c r="EI188"/>
      <c r="EJ188"/>
      <c r="EK188"/>
      <c r="EL188"/>
      <c r="EM188"/>
      <c r="EN188"/>
      <c r="EO188"/>
      <c r="EP188"/>
      <c r="EQ188"/>
      <c r="ER188"/>
      <c r="ES188"/>
      <c r="ET188"/>
      <c r="EU188"/>
      <c r="EV188"/>
      <c r="EW188"/>
      <c r="EX188" s="19" t="s">
        <v>1983</v>
      </c>
      <c r="EY188"/>
      <c r="EZ188"/>
      <c r="FA188"/>
      <c r="FB188"/>
      <c r="FC188"/>
      <c r="FD188"/>
      <c r="FE188"/>
      <c r="FF188"/>
      <c r="FG188"/>
      <c r="FH188"/>
      <c r="FI188"/>
    </row>
    <row r="189" spans="1:165" s="66" customFormat="1" x14ac:dyDescent="0.35">
      <c r="A189">
        <v>2026</v>
      </c>
      <c r="B189" t="s">
        <v>400</v>
      </c>
      <c r="C189" s="112" t="s">
        <v>401</v>
      </c>
      <c r="D189" t="s">
        <v>1480</v>
      </c>
      <c r="E189" t="s">
        <v>403</v>
      </c>
      <c r="F189">
        <v>4</v>
      </c>
      <c r="G189" s="113">
        <v>0</v>
      </c>
      <c r="H189"/>
      <c r="I189" t="s">
        <v>1391</v>
      </c>
      <c r="J189">
        <v>97</v>
      </c>
      <c r="K189">
        <v>83</v>
      </c>
      <c r="L189">
        <v>90</v>
      </c>
      <c r="M189">
        <v>139.6</v>
      </c>
      <c r="N189">
        <v>120</v>
      </c>
      <c r="O189">
        <v>130.0419</v>
      </c>
      <c r="P189">
        <v>97</v>
      </c>
      <c r="Q189">
        <v>83</v>
      </c>
      <c r="R189">
        <v>90</v>
      </c>
      <c r="S189"/>
      <c r="T189"/>
      <c r="U189"/>
      <c r="V189" t="s">
        <v>170</v>
      </c>
      <c r="W189" t="s">
        <v>171</v>
      </c>
      <c r="X189" t="s">
        <v>1466</v>
      </c>
      <c r="Y189">
        <v>1</v>
      </c>
      <c r="Z189" t="s">
        <v>173</v>
      </c>
      <c r="AA189" t="s">
        <v>173</v>
      </c>
      <c r="AB189" t="s">
        <v>170</v>
      </c>
      <c r="AC189" t="s">
        <v>232</v>
      </c>
      <c r="AD189"/>
      <c r="AE189"/>
      <c r="AF189">
        <v>252</v>
      </c>
      <c r="AG189" t="s">
        <v>1392</v>
      </c>
      <c r="AH189" t="s">
        <v>1393</v>
      </c>
      <c r="AI189" t="s">
        <v>178</v>
      </c>
      <c r="AJ189" t="s">
        <v>179</v>
      </c>
      <c r="AK189">
        <v>4</v>
      </c>
      <c r="AL189" t="s">
        <v>1394</v>
      </c>
      <c r="AM189"/>
      <c r="AN189"/>
      <c r="AO189">
        <v>102</v>
      </c>
      <c r="AP189">
        <v>24</v>
      </c>
      <c r="AQ189"/>
      <c r="AR189"/>
      <c r="AS189">
        <v>950</v>
      </c>
      <c r="AT189">
        <v>950</v>
      </c>
      <c r="AU189"/>
      <c r="AV189"/>
      <c r="AW189"/>
      <c r="AX189"/>
      <c r="AY189"/>
      <c r="AZ189"/>
      <c r="BA189"/>
      <c r="BB189"/>
      <c r="BC189"/>
      <c r="BD189"/>
      <c r="BE189"/>
      <c r="BF189"/>
      <c r="BG189"/>
      <c r="BH189"/>
      <c r="BI189"/>
      <c r="BJ189"/>
      <c r="BK189"/>
      <c r="BL189"/>
      <c r="BM189"/>
      <c r="BN189" s="114"/>
      <c r="BO189"/>
      <c r="BP189"/>
      <c r="BQ189">
        <v>31</v>
      </c>
      <c r="BR189" t="s">
        <v>887</v>
      </c>
      <c r="BS189"/>
      <c r="BT189" t="s">
        <v>1395</v>
      </c>
      <c r="BU189" s="115">
        <v>45839</v>
      </c>
      <c r="BV189">
        <v>36859</v>
      </c>
      <c r="BW189" s="116"/>
      <c r="BX189" t="s">
        <v>173</v>
      </c>
      <c r="BY189" t="s">
        <v>173</v>
      </c>
      <c r="BZ189"/>
      <c r="CA189"/>
      <c r="CB189" t="s">
        <v>173</v>
      </c>
      <c r="CC189" t="s">
        <v>173</v>
      </c>
      <c r="CD189"/>
      <c r="CE189"/>
      <c r="CF189"/>
      <c r="CG189"/>
      <c r="CH189"/>
      <c r="CI189"/>
      <c r="CJ189"/>
      <c r="CK189" t="s">
        <v>259</v>
      </c>
      <c r="CL189"/>
      <c r="CM189">
        <v>1</v>
      </c>
      <c r="CN189" t="s">
        <v>260</v>
      </c>
      <c r="CO189"/>
      <c r="CP189">
        <v>697</v>
      </c>
      <c r="CQ189">
        <v>120.6</v>
      </c>
      <c r="CR189">
        <v>174.6</v>
      </c>
      <c r="CS189" t="s">
        <v>1437</v>
      </c>
      <c r="CT189"/>
      <c r="CU189"/>
      <c r="CV189" t="s">
        <v>262</v>
      </c>
      <c r="CW189"/>
      <c r="CX189" t="s">
        <v>263</v>
      </c>
      <c r="CY189" t="s">
        <v>172</v>
      </c>
      <c r="CZ189"/>
      <c r="DA189"/>
      <c r="DB189"/>
      <c r="DC189" t="s">
        <v>1481</v>
      </c>
      <c r="DD189">
        <v>2</v>
      </c>
      <c r="DE189" t="s">
        <v>307</v>
      </c>
      <c r="DF189" t="s">
        <v>1471</v>
      </c>
      <c r="DG189">
        <v>160</v>
      </c>
      <c r="DH189"/>
      <c r="DI189"/>
      <c r="DJ189"/>
      <c r="DK189"/>
      <c r="DL189" t="s">
        <v>173</v>
      </c>
      <c r="DM189" t="s">
        <v>172</v>
      </c>
      <c r="DN189"/>
      <c r="DO189"/>
      <c r="DP189" t="s">
        <v>173</v>
      </c>
      <c r="DQ189" t="s">
        <v>189</v>
      </c>
      <c r="DR189" t="s">
        <v>1482</v>
      </c>
      <c r="DS189"/>
      <c r="DT189"/>
      <c r="DU189"/>
      <c r="DV189"/>
      <c r="DW189"/>
      <c r="DX189"/>
      <c r="DY189"/>
      <c r="DZ189"/>
      <c r="EA189" s="117"/>
      <c r="EB189">
        <v>9</v>
      </c>
      <c r="EC189">
        <v>10</v>
      </c>
      <c r="ED189"/>
      <c r="EE189" t="s">
        <v>1483</v>
      </c>
      <c r="EF189">
        <v>10</v>
      </c>
      <c r="EG189"/>
      <c r="EH189"/>
      <c r="EI189"/>
      <c r="EJ189"/>
      <c r="EK189"/>
      <c r="EL189"/>
      <c r="EM189"/>
      <c r="EN189"/>
      <c r="EO189"/>
      <c r="EP189"/>
      <c r="EQ189"/>
      <c r="ER189"/>
      <c r="ES189"/>
      <c r="ET189"/>
      <c r="EU189">
        <v>3750</v>
      </c>
      <c r="EV189"/>
      <c r="EW189">
        <v>0</v>
      </c>
      <c r="EX189">
        <v>0</v>
      </c>
      <c r="EY189">
        <v>0</v>
      </c>
      <c r="EZ189"/>
      <c r="FA189">
        <v>9</v>
      </c>
      <c r="FB189"/>
      <c r="FC189"/>
      <c r="FD189"/>
      <c r="FE189"/>
      <c r="FF189"/>
      <c r="FG189" s="94">
        <v>270</v>
      </c>
      <c r="FH189" s="94">
        <v>230</v>
      </c>
      <c r="FI189" s="94">
        <v>252</v>
      </c>
    </row>
    <row r="190" spans="1:165" s="66" customFormat="1" x14ac:dyDescent="0.35">
      <c r="A190">
        <v>2026</v>
      </c>
      <c r="B190" t="s">
        <v>400</v>
      </c>
      <c r="C190" s="112" t="s">
        <v>401</v>
      </c>
      <c r="D190" t="s">
        <v>1480</v>
      </c>
      <c r="E190" t="s">
        <v>403</v>
      </c>
      <c r="F190">
        <v>4</v>
      </c>
      <c r="G190" s="113">
        <v>0</v>
      </c>
      <c r="H190"/>
      <c r="I190" t="s">
        <v>1391</v>
      </c>
      <c r="J190">
        <v>35</v>
      </c>
      <c r="K190">
        <v>41</v>
      </c>
      <c r="L190">
        <v>37</v>
      </c>
      <c r="M190">
        <v>24.141500000000001</v>
      </c>
      <c r="N190">
        <v>28.091699999999999</v>
      </c>
      <c r="O190">
        <v>25.9191</v>
      </c>
      <c r="P190">
        <v>35</v>
      </c>
      <c r="Q190">
        <v>41</v>
      </c>
      <c r="R190">
        <v>37.026499999999999</v>
      </c>
      <c r="S190"/>
      <c r="T190"/>
      <c r="U190"/>
      <c r="V190" t="s">
        <v>170</v>
      </c>
      <c r="W190" t="s">
        <v>171</v>
      </c>
      <c r="X190" t="s">
        <v>1466</v>
      </c>
      <c r="Y190">
        <v>1</v>
      </c>
      <c r="Z190" t="s">
        <v>173</v>
      </c>
      <c r="AA190" t="s">
        <v>173</v>
      </c>
      <c r="AB190" t="s">
        <v>170</v>
      </c>
      <c r="AC190" t="s">
        <v>232</v>
      </c>
      <c r="AD190"/>
      <c r="AE190"/>
      <c r="AF190">
        <v>252</v>
      </c>
      <c r="AG190" t="s">
        <v>1392</v>
      </c>
      <c r="AH190" t="s">
        <v>1393</v>
      </c>
      <c r="AI190" t="s">
        <v>1399</v>
      </c>
      <c r="AJ190" t="s">
        <v>1400</v>
      </c>
      <c r="AK190">
        <v>4</v>
      </c>
      <c r="AL190" t="s">
        <v>1394</v>
      </c>
      <c r="AM190"/>
      <c r="AN190"/>
      <c r="AO190">
        <v>102</v>
      </c>
      <c r="AP190">
        <v>24</v>
      </c>
      <c r="AQ190"/>
      <c r="AR190"/>
      <c r="AS190">
        <v>950</v>
      </c>
      <c r="AT190">
        <v>950</v>
      </c>
      <c r="AU190"/>
      <c r="AV190"/>
      <c r="AW190"/>
      <c r="AX190"/>
      <c r="AY190"/>
      <c r="AZ190"/>
      <c r="BA190"/>
      <c r="BB190"/>
      <c r="BC190"/>
      <c r="BD190"/>
      <c r="BE190"/>
      <c r="BF190"/>
      <c r="BG190"/>
      <c r="BH190"/>
      <c r="BI190"/>
      <c r="BJ190"/>
      <c r="BK190"/>
      <c r="BL190"/>
      <c r="BM190"/>
      <c r="BN190" s="114"/>
      <c r="BO190"/>
      <c r="BP190"/>
      <c r="BQ190">
        <v>31</v>
      </c>
      <c r="BR190" t="s">
        <v>887</v>
      </c>
      <c r="BS190"/>
      <c r="BT190" t="s">
        <v>1395</v>
      </c>
      <c r="BU190" s="115">
        <v>45839</v>
      </c>
      <c r="BV190">
        <v>36859</v>
      </c>
      <c r="BW190" s="116"/>
      <c r="BX190" t="s">
        <v>173</v>
      </c>
      <c r="BY190" t="s">
        <v>173</v>
      </c>
      <c r="BZ190"/>
      <c r="CA190"/>
      <c r="CB190" t="s">
        <v>173</v>
      </c>
      <c r="CC190" t="s">
        <v>173</v>
      </c>
      <c r="CD190"/>
      <c r="CE190"/>
      <c r="CF190"/>
      <c r="CG190"/>
      <c r="CH190"/>
      <c r="CI190"/>
      <c r="CJ190"/>
      <c r="CK190" t="s">
        <v>259</v>
      </c>
      <c r="CL190"/>
      <c r="CM190">
        <v>1</v>
      </c>
      <c r="CN190" t="s">
        <v>260</v>
      </c>
      <c r="CO190"/>
      <c r="CP190">
        <v>697</v>
      </c>
      <c r="CQ190">
        <v>120.6</v>
      </c>
      <c r="CR190">
        <v>174.6</v>
      </c>
      <c r="CS190" t="s">
        <v>1437</v>
      </c>
      <c r="CT190"/>
      <c r="CU190"/>
      <c r="CV190" t="s">
        <v>262</v>
      </c>
      <c r="CW190"/>
      <c r="CX190" t="s">
        <v>263</v>
      </c>
      <c r="CY190" t="s">
        <v>172</v>
      </c>
      <c r="CZ190"/>
      <c r="DA190"/>
      <c r="DB190"/>
      <c r="DC190" t="s">
        <v>1481</v>
      </c>
      <c r="DD190">
        <v>2</v>
      </c>
      <c r="DE190" t="s">
        <v>307</v>
      </c>
      <c r="DF190" t="s">
        <v>1471</v>
      </c>
      <c r="DG190">
        <v>160</v>
      </c>
      <c r="DH190"/>
      <c r="DI190"/>
      <c r="DJ190"/>
      <c r="DK190"/>
      <c r="DL190" t="s">
        <v>173</v>
      </c>
      <c r="DM190" t="s">
        <v>172</v>
      </c>
      <c r="DN190"/>
      <c r="DO190"/>
      <c r="DP190" t="s">
        <v>173</v>
      </c>
      <c r="DQ190" t="s">
        <v>189</v>
      </c>
      <c r="DR190" t="s">
        <v>1482</v>
      </c>
      <c r="DS190"/>
      <c r="DT190"/>
      <c r="DU190"/>
      <c r="DV190"/>
      <c r="DW190"/>
      <c r="DX190"/>
      <c r="DY190"/>
      <c r="DZ190"/>
      <c r="EA190" s="117"/>
      <c r="EB190">
        <v>9</v>
      </c>
      <c r="EC190">
        <v>10</v>
      </c>
      <c r="ED190"/>
      <c r="EE190" t="s">
        <v>1483</v>
      </c>
      <c r="EF190">
        <v>10</v>
      </c>
      <c r="EG190"/>
      <c r="EH190"/>
      <c r="EI190"/>
      <c r="EJ190"/>
      <c r="EK190"/>
      <c r="EL190"/>
      <c r="EM190"/>
      <c r="EN190"/>
      <c r="EO190"/>
      <c r="EP190"/>
      <c r="EQ190"/>
      <c r="ER190"/>
      <c r="ES190"/>
      <c r="ET190"/>
      <c r="EU190">
        <v>3750</v>
      </c>
      <c r="EV190"/>
      <c r="EW190">
        <v>0</v>
      </c>
      <c r="EX190">
        <v>0</v>
      </c>
      <c r="EY190">
        <v>0</v>
      </c>
      <c r="EZ190"/>
      <c r="FA190">
        <v>9</v>
      </c>
      <c r="FB190"/>
      <c r="FC190"/>
      <c r="FD190"/>
      <c r="FE190"/>
      <c r="FF190"/>
      <c r="FG190" s="94">
        <v>270</v>
      </c>
      <c r="FH190" s="94">
        <v>230</v>
      </c>
      <c r="FI190" s="94">
        <v>252</v>
      </c>
    </row>
    <row r="191" spans="1:165" s="66" customFormat="1" x14ac:dyDescent="0.35">
      <c r="A191" s="19"/>
      <c r="B191" s="19"/>
      <c r="C191" s="19"/>
      <c r="D191" s="19"/>
      <c r="E191" s="19"/>
      <c r="F191" s="128"/>
      <c r="G191" s="19"/>
      <c r="H191" s="19"/>
      <c r="I191" s="19"/>
      <c r="J191" s="19"/>
      <c r="K191" s="19" t="str">
        <f>_xlfn.CONCAT(A192," ",C192," ",D192)</f>
        <v>2026 GENESIS GV60 AWD with 19''</v>
      </c>
      <c r="L191" s="19"/>
      <c r="M191" s="19"/>
      <c r="N191" s="19"/>
      <c r="O191" s="19"/>
      <c r="P191" s="19"/>
      <c r="Q191" s="19"/>
      <c r="R191" s="19"/>
      <c r="S191" s="19"/>
      <c r="T191" s="19"/>
      <c r="U191" s="19"/>
      <c r="V191" s="19"/>
      <c r="W191" s="19"/>
      <c r="X191" s="19"/>
      <c r="Y191" s="19"/>
      <c r="Z191" s="19"/>
      <c r="AA191" s="19"/>
      <c r="AB191" s="19" t="str">
        <f>$K191</f>
        <v>2026 GENESIS GV60 AWD with 19''</v>
      </c>
      <c r="AC191" s="19"/>
      <c r="AD191" s="19"/>
      <c r="AE191" s="19"/>
      <c r="AF191" s="19"/>
      <c r="AG191" s="19"/>
      <c r="AH191" s="19"/>
      <c r="AI191" s="19"/>
      <c r="AJ191" s="19"/>
      <c r="AK191" s="19"/>
      <c r="AL191" s="19"/>
      <c r="AM191" s="19"/>
      <c r="AN191" s="19"/>
      <c r="AO191" s="19"/>
      <c r="AP191" s="19"/>
      <c r="AQ191" s="19"/>
      <c r="AR191" s="19" t="str">
        <f>$K191</f>
        <v>2026 GENESIS GV60 AWD with 19''</v>
      </c>
      <c r="AS191" s="19"/>
      <c r="AT191" s="19"/>
      <c r="AU191" s="19"/>
      <c r="AV191" s="19"/>
      <c r="AW191" s="19"/>
      <c r="AX191" s="19"/>
      <c r="AY191" s="19"/>
      <c r="AZ191" s="19"/>
      <c r="BA191" s="19"/>
      <c r="BB191" s="19"/>
      <c r="BC191" s="19"/>
      <c r="BD191" s="19"/>
      <c r="BE191" s="19"/>
      <c r="BF191" s="19"/>
      <c r="BG191" s="19" t="str">
        <f>$K191</f>
        <v>2026 GENESIS GV60 AWD with 19''</v>
      </c>
      <c r="BH191" s="19"/>
      <c r="BI191" s="19"/>
      <c r="BJ191" s="19"/>
      <c r="BK191" s="19"/>
      <c r="BL191" s="19"/>
      <c r="BM191" s="129"/>
      <c r="BN191" s="19"/>
      <c r="BO191" s="19"/>
      <c r="BP191" s="19"/>
      <c r="BQ191" s="19"/>
      <c r="BR191" s="19"/>
      <c r="BS191" s="19"/>
      <c r="BT191" s="130"/>
      <c r="BU191" s="19"/>
      <c r="BV191" s="19"/>
      <c r="BW191" s="116"/>
      <c r="BX191" s="19"/>
      <c r="BY191" s="19"/>
      <c r="BZ191" s="19"/>
      <c r="CA191" s="19"/>
      <c r="CB191" s="19"/>
      <c r="CC191" s="19"/>
      <c r="CD191" s="19"/>
      <c r="CE191" s="19"/>
      <c r="CF191" s="19"/>
      <c r="CG191" s="19"/>
      <c r="CH191" s="19"/>
      <c r="CI191" s="19"/>
      <c r="CJ191" s="19"/>
      <c r="CK191" s="19"/>
      <c r="CL191" s="19"/>
      <c r="CM191" s="19" t="str">
        <f>$K191</f>
        <v>2026 GENESIS GV60 AWD with 19''</v>
      </c>
      <c r="CN191" s="19"/>
      <c r="CO191" s="19"/>
      <c r="CP191" s="19"/>
      <c r="CQ191" s="19"/>
      <c r="CR191" s="19"/>
      <c r="CS191" s="19"/>
      <c r="CT191" s="19"/>
      <c r="CU191" s="19"/>
      <c r="CV191" s="19"/>
      <c r="CW191" s="19"/>
      <c r="CX191" s="19"/>
      <c r="CY191" s="19"/>
      <c r="CZ191" s="19"/>
      <c r="DA191" s="19"/>
      <c r="DB191" s="19"/>
      <c r="DC191" s="19"/>
      <c r="DD191" s="19" t="str">
        <f>$K191</f>
        <v>2026 GENESIS GV60 AWD with 19''</v>
      </c>
      <c r="DE191" s="19"/>
      <c r="DF191" s="19"/>
      <c r="DG191" s="19"/>
      <c r="DH191" s="19"/>
      <c r="DI191" s="19"/>
      <c r="DJ191" s="19"/>
      <c r="DK191" s="19"/>
      <c r="DL191" s="19"/>
      <c r="DM191" s="19"/>
      <c r="DN191" s="19"/>
      <c r="DO191" s="19"/>
      <c r="DP191" s="19"/>
      <c r="DQ191" s="19"/>
      <c r="DR191" s="19"/>
      <c r="DS191" s="19"/>
      <c r="DT191" s="19"/>
      <c r="DU191" s="19" t="str">
        <f>$K191</f>
        <v>2026 GENESIS GV60 AWD with 19''</v>
      </c>
      <c r="DV191" s="19"/>
      <c r="DW191" s="19"/>
      <c r="DX191" s="19"/>
      <c r="DY191" s="19"/>
      <c r="DZ191" s="19"/>
      <c r="EA191" s="117"/>
      <c r="EB191" s="19"/>
      <c r="EC191" s="19"/>
      <c r="ED191" s="19"/>
      <c r="EE191" s="19"/>
      <c r="EF191" s="19"/>
      <c r="EG191"/>
      <c r="EH191"/>
      <c r="EI191"/>
      <c r="EJ191"/>
      <c r="EK191"/>
      <c r="EL191"/>
      <c r="EM191"/>
      <c r="EN191"/>
      <c r="EO191"/>
      <c r="EP191"/>
      <c r="EQ191"/>
      <c r="ER191"/>
      <c r="ES191"/>
      <c r="ET191"/>
      <c r="EU191"/>
      <c r="EV191"/>
      <c r="EW191"/>
      <c r="EX191" s="19" t="s">
        <v>1984</v>
      </c>
      <c r="EY191"/>
      <c r="EZ191"/>
      <c r="FA191"/>
      <c r="FB191"/>
      <c r="FC191"/>
      <c r="FD191"/>
      <c r="FE191"/>
      <c r="FF191"/>
      <c r="FG191"/>
      <c r="FH191"/>
      <c r="FI191"/>
    </row>
    <row r="192" spans="1:165" s="66" customFormat="1" x14ac:dyDescent="0.35">
      <c r="A192">
        <v>2026</v>
      </c>
      <c r="B192" t="s">
        <v>400</v>
      </c>
      <c r="C192" s="112" t="s">
        <v>401</v>
      </c>
      <c r="D192" t="s">
        <v>1474</v>
      </c>
      <c r="E192" t="s">
        <v>403</v>
      </c>
      <c r="F192">
        <v>2</v>
      </c>
      <c r="G192" s="113">
        <v>0</v>
      </c>
      <c r="H192"/>
      <c r="I192" t="s">
        <v>1391</v>
      </c>
      <c r="J192">
        <v>107</v>
      </c>
      <c r="K192">
        <v>93</v>
      </c>
      <c r="L192">
        <v>100</v>
      </c>
      <c r="M192">
        <v>153</v>
      </c>
      <c r="N192">
        <v>133.1</v>
      </c>
      <c r="O192">
        <v>143.35499999999999</v>
      </c>
      <c r="P192">
        <v>107.1</v>
      </c>
      <c r="Q192">
        <v>93.17</v>
      </c>
      <c r="R192">
        <v>100.3485</v>
      </c>
      <c r="S192"/>
      <c r="T192"/>
      <c r="U192"/>
      <c r="V192" t="s">
        <v>170</v>
      </c>
      <c r="W192" t="s">
        <v>171</v>
      </c>
      <c r="X192" t="s">
        <v>1466</v>
      </c>
      <c r="Y192">
        <v>1</v>
      </c>
      <c r="Z192" t="s">
        <v>173</v>
      </c>
      <c r="AA192" t="s">
        <v>173</v>
      </c>
      <c r="AB192" t="s">
        <v>170</v>
      </c>
      <c r="AC192" t="s">
        <v>232</v>
      </c>
      <c r="AD192"/>
      <c r="AE192"/>
      <c r="AF192">
        <v>282</v>
      </c>
      <c r="AG192" t="s">
        <v>1392</v>
      </c>
      <c r="AH192" t="s">
        <v>1393</v>
      </c>
      <c r="AI192" t="s">
        <v>178</v>
      </c>
      <c r="AJ192" t="s">
        <v>179</v>
      </c>
      <c r="AK192">
        <v>4</v>
      </c>
      <c r="AL192" t="s">
        <v>1394</v>
      </c>
      <c r="AM192"/>
      <c r="AN192"/>
      <c r="AO192">
        <v>102</v>
      </c>
      <c r="AP192">
        <v>24</v>
      </c>
      <c r="AQ192"/>
      <c r="AR192"/>
      <c r="AS192">
        <v>850</v>
      </c>
      <c r="AT192">
        <v>850</v>
      </c>
      <c r="AU192"/>
      <c r="AV192"/>
      <c r="AW192"/>
      <c r="AX192"/>
      <c r="AY192"/>
      <c r="AZ192"/>
      <c r="BA192"/>
      <c r="BB192"/>
      <c r="BC192"/>
      <c r="BD192"/>
      <c r="BE192"/>
      <c r="BF192"/>
      <c r="BG192"/>
      <c r="BH192"/>
      <c r="BI192"/>
      <c r="BJ192"/>
      <c r="BK192"/>
      <c r="BL192"/>
      <c r="BM192"/>
      <c r="BN192" s="114"/>
      <c r="BO192"/>
      <c r="BP192"/>
      <c r="BQ192">
        <v>31</v>
      </c>
      <c r="BR192" t="s">
        <v>887</v>
      </c>
      <c r="BS192"/>
      <c r="BT192" t="s">
        <v>1395</v>
      </c>
      <c r="BU192" s="115">
        <v>45839</v>
      </c>
      <c r="BV192">
        <v>36890</v>
      </c>
      <c r="BW192" s="116"/>
      <c r="BX192" t="s">
        <v>173</v>
      </c>
      <c r="BY192" t="s">
        <v>173</v>
      </c>
      <c r="BZ192"/>
      <c r="CA192"/>
      <c r="CB192" t="s">
        <v>173</v>
      </c>
      <c r="CC192" t="s">
        <v>173</v>
      </c>
      <c r="CD192"/>
      <c r="CE192"/>
      <c r="CF192"/>
      <c r="CG192"/>
      <c r="CH192"/>
      <c r="CI192"/>
      <c r="CJ192"/>
      <c r="CK192" t="s">
        <v>259</v>
      </c>
      <c r="CL192"/>
      <c r="CM192">
        <v>1</v>
      </c>
      <c r="CN192" t="s">
        <v>260</v>
      </c>
      <c r="CO192"/>
      <c r="CP192">
        <v>697</v>
      </c>
      <c r="CQ192">
        <v>120.6</v>
      </c>
      <c r="CR192">
        <v>175.6</v>
      </c>
      <c r="CS192" t="s">
        <v>1437</v>
      </c>
      <c r="CT192"/>
      <c r="CU192"/>
      <c r="CV192" t="s">
        <v>262</v>
      </c>
      <c r="CW192"/>
      <c r="CX192" t="s">
        <v>263</v>
      </c>
      <c r="CY192" t="s">
        <v>172</v>
      </c>
      <c r="CZ192"/>
      <c r="DA192"/>
      <c r="DB192"/>
      <c r="DC192" t="s">
        <v>1470</v>
      </c>
      <c r="DD192">
        <v>2</v>
      </c>
      <c r="DE192" t="s">
        <v>307</v>
      </c>
      <c r="DF192" t="s">
        <v>1471</v>
      </c>
      <c r="DG192" t="s">
        <v>1475</v>
      </c>
      <c r="DH192"/>
      <c r="DI192"/>
      <c r="DJ192"/>
      <c r="DK192"/>
      <c r="DL192" t="s">
        <v>173</v>
      </c>
      <c r="DM192" t="s">
        <v>172</v>
      </c>
      <c r="DN192"/>
      <c r="DO192"/>
      <c r="DP192" t="s">
        <v>173</v>
      </c>
      <c r="DQ192" t="s">
        <v>189</v>
      </c>
      <c r="DR192" t="s">
        <v>1476</v>
      </c>
      <c r="DS192"/>
      <c r="DT192"/>
      <c r="DU192"/>
      <c r="DV192"/>
      <c r="DW192"/>
      <c r="DX192"/>
      <c r="DY192"/>
      <c r="DZ192"/>
      <c r="EA192" s="117"/>
      <c r="EB192">
        <v>9</v>
      </c>
      <c r="EC192">
        <v>10</v>
      </c>
      <c r="ED192"/>
      <c r="EE192" t="s">
        <v>1477</v>
      </c>
      <c r="EF192">
        <v>10</v>
      </c>
      <c r="EG192"/>
      <c r="EH192"/>
      <c r="EI192"/>
      <c r="EJ192"/>
      <c r="EK192"/>
      <c r="EL192"/>
      <c r="EM192"/>
      <c r="EN192"/>
      <c r="EO192"/>
      <c r="EP192"/>
      <c r="EQ192"/>
      <c r="ER192"/>
      <c r="ES192"/>
      <c r="ET192"/>
      <c r="EU192">
        <v>4250</v>
      </c>
      <c r="EV192"/>
      <c r="EW192">
        <v>0</v>
      </c>
      <c r="EX192">
        <v>0</v>
      </c>
      <c r="EY192">
        <v>0</v>
      </c>
      <c r="EZ192"/>
      <c r="FA192">
        <v>9.1999999999999993</v>
      </c>
      <c r="FB192"/>
      <c r="FC192"/>
      <c r="FD192"/>
      <c r="FE192"/>
      <c r="FF192"/>
      <c r="FG192" s="94">
        <v>300</v>
      </c>
      <c r="FH192" s="94">
        <v>261</v>
      </c>
      <c r="FI192" s="94">
        <v>282</v>
      </c>
    </row>
    <row r="193" spans="1:165" s="66" customFormat="1" x14ac:dyDescent="0.35">
      <c r="A193">
        <v>2026</v>
      </c>
      <c r="B193" t="s">
        <v>400</v>
      </c>
      <c r="C193" s="112" t="s">
        <v>401</v>
      </c>
      <c r="D193" t="s">
        <v>1474</v>
      </c>
      <c r="E193" t="s">
        <v>403</v>
      </c>
      <c r="F193">
        <v>2</v>
      </c>
      <c r="G193" s="113">
        <v>0</v>
      </c>
      <c r="H193"/>
      <c r="I193" t="s">
        <v>1391</v>
      </c>
      <c r="J193">
        <v>31</v>
      </c>
      <c r="K193">
        <v>36</v>
      </c>
      <c r="L193">
        <v>34</v>
      </c>
      <c r="M193">
        <v>22.023299999999999</v>
      </c>
      <c r="N193">
        <v>25.325700000000001</v>
      </c>
      <c r="O193">
        <v>23.509399999999999</v>
      </c>
      <c r="P193">
        <v>31.470600000000001</v>
      </c>
      <c r="Q193">
        <v>36.175800000000002</v>
      </c>
      <c r="R193">
        <v>33.587899999999998</v>
      </c>
      <c r="S193"/>
      <c r="T193"/>
      <c r="U193"/>
      <c r="V193" t="s">
        <v>170</v>
      </c>
      <c r="W193" t="s">
        <v>171</v>
      </c>
      <c r="X193" t="s">
        <v>1466</v>
      </c>
      <c r="Y193">
        <v>1</v>
      </c>
      <c r="Z193" t="s">
        <v>173</v>
      </c>
      <c r="AA193" t="s">
        <v>173</v>
      </c>
      <c r="AB193" t="s">
        <v>170</v>
      </c>
      <c r="AC193" t="s">
        <v>232</v>
      </c>
      <c r="AD193"/>
      <c r="AE193"/>
      <c r="AF193">
        <v>282</v>
      </c>
      <c r="AG193" t="s">
        <v>1392</v>
      </c>
      <c r="AH193" t="s">
        <v>1393</v>
      </c>
      <c r="AI193" t="s">
        <v>1399</v>
      </c>
      <c r="AJ193" t="s">
        <v>1400</v>
      </c>
      <c r="AK193">
        <v>4</v>
      </c>
      <c r="AL193" t="s">
        <v>1394</v>
      </c>
      <c r="AM193"/>
      <c r="AN193"/>
      <c r="AO193">
        <v>102</v>
      </c>
      <c r="AP193">
        <v>24</v>
      </c>
      <c r="AQ193"/>
      <c r="AR193"/>
      <c r="AS193">
        <v>850</v>
      </c>
      <c r="AT193">
        <v>850</v>
      </c>
      <c r="AU193"/>
      <c r="AV193"/>
      <c r="AW193"/>
      <c r="AX193"/>
      <c r="AY193"/>
      <c r="AZ193"/>
      <c r="BA193"/>
      <c r="BB193"/>
      <c r="BC193"/>
      <c r="BD193"/>
      <c r="BE193"/>
      <c r="BF193"/>
      <c r="BG193"/>
      <c r="BH193"/>
      <c r="BI193"/>
      <c r="BJ193"/>
      <c r="BK193"/>
      <c r="BL193"/>
      <c r="BM193"/>
      <c r="BN193" s="114"/>
      <c r="BO193"/>
      <c r="BP193"/>
      <c r="BQ193">
        <v>31</v>
      </c>
      <c r="BR193" t="s">
        <v>887</v>
      </c>
      <c r="BS193"/>
      <c r="BT193" t="s">
        <v>1395</v>
      </c>
      <c r="BU193" s="115">
        <v>45839</v>
      </c>
      <c r="BV193">
        <v>36890</v>
      </c>
      <c r="BW193" s="116"/>
      <c r="BX193" t="s">
        <v>173</v>
      </c>
      <c r="BY193" t="s">
        <v>173</v>
      </c>
      <c r="BZ193"/>
      <c r="CA193"/>
      <c r="CB193" t="s">
        <v>173</v>
      </c>
      <c r="CC193" t="s">
        <v>173</v>
      </c>
      <c r="CD193"/>
      <c r="CE193"/>
      <c r="CF193"/>
      <c r="CG193"/>
      <c r="CH193"/>
      <c r="CI193"/>
      <c r="CJ193"/>
      <c r="CK193" t="s">
        <v>259</v>
      </c>
      <c r="CL193"/>
      <c r="CM193">
        <v>1</v>
      </c>
      <c r="CN193" t="s">
        <v>260</v>
      </c>
      <c r="CO193"/>
      <c r="CP193">
        <v>697</v>
      </c>
      <c r="CQ193">
        <v>120.6</v>
      </c>
      <c r="CR193">
        <v>175.6</v>
      </c>
      <c r="CS193" t="s">
        <v>1437</v>
      </c>
      <c r="CT193"/>
      <c r="CU193"/>
      <c r="CV193" t="s">
        <v>262</v>
      </c>
      <c r="CW193"/>
      <c r="CX193" t="s">
        <v>263</v>
      </c>
      <c r="CY193" t="s">
        <v>172</v>
      </c>
      <c r="CZ193"/>
      <c r="DA193"/>
      <c r="DB193"/>
      <c r="DC193" t="s">
        <v>1470</v>
      </c>
      <c r="DD193">
        <v>2</v>
      </c>
      <c r="DE193" t="s">
        <v>307</v>
      </c>
      <c r="DF193" t="s">
        <v>1471</v>
      </c>
      <c r="DG193" t="s">
        <v>1475</v>
      </c>
      <c r="DH193"/>
      <c r="DI193"/>
      <c r="DJ193"/>
      <c r="DK193"/>
      <c r="DL193" t="s">
        <v>173</v>
      </c>
      <c r="DM193" t="s">
        <v>172</v>
      </c>
      <c r="DN193"/>
      <c r="DO193"/>
      <c r="DP193" t="s">
        <v>173</v>
      </c>
      <c r="DQ193" t="s">
        <v>189</v>
      </c>
      <c r="DR193" t="s">
        <v>1476</v>
      </c>
      <c r="DS193"/>
      <c r="DT193"/>
      <c r="DU193"/>
      <c r="DV193"/>
      <c r="DW193"/>
      <c r="DX193"/>
      <c r="DY193"/>
      <c r="DZ193"/>
      <c r="EA193" s="117"/>
      <c r="EB193">
        <v>9</v>
      </c>
      <c r="EC193">
        <v>10</v>
      </c>
      <c r="ED193"/>
      <c r="EE193" t="s">
        <v>1477</v>
      </c>
      <c r="EF193">
        <v>10</v>
      </c>
      <c r="EG193"/>
      <c r="EH193"/>
      <c r="EI193"/>
      <c r="EJ193"/>
      <c r="EK193"/>
      <c r="EL193"/>
      <c r="EM193"/>
      <c r="EN193"/>
      <c r="EO193"/>
      <c r="EP193"/>
      <c r="EQ193"/>
      <c r="ER193"/>
      <c r="ES193"/>
      <c r="ET193"/>
      <c r="EU193">
        <v>4250</v>
      </c>
      <c r="EV193"/>
      <c r="EW193">
        <v>0</v>
      </c>
      <c r="EX193">
        <v>0</v>
      </c>
      <c r="EY193">
        <v>0</v>
      </c>
      <c r="EZ193"/>
      <c r="FA193">
        <v>9.1999999999999993</v>
      </c>
      <c r="FB193"/>
      <c r="FC193"/>
      <c r="FD193"/>
      <c r="FE193"/>
      <c r="FF193"/>
      <c r="FG193" s="94">
        <v>300</v>
      </c>
      <c r="FH193" s="94">
        <v>261</v>
      </c>
      <c r="FI193" s="94">
        <v>282</v>
      </c>
    </row>
    <row r="194" spans="1:165" s="66" customFormat="1" x14ac:dyDescent="0.35">
      <c r="A194" s="19"/>
      <c r="B194" s="19"/>
      <c r="C194" s="19"/>
      <c r="D194" s="19"/>
      <c r="E194" s="19"/>
      <c r="F194" s="128"/>
      <c r="G194" s="19"/>
      <c r="H194" s="19"/>
      <c r="I194" s="19"/>
      <c r="J194" s="19"/>
      <c r="K194" s="19" t="str">
        <f>_xlfn.CONCAT(A195," ",C195," ",D195)</f>
        <v>2026 GENESIS Electrified GV70 19'' AWD</v>
      </c>
      <c r="L194" s="19"/>
      <c r="M194" s="19"/>
      <c r="N194" s="19"/>
      <c r="O194" s="19"/>
      <c r="P194" s="19"/>
      <c r="Q194" s="19"/>
      <c r="R194" s="19"/>
      <c r="S194" s="19"/>
      <c r="T194" s="19"/>
      <c r="U194" s="19"/>
      <c r="V194" s="19"/>
      <c r="W194" s="19"/>
      <c r="X194" s="19"/>
      <c r="Y194" s="19"/>
      <c r="Z194" s="19"/>
      <c r="AA194" s="19"/>
      <c r="AB194" s="19" t="str">
        <f>$K194</f>
        <v>2026 GENESIS Electrified GV70 19'' AWD</v>
      </c>
      <c r="AC194" s="19"/>
      <c r="AD194" s="19"/>
      <c r="AE194" s="19"/>
      <c r="AF194" s="19"/>
      <c r="AG194" s="19"/>
      <c r="AH194" s="19"/>
      <c r="AI194" s="19"/>
      <c r="AJ194" s="19"/>
      <c r="AK194" s="19"/>
      <c r="AL194" s="19"/>
      <c r="AM194" s="19"/>
      <c r="AN194" s="19"/>
      <c r="AO194" s="19"/>
      <c r="AP194" s="19"/>
      <c r="AQ194" s="19"/>
      <c r="AR194" s="19" t="str">
        <f>$K194</f>
        <v>2026 GENESIS Electrified GV70 19'' AWD</v>
      </c>
      <c r="AS194" s="19"/>
      <c r="AT194" s="19"/>
      <c r="AU194" s="19"/>
      <c r="AV194" s="19"/>
      <c r="AW194" s="19"/>
      <c r="AX194" s="19"/>
      <c r="AY194" s="19"/>
      <c r="AZ194" s="19"/>
      <c r="BA194" s="19"/>
      <c r="BB194" s="19"/>
      <c r="BC194" s="19"/>
      <c r="BD194" s="19"/>
      <c r="BE194" s="19"/>
      <c r="BF194" s="19"/>
      <c r="BG194" s="19" t="str">
        <f>$K194</f>
        <v>2026 GENESIS Electrified GV70 19'' AWD</v>
      </c>
      <c r="BH194" s="19"/>
      <c r="BI194" s="19"/>
      <c r="BJ194" s="19"/>
      <c r="BK194" s="19"/>
      <c r="BL194" s="19"/>
      <c r="BM194" s="129"/>
      <c r="BN194" s="19"/>
      <c r="BO194" s="19"/>
      <c r="BP194" s="19"/>
      <c r="BQ194" s="19"/>
      <c r="BR194" s="19"/>
      <c r="BS194" s="19"/>
      <c r="BT194" s="130"/>
      <c r="BU194" s="19"/>
      <c r="BV194" s="19"/>
      <c r="BW194" s="116"/>
      <c r="BX194" s="19"/>
      <c r="BY194" s="19"/>
      <c r="BZ194" s="19"/>
      <c r="CA194" s="19"/>
      <c r="CB194" s="19"/>
      <c r="CC194" s="19"/>
      <c r="CD194" s="19"/>
      <c r="CE194" s="19"/>
      <c r="CF194" s="19"/>
      <c r="CG194" s="19"/>
      <c r="CH194" s="19"/>
      <c r="CI194" s="19"/>
      <c r="CJ194" s="19"/>
      <c r="CK194" s="19"/>
      <c r="CL194" s="19"/>
      <c r="CM194" s="19" t="str">
        <f>$K194</f>
        <v>2026 GENESIS Electrified GV70 19'' AWD</v>
      </c>
      <c r="CN194" s="19"/>
      <c r="CO194" s="19"/>
      <c r="CP194" s="19"/>
      <c r="CQ194" s="19"/>
      <c r="CR194" s="19"/>
      <c r="CS194" s="19"/>
      <c r="CT194" s="19"/>
      <c r="CU194" s="19"/>
      <c r="CV194" s="19"/>
      <c r="CW194" s="19"/>
      <c r="CX194" s="19"/>
      <c r="CY194" s="19"/>
      <c r="CZ194" s="19"/>
      <c r="DA194" s="19"/>
      <c r="DB194" s="19"/>
      <c r="DC194" s="19"/>
      <c r="DD194" s="19" t="str">
        <f>$K194</f>
        <v>2026 GENESIS Electrified GV70 19'' AWD</v>
      </c>
      <c r="DE194" s="19"/>
      <c r="DF194" s="19"/>
      <c r="DG194" s="19"/>
      <c r="DH194" s="19"/>
      <c r="DI194" s="19"/>
      <c r="DJ194" s="19"/>
      <c r="DK194" s="19"/>
      <c r="DL194" s="19"/>
      <c r="DM194" s="19"/>
      <c r="DN194" s="19"/>
      <c r="DO194" s="19"/>
      <c r="DP194" s="19"/>
      <c r="DQ194" s="19"/>
      <c r="DR194" s="19"/>
      <c r="DS194" s="19"/>
      <c r="DT194" s="19"/>
      <c r="DU194" s="19" t="str">
        <f>$K194</f>
        <v>2026 GENESIS Electrified GV70 19'' AWD</v>
      </c>
      <c r="DV194" s="19"/>
      <c r="DW194" s="19"/>
      <c r="DX194" s="19"/>
      <c r="DY194" s="19"/>
      <c r="DZ194" s="19"/>
      <c r="EA194" s="117"/>
      <c r="EB194" s="19"/>
      <c r="EC194" s="19"/>
      <c r="ED194" s="19"/>
      <c r="EE194" s="19"/>
      <c r="EF194" s="19"/>
      <c r="EG194"/>
      <c r="EH194"/>
      <c r="EI194"/>
      <c r="EJ194"/>
      <c r="EK194"/>
      <c r="EL194"/>
      <c r="EM194"/>
      <c r="EN194"/>
      <c r="EO194"/>
      <c r="EP194"/>
      <c r="EQ194"/>
      <c r="ER194"/>
      <c r="ES194"/>
      <c r="ET194"/>
      <c r="EU194"/>
      <c r="EV194"/>
      <c r="EW194"/>
      <c r="EX194" s="19" t="s">
        <v>1985</v>
      </c>
      <c r="EY194"/>
      <c r="EZ194"/>
      <c r="FA194"/>
      <c r="FB194"/>
      <c r="FC194"/>
      <c r="FD194"/>
      <c r="FE194"/>
      <c r="FF194"/>
      <c r="FG194"/>
      <c r="FH194"/>
      <c r="FI194"/>
    </row>
    <row r="195" spans="1:165" s="66" customFormat="1" x14ac:dyDescent="0.35">
      <c r="A195">
        <v>2026</v>
      </c>
      <c r="B195" t="s">
        <v>400</v>
      </c>
      <c r="C195" s="112" t="s">
        <v>401</v>
      </c>
      <c r="D195" t="s">
        <v>1484</v>
      </c>
      <c r="E195" t="s">
        <v>403</v>
      </c>
      <c r="F195">
        <v>68</v>
      </c>
      <c r="G195" s="113">
        <v>0</v>
      </c>
      <c r="H195"/>
      <c r="I195" t="s">
        <v>1391</v>
      </c>
      <c r="J195">
        <v>103</v>
      </c>
      <c r="K195">
        <v>88</v>
      </c>
      <c r="L195">
        <v>96</v>
      </c>
      <c r="M195">
        <v>150.69999999999999</v>
      </c>
      <c r="N195">
        <v>129.19999999999999</v>
      </c>
      <c r="O195">
        <v>140.2012</v>
      </c>
      <c r="P195">
        <v>103</v>
      </c>
      <c r="Q195">
        <v>88</v>
      </c>
      <c r="R195">
        <v>96</v>
      </c>
      <c r="S195"/>
      <c r="T195"/>
      <c r="U195"/>
      <c r="V195" t="s">
        <v>170</v>
      </c>
      <c r="W195" t="s">
        <v>171</v>
      </c>
      <c r="X195" t="s">
        <v>1466</v>
      </c>
      <c r="Y195">
        <v>1</v>
      </c>
      <c r="Z195" t="s">
        <v>173</v>
      </c>
      <c r="AA195" t="s">
        <v>173</v>
      </c>
      <c r="AB195" t="s">
        <v>170</v>
      </c>
      <c r="AC195" t="s">
        <v>232</v>
      </c>
      <c r="AD195"/>
      <c r="AE195"/>
      <c r="AF195">
        <v>263</v>
      </c>
      <c r="AG195" t="s">
        <v>1392</v>
      </c>
      <c r="AH195" t="s">
        <v>1393</v>
      </c>
      <c r="AI195" t="s">
        <v>178</v>
      </c>
      <c r="AJ195" t="s">
        <v>179</v>
      </c>
      <c r="AK195">
        <v>4</v>
      </c>
      <c r="AL195" t="s">
        <v>1394</v>
      </c>
      <c r="AM195"/>
      <c r="AN195"/>
      <c r="AO195">
        <v>103</v>
      </c>
      <c r="AP195">
        <v>29</v>
      </c>
      <c r="AQ195"/>
      <c r="AR195"/>
      <c r="AS195">
        <v>900</v>
      </c>
      <c r="AT195">
        <v>900</v>
      </c>
      <c r="AU195"/>
      <c r="AV195"/>
      <c r="AW195"/>
      <c r="AX195"/>
      <c r="AY195"/>
      <c r="AZ195"/>
      <c r="BA195"/>
      <c r="BB195"/>
      <c r="BC195"/>
      <c r="BD195"/>
      <c r="BE195"/>
      <c r="BF195"/>
      <c r="BG195"/>
      <c r="BH195"/>
      <c r="BI195"/>
      <c r="BJ195"/>
      <c r="BK195"/>
      <c r="BL195"/>
      <c r="BM195"/>
      <c r="BN195" s="114"/>
      <c r="BO195"/>
      <c r="BP195"/>
      <c r="BQ195">
        <v>33</v>
      </c>
      <c r="BR195" t="s">
        <v>1062</v>
      </c>
      <c r="BS195"/>
      <c r="BT195" t="s">
        <v>1395</v>
      </c>
      <c r="BU195" s="115">
        <v>45772</v>
      </c>
      <c r="BV195">
        <v>36407</v>
      </c>
      <c r="BW195" s="116"/>
      <c r="BX195" t="s">
        <v>173</v>
      </c>
      <c r="BY195" t="s">
        <v>173</v>
      </c>
      <c r="BZ195"/>
      <c r="CA195"/>
      <c r="CB195" t="s">
        <v>173</v>
      </c>
      <c r="CC195" t="s">
        <v>173</v>
      </c>
      <c r="CD195"/>
      <c r="CE195"/>
      <c r="CF195"/>
      <c r="CG195"/>
      <c r="CH195"/>
      <c r="CI195"/>
      <c r="CJ195"/>
      <c r="CK195" t="s">
        <v>259</v>
      </c>
      <c r="CL195"/>
      <c r="CM195">
        <v>1</v>
      </c>
      <c r="CN195" t="s">
        <v>260</v>
      </c>
      <c r="CO195"/>
      <c r="CP195">
        <v>697</v>
      </c>
      <c r="CQ195">
        <v>120.6</v>
      </c>
      <c r="CR195">
        <v>173.6</v>
      </c>
      <c r="CS195" t="s">
        <v>1437</v>
      </c>
      <c r="CT195"/>
      <c r="CU195"/>
      <c r="CV195" t="s">
        <v>262</v>
      </c>
      <c r="CW195"/>
      <c r="CX195" t="s">
        <v>263</v>
      </c>
      <c r="CY195" t="s">
        <v>172</v>
      </c>
      <c r="CZ195"/>
      <c r="DA195"/>
      <c r="DB195"/>
      <c r="DC195" t="s">
        <v>1485</v>
      </c>
      <c r="DD195">
        <v>2</v>
      </c>
      <c r="DE195" t="s">
        <v>307</v>
      </c>
      <c r="DF195" t="s">
        <v>330</v>
      </c>
      <c r="DG195">
        <v>160</v>
      </c>
      <c r="DH195"/>
      <c r="DI195"/>
      <c r="DJ195"/>
      <c r="DK195"/>
      <c r="DL195" t="s">
        <v>173</v>
      </c>
      <c r="DM195" t="s">
        <v>172</v>
      </c>
      <c r="DN195"/>
      <c r="DO195"/>
      <c r="DP195" t="s">
        <v>173</v>
      </c>
      <c r="DQ195" t="s">
        <v>189</v>
      </c>
      <c r="DR195"/>
      <c r="DS195"/>
      <c r="DT195"/>
      <c r="DU195"/>
      <c r="DV195"/>
      <c r="DW195"/>
      <c r="DX195"/>
      <c r="DY195"/>
      <c r="DZ195"/>
      <c r="EA195" s="117"/>
      <c r="EB195">
        <v>9</v>
      </c>
      <c r="EC195">
        <v>10</v>
      </c>
      <c r="ED195"/>
      <c r="EE195" t="s">
        <v>1486</v>
      </c>
      <c r="EF195">
        <v>10</v>
      </c>
      <c r="EG195"/>
      <c r="EH195"/>
      <c r="EI195"/>
      <c r="EJ195"/>
      <c r="EK195"/>
      <c r="EL195"/>
      <c r="EM195"/>
      <c r="EN195"/>
      <c r="EO195"/>
      <c r="EP195"/>
      <c r="EQ195"/>
      <c r="ER195"/>
      <c r="ES195"/>
      <c r="ET195"/>
      <c r="EU195">
        <v>4000</v>
      </c>
      <c r="EV195"/>
      <c r="EW195">
        <v>0</v>
      </c>
      <c r="EX195">
        <v>0</v>
      </c>
      <c r="EY195">
        <v>0</v>
      </c>
      <c r="EZ195"/>
      <c r="FA195">
        <v>8.9</v>
      </c>
      <c r="FB195"/>
      <c r="FC195"/>
      <c r="FD195"/>
      <c r="FE195"/>
      <c r="FF195"/>
      <c r="FG195" s="94">
        <v>280</v>
      </c>
      <c r="FH195" s="94">
        <v>243</v>
      </c>
      <c r="FI195" s="94">
        <v>263</v>
      </c>
    </row>
    <row r="196" spans="1:165" s="66" customFormat="1" x14ac:dyDescent="0.35">
      <c r="A196">
        <v>2026</v>
      </c>
      <c r="B196" t="s">
        <v>400</v>
      </c>
      <c r="C196" s="112" t="s">
        <v>401</v>
      </c>
      <c r="D196" t="s">
        <v>1484</v>
      </c>
      <c r="E196" t="s">
        <v>403</v>
      </c>
      <c r="F196">
        <v>68</v>
      </c>
      <c r="G196" s="113">
        <v>0</v>
      </c>
      <c r="H196"/>
      <c r="I196" t="s">
        <v>1391</v>
      </c>
      <c r="J196">
        <v>33</v>
      </c>
      <c r="K196">
        <v>38</v>
      </c>
      <c r="L196">
        <v>35</v>
      </c>
      <c r="M196">
        <v>22.3659</v>
      </c>
      <c r="N196">
        <v>26.093699999999998</v>
      </c>
      <c r="O196">
        <v>24.043500000000002</v>
      </c>
      <c r="P196">
        <v>33</v>
      </c>
      <c r="Q196">
        <v>38</v>
      </c>
      <c r="R196">
        <v>35</v>
      </c>
      <c r="S196"/>
      <c r="T196"/>
      <c r="U196"/>
      <c r="V196" t="s">
        <v>170</v>
      </c>
      <c r="W196" t="s">
        <v>171</v>
      </c>
      <c r="X196" t="s">
        <v>1466</v>
      </c>
      <c r="Y196">
        <v>1</v>
      </c>
      <c r="Z196" t="s">
        <v>173</v>
      </c>
      <c r="AA196" t="s">
        <v>173</v>
      </c>
      <c r="AB196" t="s">
        <v>170</v>
      </c>
      <c r="AC196" t="s">
        <v>232</v>
      </c>
      <c r="AD196"/>
      <c r="AE196"/>
      <c r="AF196">
        <v>263</v>
      </c>
      <c r="AG196" t="s">
        <v>1392</v>
      </c>
      <c r="AH196" t="s">
        <v>1393</v>
      </c>
      <c r="AI196" t="s">
        <v>1399</v>
      </c>
      <c r="AJ196" t="s">
        <v>1400</v>
      </c>
      <c r="AK196">
        <v>4</v>
      </c>
      <c r="AL196" t="s">
        <v>1394</v>
      </c>
      <c r="AM196"/>
      <c r="AN196"/>
      <c r="AO196">
        <v>103</v>
      </c>
      <c r="AP196">
        <v>29</v>
      </c>
      <c r="AQ196"/>
      <c r="AR196"/>
      <c r="AS196">
        <v>900</v>
      </c>
      <c r="AT196">
        <v>900</v>
      </c>
      <c r="AU196"/>
      <c r="AV196"/>
      <c r="AW196"/>
      <c r="AX196"/>
      <c r="AY196"/>
      <c r="AZ196"/>
      <c r="BA196"/>
      <c r="BB196"/>
      <c r="BC196"/>
      <c r="BD196"/>
      <c r="BE196"/>
      <c r="BF196"/>
      <c r="BG196"/>
      <c r="BH196"/>
      <c r="BI196"/>
      <c r="BJ196"/>
      <c r="BK196"/>
      <c r="BL196"/>
      <c r="BM196"/>
      <c r="BN196" s="114"/>
      <c r="BO196"/>
      <c r="BP196"/>
      <c r="BQ196">
        <v>33</v>
      </c>
      <c r="BR196" t="s">
        <v>1062</v>
      </c>
      <c r="BS196"/>
      <c r="BT196" t="s">
        <v>1395</v>
      </c>
      <c r="BU196" s="115">
        <v>45772</v>
      </c>
      <c r="BV196">
        <v>36407</v>
      </c>
      <c r="BW196" s="116"/>
      <c r="BX196" t="s">
        <v>173</v>
      </c>
      <c r="BY196" t="s">
        <v>173</v>
      </c>
      <c r="BZ196"/>
      <c r="CA196"/>
      <c r="CB196" t="s">
        <v>173</v>
      </c>
      <c r="CC196" t="s">
        <v>173</v>
      </c>
      <c r="CD196"/>
      <c r="CE196"/>
      <c r="CF196"/>
      <c r="CG196"/>
      <c r="CH196"/>
      <c r="CI196"/>
      <c r="CJ196"/>
      <c r="CK196" t="s">
        <v>259</v>
      </c>
      <c r="CL196"/>
      <c r="CM196">
        <v>1</v>
      </c>
      <c r="CN196" t="s">
        <v>260</v>
      </c>
      <c r="CO196"/>
      <c r="CP196">
        <v>697</v>
      </c>
      <c r="CQ196">
        <v>120.6</v>
      </c>
      <c r="CR196">
        <v>173.6</v>
      </c>
      <c r="CS196" t="s">
        <v>1437</v>
      </c>
      <c r="CT196"/>
      <c r="CU196"/>
      <c r="CV196" t="s">
        <v>262</v>
      </c>
      <c r="CW196"/>
      <c r="CX196" t="s">
        <v>263</v>
      </c>
      <c r="CY196" t="s">
        <v>172</v>
      </c>
      <c r="CZ196"/>
      <c r="DA196"/>
      <c r="DB196"/>
      <c r="DC196" t="s">
        <v>1485</v>
      </c>
      <c r="DD196">
        <v>2</v>
      </c>
      <c r="DE196" t="s">
        <v>307</v>
      </c>
      <c r="DF196" t="s">
        <v>330</v>
      </c>
      <c r="DG196">
        <v>160</v>
      </c>
      <c r="DH196"/>
      <c r="DI196"/>
      <c r="DJ196"/>
      <c r="DK196"/>
      <c r="DL196" t="s">
        <v>173</v>
      </c>
      <c r="DM196" t="s">
        <v>172</v>
      </c>
      <c r="DN196"/>
      <c r="DO196"/>
      <c r="DP196" t="s">
        <v>173</v>
      </c>
      <c r="DQ196" t="s">
        <v>189</v>
      </c>
      <c r="DR196"/>
      <c r="DS196"/>
      <c r="DT196"/>
      <c r="DU196"/>
      <c r="DV196"/>
      <c r="DW196"/>
      <c r="DX196"/>
      <c r="DY196"/>
      <c r="DZ196"/>
      <c r="EA196" s="117"/>
      <c r="EB196">
        <v>9</v>
      </c>
      <c r="EC196">
        <v>10</v>
      </c>
      <c r="ED196"/>
      <c r="EE196" t="s">
        <v>1486</v>
      </c>
      <c r="EF196">
        <v>10</v>
      </c>
      <c r="EG196"/>
      <c r="EH196"/>
      <c r="EI196"/>
      <c r="EJ196"/>
      <c r="EK196"/>
      <c r="EL196"/>
      <c r="EM196"/>
      <c r="EN196"/>
      <c r="EO196"/>
      <c r="EP196"/>
      <c r="EQ196"/>
      <c r="ER196"/>
      <c r="ES196"/>
      <c r="ET196"/>
      <c r="EU196">
        <v>4000</v>
      </c>
      <c r="EV196"/>
      <c r="EW196">
        <v>0</v>
      </c>
      <c r="EX196">
        <v>0</v>
      </c>
      <c r="EY196">
        <v>0</v>
      </c>
      <c r="EZ196"/>
      <c r="FA196">
        <v>8.9</v>
      </c>
      <c r="FB196"/>
      <c r="FC196"/>
      <c r="FD196"/>
      <c r="FE196"/>
      <c r="FF196"/>
      <c r="FG196" s="94">
        <v>280</v>
      </c>
      <c r="FH196" s="94">
        <v>243</v>
      </c>
      <c r="FI196" s="94">
        <v>263</v>
      </c>
    </row>
    <row r="197" spans="1:165" s="66" customFormat="1" x14ac:dyDescent="0.35">
      <c r="A197" s="19"/>
      <c r="B197" s="19"/>
      <c r="C197" s="19"/>
      <c r="D197" s="19"/>
      <c r="E197" s="19"/>
      <c r="F197" s="128"/>
      <c r="G197" s="19"/>
      <c r="H197" s="19"/>
      <c r="I197" s="19"/>
      <c r="J197" s="19"/>
      <c r="K197" s="19" t="str">
        <f>_xlfn.CONCAT(A198," ",C198," ",D198)</f>
        <v>2026 GENESIS Electrified GV70 20'' AWD</v>
      </c>
      <c r="L197" s="19"/>
      <c r="M197" s="19"/>
      <c r="N197" s="19"/>
      <c r="O197" s="19"/>
      <c r="P197" s="19"/>
      <c r="Q197" s="19"/>
      <c r="R197" s="19"/>
      <c r="S197" s="19"/>
      <c r="T197" s="19"/>
      <c r="U197" s="19"/>
      <c r="V197" s="19"/>
      <c r="W197" s="19"/>
      <c r="X197" s="19"/>
      <c r="Y197" s="19"/>
      <c r="Z197" s="19"/>
      <c r="AA197" s="19"/>
      <c r="AB197" s="19" t="str">
        <f>$K197</f>
        <v>2026 GENESIS Electrified GV70 20'' AWD</v>
      </c>
      <c r="AC197" s="19"/>
      <c r="AD197" s="19"/>
      <c r="AE197" s="19"/>
      <c r="AF197" s="19"/>
      <c r="AG197" s="19"/>
      <c r="AH197" s="19"/>
      <c r="AI197" s="19"/>
      <c r="AJ197" s="19"/>
      <c r="AK197" s="19"/>
      <c r="AL197" s="19"/>
      <c r="AM197" s="19"/>
      <c r="AN197" s="19"/>
      <c r="AO197" s="19"/>
      <c r="AP197" s="19"/>
      <c r="AQ197" s="19"/>
      <c r="AR197" s="19" t="str">
        <f>$K197</f>
        <v>2026 GENESIS Electrified GV70 20'' AWD</v>
      </c>
      <c r="AS197" s="19"/>
      <c r="AT197" s="19"/>
      <c r="AU197" s="19"/>
      <c r="AV197" s="19"/>
      <c r="AW197" s="19"/>
      <c r="AX197" s="19"/>
      <c r="AY197" s="19"/>
      <c r="AZ197" s="19"/>
      <c r="BA197" s="19"/>
      <c r="BB197" s="19"/>
      <c r="BC197" s="19"/>
      <c r="BD197" s="19"/>
      <c r="BE197" s="19"/>
      <c r="BF197" s="19"/>
      <c r="BG197" s="19" t="str">
        <f>$K197</f>
        <v>2026 GENESIS Electrified GV70 20'' AWD</v>
      </c>
      <c r="BH197" s="19"/>
      <c r="BI197" s="19"/>
      <c r="BJ197" s="19"/>
      <c r="BK197" s="19"/>
      <c r="BL197" s="19"/>
      <c r="BM197" s="129"/>
      <c r="BN197" s="19"/>
      <c r="BO197" s="19"/>
      <c r="BP197" s="19"/>
      <c r="BQ197" s="19"/>
      <c r="BR197" s="19"/>
      <c r="BS197" s="19"/>
      <c r="BT197" s="130"/>
      <c r="BU197" s="19"/>
      <c r="BV197" s="19"/>
      <c r="BW197" s="116"/>
      <c r="BX197" s="19"/>
      <c r="BY197" s="19"/>
      <c r="BZ197" s="19"/>
      <c r="CA197" s="19"/>
      <c r="CB197" s="19"/>
      <c r="CC197" s="19"/>
      <c r="CD197" s="19"/>
      <c r="CE197" s="19"/>
      <c r="CF197" s="19"/>
      <c r="CG197" s="19"/>
      <c r="CH197" s="19"/>
      <c r="CI197" s="19"/>
      <c r="CJ197" s="19"/>
      <c r="CK197" s="19"/>
      <c r="CL197" s="19"/>
      <c r="CM197" s="19" t="str">
        <f>$K197</f>
        <v>2026 GENESIS Electrified GV70 20'' AWD</v>
      </c>
      <c r="CN197" s="19"/>
      <c r="CO197" s="19"/>
      <c r="CP197" s="19"/>
      <c r="CQ197" s="19"/>
      <c r="CR197" s="19"/>
      <c r="CS197" s="19"/>
      <c r="CT197" s="19"/>
      <c r="CU197" s="19"/>
      <c r="CV197" s="19"/>
      <c r="CW197" s="19"/>
      <c r="CX197" s="19"/>
      <c r="CY197" s="19"/>
      <c r="CZ197" s="19"/>
      <c r="DA197" s="19"/>
      <c r="DB197" s="19"/>
      <c r="DC197" s="19"/>
      <c r="DD197" s="19" t="str">
        <f>$K197</f>
        <v>2026 GENESIS Electrified GV70 20'' AWD</v>
      </c>
      <c r="DE197" s="19"/>
      <c r="DF197" s="19"/>
      <c r="DG197" s="19"/>
      <c r="DH197" s="19"/>
      <c r="DI197" s="19"/>
      <c r="DJ197" s="19"/>
      <c r="DK197" s="19"/>
      <c r="DL197" s="19"/>
      <c r="DM197" s="19"/>
      <c r="DN197" s="19"/>
      <c r="DO197" s="19"/>
      <c r="DP197" s="19"/>
      <c r="DQ197" s="19"/>
      <c r="DR197" s="19"/>
      <c r="DS197" s="19"/>
      <c r="DT197" s="19"/>
      <c r="DU197" s="19" t="str">
        <f>$K197</f>
        <v>2026 GENESIS Electrified GV70 20'' AWD</v>
      </c>
      <c r="DV197" s="19"/>
      <c r="DW197" s="19"/>
      <c r="DX197" s="19"/>
      <c r="DY197" s="19"/>
      <c r="DZ197" s="19"/>
      <c r="EA197" s="117"/>
      <c r="EB197" s="19"/>
      <c r="EC197" s="19"/>
      <c r="ED197" s="19"/>
      <c r="EE197" s="19"/>
      <c r="EF197" s="19"/>
      <c r="EG197"/>
      <c r="EH197"/>
      <c r="EI197"/>
      <c r="EJ197"/>
      <c r="EK197"/>
      <c r="EL197"/>
      <c r="EM197"/>
      <c r="EN197"/>
      <c r="EO197"/>
      <c r="EP197"/>
      <c r="EQ197"/>
      <c r="ER197"/>
      <c r="ES197"/>
      <c r="ET197"/>
      <c r="EU197"/>
      <c r="EV197"/>
      <c r="EW197"/>
      <c r="EX197" s="19" t="s">
        <v>1986</v>
      </c>
      <c r="EY197"/>
      <c r="EZ197"/>
      <c r="FA197"/>
      <c r="FB197"/>
      <c r="FC197"/>
      <c r="FD197"/>
      <c r="FE197"/>
      <c r="FF197"/>
      <c r="FG197"/>
      <c r="FH197"/>
      <c r="FI197"/>
    </row>
    <row r="198" spans="1:165" s="66" customFormat="1" x14ac:dyDescent="0.35">
      <c r="A198">
        <v>2026</v>
      </c>
      <c r="B198" t="s">
        <v>400</v>
      </c>
      <c r="C198" s="112" t="s">
        <v>401</v>
      </c>
      <c r="D198" t="s">
        <v>1487</v>
      </c>
      <c r="E198" t="s">
        <v>403</v>
      </c>
      <c r="F198">
        <v>79</v>
      </c>
      <c r="G198" s="113">
        <v>0</v>
      </c>
      <c r="H198"/>
      <c r="I198" t="s">
        <v>1391</v>
      </c>
      <c r="J198">
        <v>96</v>
      </c>
      <c r="K198">
        <v>80</v>
      </c>
      <c r="L198">
        <v>88</v>
      </c>
      <c r="M198">
        <v>140.4</v>
      </c>
      <c r="N198">
        <v>116.4</v>
      </c>
      <c r="O198">
        <v>128.47919999999999</v>
      </c>
      <c r="P198">
        <v>96</v>
      </c>
      <c r="Q198">
        <v>80</v>
      </c>
      <c r="R198">
        <v>88</v>
      </c>
      <c r="S198"/>
      <c r="T198"/>
      <c r="U198"/>
      <c r="V198" t="s">
        <v>170</v>
      </c>
      <c r="W198" t="s">
        <v>171</v>
      </c>
      <c r="X198" t="s">
        <v>1466</v>
      </c>
      <c r="Y198">
        <v>1</v>
      </c>
      <c r="Z198" t="s">
        <v>173</v>
      </c>
      <c r="AA198" t="s">
        <v>173</v>
      </c>
      <c r="AB198" t="s">
        <v>170</v>
      </c>
      <c r="AC198" t="s">
        <v>232</v>
      </c>
      <c r="AD198"/>
      <c r="AE198"/>
      <c r="AF198">
        <v>243</v>
      </c>
      <c r="AG198" t="s">
        <v>1392</v>
      </c>
      <c r="AH198" t="s">
        <v>1393</v>
      </c>
      <c r="AI198" t="s">
        <v>178</v>
      </c>
      <c r="AJ198" t="s">
        <v>179</v>
      </c>
      <c r="AK198">
        <v>4</v>
      </c>
      <c r="AL198" t="s">
        <v>1394</v>
      </c>
      <c r="AM198"/>
      <c r="AN198"/>
      <c r="AO198">
        <v>103</v>
      </c>
      <c r="AP198">
        <v>29</v>
      </c>
      <c r="AQ198"/>
      <c r="AR198"/>
      <c r="AS198">
        <v>950</v>
      </c>
      <c r="AT198">
        <v>950</v>
      </c>
      <c r="AU198"/>
      <c r="AV198"/>
      <c r="AW198"/>
      <c r="AX198"/>
      <c r="AY198"/>
      <c r="AZ198"/>
      <c r="BA198"/>
      <c r="BB198"/>
      <c r="BC198"/>
      <c r="BD198"/>
      <c r="BE198"/>
      <c r="BF198"/>
      <c r="BG198"/>
      <c r="BH198"/>
      <c r="BI198"/>
      <c r="BJ198"/>
      <c r="BK198"/>
      <c r="BL198"/>
      <c r="BM198"/>
      <c r="BN198" s="114"/>
      <c r="BO198"/>
      <c r="BP198"/>
      <c r="BQ198">
        <v>33</v>
      </c>
      <c r="BR198" t="s">
        <v>1062</v>
      </c>
      <c r="BS198"/>
      <c r="BT198" t="s">
        <v>1395</v>
      </c>
      <c r="BU198" s="115">
        <v>45772</v>
      </c>
      <c r="BV198">
        <v>36408</v>
      </c>
      <c r="BW198" s="116"/>
      <c r="BX198" t="s">
        <v>173</v>
      </c>
      <c r="BY198" t="s">
        <v>173</v>
      </c>
      <c r="BZ198"/>
      <c r="CA198"/>
      <c r="CB198" t="s">
        <v>173</v>
      </c>
      <c r="CC198" t="s">
        <v>173</v>
      </c>
      <c r="CD198"/>
      <c r="CE198"/>
      <c r="CF198"/>
      <c r="CG198"/>
      <c r="CH198"/>
      <c r="CI198"/>
      <c r="CJ198"/>
      <c r="CK198" t="s">
        <v>259</v>
      </c>
      <c r="CL198"/>
      <c r="CM198">
        <v>1</v>
      </c>
      <c r="CN198" t="s">
        <v>260</v>
      </c>
      <c r="CO198"/>
      <c r="CP198">
        <v>697</v>
      </c>
      <c r="CQ198">
        <v>120.6</v>
      </c>
      <c r="CR198">
        <v>173.6</v>
      </c>
      <c r="CS198" t="s">
        <v>1437</v>
      </c>
      <c r="CT198"/>
      <c r="CU198"/>
      <c r="CV198" t="s">
        <v>262</v>
      </c>
      <c r="CW198"/>
      <c r="CX198" t="s">
        <v>263</v>
      </c>
      <c r="CY198" t="s">
        <v>172</v>
      </c>
      <c r="CZ198"/>
      <c r="DA198"/>
      <c r="DB198"/>
      <c r="DC198" t="s">
        <v>1485</v>
      </c>
      <c r="DD198">
        <v>2</v>
      </c>
      <c r="DE198" t="s">
        <v>307</v>
      </c>
      <c r="DF198" t="s">
        <v>330</v>
      </c>
      <c r="DG198">
        <v>160</v>
      </c>
      <c r="DH198"/>
      <c r="DI198"/>
      <c r="DJ198"/>
      <c r="DK198"/>
      <c r="DL198" t="s">
        <v>173</v>
      </c>
      <c r="DM198" t="s">
        <v>172</v>
      </c>
      <c r="DN198"/>
      <c r="DO198"/>
      <c r="DP198" t="s">
        <v>173</v>
      </c>
      <c r="DQ198" t="s">
        <v>189</v>
      </c>
      <c r="DR198"/>
      <c r="DS198"/>
      <c r="DT198"/>
      <c r="DU198"/>
      <c r="DV198"/>
      <c r="DW198"/>
      <c r="DX198"/>
      <c r="DY198"/>
      <c r="DZ198"/>
      <c r="EA198" s="117"/>
      <c r="EB198">
        <v>9</v>
      </c>
      <c r="EC198">
        <v>10</v>
      </c>
      <c r="ED198"/>
      <c r="EE198" t="s">
        <v>1486</v>
      </c>
      <c r="EF198">
        <v>10</v>
      </c>
      <c r="EG198"/>
      <c r="EH198"/>
      <c r="EI198"/>
      <c r="EJ198"/>
      <c r="EK198"/>
      <c r="EL198"/>
      <c r="EM198"/>
      <c r="EN198"/>
      <c r="EO198"/>
      <c r="EP198"/>
      <c r="EQ198"/>
      <c r="ER198"/>
      <c r="ES198"/>
      <c r="ET198"/>
      <c r="EU198">
        <v>3750</v>
      </c>
      <c r="EV198"/>
      <c r="EW198">
        <v>0</v>
      </c>
      <c r="EX198">
        <v>0</v>
      </c>
      <c r="EY198">
        <v>0</v>
      </c>
      <c r="EZ198"/>
      <c r="FA198">
        <v>9</v>
      </c>
      <c r="FB198"/>
      <c r="FC198"/>
      <c r="FD198"/>
      <c r="FE198"/>
      <c r="FF198"/>
      <c r="FG198" s="94">
        <v>263</v>
      </c>
      <c r="FH198" s="94">
        <v>219</v>
      </c>
      <c r="FI198" s="94">
        <v>243</v>
      </c>
    </row>
    <row r="199" spans="1:165" s="66" customFormat="1" x14ac:dyDescent="0.35">
      <c r="A199">
        <v>2026</v>
      </c>
      <c r="B199" t="s">
        <v>400</v>
      </c>
      <c r="C199" s="112" t="s">
        <v>401</v>
      </c>
      <c r="D199" t="s">
        <v>1487</v>
      </c>
      <c r="E199" t="s">
        <v>403</v>
      </c>
      <c r="F199">
        <v>79</v>
      </c>
      <c r="G199" s="113">
        <v>0</v>
      </c>
      <c r="H199"/>
      <c r="I199" t="s">
        <v>1391</v>
      </c>
      <c r="J199">
        <v>35</v>
      </c>
      <c r="K199">
        <v>42</v>
      </c>
      <c r="L199">
        <v>38</v>
      </c>
      <c r="M199">
        <v>24.013300000000001</v>
      </c>
      <c r="N199">
        <v>28.9529</v>
      </c>
      <c r="O199">
        <v>26.2361</v>
      </c>
      <c r="P199">
        <v>35</v>
      </c>
      <c r="Q199">
        <v>42</v>
      </c>
      <c r="R199">
        <v>38</v>
      </c>
      <c r="S199"/>
      <c r="T199"/>
      <c r="U199"/>
      <c r="V199" t="s">
        <v>170</v>
      </c>
      <c r="W199" t="s">
        <v>171</v>
      </c>
      <c r="X199" t="s">
        <v>1466</v>
      </c>
      <c r="Y199">
        <v>1</v>
      </c>
      <c r="Z199" t="s">
        <v>173</v>
      </c>
      <c r="AA199" t="s">
        <v>173</v>
      </c>
      <c r="AB199" t="s">
        <v>170</v>
      </c>
      <c r="AC199" t="s">
        <v>232</v>
      </c>
      <c r="AD199"/>
      <c r="AE199"/>
      <c r="AF199">
        <v>243</v>
      </c>
      <c r="AG199" t="s">
        <v>1392</v>
      </c>
      <c r="AH199" t="s">
        <v>1393</v>
      </c>
      <c r="AI199" t="s">
        <v>1399</v>
      </c>
      <c r="AJ199" t="s">
        <v>1400</v>
      </c>
      <c r="AK199">
        <v>4</v>
      </c>
      <c r="AL199" t="s">
        <v>1394</v>
      </c>
      <c r="AM199"/>
      <c r="AN199"/>
      <c r="AO199">
        <v>103</v>
      </c>
      <c r="AP199">
        <v>29</v>
      </c>
      <c r="AQ199"/>
      <c r="AR199"/>
      <c r="AS199">
        <v>950</v>
      </c>
      <c r="AT199">
        <v>950</v>
      </c>
      <c r="AU199"/>
      <c r="AV199"/>
      <c r="AW199"/>
      <c r="AX199"/>
      <c r="AY199"/>
      <c r="AZ199"/>
      <c r="BA199"/>
      <c r="BB199"/>
      <c r="BC199"/>
      <c r="BD199"/>
      <c r="BE199"/>
      <c r="BF199"/>
      <c r="BG199"/>
      <c r="BH199"/>
      <c r="BI199"/>
      <c r="BJ199"/>
      <c r="BK199"/>
      <c r="BL199"/>
      <c r="BM199"/>
      <c r="BN199" s="114"/>
      <c r="BO199"/>
      <c r="BP199"/>
      <c r="BQ199">
        <v>33</v>
      </c>
      <c r="BR199" t="s">
        <v>1062</v>
      </c>
      <c r="BS199"/>
      <c r="BT199" t="s">
        <v>1395</v>
      </c>
      <c r="BU199" s="115">
        <v>45772</v>
      </c>
      <c r="BV199">
        <v>36408</v>
      </c>
      <c r="BW199" s="116"/>
      <c r="BX199" t="s">
        <v>173</v>
      </c>
      <c r="BY199" t="s">
        <v>173</v>
      </c>
      <c r="BZ199"/>
      <c r="CA199"/>
      <c r="CB199" t="s">
        <v>173</v>
      </c>
      <c r="CC199" t="s">
        <v>173</v>
      </c>
      <c r="CD199"/>
      <c r="CE199"/>
      <c r="CF199"/>
      <c r="CG199"/>
      <c r="CH199"/>
      <c r="CI199"/>
      <c r="CJ199"/>
      <c r="CK199" t="s">
        <v>259</v>
      </c>
      <c r="CL199"/>
      <c r="CM199">
        <v>1</v>
      </c>
      <c r="CN199" t="s">
        <v>260</v>
      </c>
      <c r="CO199"/>
      <c r="CP199">
        <v>697</v>
      </c>
      <c r="CQ199">
        <v>120.6</v>
      </c>
      <c r="CR199">
        <v>173.6</v>
      </c>
      <c r="CS199" t="s">
        <v>1437</v>
      </c>
      <c r="CT199"/>
      <c r="CU199"/>
      <c r="CV199" t="s">
        <v>262</v>
      </c>
      <c r="CW199"/>
      <c r="CX199" t="s">
        <v>263</v>
      </c>
      <c r="CY199" t="s">
        <v>172</v>
      </c>
      <c r="CZ199"/>
      <c r="DA199"/>
      <c r="DB199"/>
      <c r="DC199" t="s">
        <v>1485</v>
      </c>
      <c r="DD199">
        <v>2</v>
      </c>
      <c r="DE199" t="s">
        <v>307</v>
      </c>
      <c r="DF199" t="s">
        <v>330</v>
      </c>
      <c r="DG199">
        <v>160</v>
      </c>
      <c r="DH199"/>
      <c r="DI199"/>
      <c r="DJ199"/>
      <c r="DK199"/>
      <c r="DL199" t="s">
        <v>173</v>
      </c>
      <c r="DM199" t="s">
        <v>172</v>
      </c>
      <c r="DN199"/>
      <c r="DO199"/>
      <c r="DP199" t="s">
        <v>173</v>
      </c>
      <c r="DQ199" t="s">
        <v>189</v>
      </c>
      <c r="DR199"/>
      <c r="DS199"/>
      <c r="DT199"/>
      <c r="DU199"/>
      <c r="DV199"/>
      <c r="DW199"/>
      <c r="DX199"/>
      <c r="DY199"/>
      <c r="DZ199"/>
      <c r="EA199" s="117"/>
      <c r="EB199">
        <v>9</v>
      </c>
      <c r="EC199">
        <v>10</v>
      </c>
      <c r="ED199"/>
      <c r="EE199" t="s">
        <v>1486</v>
      </c>
      <c r="EF199">
        <v>10</v>
      </c>
      <c r="EG199"/>
      <c r="EH199"/>
      <c r="EI199"/>
      <c r="EJ199"/>
      <c r="EK199"/>
      <c r="EL199"/>
      <c r="EM199"/>
      <c r="EN199"/>
      <c r="EO199"/>
      <c r="EP199"/>
      <c r="EQ199"/>
      <c r="ER199"/>
      <c r="ES199"/>
      <c r="ET199"/>
      <c r="EU199">
        <v>3750</v>
      </c>
      <c r="EV199"/>
      <c r="EW199">
        <v>0</v>
      </c>
      <c r="EX199">
        <v>0</v>
      </c>
      <c r="EY199">
        <v>0</v>
      </c>
      <c r="EZ199"/>
      <c r="FA199">
        <v>9</v>
      </c>
      <c r="FB199"/>
      <c r="FC199"/>
      <c r="FD199"/>
      <c r="FE199"/>
      <c r="FF199"/>
      <c r="FG199" s="94">
        <v>263</v>
      </c>
      <c r="FH199" s="94">
        <v>219</v>
      </c>
      <c r="FI199" s="94">
        <v>243</v>
      </c>
    </row>
    <row r="200" spans="1:165" s="66" customFormat="1" x14ac:dyDescent="0.35">
      <c r="A200" s="19"/>
      <c r="B200" s="19"/>
      <c r="C200" s="19"/>
      <c r="D200" s="19"/>
      <c r="E200" s="19"/>
      <c r="F200" s="128"/>
      <c r="G200" s="19"/>
      <c r="H200" s="19"/>
      <c r="I200" s="19"/>
      <c r="J200" s="19"/>
      <c r="K200" s="19" t="str">
        <f>_xlfn.CONCAT(A201," ",C201," ",D201)</f>
        <v>2026 GMC SIERRA EV</v>
      </c>
      <c r="L200" s="19"/>
      <c r="M200" s="19"/>
      <c r="N200" s="19"/>
      <c r="O200" s="19"/>
      <c r="P200" s="19"/>
      <c r="Q200" s="19"/>
      <c r="R200" s="19"/>
      <c r="S200" s="19"/>
      <c r="T200" s="19"/>
      <c r="U200" s="19"/>
      <c r="V200" s="19"/>
      <c r="W200" s="19"/>
      <c r="X200" s="19"/>
      <c r="Y200" s="19"/>
      <c r="Z200" s="19"/>
      <c r="AA200" s="19"/>
      <c r="AB200" s="19" t="str">
        <f>$K200</f>
        <v>2026 GMC SIERRA EV</v>
      </c>
      <c r="AC200" s="19"/>
      <c r="AD200" s="19"/>
      <c r="AE200" s="19"/>
      <c r="AF200" s="19"/>
      <c r="AG200" s="19"/>
      <c r="AH200" s="19"/>
      <c r="AI200" s="19"/>
      <c r="AJ200" s="19"/>
      <c r="AK200" s="19"/>
      <c r="AL200" s="19"/>
      <c r="AM200" s="19"/>
      <c r="AN200" s="19"/>
      <c r="AO200" s="19"/>
      <c r="AP200" s="19"/>
      <c r="AQ200" s="19"/>
      <c r="AR200" s="19" t="str">
        <f>$K200</f>
        <v>2026 GMC SIERRA EV</v>
      </c>
      <c r="AS200" s="19"/>
      <c r="AT200" s="19"/>
      <c r="AU200" s="19"/>
      <c r="AV200" s="19"/>
      <c r="AW200" s="19"/>
      <c r="AX200" s="19"/>
      <c r="AY200" s="19"/>
      <c r="AZ200" s="19"/>
      <c r="BA200" s="19"/>
      <c r="BB200" s="19"/>
      <c r="BC200" s="19"/>
      <c r="BD200" s="19"/>
      <c r="BE200" s="19"/>
      <c r="BF200" s="19"/>
      <c r="BG200" s="19" t="str">
        <f>$K200</f>
        <v>2026 GMC SIERRA EV</v>
      </c>
      <c r="BH200" s="19"/>
      <c r="BI200" s="19"/>
      <c r="BJ200" s="19"/>
      <c r="BK200" s="19"/>
      <c r="BL200" s="19"/>
      <c r="BM200" s="129"/>
      <c r="BN200" s="19"/>
      <c r="BO200" s="19"/>
      <c r="BP200" s="19"/>
      <c r="BQ200" s="19"/>
      <c r="BR200" s="19"/>
      <c r="BS200" s="19"/>
      <c r="BT200" s="130"/>
      <c r="BU200" s="19"/>
      <c r="BV200" s="19"/>
      <c r="BW200" s="116"/>
      <c r="BX200" s="19"/>
      <c r="BY200" s="19"/>
      <c r="BZ200" s="19"/>
      <c r="CA200" s="19"/>
      <c r="CB200" s="19"/>
      <c r="CC200" s="19"/>
      <c r="CD200" s="19"/>
      <c r="CE200" s="19"/>
      <c r="CF200" s="19"/>
      <c r="CG200" s="19"/>
      <c r="CH200" s="19"/>
      <c r="CI200" s="19"/>
      <c r="CJ200" s="19"/>
      <c r="CK200" s="19"/>
      <c r="CL200" s="19"/>
      <c r="CM200" s="19" t="str">
        <f>$K200</f>
        <v>2026 GMC SIERRA EV</v>
      </c>
      <c r="CN200" s="19"/>
      <c r="CO200" s="19"/>
      <c r="CP200" s="19"/>
      <c r="CQ200" s="19"/>
      <c r="CR200" s="19"/>
      <c r="CS200" s="19"/>
      <c r="CT200" s="19"/>
      <c r="CU200" s="19"/>
      <c r="CV200" s="19"/>
      <c r="CW200" s="19"/>
      <c r="CX200" s="19"/>
      <c r="CY200" s="19"/>
      <c r="CZ200" s="19"/>
      <c r="DA200" s="19"/>
      <c r="DB200" s="19"/>
      <c r="DC200" s="19"/>
      <c r="DD200" s="19" t="str">
        <f>$K200</f>
        <v>2026 GMC SIERRA EV</v>
      </c>
      <c r="DE200" s="19"/>
      <c r="DF200" s="19"/>
      <c r="DG200" s="19"/>
      <c r="DH200" s="19"/>
      <c r="DI200" s="19"/>
      <c r="DJ200" s="19"/>
      <c r="DK200" s="19"/>
      <c r="DL200" s="19"/>
      <c r="DM200" s="19"/>
      <c r="DN200" s="19"/>
      <c r="DO200" s="19"/>
      <c r="DP200" s="19"/>
      <c r="DQ200" s="19"/>
      <c r="DR200" s="19"/>
      <c r="DS200" s="19"/>
      <c r="DT200" s="19"/>
      <c r="DU200" s="19" t="str">
        <f>$K200</f>
        <v>2026 GMC SIERRA EV</v>
      </c>
      <c r="DV200" s="19"/>
      <c r="DW200" s="19"/>
      <c r="DX200" s="19"/>
      <c r="DY200" s="19"/>
      <c r="DZ200" s="19"/>
      <c r="EA200" s="117"/>
      <c r="EB200" s="19"/>
      <c r="EC200" s="19"/>
      <c r="ED200" s="19"/>
      <c r="EE200" s="19"/>
      <c r="EF200" s="19"/>
      <c r="EG200"/>
      <c r="EH200"/>
      <c r="EI200"/>
      <c r="EJ200"/>
      <c r="EK200"/>
      <c r="EL200"/>
      <c r="EM200"/>
      <c r="EN200"/>
      <c r="EO200"/>
      <c r="EP200"/>
      <c r="EQ200"/>
      <c r="ER200"/>
      <c r="ES200"/>
      <c r="ET200"/>
      <c r="EU200"/>
      <c r="EV200"/>
      <c r="EW200"/>
      <c r="EX200" s="19" t="s">
        <v>1987</v>
      </c>
      <c r="EY200"/>
      <c r="EZ200"/>
      <c r="FA200"/>
      <c r="FB200"/>
      <c r="FC200"/>
      <c r="FD200"/>
      <c r="FE200"/>
      <c r="FF200"/>
      <c r="FG200"/>
      <c r="FH200"/>
      <c r="FI200"/>
    </row>
    <row r="201" spans="1:165" s="66" customFormat="1" x14ac:dyDescent="0.35">
      <c r="A201">
        <v>2026</v>
      </c>
      <c r="B201" t="s">
        <v>211</v>
      </c>
      <c r="C201" s="112" t="s">
        <v>683</v>
      </c>
      <c r="D201" t="s">
        <v>1488</v>
      </c>
      <c r="E201" t="s">
        <v>214</v>
      </c>
      <c r="F201">
        <v>408</v>
      </c>
      <c r="G201" s="113">
        <v>0</v>
      </c>
      <c r="H201"/>
      <c r="I201" t="s">
        <v>1391</v>
      </c>
      <c r="J201">
        <v>75</v>
      </c>
      <c r="K201">
        <v>61</v>
      </c>
      <c r="L201">
        <v>68</v>
      </c>
      <c r="M201">
        <v>106.6</v>
      </c>
      <c r="N201">
        <v>87.7</v>
      </c>
      <c r="O201">
        <v>97.176000000000002</v>
      </c>
      <c r="P201">
        <v>74.62</v>
      </c>
      <c r="Q201">
        <v>61.39</v>
      </c>
      <c r="R201">
        <v>68.023200000000003</v>
      </c>
      <c r="S201"/>
      <c r="T201"/>
      <c r="U201"/>
      <c r="V201" t="s">
        <v>170</v>
      </c>
      <c r="W201" t="s">
        <v>171</v>
      </c>
      <c r="X201" t="s">
        <v>1436</v>
      </c>
      <c r="Y201">
        <v>1</v>
      </c>
      <c r="Z201" t="s">
        <v>173</v>
      </c>
      <c r="AA201" t="s">
        <v>173</v>
      </c>
      <c r="AB201">
        <v>4</v>
      </c>
      <c r="AC201" t="s">
        <v>423</v>
      </c>
      <c r="AD201"/>
      <c r="AE201"/>
      <c r="AF201">
        <v>410</v>
      </c>
      <c r="AG201" t="s">
        <v>1392</v>
      </c>
      <c r="AH201" t="s">
        <v>1393</v>
      </c>
      <c r="AI201" t="s">
        <v>178</v>
      </c>
      <c r="AJ201" t="s">
        <v>179</v>
      </c>
      <c r="AK201">
        <v>4</v>
      </c>
      <c r="AL201" t="s">
        <v>1394</v>
      </c>
      <c r="AM201"/>
      <c r="AN201"/>
      <c r="AO201"/>
      <c r="AP201"/>
      <c r="AQ201"/>
      <c r="AR201"/>
      <c r="AS201">
        <v>1250</v>
      </c>
      <c r="AT201">
        <v>1250</v>
      </c>
      <c r="AU201"/>
      <c r="AV201"/>
      <c r="AW201"/>
      <c r="AX201"/>
      <c r="AY201"/>
      <c r="AZ201"/>
      <c r="BA201"/>
      <c r="BB201"/>
      <c r="BC201"/>
      <c r="BD201"/>
      <c r="BE201"/>
      <c r="BF201"/>
      <c r="BG201"/>
      <c r="BH201"/>
      <c r="BI201"/>
      <c r="BJ201"/>
      <c r="BK201"/>
      <c r="BL201"/>
      <c r="BM201"/>
      <c r="BN201" s="114"/>
      <c r="BO201"/>
      <c r="BP201"/>
      <c r="BQ201">
        <v>13</v>
      </c>
      <c r="BR201" t="s">
        <v>712</v>
      </c>
      <c r="BS201"/>
      <c r="BT201" t="s">
        <v>1395</v>
      </c>
      <c r="BU201" s="115">
        <v>45800</v>
      </c>
      <c r="BV201">
        <v>36627</v>
      </c>
      <c r="BW201" s="116"/>
      <c r="BX201" t="s">
        <v>173</v>
      </c>
      <c r="BY201" t="s">
        <v>173</v>
      </c>
      <c r="BZ201"/>
      <c r="CA201"/>
      <c r="CB201" t="s">
        <v>173</v>
      </c>
      <c r="CC201" t="s">
        <v>173</v>
      </c>
      <c r="CD201"/>
      <c r="CE201"/>
      <c r="CF201"/>
      <c r="CG201"/>
      <c r="CH201"/>
      <c r="CI201"/>
      <c r="CJ201"/>
      <c r="CK201" t="s">
        <v>259</v>
      </c>
      <c r="CL201"/>
      <c r="CM201">
        <v>1</v>
      </c>
      <c r="CN201" t="s">
        <v>260</v>
      </c>
      <c r="CO201"/>
      <c r="CP201">
        <v>403</v>
      </c>
      <c r="CQ201">
        <v>580</v>
      </c>
      <c r="CR201">
        <v>166</v>
      </c>
      <c r="CS201" t="s">
        <v>261</v>
      </c>
      <c r="CT201"/>
      <c r="CU201"/>
      <c r="CV201" t="s">
        <v>262</v>
      </c>
      <c r="CW201"/>
      <c r="CX201" t="s">
        <v>263</v>
      </c>
      <c r="CY201" t="s">
        <v>172</v>
      </c>
      <c r="CZ201"/>
      <c r="DA201"/>
      <c r="DB201"/>
      <c r="DC201"/>
      <c r="DD201">
        <v>2</v>
      </c>
      <c r="DE201" t="s">
        <v>307</v>
      </c>
      <c r="DF201" t="s">
        <v>988</v>
      </c>
      <c r="DG201" t="s">
        <v>1450</v>
      </c>
      <c r="DH201"/>
      <c r="DI201"/>
      <c r="DJ201"/>
      <c r="DK201"/>
      <c r="DL201" t="s">
        <v>173</v>
      </c>
      <c r="DM201" t="s">
        <v>172</v>
      </c>
      <c r="DN201"/>
      <c r="DO201"/>
      <c r="DP201" t="s">
        <v>173</v>
      </c>
      <c r="DQ201" t="s">
        <v>189</v>
      </c>
      <c r="DR201" t="s">
        <v>1488</v>
      </c>
      <c r="DS201"/>
      <c r="DT201"/>
      <c r="DU201"/>
      <c r="DV201"/>
      <c r="DW201"/>
      <c r="DX201"/>
      <c r="DY201"/>
      <c r="DZ201"/>
      <c r="EA201" s="117"/>
      <c r="EB201">
        <v>9</v>
      </c>
      <c r="EC201">
        <v>10</v>
      </c>
      <c r="ED201"/>
      <c r="EE201" t="s">
        <v>1451</v>
      </c>
      <c r="EF201">
        <v>10</v>
      </c>
      <c r="EG201"/>
      <c r="EH201"/>
      <c r="EI201"/>
      <c r="EJ201"/>
      <c r="EK201"/>
      <c r="EL201"/>
      <c r="EM201"/>
      <c r="EN201"/>
      <c r="EO201"/>
      <c r="EP201"/>
      <c r="EQ201"/>
      <c r="ER201"/>
      <c r="ES201"/>
      <c r="ET201"/>
      <c r="EU201">
        <v>2250</v>
      </c>
      <c r="EV201"/>
      <c r="EW201">
        <v>0</v>
      </c>
      <c r="EX201">
        <v>0</v>
      </c>
      <c r="EY201">
        <v>0</v>
      </c>
      <c r="EZ201"/>
      <c r="FA201">
        <v>18.600000000000001</v>
      </c>
      <c r="FB201"/>
      <c r="FC201"/>
      <c r="FD201"/>
      <c r="FE201"/>
      <c r="FF201"/>
      <c r="FG201" s="94">
        <v>446</v>
      </c>
      <c r="FH201" s="94">
        <v>367</v>
      </c>
      <c r="FI201" s="94">
        <v>410</v>
      </c>
    </row>
    <row r="202" spans="1:165" s="66" customFormat="1" x14ac:dyDescent="0.35">
      <c r="A202">
        <v>2026</v>
      </c>
      <c r="B202" t="s">
        <v>211</v>
      </c>
      <c r="C202" s="112" t="s">
        <v>683</v>
      </c>
      <c r="D202" t="s">
        <v>1488</v>
      </c>
      <c r="E202" t="s">
        <v>214</v>
      </c>
      <c r="F202">
        <v>408</v>
      </c>
      <c r="G202" s="113">
        <v>0</v>
      </c>
      <c r="H202"/>
      <c r="I202" t="s">
        <v>1391</v>
      </c>
      <c r="J202">
        <v>45</v>
      </c>
      <c r="K202">
        <v>55</v>
      </c>
      <c r="L202">
        <v>50</v>
      </c>
      <c r="M202">
        <v>31.623100000000001</v>
      </c>
      <c r="N202">
        <v>38.4405</v>
      </c>
      <c r="O202">
        <v>34.690899999999999</v>
      </c>
      <c r="P202">
        <v>45.168900000000001</v>
      </c>
      <c r="Q202">
        <v>54.903100000000002</v>
      </c>
      <c r="R202">
        <v>49.549300000000002</v>
      </c>
      <c r="S202"/>
      <c r="T202"/>
      <c r="U202"/>
      <c r="V202" t="s">
        <v>170</v>
      </c>
      <c r="W202" t="s">
        <v>171</v>
      </c>
      <c r="X202" t="s">
        <v>1436</v>
      </c>
      <c r="Y202">
        <v>1</v>
      </c>
      <c r="Z202" t="s">
        <v>173</v>
      </c>
      <c r="AA202" t="s">
        <v>173</v>
      </c>
      <c r="AB202">
        <v>4</v>
      </c>
      <c r="AC202" t="s">
        <v>423</v>
      </c>
      <c r="AD202"/>
      <c r="AE202"/>
      <c r="AF202">
        <v>410</v>
      </c>
      <c r="AG202" t="s">
        <v>1392</v>
      </c>
      <c r="AH202" t="s">
        <v>1393</v>
      </c>
      <c r="AI202" t="s">
        <v>1399</v>
      </c>
      <c r="AJ202" t="s">
        <v>1400</v>
      </c>
      <c r="AK202">
        <v>4</v>
      </c>
      <c r="AL202" t="s">
        <v>1394</v>
      </c>
      <c r="AM202"/>
      <c r="AN202"/>
      <c r="AO202"/>
      <c r="AP202"/>
      <c r="AQ202"/>
      <c r="AR202"/>
      <c r="AS202">
        <v>1250</v>
      </c>
      <c r="AT202">
        <v>1250</v>
      </c>
      <c r="AU202"/>
      <c r="AV202"/>
      <c r="AW202"/>
      <c r="AX202"/>
      <c r="AY202"/>
      <c r="AZ202"/>
      <c r="BA202"/>
      <c r="BB202"/>
      <c r="BC202"/>
      <c r="BD202"/>
      <c r="BE202"/>
      <c r="BF202"/>
      <c r="BG202"/>
      <c r="BH202"/>
      <c r="BI202"/>
      <c r="BJ202"/>
      <c r="BK202"/>
      <c r="BL202"/>
      <c r="BM202"/>
      <c r="BN202" s="114"/>
      <c r="BO202"/>
      <c r="BP202"/>
      <c r="BQ202">
        <v>13</v>
      </c>
      <c r="BR202" t="s">
        <v>712</v>
      </c>
      <c r="BS202"/>
      <c r="BT202" t="s">
        <v>1395</v>
      </c>
      <c r="BU202" s="115">
        <v>45800</v>
      </c>
      <c r="BV202">
        <v>36627</v>
      </c>
      <c r="BW202" s="116"/>
      <c r="BX202" t="s">
        <v>173</v>
      </c>
      <c r="BY202" t="s">
        <v>173</v>
      </c>
      <c r="BZ202"/>
      <c r="CA202"/>
      <c r="CB202" t="s">
        <v>173</v>
      </c>
      <c r="CC202" t="s">
        <v>173</v>
      </c>
      <c r="CD202"/>
      <c r="CE202"/>
      <c r="CF202"/>
      <c r="CG202"/>
      <c r="CH202"/>
      <c r="CI202"/>
      <c r="CJ202"/>
      <c r="CK202" t="s">
        <v>259</v>
      </c>
      <c r="CL202"/>
      <c r="CM202">
        <v>1</v>
      </c>
      <c r="CN202" t="s">
        <v>260</v>
      </c>
      <c r="CO202"/>
      <c r="CP202">
        <v>403</v>
      </c>
      <c r="CQ202">
        <v>580</v>
      </c>
      <c r="CR202">
        <v>166</v>
      </c>
      <c r="CS202" t="s">
        <v>261</v>
      </c>
      <c r="CT202"/>
      <c r="CU202"/>
      <c r="CV202" t="s">
        <v>262</v>
      </c>
      <c r="CW202"/>
      <c r="CX202" t="s">
        <v>263</v>
      </c>
      <c r="CY202" t="s">
        <v>172</v>
      </c>
      <c r="CZ202"/>
      <c r="DA202"/>
      <c r="DB202"/>
      <c r="DC202"/>
      <c r="DD202">
        <v>2</v>
      </c>
      <c r="DE202" t="s">
        <v>307</v>
      </c>
      <c r="DF202" t="s">
        <v>988</v>
      </c>
      <c r="DG202" t="s">
        <v>1450</v>
      </c>
      <c r="DH202"/>
      <c r="DI202"/>
      <c r="DJ202"/>
      <c r="DK202"/>
      <c r="DL202" t="s">
        <v>173</v>
      </c>
      <c r="DM202" t="s">
        <v>172</v>
      </c>
      <c r="DN202"/>
      <c r="DO202"/>
      <c r="DP202" t="s">
        <v>173</v>
      </c>
      <c r="DQ202" t="s">
        <v>189</v>
      </c>
      <c r="DR202" t="s">
        <v>1488</v>
      </c>
      <c r="DS202"/>
      <c r="DT202"/>
      <c r="DU202"/>
      <c r="DV202"/>
      <c r="DW202"/>
      <c r="DX202"/>
      <c r="DY202"/>
      <c r="DZ202"/>
      <c r="EA202" s="117"/>
      <c r="EB202">
        <v>9</v>
      </c>
      <c r="EC202">
        <v>10</v>
      </c>
      <c r="ED202"/>
      <c r="EE202" t="s">
        <v>1451</v>
      </c>
      <c r="EF202">
        <v>10</v>
      </c>
      <c r="EG202"/>
      <c r="EH202"/>
      <c r="EI202"/>
      <c r="EJ202"/>
      <c r="EK202"/>
      <c r="EL202"/>
      <c r="EM202"/>
      <c r="EN202"/>
      <c r="EO202"/>
      <c r="EP202"/>
      <c r="EQ202"/>
      <c r="ER202"/>
      <c r="ES202"/>
      <c r="ET202"/>
      <c r="EU202">
        <v>2250</v>
      </c>
      <c r="EV202"/>
      <c r="EW202">
        <v>0</v>
      </c>
      <c r="EX202">
        <v>0</v>
      </c>
      <c r="EY202">
        <v>0</v>
      </c>
      <c r="EZ202"/>
      <c r="FA202">
        <v>18.600000000000001</v>
      </c>
      <c r="FB202"/>
      <c r="FC202"/>
      <c r="FD202"/>
      <c r="FE202"/>
      <c r="FF202"/>
      <c r="FG202" s="94">
        <v>446</v>
      </c>
      <c r="FH202" s="94">
        <v>367</v>
      </c>
      <c r="FI202" s="94">
        <v>410</v>
      </c>
    </row>
    <row r="203" spans="1:165" s="66" customFormat="1" x14ac:dyDescent="0.35">
      <c r="A203" s="19"/>
      <c r="B203" s="19"/>
      <c r="C203" s="19"/>
      <c r="D203" s="19"/>
      <c r="E203" s="19"/>
      <c r="F203" s="128"/>
      <c r="G203" s="19"/>
      <c r="H203" s="19"/>
      <c r="I203" s="19"/>
      <c r="J203" s="19"/>
      <c r="K203" s="19" t="str">
        <f>_xlfn.CONCAT(A204," ",C204," ",D204)</f>
        <v>2026 GMC SIERRA EV</v>
      </c>
      <c r="L203" s="19"/>
      <c r="M203" s="19"/>
      <c r="N203" s="19"/>
      <c r="O203" s="19"/>
      <c r="P203" s="19"/>
      <c r="Q203" s="19"/>
      <c r="R203" s="19"/>
      <c r="S203" s="19"/>
      <c r="T203" s="19"/>
      <c r="U203" s="19"/>
      <c r="V203" s="19"/>
      <c r="W203" s="19"/>
      <c r="X203" s="19"/>
      <c r="Y203" s="19"/>
      <c r="Z203" s="19"/>
      <c r="AA203" s="19"/>
      <c r="AB203" s="19" t="str">
        <f>$K203</f>
        <v>2026 GMC SIERRA EV</v>
      </c>
      <c r="AC203" s="19"/>
      <c r="AD203" s="19"/>
      <c r="AE203" s="19"/>
      <c r="AF203" s="19"/>
      <c r="AG203" s="19"/>
      <c r="AH203" s="19"/>
      <c r="AI203" s="19"/>
      <c r="AJ203" s="19"/>
      <c r="AK203" s="19"/>
      <c r="AL203" s="19"/>
      <c r="AM203" s="19"/>
      <c r="AN203" s="19"/>
      <c r="AO203" s="19"/>
      <c r="AP203" s="19"/>
      <c r="AQ203" s="19"/>
      <c r="AR203" s="19" t="str">
        <f>$K203</f>
        <v>2026 GMC SIERRA EV</v>
      </c>
      <c r="AS203" s="19"/>
      <c r="AT203" s="19"/>
      <c r="AU203" s="19"/>
      <c r="AV203" s="19"/>
      <c r="AW203" s="19"/>
      <c r="AX203" s="19"/>
      <c r="AY203" s="19"/>
      <c r="AZ203" s="19"/>
      <c r="BA203" s="19"/>
      <c r="BB203" s="19"/>
      <c r="BC203" s="19"/>
      <c r="BD203" s="19"/>
      <c r="BE203" s="19"/>
      <c r="BF203" s="19"/>
      <c r="BG203" s="19" t="str">
        <f>$K203</f>
        <v>2026 GMC SIERRA EV</v>
      </c>
      <c r="BH203" s="19"/>
      <c r="BI203" s="19"/>
      <c r="BJ203" s="19"/>
      <c r="BK203" s="19"/>
      <c r="BL203" s="19"/>
      <c r="BM203" s="129"/>
      <c r="BN203" s="19"/>
      <c r="BO203" s="19"/>
      <c r="BP203" s="19"/>
      <c r="BQ203" s="19"/>
      <c r="BR203" s="19"/>
      <c r="BS203" s="19"/>
      <c r="BT203" s="130"/>
      <c r="BU203" s="19"/>
      <c r="BV203" s="19"/>
      <c r="BW203" s="116"/>
      <c r="BX203" s="19"/>
      <c r="BY203" s="19"/>
      <c r="BZ203" s="19"/>
      <c r="CA203" s="19"/>
      <c r="CB203" s="19"/>
      <c r="CC203" s="19"/>
      <c r="CD203" s="19"/>
      <c r="CE203" s="19"/>
      <c r="CF203" s="19"/>
      <c r="CG203" s="19"/>
      <c r="CH203" s="19"/>
      <c r="CI203" s="19"/>
      <c r="CJ203" s="19"/>
      <c r="CK203" s="19"/>
      <c r="CL203" s="19"/>
      <c r="CM203" s="19" t="str">
        <f>$K203</f>
        <v>2026 GMC SIERRA EV</v>
      </c>
      <c r="CN203" s="19"/>
      <c r="CO203" s="19"/>
      <c r="CP203" s="19"/>
      <c r="CQ203" s="19"/>
      <c r="CR203" s="19"/>
      <c r="CS203" s="19"/>
      <c r="CT203" s="19"/>
      <c r="CU203" s="19"/>
      <c r="CV203" s="19"/>
      <c r="CW203" s="19"/>
      <c r="CX203" s="19"/>
      <c r="CY203" s="19"/>
      <c r="CZ203" s="19"/>
      <c r="DA203" s="19"/>
      <c r="DB203" s="19"/>
      <c r="DC203" s="19"/>
      <c r="DD203" s="19" t="str">
        <f>$K203</f>
        <v>2026 GMC SIERRA EV</v>
      </c>
      <c r="DE203" s="19"/>
      <c r="DF203" s="19"/>
      <c r="DG203" s="19"/>
      <c r="DH203" s="19"/>
      <c r="DI203" s="19"/>
      <c r="DJ203" s="19"/>
      <c r="DK203" s="19"/>
      <c r="DL203" s="19"/>
      <c r="DM203" s="19"/>
      <c r="DN203" s="19"/>
      <c r="DO203" s="19"/>
      <c r="DP203" s="19"/>
      <c r="DQ203" s="19"/>
      <c r="DR203" s="19"/>
      <c r="DS203" s="19"/>
      <c r="DT203" s="19"/>
      <c r="DU203" s="19" t="str">
        <f>$K203</f>
        <v>2026 GMC SIERRA EV</v>
      </c>
      <c r="DV203" s="19"/>
      <c r="DW203" s="19"/>
      <c r="DX203" s="19"/>
      <c r="DY203" s="19"/>
      <c r="DZ203" s="19"/>
      <c r="EA203" s="117"/>
      <c r="EB203" s="19"/>
      <c r="EC203" s="19"/>
      <c r="ED203" s="19"/>
      <c r="EE203" s="19"/>
      <c r="EF203" s="19"/>
      <c r="EG203"/>
      <c r="EH203"/>
      <c r="EI203"/>
      <c r="EJ203"/>
      <c r="EK203"/>
      <c r="EL203"/>
      <c r="EM203"/>
      <c r="EN203"/>
      <c r="EO203"/>
      <c r="EP203"/>
      <c r="EQ203"/>
      <c r="ER203"/>
      <c r="ES203"/>
      <c r="ET203"/>
      <c r="EU203"/>
      <c r="EV203"/>
      <c r="EW203"/>
      <c r="EX203" s="19" t="s">
        <v>1987</v>
      </c>
      <c r="EY203"/>
      <c r="EZ203"/>
      <c r="FA203"/>
      <c r="FB203"/>
      <c r="FC203"/>
      <c r="FD203"/>
      <c r="FE203"/>
      <c r="FF203"/>
      <c r="FG203"/>
      <c r="FH203"/>
      <c r="FI203"/>
    </row>
    <row r="204" spans="1:165" s="66" customFormat="1" x14ac:dyDescent="0.35">
      <c r="A204">
        <v>2026</v>
      </c>
      <c r="B204" t="s">
        <v>211</v>
      </c>
      <c r="C204" s="112" t="s">
        <v>683</v>
      </c>
      <c r="D204" t="s">
        <v>1488</v>
      </c>
      <c r="E204" t="s">
        <v>214</v>
      </c>
      <c r="F204">
        <v>410</v>
      </c>
      <c r="G204" s="113">
        <v>0</v>
      </c>
      <c r="H204"/>
      <c r="I204" t="s">
        <v>1391</v>
      </c>
      <c r="J204">
        <v>69</v>
      </c>
      <c r="K204">
        <v>59</v>
      </c>
      <c r="L204">
        <v>64</v>
      </c>
      <c r="M204">
        <v>98.7834</v>
      </c>
      <c r="N204">
        <v>84.6066</v>
      </c>
      <c r="O204">
        <v>91.857100000000003</v>
      </c>
      <c r="P204">
        <v>69.148399999999995</v>
      </c>
      <c r="Q204">
        <v>59.224600000000002</v>
      </c>
      <c r="R204">
        <v>64.3</v>
      </c>
      <c r="S204"/>
      <c r="T204"/>
      <c r="U204"/>
      <c r="V204" t="s">
        <v>170</v>
      </c>
      <c r="W204" t="s">
        <v>171</v>
      </c>
      <c r="X204" t="s">
        <v>1436</v>
      </c>
      <c r="Y204">
        <v>1</v>
      </c>
      <c r="Z204" t="s">
        <v>173</v>
      </c>
      <c r="AA204" t="s">
        <v>173</v>
      </c>
      <c r="AB204">
        <v>4</v>
      </c>
      <c r="AC204" t="s">
        <v>423</v>
      </c>
      <c r="AD204"/>
      <c r="AE204"/>
      <c r="AF204">
        <v>385</v>
      </c>
      <c r="AG204" t="s">
        <v>1392</v>
      </c>
      <c r="AH204" t="s">
        <v>1393</v>
      </c>
      <c r="AI204" t="s">
        <v>178</v>
      </c>
      <c r="AJ204" t="s">
        <v>179</v>
      </c>
      <c r="AK204">
        <v>4</v>
      </c>
      <c r="AL204" t="s">
        <v>1394</v>
      </c>
      <c r="AM204"/>
      <c r="AN204"/>
      <c r="AO204"/>
      <c r="AP204"/>
      <c r="AQ204"/>
      <c r="AR204"/>
      <c r="AS204">
        <v>1350</v>
      </c>
      <c r="AT204">
        <v>1350</v>
      </c>
      <c r="AU204"/>
      <c r="AV204"/>
      <c r="AW204"/>
      <c r="AX204"/>
      <c r="AY204"/>
      <c r="AZ204"/>
      <c r="BA204"/>
      <c r="BB204"/>
      <c r="BC204"/>
      <c r="BD204"/>
      <c r="BE204"/>
      <c r="BF204"/>
      <c r="BG204"/>
      <c r="BH204"/>
      <c r="BI204"/>
      <c r="BJ204"/>
      <c r="BK204"/>
      <c r="BL204"/>
      <c r="BM204"/>
      <c r="BN204" s="114"/>
      <c r="BO204"/>
      <c r="BP204"/>
      <c r="BQ204">
        <v>13</v>
      </c>
      <c r="BR204" t="s">
        <v>712</v>
      </c>
      <c r="BS204"/>
      <c r="BT204" t="s">
        <v>1395</v>
      </c>
      <c r="BU204" s="115">
        <v>45800</v>
      </c>
      <c r="BV204">
        <v>36625</v>
      </c>
      <c r="BW204" s="116"/>
      <c r="BX204" t="s">
        <v>173</v>
      </c>
      <c r="BY204" t="s">
        <v>173</v>
      </c>
      <c r="BZ204"/>
      <c r="CA204"/>
      <c r="CB204" t="s">
        <v>173</v>
      </c>
      <c r="CC204" t="s">
        <v>173</v>
      </c>
      <c r="CD204"/>
      <c r="CE204"/>
      <c r="CF204"/>
      <c r="CG204"/>
      <c r="CH204"/>
      <c r="CI204"/>
      <c r="CJ204"/>
      <c r="CK204" t="s">
        <v>259</v>
      </c>
      <c r="CL204"/>
      <c r="CM204">
        <v>1</v>
      </c>
      <c r="CN204" t="s">
        <v>260</v>
      </c>
      <c r="CO204"/>
      <c r="CP204">
        <v>403</v>
      </c>
      <c r="CQ204">
        <v>580</v>
      </c>
      <c r="CR204">
        <v>166</v>
      </c>
      <c r="CS204" t="s">
        <v>261</v>
      </c>
      <c r="CT204"/>
      <c r="CU204"/>
      <c r="CV204" t="s">
        <v>262</v>
      </c>
      <c r="CW204"/>
      <c r="CX204" t="s">
        <v>263</v>
      </c>
      <c r="CY204" t="s">
        <v>172</v>
      </c>
      <c r="CZ204"/>
      <c r="DA204"/>
      <c r="DB204"/>
      <c r="DC204"/>
      <c r="DD204">
        <v>2</v>
      </c>
      <c r="DE204" t="s">
        <v>307</v>
      </c>
      <c r="DF204" t="s">
        <v>988</v>
      </c>
      <c r="DG204" t="s">
        <v>1450</v>
      </c>
      <c r="DH204"/>
      <c r="DI204"/>
      <c r="DJ204"/>
      <c r="DK204"/>
      <c r="DL204" t="s">
        <v>173</v>
      </c>
      <c r="DM204" t="s">
        <v>172</v>
      </c>
      <c r="DN204"/>
      <c r="DO204"/>
      <c r="DP204" t="s">
        <v>173</v>
      </c>
      <c r="DQ204" t="s">
        <v>189</v>
      </c>
      <c r="DR204" t="s">
        <v>1488</v>
      </c>
      <c r="DS204"/>
      <c r="DT204"/>
      <c r="DU204"/>
      <c r="DV204"/>
      <c r="DW204"/>
      <c r="DX204"/>
      <c r="DY204"/>
      <c r="DZ204"/>
      <c r="EA204" s="117"/>
      <c r="EB204">
        <v>8</v>
      </c>
      <c r="EC204">
        <v>10</v>
      </c>
      <c r="ED204"/>
      <c r="EE204" t="s">
        <v>1451</v>
      </c>
      <c r="EF204">
        <v>10</v>
      </c>
      <c r="EG204"/>
      <c r="EH204"/>
      <c r="EI204"/>
      <c r="EJ204"/>
      <c r="EK204"/>
      <c r="EL204"/>
      <c r="EM204"/>
      <c r="EN204"/>
      <c r="EO204"/>
      <c r="EP204"/>
      <c r="EQ204"/>
      <c r="ER204"/>
      <c r="ES204"/>
      <c r="ET204"/>
      <c r="EU204">
        <v>1750</v>
      </c>
      <c r="EV204"/>
      <c r="EW204">
        <v>0</v>
      </c>
      <c r="EX204">
        <v>0</v>
      </c>
      <c r="EY204">
        <v>0</v>
      </c>
      <c r="EZ204"/>
      <c r="FA204">
        <v>11.5</v>
      </c>
      <c r="FB204"/>
      <c r="FC204"/>
      <c r="FD204"/>
      <c r="FE204"/>
      <c r="FF204"/>
      <c r="FG204" s="94">
        <v>412</v>
      </c>
      <c r="FH204" s="94">
        <v>353</v>
      </c>
      <c r="FI204" s="94">
        <v>385</v>
      </c>
    </row>
    <row r="205" spans="1:165" s="66" customFormat="1" x14ac:dyDescent="0.35">
      <c r="A205">
        <v>2026</v>
      </c>
      <c r="B205" t="s">
        <v>211</v>
      </c>
      <c r="C205" s="112" t="s">
        <v>683</v>
      </c>
      <c r="D205" t="s">
        <v>1488</v>
      </c>
      <c r="E205" t="s">
        <v>214</v>
      </c>
      <c r="F205">
        <v>410</v>
      </c>
      <c r="G205" s="113">
        <v>0</v>
      </c>
      <c r="H205"/>
      <c r="I205" t="s">
        <v>1391</v>
      </c>
      <c r="J205">
        <v>49</v>
      </c>
      <c r="K205">
        <v>57</v>
      </c>
      <c r="L205">
        <v>52</v>
      </c>
      <c r="M205">
        <v>34.107100000000003</v>
      </c>
      <c r="N205">
        <v>39.848700000000001</v>
      </c>
      <c r="O205">
        <v>36.690800000000003</v>
      </c>
      <c r="P205">
        <v>48.743000000000002</v>
      </c>
      <c r="Q205">
        <v>56.910400000000003</v>
      </c>
      <c r="R205">
        <v>52.418300000000002</v>
      </c>
      <c r="S205"/>
      <c r="T205"/>
      <c r="U205"/>
      <c r="V205" t="s">
        <v>170</v>
      </c>
      <c r="W205" t="s">
        <v>171</v>
      </c>
      <c r="X205" t="s">
        <v>1436</v>
      </c>
      <c r="Y205">
        <v>1</v>
      </c>
      <c r="Z205" t="s">
        <v>173</v>
      </c>
      <c r="AA205" t="s">
        <v>173</v>
      </c>
      <c r="AB205">
        <v>4</v>
      </c>
      <c r="AC205" t="s">
        <v>423</v>
      </c>
      <c r="AD205"/>
      <c r="AE205"/>
      <c r="AF205">
        <v>385</v>
      </c>
      <c r="AG205" t="s">
        <v>1392</v>
      </c>
      <c r="AH205" t="s">
        <v>1393</v>
      </c>
      <c r="AI205" t="s">
        <v>1399</v>
      </c>
      <c r="AJ205" t="s">
        <v>1400</v>
      </c>
      <c r="AK205">
        <v>4</v>
      </c>
      <c r="AL205" t="s">
        <v>1394</v>
      </c>
      <c r="AM205"/>
      <c r="AN205"/>
      <c r="AO205"/>
      <c r="AP205"/>
      <c r="AQ205"/>
      <c r="AR205"/>
      <c r="AS205">
        <v>1350</v>
      </c>
      <c r="AT205">
        <v>1350</v>
      </c>
      <c r="AU205"/>
      <c r="AV205"/>
      <c r="AW205"/>
      <c r="AX205"/>
      <c r="AY205"/>
      <c r="AZ205"/>
      <c r="BA205"/>
      <c r="BB205"/>
      <c r="BC205"/>
      <c r="BD205"/>
      <c r="BE205"/>
      <c r="BF205"/>
      <c r="BG205"/>
      <c r="BH205"/>
      <c r="BI205"/>
      <c r="BJ205"/>
      <c r="BK205"/>
      <c r="BL205"/>
      <c r="BM205"/>
      <c r="BN205" s="114"/>
      <c r="BO205"/>
      <c r="BP205"/>
      <c r="BQ205">
        <v>13</v>
      </c>
      <c r="BR205" t="s">
        <v>712</v>
      </c>
      <c r="BS205"/>
      <c r="BT205" t="s">
        <v>1395</v>
      </c>
      <c r="BU205" s="115">
        <v>45800</v>
      </c>
      <c r="BV205">
        <v>36625</v>
      </c>
      <c r="BW205" s="116"/>
      <c r="BX205" t="s">
        <v>173</v>
      </c>
      <c r="BY205" t="s">
        <v>173</v>
      </c>
      <c r="BZ205"/>
      <c r="CA205"/>
      <c r="CB205" t="s">
        <v>173</v>
      </c>
      <c r="CC205" t="s">
        <v>173</v>
      </c>
      <c r="CD205"/>
      <c r="CE205"/>
      <c r="CF205"/>
      <c r="CG205"/>
      <c r="CH205"/>
      <c r="CI205"/>
      <c r="CJ205"/>
      <c r="CK205" t="s">
        <v>259</v>
      </c>
      <c r="CL205"/>
      <c r="CM205">
        <v>1</v>
      </c>
      <c r="CN205" t="s">
        <v>260</v>
      </c>
      <c r="CO205"/>
      <c r="CP205">
        <v>403</v>
      </c>
      <c r="CQ205">
        <v>580</v>
      </c>
      <c r="CR205">
        <v>166</v>
      </c>
      <c r="CS205" t="s">
        <v>261</v>
      </c>
      <c r="CT205"/>
      <c r="CU205"/>
      <c r="CV205" t="s">
        <v>262</v>
      </c>
      <c r="CW205"/>
      <c r="CX205" t="s">
        <v>263</v>
      </c>
      <c r="CY205" t="s">
        <v>172</v>
      </c>
      <c r="CZ205"/>
      <c r="DA205"/>
      <c r="DB205"/>
      <c r="DC205"/>
      <c r="DD205">
        <v>2</v>
      </c>
      <c r="DE205" t="s">
        <v>307</v>
      </c>
      <c r="DF205" t="s">
        <v>988</v>
      </c>
      <c r="DG205" t="s">
        <v>1450</v>
      </c>
      <c r="DH205"/>
      <c r="DI205"/>
      <c r="DJ205"/>
      <c r="DK205"/>
      <c r="DL205" t="s">
        <v>173</v>
      </c>
      <c r="DM205" t="s">
        <v>172</v>
      </c>
      <c r="DN205"/>
      <c r="DO205"/>
      <c r="DP205" t="s">
        <v>173</v>
      </c>
      <c r="DQ205" t="s">
        <v>189</v>
      </c>
      <c r="DR205" t="s">
        <v>1488</v>
      </c>
      <c r="DS205"/>
      <c r="DT205"/>
      <c r="DU205"/>
      <c r="DV205"/>
      <c r="DW205"/>
      <c r="DX205"/>
      <c r="DY205"/>
      <c r="DZ205"/>
      <c r="EA205" s="117"/>
      <c r="EB205">
        <v>8</v>
      </c>
      <c r="EC205">
        <v>10</v>
      </c>
      <c r="ED205"/>
      <c r="EE205" t="s">
        <v>1451</v>
      </c>
      <c r="EF205">
        <v>10</v>
      </c>
      <c r="EG205"/>
      <c r="EH205"/>
      <c r="EI205"/>
      <c r="EJ205"/>
      <c r="EK205"/>
      <c r="EL205"/>
      <c r="EM205"/>
      <c r="EN205"/>
      <c r="EO205"/>
      <c r="EP205"/>
      <c r="EQ205"/>
      <c r="ER205"/>
      <c r="ES205"/>
      <c r="ET205"/>
      <c r="EU205">
        <v>1750</v>
      </c>
      <c r="EV205"/>
      <c r="EW205">
        <v>0</v>
      </c>
      <c r="EX205">
        <v>0</v>
      </c>
      <c r="EY205">
        <v>0</v>
      </c>
      <c r="EZ205"/>
      <c r="FA205">
        <v>11.5</v>
      </c>
      <c r="FB205"/>
      <c r="FC205"/>
      <c r="FD205"/>
      <c r="FE205"/>
      <c r="FF205"/>
      <c r="FG205" s="94">
        <v>412</v>
      </c>
      <c r="FH205" s="94">
        <v>353</v>
      </c>
      <c r="FI205" s="94">
        <v>385</v>
      </c>
    </row>
    <row r="206" spans="1:165" s="66" customFormat="1" x14ac:dyDescent="0.35">
      <c r="A206" s="19"/>
      <c r="B206" s="19"/>
      <c r="C206" s="19"/>
      <c r="D206" s="19"/>
      <c r="E206" s="19"/>
      <c r="F206" s="128"/>
      <c r="G206" s="19"/>
      <c r="H206" s="19"/>
      <c r="I206" s="19"/>
      <c r="J206" s="19"/>
      <c r="K206" s="19" t="str">
        <f>_xlfn.CONCAT(A207," ",C207," ",D207)</f>
        <v>2026 GMC SIERRA EV</v>
      </c>
      <c r="L206" s="19"/>
      <c r="M206" s="19"/>
      <c r="N206" s="19"/>
      <c r="O206" s="19"/>
      <c r="P206" s="19"/>
      <c r="Q206" s="19"/>
      <c r="R206" s="19"/>
      <c r="S206" s="19"/>
      <c r="T206" s="19"/>
      <c r="U206" s="19"/>
      <c r="V206" s="19"/>
      <c r="W206" s="19"/>
      <c r="X206" s="19"/>
      <c r="Y206" s="19"/>
      <c r="Z206" s="19"/>
      <c r="AA206" s="19"/>
      <c r="AB206" s="19" t="str">
        <f>$K206</f>
        <v>2026 GMC SIERRA EV</v>
      </c>
      <c r="AC206" s="19"/>
      <c r="AD206" s="19"/>
      <c r="AE206" s="19"/>
      <c r="AF206" s="19"/>
      <c r="AG206" s="19"/>
      <c r="AH206" s="19"/>
      <c r="AI206" s="19"/>
      <c r="AJ206" s="19"/>
      <c r="AK206" s="19"/>
      <c r="AL206" s="19"/>
      <c r="AM206" s="19"/>
      <c r="AN206" s="19"/>
      <c r="AO206" s="19"/>
      <c r="AP206" s="19"/>
      <c r="AQ206" s="19"/>
      <c r="AR206" s="19" t="str">
        <f>$K206</f>
        <v>2026 GMC SIERRA EV</v>
      </c>
      <c r="AS206" s="19"/>
      <c r="AT206" s="19"/>
      <c r="AU206" s="19"/>
      <c r="AV206" s="19"/>
      <c r="AW206" s="19"/>
      <c r="AX206" s="19"/>
      <c r="AY206" s="19"/>
      <c r="AZ206" s="19"/>
      <c r="BA206" s="19"/>
      <c r="BB206" s="19"/>
      <c r="BC206" s="19"/>
      <c r="BD206" s="19"/>
      <c r="BE206" s="19"/>
      <c r="BF206" s="19"/>
      <c r="BG206" s="19" t="str">
        <f>$K206</f>
        <v>2026 GMC SIERRA EV</v>
      </c>
      <c r="BH206" s="19"/>
      <c r="BI206" s="19"/>
      <c r="BJ206" s="19"/>
      <c r="BK206" s="19"/>
      <c r="BL206" s="19"/>
      <c r="BM206" s="129"/>
      <c r="BN206" s="19"/>
      <c r="BO206" s="19"/>
      <c r="BP206" s="19"/>
      <c r="BQ206" s="19"/>
      <c r="BR206" s="19"/>
      <c r="BS206" s="19"/>
      <c r="BT206" s="130"/>
      <c r="BU206" s="19"/>
      <c r="BV206" s="19"/>
      <c r="BW206" s="116"/>
      <c r="BX206" s="19"/>
      <c r="BY206" s="19"/>
      <c r="BZ206" s="19"/>
      <c r="CA206" s="19"/>
      <c r="CB206" s="19"/>
      <c r="CC206" s="19"/>
      <c r="CD206" s="19"/>
      <c r="CE206" s="19"/>
      <c r="CF206" s="19"/>
      <c r="CG206" s="19"/>
      <c r="CH206" s="19"/>
      <c r="CI206" s="19"/>
      <c r="CJ206" s="19"/>
      <c r="CK206" s="19"/>
      <c r="CL206" s="19"/>
      <c r="CM206" s="19" t="str">
        <f>$K206</f>
        <v>2026 GMC SIERRA EV</v>
      </c>
      <c r="CN206" s="19"/>
      <c r="CO206" s="19"/>
      <c r="CP206" s="19"/>
      <c r="CQ206" s="19"/>
      <c r="CR206" s="19"/>
      <c r="CS206" s="19"/>
      <c r="CT206" s="19"/>
      <c r="CU206" s="19"/>
      <c r="CV206" s="19"/>
      <c r="CW206" s="19"/>
      <c r="CX206" s="19"/>
      <c r="CY206" s="19"/>
      <c r="CZ206" s="19"/>
      <c r="DA206" s="19"/>
      <c r="DB206" s="19"/>
      <c r="DC206" s="19"/>
      <c r="DD206" s="19" t="str">
        <f>$K206</f>
        <v>2026 GMC SIERRA EV</v>
      </c>
      <c r="DE206" s="19"/>
      <c r="DF206" s="19"/>
      <c r="DG206" s="19"/>
      <c r="DH206" s="19"/>
      <c r="DI206" s="19"/>
      <c r="DJ206" s="19"/>
      <c r="DK206" s="19"/>
      <c r="DL206" s="19"/>
      <c r="DM206" s="19"/>
      <c r="DN206" s="19"/>
      <c r="DO206" s="19"/>
      <c r="DP206" s="19"/>
      <c r="DQ206" s="19"/>
      <c r="DR206" s="19"/>
      <c r="DS206" s="19"/>
      <c r="DT206" s="19"/>
      <c r="DU206" s="19" t="str">
        <f>$K206</f>
        <v>2026 GMC SIERRA EV</v>
      </c>
      <c r="DV206" s="19"/>
      <c r="DW206" s="19"/>
      <c r="DX206" s="19"/>
      <c r="DY206" s="19"/>
      <c r="DZ206" s="19"/>
      <c r="EA206" s="117"/>
      <c r="EB206" s="19"/>
      <c r="EC206" s="19"/>
      <c r="ED206" s="19"/>
      <c r="EE206" s="19"/>
      <c r="EF206" s="19"/>
      <c r="EG206"/>
      <c r="EH206"/>
      <c r="EI206"/>
      <c r="EJ206"/>
      <c r="EK206"/>
      <c r="EL206"/>
      <c r="EM206"/>
      <c r="EN206"/>
      <c r="EO206"/>
      <c r="EP206"/>
      <c r="EQ206"/>
      <c r="ER206"/>
      <c r="ES206"/>
      <c r="ET206"/>
      <c r="EU206"/>
      <c r="EV206"/>
      <c r="EW206"/>
      <c r="EX206" s="19" t="s">
        <v>1987</v>
      </c>
      <c r="EY206"/>
      <c r="EZ206"/>
      <c r="FA206"/>
      <c r="FB206"/>
      <c r="FC206"/>
      <c r="FD206"/>
      <c r="FE206"/>
      <c r="FF206"/>
      <c r="FG206"/>
      <c r="FH206"/>
      <c r="FI206"/>
    </row>
    <row r="207" spans="1:165" s="66" customFormat="1" x14ac:dyDescent="0.35">
      <c r="A207">
        <v>2026</v>
      </c>
      <c r="B207" t="s">
        <v>211</v>
      </c>
      <c r="C207" s="112" t="s">
        <v>683</v>
      </c>
      <c r="D207" t="s">
        <v>1488</v>
      </c>
      <c r="E207" t="s">
        <v>214</v>
      </c>
      <c r="F207">
        <v>413</v>
      </c>
      <c r="G207" s="113">
        <v>0</v>
      </c>
      <c r="H207"/>
      <c r="I207" t="s">
        <v>1391</v>
      </c>
      <c r="J207">
        <v>74</v>
      </c>
      <c r="K207">
        <v>60</v>
      </c>
      <c r="L207">
        <v>67</v>
      </c>
      <c r="M207">
        <v>106.3862</v>
      </c>
      <c r="N207">
        <v>85.337500000000006</v>
      </c>
      <c r="O207">
        <v>95.7577</v>
      </c>
      <c r="P207">
        <v>74.470399999999998</v>
      </c>
      <c r="Q207">
        <v>59.736199999999997</v>
      </c>
      <c r="R207">
        <v>67.0304</v>
      </c>
      <c r="S207"/>
      <c r="T207"/>
      <c r="U207"/>
      <c r="V207" t="s">
        <v>170</v>
      </c>
      <c r="W207" t="s">
        <v>171</v>
      </c>
      <c r="X207" t="s">
        <v>1436</v>
      </c>
      <c r="Y207">
        <v>1</v>
      </c>
      <c r="Z207" t="s">
        <v>173</v>
      </c>
      <c r="AA207" t="s">
        <v>173</v>
      </c>
      <c r="AB207">
        <v>4</v>
      </c>
      <c r="AC207" t="s">
        <v>423</v>
      </c>
      <c r="AD207"/>
      <c r="AE207"/>
      <c r="AF207">
        <v>283</v>
      </c>
      <c r="AG207" t="s">
        <v>1392</v>
      </c>
      <c r="AH207" t="s">
        <v>1393</v>
      </c>
      <c r="AI207" t="s">
        <v>178</v>
      </c>
      <c r="AJ207" t="s">
        <v>179</v>
      </c>
      <c r="AK207">
        <v>4</v>
      </c>
      <c r="AL207" t="s">
        <v>1394</v>
      </c>
      <c r="AM207"/>
      <c r="AN207"/>
      <c r="AO207"/>
      <c r="AP207"/>
      <c r="AQ207"/>
      <c r="AR207"/>
      <c r="AS207">
        <v>1300</v>
      </c>
      <c r="AT207">
        <v>1300</v>
      </c>
      <c r="AU207"/>
      <c r="AV207"/>
      <c r="AW207"/>
      <c r="AX207"/>
      <c r="AY207"/>
      <c r="AZ207"/>
      <c r="BA207"/>
      <c r="BB207"/>
      <c r="BC207"/>
      <c r="BD207"/>
      <c r="BE207"/>
      <c r="BF207"/>
      <c r="BG207"/>
      <c r="BH207"/>
      <c r="BI207"/>
      <c r="BJ207"/>
      <c r="BK207"/>
      <c r="BL207"/>
      <c r="BM207"/>
      <c r="BN207" s="114"/>
      <c r="BO207"/>
      <c r="BP207"/>
      <c r="BQ207">
        <v>13</v>
      </c>
      <c r="BR207" t="s">
        <v>712</v>
      </c>
      <c r="BS207"/>
      <c r="BT207" t="s">
        <v>1395</v>
      </c>
      <c r="BU207" s="115">
        <v>45800</v>
      </c>
      <c r="BV207">
        <v>36584</v>
      </c>
      <c r="BW207" s="116"/>
      <c r="BX207" t="s">
        <v>173</v>
      </c>
      <c r="BY207" t="s">
        <v>173</v>
      </c>
      <c r="BZ207"/>
      <c r="CA207"/>
      <c r="CB207" t="s">
        <v>173</v>
      </c>
      <c r="CC207" t="s">
        <v>173</v>
      </c>
      <c r="CD207"/>
      <c r="CE207"/>
      <c r="CF207"/>
      <c r="CG207"/>
      <c r="CH207"/>
      <c r="CI207"/>
      <c r="CJ207"/>
      <c r="CK207" t="s">
        <v>259</v>
      </c>
      <c r="CL207"/>
      <c r="CM207">
        <v>1</v>
      </c>
      <c r="CN207" t="s">
        <v>260</v>
      </c>
      <c r="CO207"/>
      <c r="CP207">
        <v>470</v>
      </c>
      <c r="CQ207">
        <v>290</v>
      </c>
      <c r="CR207">
        <v>143</v>
      </c>
      <c r="CS207" t="s">
        <v>261</v>
      </c>
      <c r="CT207"/>
      <c r="CU207"/>
      <c r="CV207" t="s">
        <v>262</v>
      </c>
      <c r="CW207"/>
      <c r="CX207" t="s">
        <v>263</v>
      </c>
      <c r="CY207" t="s">
        <v>172</v>
      </c>
      <c r="CZ207"/>
      <c r="DA207"/>
      <c r="DB207"/>
      <c r="DC207"/>
      <c r="DD207">
        <v>2</v>
      </c>
      <c r="DE207" t="s">
        <v>307</v>
      </c>
      <c r="DF207" t="s">
        <v>988</v>
      </c>
      <c r="DG207" t="s">
        <v>1450</v>
      </c>
      <c r="DH207"/>
      <c r="DI207"/>
      <c r="DJ207"/>
      <c r="DK207"/>
      <c r="DL207" t="s">
        <v>173</v>
      </c>
      <c r="DM207" t="s">
        <v>172</v>
      </c>
      <c r="DN207"/>
      <c r="DO207"/>
      <c r="DP207" t="s">
        <v>173</v>
      </c>
      <c r="DQ207" t="s">
        <v>189</v>
      </c>
      <c r="DR207" t="s">
        <v>1488</v>
      </c>
      <c r="DS207"/>
      <c r="DT207"/>
      <c r="DU207"/>
      <c r="DV207"/>
      <c r="DW207"/>
      <c r="DX207"/>
      <c r="DY207"/>
      <c r="DZ207"/>
      <c r="EA207" s="117"/>
      <c r="EB207">
        <v>9</v>
      </c>
      <c r="EC207">
        <v>10</v>
      </c>
      <c r="ED207"/>
      <c r="EE207" t="s">
        <v>1452</v>
      </c>
      <c r="EF207">
        <v>10</v>
      </c>
      <c r="EG207"/>
      <c r="EH207"/>
      <c r="EI207"/>
      <c r="EJ207"/>
      <c r="EK207"/>
      <c r="EL207"/>
      <c r="EM207"/>
      <c r="EN207"/>
      <c r="EO207"/>
      <c r="EP207"/>
      <c r="EQ207"/>
      <c r="ER207"/>
      <c r="ES207"/>
      <c r="ET207"/>
      <c r="EU207">
        <v>2000</v>
      </c>
      <c r="EV207"/>
      <c r="EW207">
        <v>0</v>
      </c>
      <c r="EX207">
        <v>0</v>
      </c>
      <c r="EY207">
        <v>0</v>
      </c>
      <c r="EZ207"/>
      <c r="FA207">
        <v>13.3</v>
      </c>
      <c r="FB207"/>
      <c r="FC207"/>
      <c r="FD207"/>
      <c r="FE207"/>
      <c r="FF207"/>
      <c r="FG207" s="94">
        <v>311</v>
      </c>
      <c r="FH207" s="94">
        <v>249</v>
      </c>
      <c r="FI207" s="94">
        <v>283</v>
      </c>
    </row>
    <row r="208" spans="1:165" s="66" customFormat="1" x14ac:dyDescent="0.35">
      <c r="A208">
        <v>2026</v>
      </c>
      <c r="B208" t="s">
        <v>211</v>
      </c>
      <c r="C208" s="112" t="s">
        <v>683</v>
      </c>
      <c r="D208" t="s">
        <v>1488</v>
      </c>
      <c r="E208" t="s">
        <v>214</v>
      </c>
      <c r="F208">
        <v>413</v>
      </c>
      <c r="G208" s="113">
        <v>0</v>
      </c>
      <c r="H208"/>
      <c r="I208" t="s">
        <v>1391</v>
      </c>
      <c r="J208">
        <v>45</v>
      </c>
      <c r="K208">
        <v>56</v>
      </c>
      <c r="L208">
        <v>50</v>
      </c>
      <c r="M208">
        <v>31.681799999999999</v>
      </c>
      <c r="N208">
        <v>39.484900000000003</v>
      </c>
      <c r="O208">
        <v>35.193199999999997</v>
      </c>
      <c r="P208">
        <v>45.259599999999999</v>
      </c>
      <c r="Q208">
        <v>56.423099999999998</v>
      </c>
      <c r="R208">
        <v>50.283200000000001</v>
      </c>
      <c r="S208"/>
      <c r="T208"/>
      <c r="U208"/>
      <c r="V208" t="s">
        <v>170</v>
      </c>
      <c r="W208" t="s">
        <v>171</v>
      </c>
      <c r="X208" t="s">
        <v>1436</v>
      </c>
      <c r="Y208">
        <v>1</v>
      </c>
      <c r="Z208" t="s">
        <v>173</v>
      </c>
      <c r="AA208" t="s">
        <v>173</v>
      </c>
      <c r="AB208">
        <v>4</v>
      </c>
      <c r="AC208" t="s">
        <v>423</v>
      </c>
      <c r="AD208"/>
      <c r="AE208"/>
      <c r="AF208">
        <v>283</v>
      </c>
      <c r="AG208" t="s">
        <v>1392</v>
      </c>
      <c r="AH208" t="s">
        <v>1393</v>
      </c>
      <c r="AI208" t="s">
        <v>1399</v>
      </c>
      <c r="AJ208" t="s">
        <v>1400</v>
      </c>
      <c r="AK208">
        <v>4</v>
      </c>
      <c r="AL208" t="s">
        <v>1394</v>
      </c>
      <c r="AM208"/>
      <c r="AN208"/>
      <c r="AO208"/>
      <c r="AP208"/>
      <c r="AQ208"/>
      <c r="AR208"/>
      <c r="AS208">
        <v>1300</v>
      </c>
      <c r="AT208">
        <v>1300</v>
      </c>
      <c r="AU208"/>
      <c r="AV208"/>
      <c r="AW208"/>
      <c r="AX208"/>
      <c r="AY208"/>
      <c r="AZ208"/>
      <c r="BA208"/>
      <c r="BB208"/>
      <c r="BC208"/>
      <c r="BD208"/>
      <c r="BE208"/>
      <c r="BF208"/>
      <c r="BG208"/>
      <c r="BH208"/>
      <c r="BI208"/>
      <c r="BJ208"/>
      <c r="BK208"/>
      <c r="BL208"/>
      <c r="BM208"/>
      <c r="BN208" s="114"/>
      <c r="BO208"/>
      <c r="BP208"/>
      <c r="BQ208">
        <v>13</v>
      </c>
      <c r="BR208" t="s">
        <v>712</v>
      </c>
      <c r="BS208"/>
      <c r="BT208" t="s">
        <v>1395</v>
      </c>
      <c r="BU208" s="115">
        <v>45800</v>
      </c>
      <c r="BV208">
        <v>36584</v>
      </c>
      <c r="BW208" s="116"/>
      <c r="BX208" t="s">
        <v>173</v>
      </c>
      <c r="BY208" t="s">
        <v>173</v>
      </c>
      <c r="BZ208"/>
      <c r="CA208"/>
      <c r="CB208" t="s">
        <v>173</v>
      </c>
      <c r="CC208" t="s">
        <v>173</v>
      </c>
      <c r="CD208"/>
      <c r="CE208"/>
      <c r="CF208"/>
      <c r="CG208"/>
      <c r="CH208"/>
      <c r="CI208"/>
      <c r="CJ208"/>
      <c r="CK208" t="s">
        <v>259</v>
      </c>
      <c r="CL208"/>
      <c r="CM208">
        <v>1</v>
      </c>
      <c r="CN208" t="s">
        <v>260</v>
      </c>
      <c r="CO208"/>
      <c r="CP208">
        <v>470</v>
      </c>
      <c r="CQ208">
        <v>290</v>
      </c>
      <c r="CR208">
        <v>143</v>
      </c>
      <c r="CS208" t="s">
        <v>261</v>
      </c>
      <c r="CT208"/>
      <c r="CU208"/>
      <c r="CV208" t="s">
        <v>262</v>
      </c>
      <c r="CW208"/>
      <c r="CX208" t="s">
        <v>263</v>
      </c>
      <c r="CY208" t="s">
        <v>172</v>
      </c>
      <c r="CZ208"/>
      <c r="DA208"/>
      <c r="DB208"/>
      <c r="DC208"/>
      <c r="DD208">
        <v>2</v>
      </c>
      <c r="DE208" t="s">
        <v>307</v>
      </c>
      <c r="DF208" t="s">
        <v>988</v>
      </c>
      <c r="DG208" t="s">
        <v>1450</v>
      </c>
      <c r="DH208"/>
      <c r="DI208"/>
      <c r="DJ208"/>
      <c r="DK208"/>
      <c r="DL208" t="s">
        <v>173</v>
      </c>
      <c r="DM208" t="s">
        <v>172</v>
      </c>
      <c r="DN208"/>
      <c r="DO208"/>
      <c r="DP208" t="s">
        <v>173</v>
      </c>
      <c r="DQ208" t="s">
        <v>189</v>
      </c>
      <c r="DR208" t="s">
        <v>1488</v>
      </c>
      <c r="DS208"/>
      <c r="DT208"/>
      <c r="DU208"/>
      <c r="DV208"/>
      <c r="DW208"/>
      <c r="DX208"/>
      <c r="DY208"/>
      <c r="DZ208"/>
      <c r="EA208" s="117"/>
      <c r="EB208">
        <v>9</v>
      </c>
      <c r="EC208">
        <v>10</v>
      </c>
      <c r="ED208"/>
      <c r="EE208" t="s">
        <v>1452</v>
      </c>
      <c r="EF208">
        <v>10</v>
      </c>
      <c r="EG208"/>
      <c r="EH208"/>
      <c r="EI208"/>
      <c r="EJ208"/>
      <c r="EK208"/>
      <c r="EL208"/>
      <c r="EM208"/>
      <c r="EN208"/>
      <c r="EO208"/>
      <c r="EP208"/>
      <c r="EQ208"/>
      <c r="ER208"/>
      <c r="ES208"/>
      <c r="ET208"/>
      <c r="EU208">
        <v>2000</v>
      </c>
      <c r="EV208"/>
      <c r="EW208">
        <v>0</v>
      </c>
      <c r="EX208">
        <v>0</v>
      </c>
      <c r="EY208">
        <v>0</v>
      </c>
      <c r="EZ208"/>
      <c r="FA208">
        <v>13.3</v>
      </c>
      <c r="FB208"/>
      <c r="FC208"/>
      <c r="FD208"/>
      <c r="FE208"/>
      <c r="FF208"/>
      <c r="FG208" s="94">
        <v>311</v>
      </c>
      <c r="FH208" s="94">
        <v>249</v>
      </c>
      <c r="FI208" s="94">
        <v>283</v>
      </c>
    </row>
    <row r="209" spans="1:165" s="66" customFormat="1" x14ac:dyDescent="0.35">
      <c r="A209" s="19"/>
      <c r="B209" s="19"/>
      <c r="C209" s="19"/>
      <c r="D209" s="19"/>
      <c r="E209" s="19"/>
      <c r="F209" s="128"/>
      <c r="G209" s="19"/>
      <c r="H209" s="19"/>
      <c r="I209" s="19"/>
      <c r="J209" s="19"/>
      <c r="K209" s="19" t="str">
        <f>_xlfn.CONCAT(A210," ",C210," ",D210)</f>
        <v>2026 HYUNDAI MOTOR COMPANY Ioniq 5 RWD</v>
      </c>
      <c r="L209" s="19"/>
      <c r="M209" s="19"/>
      <c r="N209" s="19"/>
      <c r="O209" s="19"/>
      <c r="P209" s="19"/>
      <c r="Q209" s="19"/>
      <c r="R209" s="19"/>
      <c r="S209" s="19"/>
      <c r="T209" s="19"/>
      <c r="U209" s="19"/>
      <c r="V209" s="19"/>
      <c r="W209" s="19"/>
      <c r="X209" s="19"/>
      <c r="Y209" s="19"/>
      <c r="Z209" s="19"/>
      <c r="AA209" s="19"/>
      <c r="AB209" s="19" t="str">
        <f>$K209</f>
        <v>2026 HYUNDAI MOTOR COMPANY Ioniq 5 RWD</v>
      </c>
      <c r="AC209" s="19"/>
      <c r="AD209" s="19"/>
      <c r="AE209" s="19"/>
      <c r="AF209" s="19"/>
      <c r="AG209" s="19"/>
      <c r="AH209" s="19"/>
      <c r="AI209" s="19"/>
      <c r="AJ209" s="19"/>
      <c r="AK209" s="19"/>
      <c r="AL209" s="19"/>
      <c r="AM209" s="19"/>
      <c r="AN209" s="19"/>
      <c r="AO209" s="19"/>
      <c r="AP209" s="19"/>
      <c r="AQ209" s="19"/>
      <c r="AR209" s="19" t="str">
        <f>$K209</f>
        <v>2026 HYUNDAI MOTOR COMPANY Ioniq 5 RWD</v>
      </c>
      <c r="AS209" s="19"/>
      <c r="AT209" s="19"/>
      <c r="AU209" s="19"/>
      <c r="AV209" s="19"/>
      <c r="AW209" s="19"/>
      <c r="AX209" s="19"/>
      <c r="AY209" s="19"/>
      <c r="AZ209" s="19"/>
      <c r="BA209" s="19"/>
      <c r="BB209" s="19"/>
      <c r="BC209" s="19"/>
      <c r="BD209" s="19"/>
      <c r="BE209" s="19"/>
      <c r="BF209" s="19"/>
      <c r="BG209" s="19" t="str">
        <f>$K209</f>
        <v>2026 HYUNDAI MOTOR COMPANY Ioniq 5 RWD</v>
      </c>
      <c r="BH209" s="19"/>
      <c r="BI209" s="19"/>
      <c r="BJ209" s="19"/>
      <c r="BK209" s="19"/>
      <c r="BL209" s="19"/>
      <c r="BM209" s="129"/>
      <c r="BN209" s="19"/>
      <c r="BO209" s="19"/>
      <c r="BP209" s="19"/>
      <c r="BQ209" s="19"/>
      <c r="BR209" s="19"/>
      <c r="BS209" s="19"/>
      <c r="BT209" s="130"/>
      <c r="BU209" s="19"/>
      <c r="BV209" s="19"/>
      <c r="BW209" s="116"/>
      <c r="BX209" s="19"/>
      <c r="BY209" s="19"/>
      <c r="BZ209" s="19"/>
      <c r="CA209" s="19"/>
      <c r="CB209" s="19"/>
      <c r="CC209" s="19"/>
      <c r="CD209" s="19"/>
      <c r="CE209" s="19"/>
      <c r="CF209" s="19"/>
      <c r="CG209" s="19"/>
      <c r="CH209" s="19"/>
      <c r="CI209" s="19"/>
      <c r="CJ209" s="19"/>
      <c r="CK209" s="19"/>
      <c r="CL209" s="19"/>
      <c r="CM209" s="19" t="str">
        <f>$K209</f>
        <v>2026 HYUNDAI MOTOR COMPANY Ioniq 5 RWD</v>
      </c>
      <c r="CN209" s="19"/>
      <c r="CO209" s="19"/>
      <c r="CP209" s="19"/>
      <c r="CQ209" s="19"/>
      <c r="CR209" s="19"/>
      <c r="CS209" s="19"/>
      <c r="CT209" s="19"/>
      <c r="CU209" s="19"/>
      <c r="CV209" s="19"/>
      <c r="CW209" s="19"/>
      <c r="CX209" s="19"/>
      <c r="CY209" s="19"/>
      <c r="CZ209" s="19"/>
      <c r="DA209" s="19"/>
      <c r="DB209" s="19"/>
      <c r="DC209" s="19"/>
      <c r="DD209" s="19" t="str">
        <f>$K209</f>
        <v>2026 HYUNDAI MOTOR COMPANY Ioniq 5 RWD</v>
      </c>
      <c r="DE209" s="19"/>
      <c r="DF209" s="19"/>
      <c r="DG209" s="19"/>
      <c r="DH209" s="19"/>
      <c r="DI209" s="19"/>
      <c r="DJ209" s="19"/>
      <c r="DK209" s="19"/>
      <c r="DL209" s="19"/>
      <c r="DM209" s="19"/>
      <c r="DN209" s="19"/>
      <c r="DO209" s="19"/>
      <c r="DP209" s="19"/>
      <c r="DQ209" s="19"/>
      <c r="DR209" s="19"/>
      <c r="DS209" s="19"/>
      <c r="DT209" s="19"/>
      <c r="DU209" s="19" t="str">
        <f>$K209</f>
        <v>2026 HYUNDAI MOTOR COMPANY Ioniq 5 RWD</v>
      </c>
      <c r="DV209" s="19"/>
      <c r="DW209" s="19"/>
      <c r="DX209" s="19"/>
      <c r="DY209" s="19"/>
      <c r="DZ209" s="19"/>
      <c r="EA209" s="117"/>
      <c r="EB209" s="19"/>
      <c r="EC209" s="19"/>
      <c r="ED209" s="19"/>
      <c r="EE209" s="19"/>
      <c r="EF209" s="19"/>
      <c r="EG209"/>
      <c r="EH209"/>
      <c r="EI209"/>
      <c r="EJ209"/>
      <c r="EK209"/>
      <c r="EL209"/>
      <c r="EM209"/>
      <c r="EN209"/>
      <c r="EO209"/>
      <c r="EP209"/>
      <c r="EQ209"/>
      <c r="ER209"/>
      <c r="ES209"/>
      <c r="ET209"/>
      <c r="EU209"/>
      <c r="EV209"/>
      <c r="EW209"/>
      <c r="EX209" s="19" t="s">
        <v>1988</v>
      </c>
      <c r="EY209"/>
      <c r="EZ209"/>
      <c r="FA209"/>
      <c r="FB209"/>
      <c r="FC209"/>
      <c r="FD209"/>
      <c r="FE209"/>
      <c r="FF209"/>
      <c r="FG209"/>
      <c r="FH209"/>
      <c r="FI209"/>
    </row>
    <row r="210" spans="1:165" s="66" customFormat="1" x14ac:dyDescent="0.35">
      <c r="A210">
        <v>2026</v>
      </c>
      <c r="B210" t="s">
        <v>400</v>
      </c>
      <c r="C210" s="112" t="s">
        <v>561</v>
      </c>
      <c r="D210" t="s">
        <v>1742</v>
      </c>
      <c r="E210" t="s">
        <v>403</v>
      </c>
      <c r="F210">
        <v>34</v>
      </c>
      <c r="G210" s="113">
        <v>0</v>
      </c>
      <c r="H210"/>
      <c r="I210" t="s">
        <v>1391</v>
      </c>
      <c r="J210">
        <v>129</v>
      </c>
      <c r="K210">
        <v>100</v>
      </c>
      <c r="L210">
        <v>114</v>
      </c>
      <c r="M210">
        <v>189</v>
      </c>
      <c r="N210">
        <v>145.69999999999999</v>
      </c>
      <c r="O210">
        <v>166.70580000000001</v>
      </c>
      <c r="P210">
        <v>129</v>
      </c>
      <c r="Q210">
        <v>100</v>
      </c>
      <c r="R210">
        <v>114</v>
      </c>
      <c r="S210"/>
      <c r="T210"/>
      <c r="U210"/>
      <c r="V210" t="s">
        <v>170</v>
      </c>
      <c r="W210" t="s">
        <v>171</v>
      </c>
      <c r="X210" t="s">
        <v>1466</v>
      </c>
      <c r="Y210">
        <v>1</v>
      </c>
      <c r="Z210" t="s">
        <v>173</v>
      </c>
      <c r="AA210" t="s">
        <v>173</v>
      </c>
      <c r="AB210" t="s">
        <v>174</v>
      </c>
      <c r="AC210" t="s">
        <v>175</v>
      </c>
      <c r="AD210"/>
      <c r="AE210"/>
      <c r="AF210">
        <v>318</v>
      </c>
      <c r="AG210" t="s">
        <v>1392</v>
      </c>
      <c r="AH210" t="s">
        <v>1393</v>
      </c>
      <c r="AI210" t="s">
        <v>178</v>
      </c>
      <c r="AJ210" t="s">
        <v>179</v>
      </c>
      <c r="AK210">
        <v>4</v>
      </c>
      <c r="AL210" t="s">
        <v>1394</v>
      </c>
      <c r="AM210"/>
      <c r="AN210"/>
      <c r="AO210"/>
      <c r="AP210"/>
      <c r="AQ210"/>
      <c r="AR210"/>
      <c r="AS210">
        <v>750</v>
      </c>
      <c r="AT210">
        <v>750</v>
      </c>
      <c r="AU210"/>
      <c r="AV210"/>
      <c r="AW210"/>
      <c r="AX210"/>
      <c r="AY210"/>
      <c r="AZ210"/>
      <c r="BA210"/>
      <c r="BB210"/>
      <c r="BC210"/>
      <c r="BD210"/>
      <c r="BE210"/>
      <c r="BF210"/>
      <c r="BG210"/>
      <c r="BH210"/>
      <c r="BI210"/>
      <c r="BJ210"/>
      <c r="BK210"/>
      <c r="BL210"/>
      <c r="BM210"/>
      <c r="BN210" s="114"/>
      <c r="BO210"/>
      <c r="BP210"/>
      <c r="BQ210">
        <v>30</v>
      </c>
      <c r="BR210" t="s">
        <v>798</v>
      </c>
      <c r="BS210"/>
      <c r="BT210" t="s">
        <v>1395</v>
      </c>
      <c r="BU210" s="115">
        <v>45870</v>
      </c>
      <c r="BV210">
        <v>37301</v>
      </c>
      <c r="BW210" s="116"/>
      <c r="BX210" t="s">
        <v>173</v>
      </c>
      <c r="BY210" t="s">
        <v>173</v>
      </c>
      <c r="BZ210"/>
      <c r="CA210"/>
      <c r="CB210" t="s">
        <v>173</v>
      </c>
      <c r="CC210" t="s">
        <v>173</v>
      </c>
      <c r="CD210"/>
      <c r="CE210"/>
      <c r="CF210"/>
      <c r="CG210"/>
      <c r="CH210"/>
      <c r="CI210"/>
      <c r="CJ210"/>
      <c r="CK210" t="s">
        <v>259</v>
      </c>
      <c r="CL210"/>
      <c r="CM210">
        <v>1</v>
      </c>
      <c r="CN210" t="s">
        <v>260</v>
      </c>
      <c r="CO210"/>
      <c r="CP210">
        <v>697</v>
      </c>
      <c r="CQ210">
        <v>120.6</v>
      </c>
      <c r="CR210">
        <v>174.3</v>
      </c>
      <c r="CS210" t="s">
        <v>1437</v>
      </c>
      <c r="CT210"/>
      <c r="CU210"/>
      <c r="CV210" t="s">
        <v>262</v>
      </c>
      <c r="CW210"/>
      <c r="CX210" t="s">
        <v>702</v>
      </c>
      <c r="CY210" t="s">
        <v>172</v>
      </c>
      <c r="CZ210"/>
      <c r="DA210"/>
      <c r="DB210"/>
      <c r="DC210" t="s">
        <v>1497</v>
      </c>
      <c r="DD210">
        <v>1</v>
      </c>
      <c r="DE210" t="s">
        <v>307</v>
      </c>
      <c r="DF210" t="s">
        <v>1498</v>
      </c>
      <c r="DG210">
        <v>168</v>
      </c>
      <c r="DH210"/>
      <c r="DI210"/>
      <c r="DJ210"/>
      <c r="DK210"/>
      <c r="DL210" t="s">
        <v>173</v>
      </c>
      <c r="DM210" t="s">
        <v>172</v>
      </c>
      <c r="DN210"/>
      <c r="DO210"/>
      <c r="DP210" t="s">
        <v>173</v>
      </c>
      <c r="DQ210" t="s">
        <v>189</v>
      </c>
      <c r="DR210"/>
      <c r="DS210"/>
      <c r="DT210"/>
      <c r="DU210"/>
      <c r="DV210"/>
      <c r="DW210"/>
      <c r="DX210"/>
      <c r="DY210"/>
      <c r="DZ210"/>
      <c r="EA210" s="117"/>
      <c r="EB210">
        <v>9</v>
      </c>
      <c r="EC210">
        <v>10</v>
      </c>
      <c r="ED210"/>
      <c r="EE210" t="s">
        <v>1743</v>
      </c>
      <c r="EF210">
        <v>10</v>
      </c>
      <c r="EG210"/>
      <c r="EH210"/>
      <c r="EI210"/>
      <c r="EJ210"/>
      <c r="EK210"/>
      <c r="EL210"/>
      <c r="EM210"/>
      <c r="EN210"/>
      <c r="EO210"/>
      <c r="EP210"/>
      <c r="EQ210"/>
      <c r="ER210"/>
      <c r="ES210"/>
      <c r="ET210"/>
      <c r="EU210">
        <v>4750</v>
      </c>
      <c r="EV210"/>
      <c r="EW210">
        <v>0</v>
      </c>
      <c r="EX210">
        <v>0</v>
      </c>
      <c r="EY210">
        <v>0</v>
      </c>
      <c r="EZ210"/>
      <c r="FA210">
        <v>9.1</v>
      </c>
      <c r="FB210"/>
      <c r="FC210"/>
      <c r="FD210"/>
      <c r="FE210"/>
      <c r="FF210"/>
      <c r="FG210" s="94">
        <v>356</v>
      </c>
      <c r="FH210" s="94">
        <v>272</v>
      </c>
      <c r="FI210" s="94">
        <v>318</v>
      </c>
    </row>
    <row r="211" spans="1:165" s="66" customFormat="1" x14ac:dyDescent="0.35">
      <c r="A211">
        <v>2026</v>
      </c>
      <c r="B211" t="s">
        <v>400</v>
      </c>
      <c r="C211" s="112" t="s">
        <v>561</v>
      </c>
      <c r="D211" t="s">
        <v>1742</v>
      </c>
      <c r="E211" t="s">
        <v>403</v>
      </c>
      <c r="F211">
        <v>34</v>
      </c>
      <c r="G211" s="113">
        <v>0</v>
      </c>
      <c r="H211"/>
      <c r="I211" t="s">
        <v>1391</v>
      </c>
      <c r="J211">
        <v>26</v>
      </c>
      <c r="K211">
        <v>34</v>
      </c>
      <c r="L211">
        <v>30</v>
      </c>
      <c r="M211">
        <v>17.835799999999999</v>
      </c>
      <c r="N211">
        <v>23.132300000000001</v>
      </c>
      <c r="O211">
        <v>20.219200000000001</v>
      </c>
      <c r="P211">
        <v>26</v>
      </c>
      <c r="Q211">
        <v>34</v>
      </c>
      <c r="R211">
        <v>30</v>
      </c>
      <c r="S211"/>
      <c r="T211"/>
      <c r="U211"/>
      <c r="V211" t="s">
        <v>170</v>
      </c>
      <c r="W211" t="s">
        <v>171</v>
      </c>
      <c r="X211" t="s">
        <v>1466</v>
      </c>
      <c r="Y211">
        <v>1</v>
      </c>
      <c r="Z211" t="s">
        <v>173</v>
      </c>
      <c r="AA211" t="s">
        <v>173</v>
      </c>
      <c r="AB211" t="s">
        <v>174</v>
      </c>
      <c r="AC211" t="s">
        <v>175</v>
      </c>
      <c r="AD211"/>
      <c r="AE211"/>
      <c r="AF211">
        <v>318</v>
      </c>
      <c r="AG211" t="s">
        <v>1392</v>
      </c>
      <c r="AH211" t="s">
        <v>1393</v>
      </c>
      <c r="AI211" t="s">
        <v>1399</v>
      </c>
      <c r="AJ211" t="s">
        <v>1400</v>
      </c>
      <c r="AK211">
        <v>4</v>
      </c>
      <c r="AL211" t="s">
        <v>1394</v>
      </c>
      <c r="AM211"/>
      <c r="AN211"/>
      <c r="AO211"/>
      <c r="AP211"/>
      <c r="AQ211"/>
      <c r="AR211"/>
      <c r="AS211">
        <v>750</v>
      </c>
      <c r="AT211">
        <v>750</v>
      </c>
      <c r="AU211"/>
      <c r="AV211"/>
      <c r="AW211"/>
      <c r="AX211"/>
      <c r="AY211"/>
      <c r="AZ211"/>
      <c r="BA211"/>
      <c r="BB211"/>
      <c r="BC211"/>
      <c r="BD211"/>
      <c r="BE211"/>
      <c r="BF211"/>
      <c r="BG211"/>
      <c r="BH211"/>
      <c r="BI211"/>
      <c r="BJ211"/>
      <c r="BK211"/>
      <c r="BL211"/>
      <c r="BM211"/>
      <c r="BN211" s="114"/>
      <c r="BO211"/>
      <c r="BP211"/>
      <c r="BQ211">
        <v>30</v>
      </c>
      <c r="BR211" t="s">
        <v>798</v>
      </c>
      <c r="BS211"/>
      <c r="BT211" t="s">
        <v>1395</v>
      </c>
      <c r="BU211" s="115">
        <v>45870</v>
      </c>
      <c r="BV211">
        <v>37301</v>
      </c>
      <c r="BW211" s="116"/>
      <c r="BX211" t="s">
        <v>173</v>
      </c>
      <c r="BY211" t="s">
        <v>173</v>
      </c>
      <c r="BZ211"/>
      <c r="CA211"/>
      <c r="CB211" t="s">
        <v>173</v>
      </c>
      <c r="CC211" t="s">
        <v>173</v>
      </c>
      <c r="CD211"/>
      <c r="CE211"/>
      <c r="CF211"/>
      <c r="CG211"/>
      <c r="CH211"/>
      <c r="CI211"/>
      <c r="CJ211"/>
      <c r="CK211" t="s">
        <v>259</v>
      </c>
      <c r="CL211"/>
      <c r="CM211">
        <v>1</v>
      </c>
      <c r="CN211" t="s">
        <v>260</v>
      </c>
      <c r="CO211"/>
      <c r="CP211">
        <v>697</v>
      </c>
      <c r="CQ211">
        <v>120.6</v>
      </c>
      <c r="CR211">
        <v>174.3</v>
      </c>
      <c r="CS211" t="s">
        <v>1437</v>
      </c>
      <c r="CT211"/>
      <c r="CU211"/>
      <c r="CV211" t="s">
        <v>262</v>
      </c>
      <c r="CW211"/>
      <c r="CX211" t="s">
        <v>702</v>
      </c>
      <c r="CY211" t="s">
        <v>172</v>
      </c>
      <c r="CZ211"/>
      <c r="DA211"/>
      <c r="DB211"/>
      <c r="DC211" t="s">
        <v>1497</v>
      </c>
      <c r="DD211">
        <v>1</v>
      </c>
      <c r="DE211" t="s">
        <v>307</v>
      </c>
      <c r="DF211" t="s">
        <v>1498</v>
      </c>
      <c r="DG211">
        <v>168</v>
      </c>
      <c r="DH211"/>
      <c r="DI211"/>
      <c r="DJ211"/>
      <c r="DK211"/>
      <c r="DL211" t="s">
        <v>173</v>
      </c>
      <c r="DM211" t="s">
        <v>172</v>
      </c>
      <c r="DN211"/>
      <c r="DO211"/>
      <c r="DP211" t="s">
        <v>173</v>
      </c>
      <c r="DQ211" t="s">
        <v>189</v>
      </c>
      <c r="DR211"/>
      <c r="DS211"/>
      <c r="DT211"/>
      <c r="DU211"/>
      <c r="DV211"/>
      <c r="DW211"/>
      <c r="DX211"/>
      <c r="DY211"/>
      <c r="DZ211"/>
      <c r="EA211" s="117"/>
      <c r="EB211">
        <v>9</v>
      </c>
      <c r="EC211">
        <v>10</v>
      </c>
      <c r="ED211"/>
      <c r="EE211" t="s">
        <v>1743</v>
      </c>
      <c r="EF211">
        <v>10</v>
      </c>
      <c r="EG211"/>
      <c r="EH211"/>
      <c r="EI211"/>
      <c r="EJ211"/>
      <c r="EK211"/>
      <c r="EL211"/>
      <c r="EM211"/>
      <c r="EN211"/>
      <c r="EO211"/>
      <c r="EP211"/>
      <c r="EQ211"/>
      <c r="ER211"/>
      <c r="ES211"/>
      <c r="ET211"/>
      <c r="EU211">
        <v>4750</v>
      </c>
      <c r="EV211"/>
      <c r="EW211">
        <v>0</v>
      </c>
      <c r="EX211">
        <v>0</v>
      </c>
      <c r="EY211">
        <v>0</v>
      </c>
      <c r="EZ211"/>
      <c r="FA211">
        <v>9.1</v>
      </c>
      <c r="FB211"/>
      <c r="FC211"/>
      <c r="FD211"/>
      <c r="FE211"/>
      <c r="FF211"/>
      <c r="FG211" s="94">
        <v>356</v>
      </c>
      <c r="FH211" s="94">
        <v>272</v>
      </c>
      <c r="FI211" s="94">
        <v>318</v>
      </c>
    </row>
    <row r="212" spans="1:165" s="66" customFormat="1" x14ac:dyDescent="0.35">
      <c r="A212" s="19"/>
      <c r="B212" s="19"/>
      <c r="C212" s="19"/>
      <c r="D212" s="19"/>
      <c r="E212" s="19"/>
      <c r="F212" s="128"/>
      <c r="G212" s="19"/>
      <c r="H212" s="19"/>
      <c r="I212" s="19"/>
      <c r="J212" s="19"/>
      <c r="K212" s="19" t="str">
        <f>_xlfn.CONCAT(A213," ",C213," ",D213)</f>
        <v>2026 HYUNDAI MOTOR COMPANY Ioniq 5 Standard range</v>
      </c>
      <c r="L212" s="19"/>
      <c r="M212" s="19"/>
      <c r="N212" s="19"/>
      <c r="O212" s="19"/>
      <c r="P212" s="19"/>
      <c r="Q212" s="19"/>
      <c r="R212" s="19"/>
      <c r="S212" s="19"/>
      <c r="T212" s="19"/>
      <c r="U212" s="19"/>
      <c r="V212" s="19"/>
      <c r="W212" s="19"/>
      <c r="X212" s="19"/>
      <c r="Y212" s="19"/>
      <c r="Z212" s="19"/>
      <c r="AA212" s="19"/>
      <c r="AB212" s="19" t="str">
        <f>$K212</f>
        <v>2026 HYUNDAI MOTOR COMPANY Ioniq 5 Standard range</v>
      </c>
      <c r="AC212" s="19"/>
      <c r="AD212" s="19"/>
      <c r="AE212" s="19"/>
      <c r="AF212" s="19"/>
      <c r="AG212" s="19"/>
      <c r="AH212" s="19"/>
      <c r="AI212" s="19"/>
      <c r="AJ212" s="19"/>
      <c r="AK212" s="19"/>
      <c r="AL212" s="19"/>
      <c r="AM212" s="19"/>
      <c r="AN212" s="19"/>
      <c r="AO212" s="19"/>
      <c r="AP212" s="19"/>
      <c r="AQ212" s="19"/>
      <c r="AR212" s="19" t="str">
        <f>$K212</f>
        <v>2026 HYUNDAI MOTOR COMPANY Ioniq 5 Standard range</v>
      </c>
      <c r="AS212" s="19"/>
      <c r="AT212" s="19"/>
      <c r="AU212" s="19"/>
      <c r="AV212" s="19"/>
      <c r="AW212" s="19"/>
      <c r="AX212" s="19"/>
      <c r="AY212" s="19"/>
      <c r="AZ212" s="19"/>
      <c r="BA212" s="19"/>
      <c r="BB212" s="19"/>
      <c r="BC212" s="19"/>
      <c r="BD212" s="19"/>
      <c r="BE212" s="19"/>
      <c r="BF212" s="19"/>
      <c r="BG212" s="19" t="str">
        <f>$K212</f>
        <v>2026 HYUNDAI MOTOR COMPANY Ioniq 5 Standard range</v>
      </c>
      <c r="BH212" s="19"/>
      <c r="BI212" s="19"/>
      <c r="BJ212" s="19"/>
      <c r="BK212" s="19"/>
      <c r="BL212" s="19"/>
      <c r="BM212" s="129"/>
      <c r="BN212" s="19"/>
      <c r="BO212" s="19"/>
      <c r="BP212" s="19"/>
      <c r="BQ212" s="19"/>
      <c r="BR212" s="19"/>
      <c r="BS212" s="19"/>
      <c r="BT212" s="130"/>
      <c r="BU212" s="19"/>
      <c r="BV212" s="19"/>
      <c r="BW212" s="116"/>
      <c r="BX212" s="19"/>
      <c r="BY212" s="19"/>
      <c r="BZ212" s="19"/>
      <c r="CA212" s="19"/>
      <c r="CB212" s="19"/>
      <c r="CC212" s="19"/>
      <c r="CD212" s="19"/>
      <c r="CE212" s="19"/>
      <c r="CF212" s="19"/>
      <c r="CG212" s="19"/>
      <c r="CH212" s="19"/>
      <c r="CI212" s="19"/>
      <c r="CJ212" s="19"/>
      <c r="CK212" s="19"/>
      <c r="CL212" s="19"/>
      <c r="CM212" s="19" t="str">
        <f>$K212</f>
        <v>2026 HYUNDAI MOTOR COMPANY Ioniq 5 Standard range</v>
      </c>
      <c r="CN212" s="19"/>
      <c r="CO212" s="19"/>
      <c r="CP212" s="19"/>
      <c r="CQ212" s="19"/>
      <c r="CR212" s="19"/>
      <c r="CS212" s="19"/>
      <c r="CT212" s="19"/>
      <c r="CU212" s="19"/>
      <c r="CV212" s="19"/>
      <c r="CW212" s="19"/>
      <c r="CX212" s="19"/>
      <c r="CY212" s="19"/>
      <c r="CZ212" s="19"/>
      <c r="DA212" s="19"/>
      <c r="DB212" s="19"/>
      <c r="DC212" s="19"/>
      <c r="DD212" s="19" t="str">
        <f>$K212</f>
        <v>2026 HYUNDAI MOTOR COMPANY Ioniq 5 Standard range</v>
      </c>
      <c r="DE212" s="19"/>
      <c r="DF212" s="19"/>
      <c r="DG212" s="19"/>
      <c r="DH212" s="19"/>
      <c r="DI212" s="19"/>
      <c r="DJ212" s="19"/>
      <c r="DK212" s="19"/>
      <c r="DL212" s="19"/>
      <c r="DM212" s="19"/>
      <c r="DN212" s="19"/>
      <c r="DO212" s="19"/>
      <c r="DP212" s="19"/>
      <c r="DQ212" s="19"/>
      <c r="DR212" s="19"/>
      <c r="DS212" s="19"/>
      <c r="DT212" s="19"/>
      <c r="DU212" s="19" t="str">
        <f>$K212</f>
        <v>2026 HYUNDAI MOTOR COMPANY Ioniq 5 Standard range</v>
      </c>
      <c r="DV212" s="19"/>
      <c r="DW212" s="19"/>
      <c r="DX212" s="19"/>
      <c r="DY212" s="19"/>
      <c r="DZ212" s="19"/>
      <c r="EA212" s="117"/>
      <c r="EB212" s="19"/>
      <c r="EC212" s="19"/>
      <c r="ED212" s="19"/>
      <c r="EE212" s="19"/>
      <c r="EF212" s="19"/>
      <c r="EG212"/>
      <c r="EH212"/>
      <c r="EI212"/>
      <c r="EJ212"/>
      <c r="EK212"/>
      <c r="EL212"/>
      <c r="EM212"/>
      <c r="EN212"/>
      <c r="EO212"/>
      <c r="EP212"/>
      <c r="EQ212"/>
      <c r="ER212"/>
      <c r="ES212"/>
      <c r="ET212"/>
      <c r="EU212"/>
      <c r="EV212"/>
      <c r="EW212"/>
      <c r="EX212" s="19" t="s">
        <v>1989</v>
      </c>
      <c r="EY212"/>
      <c r="EZ212"/>
      <c r="FA212"/>
      <c r="FB212"/>
      <c r="FC212"/>
      <c r="FD212"/>
      <c r="FE212"/>
      <c r="FF212"/>
      <c r="FG212"/>
      <c r="FH212"/>
      <c r="FI212"/>
    </row>
    <row r="213" spans="1:165" s="66" customFormat="1" x14ac:dyDescent="0.35">
      <c r="A213">
        <v>2026</v>
      </c>
      <c r="B213" t="s">
        <v>400</v>
      </c>
      <c r="C213" s="112" t="s">
        <v>561</v>
      </c>
      <c r="D213" t="s">
        <v>1744</v>
      </c>
      <c r="E213" t="s">
        <v>403</v>
      </c>
      <c r="F213">
        <v>35</v>
      </c>
      <c r="G213" s="113">
        <v>0</v>
      </c>
      <c r="H213"/>
      <c r="I213" t="s">
        <v>1391</v>
      </c>
      <c r="J213">
        <v>131</v>
      </c>
      <c r="K213">
        <v>100</v>
      </c>
      <c r="L213">
        <v>115</v>
      </c>
      <c r="M213">
        <v>193.2</v>
      </c>
      <c r="N213">
        <v>146.9</v>
      </c>
      <c r="O213">
        <v>169.20189999999999</v>
      </c>
      <c r="P213">
        <v>131</v>
      </c>
      <c r="Q213">
        <v>100</v>
      </c>
      <c r="R213">
        <v>115</v>
      </c>
      <c r="S213"/>
      <c r="T213"/>
      <c r="U213"/>
      <c r="V213" t="s">
        <v>170</v>
      </c>
      <c r="W213" t="s">
        <v>171</v>
      </c>
      <c r="X213" t="s">
        <v>1466</v>
      </c>
      <c r="Y213">
        <v>1</v>
      </c>
      <c r="Z213" t="s">
        <v>173</v>
      </c>
      <c r="AA213" t="s">
        <v>173</v>
      </c>
      <c r="AB213" t="s">
        <v>174</v>
      </c>
      <c r="AC213" t="s">
        <v>175</v>
      </c>
      <c r="AD213"/>
      <c r="AE213"/>
      <c r="AF213">
        <v>245</v>
      </c>
      <c r="AG213" t="s">
        <v>1392</v>
      </c>
      <c r="AH213" t="s">
        <v>1393</v>
      </c>
      <c r="AI213" t="s">
        <v>178</v>
      </c>
      <c r="AJ213" t="s">
        <v>179</v>
      </c>
      <c r="AK213">
        <v>4</v>
      </c>
      <c r="AL213" t="s">
        <v>1394</v>
      </c>
      <c r="AM213"/>
      <c r="AN213"/>
      <c r="AO213"/>
      <c r="AP213"/>
      <c r="AQ213"/>
      <c r="AR213"/>
      <c r="AS213">
        <v>750</v>
      </c>
      <c r="AT213">
        <v>750</v>
      </c>
      <c r="AU213"/>
      <c r="AV213"/>
      <c r="AW213"/>
      <c r="AX213"/>
      <c r="AY213"/>
      <c r="AZ213"/>
      <c r="BA213"/>
      <c r="BB213"/>
      <c r="BC213"/>
      <c r="BD213"/>
      <c r="BE213"/>
      <c r="BF213"/>
      <c r="BG213"/>
      <c r="BH213"/>
      <c r="BI213"/>
      <c r="BJ213"/>
      <c r="BK213"/>
      <c r="BL213"/>
      <c r="BM213"/>
      <c r="BN213" s="114"/>
      <c r="BO213"/>
      <c r="BP213"/>
      <c r="BQ213">
        <v>30</v>
      </c>
      <c r="BR213" t="s">
        <v>798</v>
      </c>
      <c r="BS213"/>
      <c r="BT213" t="s">
        <v>1395</v>
      </c>
      <c r="BU213" s="115">
        <v>45870</v>
      </c>
      <c r="BV213">
        <v>37302</v>
      </c>
      <c r="BW213" s="116"/>
      <c r="BX213" t="s">
        <v>173</v>
      </c>
      <c r="BY213" t="s">
        <v>173</v>
      </c>
      <c r="BZ213"/>
      <c r="CA213"/>
      <c r="CB213" t="s">
        <v>173</v>
      </c>
      <c r="CC213" t="s">
        <v>173</v>
      </c>
      <c r="CD213"/>
      <c r="CE213"/>
      <c r="CF213"/>
      <c r="CG213"/>
      <c r="CH213"/>
      <c r="CI213"/>
      <c r="CJ213"/>
      <c r="CK213" t="s">
        <v>259</v>
      </c>
      <c r="CL213"/>
      <c r="CM213">
        <v>1</v>
      </c>
      <c r="CN213" t="s">
        <v>260</v>
      </c>
      <c r="CO213"/>
      <c r="CP213">
        <v>523</v>
      </c>
      <c r="CQ213">
        <v>120.6</v>
      </c>
      <c r="CR213">
        <v>168.9</v>
      </c>
      <c r="CS213" t="s">
        <v>1437</v>
      </c>
      <c r="CT213"/>
      <c r="CU213"/>
      <c r="CV213" t="s">
        <v>262</v>
      </c>
      <c r="CW213"/>
      <c r="CX213" t="s">
        <v>702</v>
      </c>
      <c r="CY213" t="s">
        <v>172</v>
      </c>
      <c r="CZ213"/>
      <c r="DA213"/>
      <c r="DB213"/>
      <c r="DC213" t="s">
        <v>1497</v>
      </c>
      <c r="DD213">
        <v>1</v>
      </c>
      <c r="DE213" t="s">
        <v>307</v>
      </c>
      <c r="DF213" t="s">
        <v>1498</v>
      </c>
      <c r="DG213">
        <v>125</v>
      </c>
      <c r="DH213"/>
      <c r="DI213"/>
      <c r="DJ213"/>
      <c r="DK213"/>
      <c r="DL213" t="s">
        <v>173</v>
      </c>
      <c r="DM213" t="s">
        <v>172</v>
      </c>
      <c r="DN213"/>
      <c r="DO213"/>
      <c r="DP213" t="s">
        <v>173</v>
      </c>
      <c r="DQ213" t="s">
        <v>189</v>
      </c>
      <c r="DR213"/>
      <c r="DS213"/>
      <c r="DT213"/>
      <c r="DU213"/>
      <c r="DV213"/>
      <c r="DW213"/>
      <c r="DX213"/>
      <c r="DY213"/>
      <c r="DZ213"/>
      <c r="EA213" s="117"/>
      <c r="EB213">
        <v>9</v>
      </c>
      <c r="EC213">
        <v>10</v>
      </c>
      <c r="ED213"/>
      <c r="EE213" t="s">
        <v>1745</v>
      </c>
      <c r="EF213">
        <v>10</v>
      </c>
      <c r="EG213"/>
      <c r="EH213"/>
      <c r="EI213"/>
      <c r="EJ213"/>
      <c r="EK213"/>
      <c r="EL213"/>
      <c r="EM213"/>
      <c r="EN213"/>
      <c r="EO213"/>
      <c r="EP213"/>
      <c r="EQ213"/>
      <c r="ER213"/>
      <c r="ES213"/>
      <c r="ET213"/>
      <c r="EU213">
        <v>4750</v>
      </c>
      <c r="EV213"/>
      <c r="EW213">
        <v>0</v>
      </c>
      <c r="EX213">
        <v>0</v>
      </c>
      <c r="EY213">
        <v>0</v>
      </c>
      <c r="EZ213"/>
      <c r="FA213">
        <v>6.3</v>
      </c>
      <c r="FB213"/>
      <c r="FC213"/>
      <c r="FD213"/>
      <c r="FE213"/>
      <c r="FF213"/>
      <c r="FG213" s="94">
        <v>274</v>
      </c>
      <c r="FH213" s="94">
        <v>210</v>
      </c>
      <c r="FI213" s="94">
        <v>245</v>
      </c>
    </row>
    <row r="214" spans="1:165" s="66" customFormat="1" x14ac:dyDescent="0.35">
      <c r="A214">
        <v>2026</v>
      </c>
      <c r="B214" t="s">
        <v>400</v>
      </c>
      <c r="C214" s="112" t="s">
        <v>561</v>
      </c>
      <c r="D214" t="s">
        <v>1744</v>
      </c>
      <c r="E214" t="s">
        <v>403</v>
      </c>
      <c r="F214">
        <v>35</v>
      </c>
      <c r="G214" s="113">
        <v>0</v>
      </c>
      <c r="H214"/>
      <c r="I214" t="s">
        <v>1391</v>
      </c>
      <c r="J214">
        <v>26</v>
      </c>
      <c r="K214">
        <v>34</v>
      </c>
      <c r="L214">
        <v>29</v>
      </c>
      <c r="M214">
        <v>17.4483</v>
      </c>
      <c r="N214">
        <v>22.937799999999999</v>
      </c>
      <c r="O214">
        <v>19.918600000000001</v>
      </c>
      <c r="P214">
        <v>26</v>
      </c>
      <c r="Q214">
        <v>34</v>
      </c>
      <c r="R214">
        <v>29</v>
      </c>
      <c r="S214"/>
      <c r="T214"/>
      <c r="U214"/>
      <c r="V214" t="s">
        <v>170</v>
      </c>
      <c r="W214" t="s">
        <v>171</v>
      </c>
      <c r="X214" t="s">
        <v>1466</v>
      </c>
      <c r="Y214">
        <v>1</v>
      </c>
      <c r="Z214" t="s">
        <v>173</v>
      </c>
      <c r="AA214" t="s">
        <v>173</v>
      </c>
      <c r="AB214" t="s">
        <v>174</v>
      </c>
      <c r="AC214" t="s">
        <v>175</v>
      </c>
      <c r="AD214"/>
      <c r="AE214"/>
      <c r="AF214">
        <v>245</v>
      </c>
      <c r="AG214" t="s">
        <v>1392</v>
      </c>
      <c r="AH214" t="s">
        <v>1393</v>
      </c>
      <c r="AI214" t="s">
        <v>1399</v>
      </c>
      <c r="AJ214" t="s">
        <v>1400</v>
      </c>
      <c r="AK214">
        <v>4</v>
      </c>
      <c r="AL214" t="s">
        <v>1394</v>
      </c>
      <c r="AM214"/>
      <c r="AN214"/>
      <c r="AO214"/>
      <c r="AP214"/>
      <c r="AQ214"/>
      <c r="AR214"/>
      <c r="AS214">
        <v>750</v>
      </c>
      <c r="AT214">
        <v>750</v>
      </c>
      <c r="AU214"/>
      <c r="AV214"/>
      <c r="AW214"/>
      <c r="AX214"/>
      <c r="AY214"/>
      <c r="AZ214"/>
      <c r="BA214"/>
      <c r="BB214"/>
      <c r="BC214"/>
      <c r="BD214"/>
      <c r="BE214"/>
      <c r="BF214"/>
      <c r="BG214"/>
      <c r="BH214"/>
      <c r="BI214"/>
      <c r="BJ214"/>
      <c r="BK214"/>
      <c r="BL214"/>
      <c r="BM214"/>
      <c r="BN214" s="114"/>
      <c r="BO214"/>
      <c r="BP214"/>
      <c r="BQ214">
        <v>30</v>
      </c>
      <c r="BR214" t="s">
        <v>798</v>
      </c>
      <c r="BS214"/>
      <c r="BT214" t="s">
        <v>1395</v>
      </c>
      <c r="BU214" s="115">
        <v>45870</v>
      </c>
      <c r="BV214">
        <v>37302</v>
      </c>
      <c r="BW214" s="116"/>
      <c r="BX214" t="s">
        <v>173</v>
      </c>
      <c r="BY214" t="s">
        <v>173</v>
      </c>
      <c r="BZ214"/>
      <c r="CA214"/>
      <c r="CB214" t="s">
        <v>173</v>
      </c>
      <c r="CC214" t="s">
        <v>173</v>
      </c>
      <c r="CD214"/>
      <c r="CE214"/>
      <c r="CF214"/>
      <c r="CG214"/>
      <c r="CH214"/>
      <c r="CI214"/>
      <c r="CJ214"/>
      <c r="CK214" t="s">
        <v>259</v>
      </c>
      <c r="CL214"/>
      <c r="CM214">
        <v>1</v>
      </c>
      <c r="CN214" t="s">
        <v>260</v>
      </c>
      <c r="CO214"/>
      <c r="CP214">
        <v>523</v>
      </c>
      <c r="CQ214">
        <v>120.6</v>
      </c>
      <c r="CR214">
        <v>168.9</v>
      </c>
      <c r="CS214" t="s">
        <v>1437</v>
      </c>
      <c r="CT214"/>
      <c r="CU214"/>
      <c r="CV214" t="s">
        <v>262</v>
      </c>
      <c r="CW214"/>
      <c r="CX214" t="s">
        <v>702</v>
      </c>
      <c r="CY214" t="s">
        <v>172</v>
      </c>
      <c r="CZ214"/>
      <c r="DA214"/>
      <c r="DB214"/>
      <c r="DC214" t="s">
        <v>1497</v>
      </c>
      <c r="DD214">
        <v>1</v>
      </c>
      <c r="DE214" t="s">
        <v>307</v>
      </c>
      <c r="DF214" t="s">
        <v>1498</v>
      </c>
      <c r="DG214">
        <v>125</v>
      </c>
      <c r="DH214"/>
      <c r="DI214"/>
      <c r="DJ214"/>
      <c r="DK214"/>
      <c r="DL214" t="s">
        <v>173</v>
      </c>
      <c r="DM214" t="s">
        <v>172</v>
      </c>
      <c r="DN214"/>
      <c r="DO214"/>
      <c r="DP214" t="s">
        <v>173</v>
      </c>
      <c r="DQ214" t="s">
        <v>189</v>
      </c>
      <c r="DR214"/>
      <c r="DS214"/>
      <c r="DT214"/>
      <c r="DU214"/>
      <c r="DV214"/>
      <c r="DW214"/>
      <c r="DX214"/>
      <c r="DY214"/>
      <c r="DZ214"/>
      <c r="EA214" s="117"/>
      <c r="EB214">
        <v>9</v>
      </c>
      <c r="EC214">
        <v>10</v>
      </c>
      <c r="ED214"/>
      <c r="EE214" t="s">
        <v>1745</v>
      </c>
      <c r="EF214">
        <v>10</v>
      </c>
      <c r="EG214"/>
      <c r="EH214"/>
      <c r="EI214"/>
      <c r="EJ214"/>
      <c r="EK214"/>
      <c r="EL214"/>
      <c r="EM214"/>
      <c r="EN214"/>
      <c r="EO214"/>
      <c r="EP214"/>
      <c r="EQ214"/>
      <c r="ER214"/>
      <c r="ES214"/>
      <c r="ET214"/>
      <c r="EU214">
        <v>4750</v>
      </c>
      <c r="EV214"/>
      <c r="EW214">
        <v>0</v>
      </c>
      <c r="EX214">
        <v>0</v>
      </c>
      <c r="EY214">
        <v>0</v>
      </c>
      <c r="EZ214"/>
      <c r="FA214">
        <v>6.3</v>
      </c>
      <c r="FB214"/>
      <c r="FC214"/>
      <c r="FD214"/>
      <c r="FE214"/>
      <c r="FF214"/>
      <c r="FG214" s="94">
        <v>274</v>
      </c>
      <c r="FH214" s="94">
        <v>210</v>
      </c>
      <c r="FI214" s="94">
        <v>245</v>
      </c>
    </row>
    <row r="215" spans="1:165" s="66" customFormat="1" x14ac:dyDescent="0.35">
      <c r="A215" s="19"/>
      <c r="B215" s="19"/>
      <c r="C215" s="19"/>
      <c r="D215" s="19"/>
      <c r="E215" s="19"/>
      <c r="F215" s="128"/>
      <c r="G215" s="19"/>
      <c r="H215" s="19"/>
      <c r="I215" s="19"/>
      <c r="J215" s="19"/>
      <c r="K215" s="19" t="str">
        <f>_xlfn.CONCAT(A216," ",C216," ",D216)</f>
        <v>2026 HYUNDAI MOTOR COMPANY Ioniq 5 AWD (19inch Wheels)</v>
      </c>
      <c r="L215" s="19"/>
      <c r="M215" s="19"/>
      <c r="N215" s="19"/>
      <c r="O215" s="19"/>
      <c r="P215" s="19"/>
      <c r="Q215" s="19"/>
      <c r="R215" s="19"/>
      <c r="S215" s="19"/>
      <c r="T215" s="19"/>
      <c r="U215" s="19"/>
      <c r="V215" s="19"/>
      <c r="W215" s="19"/>
      <c r="X215" s="19"/>
      <c r="Y215" s="19"/>
      <c r="Z215" s="19"/>
      <c r="AA215" s="19"/>
      <c r="AB215" s="19" t="str">
        <f>$K215</f>
        <v>2026 HYUNDAI MOTOR COMPANY Ioniq 5 AWD (19inch Wheels)</v>
      </c>
      <c r="AC215" s="19"/>
      <c r="AD215" s="19"/>
      <c r="AE215" s="19"/>
      <c r="AF215" s="19"/>
      <c r="AG215" s="19"/>
      <c r="AH215" s="19"/>
      <c r="AI215" s="19"/>
      <c r="AJ215" s="19"/>
      <c r="AK215" s="19"/>
      <c r="AL215" s="19"/>
      <c r="AM215" s="19"/>
      <c r="AN215" s="19"/>
      <c r="AO215" s="19"/>
      <c r="AP215" s="19"/>
      <c r="AQ215" s="19"/>
      <c r="AR215" s="19" t="str">
        <f>$K215</f>
        <v>2026 HYUNDAI MOTOR COMPANY Ioniq 5 AWD (19inch Wheels)</v>
      </c>
      <c r="AS215" s="19"/>
      <c r="AT215" s="19"/>
      <c r="AU215" s="19"/>
      <c r="AV215" s="19"/>
      <c r="AW215" s="19"/>
      <c r="AX215" s="19"/>
      <c r="AY215" s="19"/>
      <c r="AZ215" s="19"/>
      <c r="BA215" s="19"/>
      <c r="BB215" s="19"/>
      <c r="BC215" s="19"/>
      <c r="BD215" s="19"/>
      <c r="BE215" s="19"/>
      <c r="BF215" s="19"/>
      <c r="BG215" s="19" t="str">
        <f>$K215</f>
        <v>2026 HYUNDAI MOTOR COMPANY Ioniq 5 AWD (19inch Wheels)</v>
      </c>
      <c r="BH215" s="19"/>
      <c r="BI215" s="19"/>
      <c r="BJ215" s="19"/>
      <c r="BK215" s="19"/>
      <c r="BL215" s="19"/>
      <c r="BM215" s="129"/>
      <c r="BN215" s="19"/>
      <c r="BO215" s="19"/>
      <c r="BP215" s="19"/>
      <c r="BQ215" s="19"/>
      <c r="BR215" s="19"/>
      <c r="BS215" s="19"/>
      <c r="BT215" s="130"/>
      <c r="BU215" s="19"/>
      <c r="BV215" s="19"/>
      <c r="BW215" s="116"/>
      <c r="BX215" s="19"/>
      <c r="BY215" s="19"/>
      <c r="BZ215" s="19"/>
      <c r="CA215" s="19"/>
      <c r="CB215" s="19"/>
      <c r="CC215" s="19"/>
      <c r="CD215" s="19"/>
      <c r="CE215" s="19"/>
      <c r="CF215" s="19"/>
      <c r="CG215" s="19"/>
      <c r="CH215" s="19"/>
      <c r="CI215" s="19"/>
      <c r="CJ215" s="19"/>
      <c r="CK215" s="19"/>
      <c r="CL215" s="19"/>
      <c r="CM215" s="19" t="str">
        <f>$K215</f>
        <v>2026 HYUNDAI MOTOR COMPANY Ioniq 5 AWD (19inch Wheels)</v>
      </c>
      <c r="CN215" s="19"/>
      <c r="CO215" s="19"/>
      <c r="CP215" s="19"/>
      <c r="CQ215" s="19"/>
      <c r="CR215" s="19"/>
      <c r="CS215" s="19"/>
      <c r="CT215" s="19"/>
      <c r="CU215" s="19"/>
      <c r="CV215" s="19"/>
      <c r="CW215" s="19"/>
      <c r="CX215" s="19"/>
      <c r="CY215" s="19"/>
      <c r="CZ215" s="19"/>
      <c r="DA215" s="19"/>
      <c r="DB215" s="19"/>
      <c r="DC215" s="19"/>
      <c r="DD215" s="19" t="str">
        <f>$K215</f>
        <v>2026 HYUNDAI MOTOR COMPANY Ioniq 5 AWD (19inch Wheels)</v>
      </c>
      <c r="DE215" s="19"/>
      <c r="DF215" s="19"/>
      <c r="DG215" s="19"/>
      <c r="DH215" s="19"/>
      <c r="DI215" s="19"/>
      <c r="DJ215" s="19"/>
      <c r="DK215" s="19"/>
      <c r="DL215" s="19"/>
      <c r="DM215" s="19"/>
      <c r="DN215" s="19"/>
      <c r="DO215" s="19"/>
      <c r="DP215" s="19"/>
      <c r="DQ215" s="19"/>
      <c r="DR215" s="19"/>
      <c r="DS215" s="19"/>
      <c r="DT215" s="19"/>
      <c r="DU215" s="19" t="str">
        <f>$K215</f>
        <v>2026 HYUNDAI MOTOR COMPANY Ioniq 5 AWD (19inch Wheels)</v>
      </c>
      <c r="DV215" s="19"/>
      <c r="DW215" s="19"/>
      <c r="DX215" s="19"/>
      <c r="DY215" s="19"/>
      <c r="DZ215" s="19"/>
      <c r="EA215" s="117"/>
      <c r="EB215" s="19"/>
      <c r="EC215" s="19"/>
      <c r="ED215" s="19"/>
      <c r="EE215" s="19"/>
      <c r="EF215" s="19"/>
      <c r="EG215"/>
      <c r="EH215"/>
      <c r="EI215"/>
      <c r="EJ215"/>
      <c r="EK215"/>
      <c r="EL215"/>
      <c r="EM215"/>
      <c r="EN215"/>
      <c r="EO215"/>
      <c r="EP215"/>
      <c r="EQ215"/>
      <c r="ER215"/>
      <c r="ES215"/>
      <c r="ET215"/>
      <c r="EU215"/>
      <c r="EV215"/>
      <c r="EW215"/>
      <c r="EX215" s="19" t="s">
        <v>1990</v>
      </c>
      <c r="EY215"/>
      <c r="EZ215"/>
      <c r="FA215"/>
      <c r="FB215"/>
      <c r="FC215"/>
      <c r="FD215"/>
      <c r="FE215"/>
      <c r="FF215"/>
      <c r="FG215"/>
      <c r="FH215"/>
      <c r="FI215"/>
    </row>
    <row r="216" spans="1:165" s="66" customFormat="1" x14ac:dyDescent="0.35">
      <c r="A216">
        <v>2026</v>
      </c>
      <c r="B216" t="s">
        <v>400</v>
      </c>
      <c r="C216" s="112" t="s">
        <v>561</v>
      </c>
      <c r="D216" t="s">
        <v>1761</v>
      </c>
      <c r="E216" t="s">
        <v>403</v>
      </c>
      <c r="F216">
        <v>33</v>
      </c>
      <c r="G216" s="113">
        <v>0</v>
      </c>
      <c r="H216"/>
      <c r="I216" t="s">
        <v>1391</v>
      </c>
      <c r="J216">
        <v>116</v>
      </c>
      <c r="K216">
        <v>96</v>
      </c>
      <c r="L216">
        <v>106</v>
      </c>
      <c r="M216">
        <v>166.1</v>
      </c>
      <c r="N216">
        <v>137.80000000000001</v>
      </c>
      <c r="O216">
        <v>152.04820000000001</v>
      </c>
      <c r="P216">
        <v>116.27</v>
      </c>
      <c r="Q216">
        <v>96.46</v>
      </c>
      <c r="R216">
        <v>106.4337</v>
      </c>
      <c r="S216"/>
      <c r="T216"/>
      <c r="U216"/>
      <c r="V216" t="s">
        <v>170</v>
      </c>
      <c r="W216" t="s">
        <v>171</v>
      </c>
      <c r="X216" t="s">
        <v>1466</v>
      </c>
      <c r="Y216">
        <v>1</v>
      </c>
      <c r="Z216" t="s">
        <v>173</v>
      </c>
      <c r="AA216" t="s">
        <v>173</v>
      </c>
      <c r="AB216" t="s">
        <v>170</v>
      </c>
      <c r="AC216" t="s">
        <v>232</v>
      </c>
      <c r="AD216"/>
      <c r="AE216"/>
      <c r="AF216">
        <v>290</v>
      </c>
      <c r="AG216" t="s">
        <v>1392</v>
      </c>
      <c r="AH216" t="s">
        <v>1393</v>
      </c>
      <c r="AI216" t="s">
        <v>178</v>
      </c>
      <c r="AJ216" t="s">
        <v>179</v>
      </c>
      <c r="AK216">
        <v>4</v>
      </c>
      <c r="AL216" t="s">
        <v>1394</v>
      </c>
      <c r="AM216"/>
      <c r="AN216"/>
      <c r="AO216"/>
      <c r="AP216"/>
      <c r="AQ216"/>
      <c r="AR216"/>
      <c r="AS216">
        <v>800</v>
      </c>
      <c r="AT216">
        <v>800</v>
      </c>
      <c r="AU216"/>
      <c r="AV216"/>
      <c r="AW216"/>
      <c r="AX216"/>
      <c r="AY216"/>
      <c r="AZ216"/>
      <c r="BA216"/>
      <c r="BB216"/>
      <c r="BC216"/>
      <c r="BD216"/>
      <c r="BE216"/>
      <c r="BF216"/>
      <c r="BG216"/>
      <c r="BH216"/>
      <c r="BI216"/>
      <c r="BJ216"/>
      <c r="BK216"/>
      <c r="BL216"/>
      <c r="BM216"/>
      <c r="BN216" s="114"/>
      <c r="BO216"/>
      <c r="BP216"/>
      <c r="BQ216">
        <v>31</v>
      </c>
      <c r="BR216" t="s">
        <v>887</v>
      </c>
      <c r="BS216"/>
      <c r="BT216" t="s">
        <v>1395</v>
      </c>
      <c r="BU216" s="115">
        <v>45870</v>
      </c>
      <c r="BV216">
        <v>37300</v>
      </c>
      <c r="BW216" s="116"/>
      <c r="BX216" t="s">
        <v>173</v>
      </c>
      <c r="BY216" t="s">
        <v>173</v>
      </c>
      <c r="BZ216"/>
      <c r="CA216"/>
      <c r="CB216" t="s">
        <v>173</v>
      </c>
      <c r="CC216" t="s">
        <v>173</v>
      </c>
      <c r="CD216"/>
      <c r="CE216"/>
      <c r="CF216"/>
      <c r="CG216"/>
      <c r="CH216"/>
      <c r="CI216"/>
      <c r="CJ216"/>
      <c r="CK216" t="s">
        <v>259</v>
      </c>
      <c r="CL216"/>
      <c r="CM216">
        <v>1</v>
      </c>
      <c r="CN216" t="s">
        <v>260</v>
      </c>
      <c r="CO216"/>
      <c r="CP216">
        <v>697</v>
      </c>
      <c r="CQ216">
        <v>120.6</v>
      </c>
      <c r="CR216">
        <v>174.4</v>
      </c>
      <c r="CS216" t="s">
        <v>1437</v>
      </c>
      <c r="CT216"/>
      <c r="CU216"/>
      <c r="CV216" t="s">
        <v>262</v>
      </c>
      <c r="CW216"/>
      <c r="CX216" t="s">
        <v>702</v>
      </c>
      <c r="CY216" t="s">
        <v>172</v>
      </c>
      <c r="CZ216"/>
      <c r="DA216"/>
      <c r="DB216"/>
      <c r="DC216" t="s">
        <v>1497</v>
      </c>
      <c r="DD216">
        <v>2</v>
      </c>
      <c r="DE216" t="s">
        <v>307</v>
      </c>
      <c r="DF216" t="s">
        <v>1498</v>
      </c>
      <c r="DG216" t="s">
        <v>1762</v>
      </c>
      <c r="DH216"/>
      <c r="DI216"/>
      <c r="DJ216"/>
      <c r="DK216"/>
      <c r="DL216" t="s">
        <v>173</v>
      </c>
      <c r="DM216" t="s">
        <v>172</v>
      </c>
      <c r="DN216"/>
      <c r="DO216"/>
      <c r="DP216" t="s">
        <v>173</v>
      </c>
      <c r="DQ216" t="s">
        <v>189</v>
      </c>
      <c r="DR216"/>
      <c r="DS216"/>
      <c r="DT216"/>
      <c r="DU216"/>
      <c r="DV216"/>
      <c r="DW216"/>
      <c r="DX216"/>
      <c r="DY216"/>
      <c r="DZ216"/>
      <c r="EA216" s="117"/>
      <c r="EB216">
        <v>9</v>
      </c>
      <c r="EC216">
        <v>10</v>
      </c>
      <c r="ED216"/>
      <c r="EE216" t="s">
        <v>1763</v>
      </c>
      <c r="EF216">
        <v>10</v>
      </c>
      <c r="EG216"/>
      <c r="EH216"/>
      <c r="EI216"/>
      <c r="EJ216"/>
      <c r="EK216"/>
      <c r="EL216"/>
      <c r="EM216"/>
      <c r="EN216"/>
      <c r="EO216"/>
      <c r="EP216"/>
      <c r="EQ216"/>
      <c r="ER216"/>
      <c r="ES216"/>
      <c r="ET216"/>
      <c r="EU216">
        <v>4500</v>
      </c>
      <c r="EV216"/>
      <c r="EW216">
        <v>0</v>
      </c>
      <c r="EX216">
        <v>0</v>
      </c>
      <c r="EY216">
        <v>0</v>
      </c>
      <c r="EZ216"/>
      <c r="FA216">
        <v>8.1999999999999993</v>
      </c>
      <c r="FB216"/>
      <c r="FC216"/>
      <c r="FD216"/>
      <c r="FE216"/>
      <c r="FF216"/>
      <c r="FG216" s="94">
        <v>314</v>
      </c>
      <c r="FH216" s="94">
        <v>261</v>
      </c>
      <c r="FI216" s="94">
        <v>290</v>
      </c>
    </row>
    <row r="217" spans="1:165" s="66" customFormat="1" x14ac:dyDescent="0.35">
      <c r="A217">
        <v>2026</v>
      </c>
      <c r="B217" t="s">
        <v>400</v>
      </c>
      <c r="C217" s="112" t="s">
        <v>561</v>
      </c>
      <c r="D217" t="s">
        <v>1761</v>
      </c>
      <c r="E217" t="s">
        <v>403</v>
      </c>
      <c r="F217">
        <v>33</v>
      </c>
      <c r="G217" s="113">
        <v>0</v>
      </c>
      <c r="H217"/>
      <c r="I217" t="s">
        <v>1391</v>
      </c>
      <c r="J217">
        <v>29</v>
      </c>
      <c r="K217">
        <v>35</v>
      </c>
      <c r="L217">
        <v>32</v>
      </c>
      <c r="M217">
        <v>20.294499999999999</v>
      </c>
      <c r="N217">
        <v>24.461300000000001</v>
      </c>
      <c r="O217">
        <v>22.169599999999999</v>
      </c>
      <c r="P217">
        <v>28.988600000000002</v>
      </c>
      <c r="Q217">
        <v>34.941899999999997</v>
      </c>
      <c r="R217">
        <v>31.6676</v>
      </c>
      <c r="S217"/>
      <c r="T217"/>
      <c r="U217"/>
      <c r="V217" t="s">
        <v>170</v>
      </c>
      <c r="W217" t="s">
        <v>171</v>
      </c>
      <c r="X217" t="s">
        <v>1466</v>
      </c>
      <c r="Y217">
        <v>1</v>
      </c>
      <c r="Z217" t="s">
        <v>173</v>
      </c>
      <c r="AA217" t="s">
        <v>173</v>
      </c>
      <c r="AB217" t="s">
        <v>170</v>
      </c>
      <c r="AC217" t="s">
        <v>232</v>
      </c>
      <c r="AD217"/>
      <c r="AE217"/>
      <c r="AF217">
        <v>290</v>
      </c>
      <c r="AG217" t="s">
        <v>1392</v>
      </c>
      <c r="AH217" t="s">
        <v>1393</v>
      </c>
      <c r="AI217" t="s">
        <v>1399</v>
      </c>
      <c r="AJ217" t="s">
        <v>1400</v>
      </c>
      <c r="AK217">
        <v>4</v>
      </c>
      <c r="AL217" t="s">
        <v>1394</v>
      </c>
      <c r="AM217"/>
      <c r="AN217"/>
      <c r="AO217"/>
      <c r="AP217"/>
      <c r="AQ217"/>
      <c r="AR217"/>
      <c r="AS217">
        <v>800</v>
      </c>
      <c r="AT217">
        <v>800</v>
      </c>
      <c r="AU217"/>
      <c r="AV217"/>
      <c r="AW217"/>
      <c r="AX217"/>
      <c r="AY217"/>
      <c r="AZ217"/>
      <c r="BA217"/>
      <c r="BB217"/>
      <c r="BC217"/>
      <c r="BD217"/>
      <c r="BE217"/>
      <c r="BF217"/>
      <c r="BG217"/>
      <c r="BH217"/>
      <c r="BI217"/>
      <c r="BJ217"/>
      <c r="BK217"/>
      <c r="BL217"/>
      <c r="BM217"/>
      <c r="BN217" s="114"/>
      <c r="BO217"/>
      <c r="BP217"/>
      <c r="BQ217">
        <v>31</v>
      </c>
      <c r="BR217" t="s">
        <v>887</v>
      </c>
      <c r="BS217"/>
      <c r="BT217" t="s">
        <v>1395</v>
      </c>
      <c r="BU217" s="115">
        <v>45870</v>
      </c>
      <c r="BV217">
        <v>37300</v>
      </c>
      <c r="BW217" s="116"/>
      <c r="BX217" t="s">
        <v>173</v>
      </c>
      <c r="BY217" t="s">
        <v>173</v>
      </c>
      <c r="BZ217"/>
      <c r="CA217"/>
      <c r="CB217" t="s">
        <v>173</v>
      </c>
      <c r="CC217" t="s">
        <v>173</v>
      </c>
      <c r="CD217"/>
      <c r="CE217"/>
      <c r="CF217"/>
      <c r="CG217"/>
      <c r="CH217"/>
      <c r="CI217"/>
      <c r="CJ217"/>
      <c r="CK217" t="s">
        <v>259</v>
      </c>
      <c r="CL217"/>
      <c r="CM217">
        <v>1</v>
      </c>
      <c r="CN217" t="s">
        <v>260</v>
      </c>
      <c r="CO217"/>
      <c r="CP217">
        <v>697</v>
      </c>
      <c r="CQ217">
        <v>120.6</v>
      </c>
      <c r="CR217">
        <v>174.4</v>
      </c>
      <c r="CS217" t="s">
        <v>1437</v>
      </c>
      <c r="CT217"/>
      <c r="CU217"/>
      <c r="CV217" t="s">
        <v>262</v>
      </c>
      <c r="CW217"/>
      <c r="CX217" t="s">
        <v>702</v>
      </c>
      <c r="CY217" t="s">
        <v>172</v>
      </c>
      <c r="CZ217"/>
      <c r="DA217"/>
      <c r="DB217"/>
      <c r="DC217" t="s">
        <v>1497</v>
      </c>
      <c r="DD217">
        <v>2</v>
      </c>
      <c r="DE217" t="s">
        <v>307</v>
      </c>
      <c r="DF217" t="s">
        <v>1498</v>
      </c>
      <c r="DG217" t="s">
        <v>1762</v>
      </c>
      <c r="DH217"/>
      <c r="DI217"/>
      <c r="DJ217"/>
      <c r="DK217"/>
      <c r="DL217" t="s">
        <v>173</v>
      </c>
      <c r="DM217" t="s">
        <v>172</v>
      </c>
      <c r="DN217"/>
      <c r="DO217"/>
      <c r="DP217" t="s">
        <v>173</v>
      </c>
      <c r="DQ217" t="s">
        <v>189</v>
      </c>
      <c r="DR217"/>
      <c r="DS217"/>
      <c r="DT217"/>
      <c r="DU217"/>
      <c r="DV217"/>
      <c r="DW217"/>
      <c r="DX217"/>
      <c r="DY217"/>
      <c r="DZ217"/>
      <c r="EA217" s="117"/>
      <c r="EB217">
        <v>9</v>
      </c>
      <c r="EC217">
        <v>10</v>
      </c>
      <c r="ED217"/>
      <c r="EE217" t="s">
        <v>1763</v>
      </c>
      <c r="EF217">
        <v>10</v>
      </c>
      <c r="EG217"/>
      <c r="EH217"/>
      <c r="EI217"/>
      <c r="EJ217"/>
      <c r="EK217"/>
      <c r="EL217"/>
      <c r="EM217"/>
      <c r="EN217"/>
      <c r="EO217"/>
      <c r="EP217"/>
      <c r="EQ217"/>
      <c r="ER217"/>
      <c r="ES217"/>
      <c r="ET217"/>
      <c r="EU217">
        <v>4500</v>
      </c>
      <c r="EV217"/>
      <c r="EW217">
        <v>0</v>
      </c>
      <c r="EX217">
        <v>0</v>
      </c>
      <c r="EY217">
        <v>0</v>
      </c>
      <c r="EZ217"/>
      <c r="FA217">
        <v>8.1999999999999993</v>
      </c>
      <c r="FB217"/>
      <c r="FC217"/>
      <c r="FD217"/>
      <c r="FE217"/>
      <c r="FF217"/>
      <c r="FG217" s="94">
        <v>314</v>
      </c>
      <c r="FH217" s="94">
        <v>261</v>
      </c>
      <c r="FI217" s="94">
        <v>290</v>
      </c>
    </row>
    <row r="218" spans="1:165" s="66" customFormat="1" x14ac:dyDescent="0.35">
      <c r="A218" s="19"/>
      <c r="B218" s="19"/>
      <c r="C218" s="19"/>
      <c r="D218" s="19"/>
      <c r="E218" s="19"/>
      <c r="F218" s="128"/>
      <c r="G218" s="19"/>
      <c r="H218" s="19"/>
      <c r="I218" s="19"/>
      <c r="J218" s="19"/>
      <c r="K218" s="19" t="str">
        <f>_xlfn.CONCAT(A219," ",C219," ",D219)</f>
        <v>2026 HYUNDAI MOTOR COMPANY Ioniq 5 AWD (20inch Wheels)</v>
      </c>
      <c r="L218" s="19"/>
      <c r="M218" s="19"/>
      <c r="N218" s="19"/>
      <c r="O218" s="19"/>
      <c r="P218" s="19"/>
      <c r="Q218" s="19"/>
      <c r="R218" s="19"/>
      <c r="S218" s="19"/>
      <c r="T218" s="19"/>
      <c r="U218" s="19"/>
      <c r="V218" s="19"/>
      <c r="W218" s="19"/>
      <c r="X218" s="19"/>
      <c r="Y218" s="19"/>
      <c r="Z218" s="19"/>
      <c r="AA218" s="19"/>
      <c r="AB218" s="19" t="str">
        <f>$K218</f>
        <v>2026 HYUNDAI MOTOR COMPANY Ioniq 5 AWD (20inch Wheels)</v>
      </c>
      <c r="AC218" s="19"/>
      <c r="AD218" s="19"/>
      <c r="AE218" s="19"/>
      <c r="AF218" s="19"/>
      <c r="AG218" s="19"/>
      <c r="AH218" s="19"/>
      <c r="AI218" s="19"/>
      <c r="AJ218" s="19"/>
      <c r="AK218" s="19"/>
      <c r="AL218" s="19"/>
      <c r="AM218" s="19"/>
      <c r="AN218" s="19"/>
      <c r="AO218" s="19"/>
      <c r="AP218" s="19"/>
      <c r="AQ218" s="19"/>
      <c r="AR218" s="19" t="str">
        <f>$K218</f>
        <v>2026 HYUNDAI MOTOR COMPANY Ioniq 5 AWD (20inch Wheels)</v>
      </c>
      <c r="AS218" s="19"/>
      <c r="AT218" s="19"/>
      <c r="AU218" s="19"/>
      <c r="AV218" s="19"/>
      <c r="AW218" s="19"/>
      <c r="AX218" s="19"/>
      <c r="AY218" s="19"/>
      <c r="AZ218" s="19"/>
      <c r="BA218" s="19"/>
      <c r="BB218" s="19"/>
      <c r="BC218" s="19"/>
      <c r="BD218" s="19"/>
      <c r="BE218" s="19"/>
      <c r="BF218" s="19"/>
      <c r="BG218" s="19" t="str">
        <f>$K218</f>
        <v>2026 HYUNDAI MOTOR COMPANY Ioniq 5 AWD (20inch Wheels)</v>
      </c>
      <c r="BH218" s="19"/>
      <c r="BI218" s="19"/>
      <c r="BJ218" s="19"/>
      <c r="BK218" s="19"/>
      <c r="BL218" s="19"/>
      <c r="BM218" s="129"/>
      <c r="BN218" s="19"/>
      <c r="BO218" s="19"/>
      <c r="BP218" s="19"/>
      <c r="BQ218" s="19"/>
      <c r="BR218" s="19"/>
      <c r="BS218" s="19"/>
      <c r="BT218" s="130"/>
      <c r="BU218" s="19"/>
      <c r="BV218" s="19"/>
      <c r="BW218" s="116"/>
      <c r="BX218" s="19"/>
      <c r="BY218" s="19"/>
      <c r="BZ218" s="19"/>
      <c r="CA218" s="19"/>
      <c r="CB218" s="19"/>
      <c r="CC218" s="19"/>
      <c r="CD218" s="19"/>
      <c r="CE218" s="19"/>
      <c r="CF218" s="19"/>
      <c r="CG218" s="19"/>
      <c r="CH218" s="19"/>
      <c r="CI218" s="19"/>
      <c r="CJ218" s="19"/>
      <c r="CK218" s="19"/>
      <c r="CL218" s="19"/>
      <c r="CM218" s="19" t="str">
        <f>$K218</f>
        <v>2026 HYUNDAI MOTOR COMPANY Ioniq 5 AWD (20inch Wheels)</v>
      </c>
      <c r="CN218" s="19"/>
      <c r="CO218" s="19"/>
      <c r="CP218" s="19"/>
      <c r="CQ218" s="19"/>
      <c r="CR218" s="19"/>
      <c r="CS218" s="19"/>
      <c r="CT218" s="19"/>
      <c r="CU218" s="19"/>
      <c r="CV218" s="19"/>
      <c r="CW218" s="19"/>
      <c r="CX218" s="19"/>
      <c r="CY218" s="19"/>
      <c r="CZ218" s="19"/>
      <c r="DA218" s="19"/>
      <c r="DB218" s="19"/>
      <c r="DC218" s="19"/>
      <c r="DD218" s="19" t="str">
        <f>$K218</f>
        <v>2026 HYUNDAI MOTOR COMPANY Ioniq 5 AWD (20inch Wheels)</v>
      </c>
      <c r="DE218" s="19"/>
      <c r="DF218" s="19"/>
      <c r="DG218" s="19"/>
      <c r="DH218" s="19"/>
      <c r="DI218" s="19"/>
      <c r="DJ218" s="19"/>
      <c r="DK218" s="19"/>
      <c r="DL218" s="19"/>
      <c r="DM218" s="19"/>
      <c r="DN218" s="19"/>
      <c r="DO218" s="19"/>
      <c r="DP218" s="19"/>
      <c r="DQ218" s="19"/>
      <c r="DR218" s="19"/>
      <c r="DS218" s="19"/>
      <c r="DT218" s="19"/>
      <c r="DU218" s="19" t="str">
        <f>$K218</f>
        <v>2026 HYUNDAI MOTOR COMPANY Ioniq 5 AWD (20inch Wheels)</v>
      </c>
      <c r="DV218" s="19"/>
      <c r="DW218" s="19"/>
      <c r="DX218" s="19"/>
      <c r="DY218" s="19"/>
      <c r="DZ218" s="19"/>
      <c r="EA218" s="117"/>
      <c r="EB218" s="19"/>
      <c r="EC218" s="19"/>
      <c r="ED218" s="19"/>
      <c r="EE218" s="19"/>
      <c r="EF218" s="19"/>
      <c r="EG218"/>
      <c r="EH218"/>
      <c r="EI218"/>
      <c r="EJ218"/>
      <c r="EK218"/>
      <c r="EL218"/>
      <c r="EM218"/>
      <c r="EN218"/>
      <c r="EO218"/>
      <c r="EP218"/>
      <c r="EQ218"/>
      <c r="ER218"/>
      <c r="ES218"/>
      <c r="ET218"/>
      <c r="EU218"/>
      <c r="EV218"/>
      <c r="EW218"/>
      <c r="EX218" s="19" t="s">
        <v>1991</v>
      </c>
      <c r="EY218"/>
      <c r="EZ218"/>
      <c r="FA218"/>
      <c r="FB218"/>
      <c r="FC218"/>
      <c r="FD218"/>
      <c r="FE218"/>
      <c r="FF218"/>
      <c r="FG218"/>
      <c r="FH218"/>
      <c r="FI218"/>
    </row>
    <row r="219" spans="1:165" s="66" customFormat="1" x14ac:dyDescent="0.35">
      <c r="A219">
        <v>2026</v>
      </c>
      <c r="B219" t="s">
        <v>400</v>
      </c>
      <c r="C219" s="112" t="s">
        <v>561</v>
      </c>
      <c r="D219" t="s">
        <v>1764</v>
      </c>
      <c r="E219" t="s">
        <v>403</v>
      </c>
      <c r="F219">
        <v>78</v>
      </c>
      <c r="G219" s="113">
        <v>0</v>
      </c>
      <c r="H219"/>
      <c r="I219" t="s">
        <v>1391</v>
      </c>
      <c r="J219">
        <v>108</v>
      </c>
      <c r="K219">
        <v>88</v>
      </c>
      <c r="L219">
        <v>98</v>
      </c>
      <c r="M219">
        <v>154.30000000000001</v>
      </c>
      <c r="N219">
        <v>125</v>
      </c>
      <c r="O219">
        <v>139.57740000000001</v>
      </c>
      <c r="P219">
        <v>108.01</v>
      </c>
      <c r="Q219">
        <v>87.5</v>
      </c>
      <c r="R219">
        <v>97.7042</v>
      </c>
      <c r="S219"/>
      <c r="T219"/>
      <c r="U219"/>
      <c r="V219" t="s">
        <v>170</v>
      </c>
      <c r="W219" t="s">
        <v>171</v>
      </c>
      <c r="X219" t="s">
        <v>1466</v>
      </c>
      <c r="Y219">
        <v>1</v>
      </c>
      <c r="Z219" t="s">
        <v>173</v>
      </c>
      <c r="AA219" t="s">
        <v>173</v>
      </c>
      <c r="AB219" t="s">
        <v>170</v>
      </c>
      <c r="AC219" t="s">
        <v>232</v>
      </c>
      <c r="AD219"/>
      <c r="AE219"/>
      <c r="AF219">
        <v>269</v>
      </c>
      <c r="AG219" t="s">
        <v>1392</v>
      </c>
      <c r="AH219" t="s">
        <v>1393</v>
      </c>
      <c r="AI219" t="s">
        <v>178</v>
      </c>
      <c r="AJ219" t="s">
        <v>179</v>
      </c>
      <c r="AK219">
        <v>4</v>
      </c>
      <c r="AL219" t="s">
        <v>1394</v>
      </c>
      <c r="AM219"/>
      <c r="AN219"/>
      <c r="AO219"/>
      <c r="AP219"/>
      <c r="AQ219"/>
      <c r="AR219"/>
      <c r="AS219">
        <v>900</v>
      </c>
      <c r="AT219">
        <v>900</v>
      </c>
      <c r="AU219"/>
      <c r="AV219"/>
      <c r="AW219"/>
      <c r="AX219"/>
      <c r="AY219"/>
      <c r="AZ219"/>
      <c r="BA219"/>
      <c r="BB219"/>
      <c r="BC219"/>
      <c r="BD219"/>
      <c r="BE219"/>
      <c r="BF219"/>
      <c r="BG219"/>
      <c r="BH219"/>
      <c r="BI219"/>
      <c r="BJ219"/>
      <c r="BK219"/>
      <c r="BL219"/>
      <c r="BM219"/>
      <c r="BN219" s="114"/>
      <c r="BO219"/>
      <c r="BP219"/>
      <c r="BQ219">
        <v>31</v>
      </c>
      <c r="BR219" t="s">
        <v>887</v>
      </c>
      <c r="BS219"/>
      <c r="BT219" t="s">
        <v>1395</v>
      </c>
      <c r="BU219" s="115">
        <v>45870</v>
      </c>
      <c r="BV219">
        <v>37304</v>
      </c>
      <c r="BW219" s="116"/>
      <c r="BX219" t="s">
        <v>173</v>
      </c>
      <c r="BY219" t="s">
        <v>173</v>
      </c>
      <c r="BZ219"/>
      <c r="CA219"/>
      <c r="CB219" t="s">
        <v>173</v>
      </c>
      <c r="CC219" t="s">
        <v>173</v>
      </c>
      <c r="CD219"/>
      <c r="CE219"/>
      <c r="CF219"/>
      <c r="CG219"/>
      <c r="CH219"/>
      <c r="CI219"/>
      <c r="CJ219"/>
      <c r="CK219" t="s">
        <v>259</v>
      </c>
      <c r="CL219"/>
      <c r="CM219">
        <v>1</v>
      </c>
      <c r="CN219" t="s">
        <v>260</v>
      </c>
      <c r="CO219"/>
      <c r="CP219">
        <v>697</v>
      </c>
      <c r="CQ219">
        <v>120.6</v>
      </c>
      <c r="CR219">
        <v>174.4</v>
      </c>
      <c r="CS219" t="s">
        <v>1437</v>
      </c>
      <c r="CT219"/>
      <c r="CU219"/>
      <c r="CV219" t="s">
        <v>262</v>
      </c>
      <c r="CW219"/>
      <c r="CX219" t="s">
        <v>702</v>
      </c>
      <c r="CY219" t="s">
        <v>172</v>
      </c>
      <c r="CZ219"/>
      <c r="DA219"/>
      <c r="DB219"/>
      <c r="DC219" t="s">
        <v>1497</v>
      </c>
      <c r="DD219">
        <v>2</v>
      </c>
      <c r="DE219" t="s">
        <v>307</v>
      </c>
      <c r="DF219" t="s">
        <v>1498</v>
      </c>
      <c r="DG219" t="s">
        <v>1762</v>
      </c>
      <c r="DH219"/>
      <c r="DI219"/>
      <c r="DJ219"/>
      <c r="DK219"/>
      <c r="DL219" t="s">
        <v>173</v>
      </c>
      <c r="DM219" t="s">
        <v>172</v>
      </c>
      <c r="DN219"/>
      <c r="DO219"/>
      <c r="DP219" t="s">
        <v>173</v>
      </c>
      <c r="DQ219" t="s">
        <v>189</v>
      </c>
      <c r="DR219"/>
      <c r="DS219"/>
      <c r="DT219"/>
      <c r="DU219"/>
      <c r="DV219"/>
      <c r="DW219"/>
      <c r="DX219"/>
      <c r="DY219"/>
      <c r="DZ219"/>
      <c r="EA219" s="117"/>
      <c r="EB219">
        <v>9</v>
      </c>
      <c r="EC219">
        <v>10</v>
      </c>
      <c r="ED219"/>
      <c r="EE219" t="s">
        <v>1763</v>
      </c>
      <c r="EF219">
        <v>10</v>
      </c>
      <c r="EG219"/>
      <c r="EH219"/>
      <c r="EI219"/>
      <c r="EJ219"/>
      <c r="EK219"/>
      <c r="EL219"/>
      <c r="EM219"/>
      <c r="EN219"/>
      <c r="EO219"/>
      <c r="EP219"/>
      <c r="EQ219"/>
      <c r="ER219"/>
      <c r="ES219"/>
      <c r="ET219"/>
      <c r="EU219">
        <v>4000</v>
      </c>
      <c r="EV219"/>
      <c r="EW219">
        <v>0</v>
      </c>
      <c r="EX219">
        <v>0</v>
      </c>
      <c r="EY219">
        <v>0</v>
      </c>
      <c r="EZ219"/>
      <c r="FA219">
        <v>8.1999999999999993</v>
      </c>
      <c r="FB219"/>
      <c r="FC219"/>
      <c r="FD219"/>
      <c r="FE219"/>
      <c r="FF219"/>
      <c r="FG219" s="94">
        <v>294</v>
      </c>
      <c r="FH219" s="94">
        <v>238</v>
      </c>
      <c r="FI219" s="94">
        <v>269</v>
      </c>
    </row>
    <row r="220" spans="1:165" s="66" customFormat="1" x14ac:dyDescent="0.35">
      <c r="A220">
        <v>2026</v>
      </c>
      <c r="B220" t="s">
        <v>400</v>
      </c>
      <c r="C220" s="112" t="s">
        <v>561</v>
      </c>
      <c r="D220" t="s">
        <v>1764</v>
      </c>
      <c r="E220" t="s">
        <v>403</v>
      </c>
      <c r="F220">
        <v>78</v>
      </c>
      <c r="G220" s="113">
        <v>0</v>
      </c>
      <c r="H220"/>
      <c r="I220" t="s">
        <v>1391</v>
      </c>
      <c r="J220">
        <v>31</v>
      </c>
      <c r="K220">
        <v>39</v>
      </c>
      <c r="L220">
        <v>34</v>
      </c>
      <c r="M220">
        <v>21.847100000000001</v>
      </c>
      <c r="N220">
        <v>26.953499999999998</v>
      </c>
      <c r="O220">
        <v>24.145</v>
      </c>
      <c r="P220">
        <v>31.205400000000001</v>
      </c>
      <c r="Q220">
        <v>38.520000000000003</v>
      </c>
      <c r="R220">
        <v>34.497</v>
      </c>
      <c r="S220"/>
      <c r="T220"/>
      <c r="U220"/>
      <c r="V220" t="s">
        <v>170</v>
      </c>
      <c r="W220" t="s">
        <v>171</v>
      </c>
      <c r="X220" t="s">
        <v>1466</v>
      </c>
      <c r="Y220">
        <v>1</v>
      </c>
      <c r="Z220" t="s">
        <v>173</v>
      </c>
      <c r="AA220" t="s">
        <v>173</v>
      </c>
      <c r="AB220" t="s">
        <v>170</v>
      </c>
      <c r="AC220" t="s">
        <v>232</v>
      </c>
      <c r="AD220"/>
      <c r="AE220"/>
      <c r="AF220">
        <v>269</v>
      </c>
      <c r="AG220" t="s">
        <v>1392</v>
      </c>
      <c r="AH220" t="s">
        <v>1393</v>
      </c>
      <c r="AI220" t="s">
        <v>1399</v>
      </c>
      <c r="AJ220" t="s">
        <v>1400</v>
      </c>
      <c r="AK220">
        <v>4</v>
      </c>
      <c r="AL220" t="s">
        <v>1394</v>
      </c>
      <c r="AM220"/>
      <c r="AN220"/>
      <c r="AO220"/>
      <c r="AP220"/>
      <c r="AQ220"/>
      <c r="AR220"/>
      <c r="AS220">
        <v>900</v>
      </c>
      <c r="AT220">
        <v>900</v>
      </c>
      <c r="AU220"/>
      <c r="AV220"/>
      <c r="AW220"/>
      <c r="AX220"/>
      <c r="AY220"/>
      <c r="AZ220"/>
      <c r="BA220"/>
      <c r="BB220"/>
      <c r="BC220"/>
      <c r="BD220"/>
      <c r="BE220"/>
      <c r="BF220"/>
      <c r="BG220"/>
      <c r="BH220"/>
      <c r="BI220"/>
      <c r="BJ220"/>
      <c r="BK220"/>
      <c r="BL220"/>
      <c r="BM220"/>
      <c r="BN220" s="114"/>
      <c r="BO220"/>
      <c r="BP220"/>
      <c r="BQ220">
        <v>31</v>
      </c>
      <c r="BR220" t="s">
        <v>887</v>
      </c>
      <c r="BS220"/>
      <c r="BT220" t="s">
        <v>1395</v>
      </c>
      <c r="BU220" s="115">
        <v>45870</v>
      </c>
      <c r="BV220">
        <v>37304</v>
      </c>
      <c r="BW220" s="116"/>
      <c r="BX220" t="s">
        <v>173</v>
      </c>
      <c r="BY220" t="s">
        <v>173</v>
      </c>
      <c r="BZ220"/>
      <c r="CA220"/>
      <c r="CB220" t="s">
        <v>173</v>
      </c>
      <c r="CC220" t="s">
        <v>173</v>
      </c>
      <c r="CD220"/>
      <c r="CE220"/>
      <c r="CF220"/>
      <c r="CG220"/>
      <c r="CH220"/>
      <c r="CI220"/>
      <c r="CJ220"/>
      <c r="CK220" t="s">
        <v>259</v>
      </c>
      <c r="CL220"/>
      <c r="CM220">
        <v>1</v>
      </c>
      <c r="CN220" t="s">
        <v>260</v>
      </c>
      <c r="CO220"/>
      <c r="CP220">
        <v>697</v>
      </c>
      <c r="CQ220">
        <v>120.6</v>
      </c>
      <c r="CR220">
        <v>174.4</v>
      </c>
      <c r="CS220" t="s">
        <v>1437</v>
      </c>
      <c r="CT220"/>
      <c r="CU220"/>
      <c r="CV220" t="s">
        <v>262</v>
      </c>
      <c r="CW220"/>
      <c r="CX220" t="s">
        <v>702</v>
      </c>
      <c r="CY220" t="s">
        <v>172</v>
      </c>
      <c r="CZ220"/>
      <c r="DA220"/>
      <c r="DB220"/>
      <c r="DC220" t="s">
        <v>1497</v>
      </c>
      <c r="DD220">
        <v>2</v>
      </c>
      <c r="DE220" t="s">
        <v>307</v>
      </c>
      <c r="DF220" t="s">
        <v>1498</v>
      </c>
      <c r="DG220" t="s">
        <v>1762</v>
      </c>
      <c r="DH220"/>
      <c r="DI220"/>
      <c r="DJ220"/>
      <c r="DK220"/>
      <c r="DL220" t="s">
        <v>173</v>
      </c>
      <c r="DM220" t="s">
        <v>172</v>
      </c>
      <c r="DN220"/>
      <c r="DO220"/>
      <c r="DP220" t="s">
        <v>173</v>
      </c>
      <c r="DQ220" t="s">
        <v>189</v>
      </c>
      <c r="DR220"/>
      <c r="DS220"/>
      <c r="DT220"/>
      <c r="DU220"/>
      <c r="DV220"/>
      <c r="DW220"/>
      <c r="DX220"/>
      <c r="DY220"/>
      <c r="DZ220"/>
      <c r="EA220" s="117"/>
      <c r="EB220">
        <v>9</v>
      </c>
      <c r="EC220">
        <v>10</v>
      </c>
      <c r="ED220"/>
      <c r="EE220" t="s">
        <v>1763</v>
      </c>
      <c r="EF220">
        <v>10</v>
      </c>
      <c r="EG220"/>
      <c r="EH220"/>
      <c r="EI220"/>
      <c r="EJ220"/>
      <c r="EK220"/>
      <c r="EL220"/>
      <c r="EM220"/>
      <c r="EN220"/>
      <c r="EO220"/>
      <c r="EP220"/>
      <c r="EQ220"/>
      <c r="ER220"/>
      <c r="ES220"/>
      <c r="ET220"/>
      <c r="EU220">
        <v>4000</v>
      </c>
      <c r="EV220"/>
      <c r="EW220">
        <v>0</v>
      </c>
      <c r="EX220">
        <v>0</v>
      </c>
      <c r="EY220">
        <v>0</v>
      </c>
      <c r="EZ220"/>
      <c r="FA220">
        <v>8.1999999999999993</v>
      </c>
      <c r="FB220"/>
      <c r="FC220"/>
      <c r="FD220"/>
      <c r="FE220"/>
      <c r="FF220"/>
      <c r="FG220" s="94">
        <v>294</v>
      </c>
      <c r="FH220" s="94">
        <v>238</v>
      </c>
      <c r="FI220" s="94">
        <v>269</v>
      </c>
    </row>
    <row r="221" spans="1:165" s="66" customFormat="1" x14ac:dyDescent="0.35">
      <c r="A221" s="19"/>
      <c r="B221" s="19"/>
      <c r="C221" s="19"/>
      <c r="D221" s="19"/>
      <c r="E221" s="19"/>
      <c r="F221" s="128"/>
      <c r="G221" s="19"/>
      <c r="H221" s="19"/>
      <c r="I221" s="19"/>
      <c r="J221" s="19"/>
      <c r="K221" s="19" t="str">
        <f>_xlfn.CONCAT(A222," ",C222," ",D222)</f>
        <v>2026 HYUNDAI MOTOR COMPANY Ioniq 5 AWD XRT</v>
      </c>
      <c r="L221" s="19"/>
      <c r="M221" s="19"/>
      <c r="N221" s="19"/>
      <c r="O221" s="19"/>
      <c r="P221" s="19"/>
      <c r="Q221" s="19"/>
      <c r="R221" s="19"/>
      <c r="S221" s="19"/>
      <c r="T221" s="19"/>
      <c r="U221" s="19"/>
      <c r="V221" s="19"/>
      <c r="W221" s="19"/>
      <c r="X221" s="19"/>
      <c r="Y221" s="19"/>
      <c r="Z221" s="19"/>
      <c r="AA221" s="19"/>
      <c r="AB221" s="19" t="str">
        <f>$K221</f>
        <v>2026 HYUNDAI MOTOR COMPANY Ioniq 5 AWD XRT</v>
      </c>
      <c r="AC221" s="19"/>
      <c r="AD221" s="19"/>
      <c r="AE221" s="19"/>
      <c r="AF221" s="19"/>
      <c r="AG221" s="19"/>
      <c r="AH221" s="19"/>
      <c r="AI221" s="19"/>
      <c r="AJ221" s="19"/>
      <c r="AK221" s="19"/>
      <c r="AL221" s="19"/>
      <c r="AM221" s="19"/>
      <c r="AN221" s="19"/>
      <c r="AO221" s="19"/>
      <c r="AP221" s="19"/>
      <c r="AQ221" s="19"/>
      <c r="AR221" s="19" t="str">
        <f>$K221</f>
        <v>2026 HYUNDAI MOTOR COMPANY Ioniq 5 AWD XRT</v>
      </c>
      <c r="AS221" s="19"/>
      <c r="AT221" s="19"/>
      <c r="AU221" s="19"/>
      <c r="AV221" s="19"/>
      <c r="AW221" s="19"/>
      <c r="AX221" s="19"/>
      <c r="AY221" s="19"/>
      <c r="AZ221" s="19"/>
      <c r="BA221" s="19"/>
      <c r="BB221" s="19"/>
      <c r="BC221" s="19"/>
      <c r="BD221" s="19"/>
      <c r="BE221" s="19"/>
      <c r="BF221" s="19"/>
      <c r="BG221" s="19" t="str">
        <f>$K221</f>
        <v>2026 HYUNDAI MOTOR COMPANY Ioniq 5 AWD XRT</v>
      </c>
      <c r="BH221" s="19"/>
      <c r="BI221" s="19"/>
      <c r="BJ221" s="19"/>
      <c r="BK221" s="19"/>
      <c r="BL221" s="19"/>
      <c r="BM221" s="129"/>
      <c r="BN221" s="19"/>
      <c r="BO221" s="19"/>
      <c r="BP221" s="19"/>
      <c r="BQ221" s="19"/>
      <c r="BR221" s="19"/>
      <c r="BS221" s="19"/>
      <c r="BT221" s="130"/>
      <c r="BU221" s="19"/>
      <c r="BV221" s="19"/>
      <c r="BW221" s="116"/>
      <c r="BX221" s="19"/>
      <c r="BY221" s="19"/>
      <c r="BZ221" s="19"/>
      <c r="CA221" s="19"/>
      <c r="CB221" s="19"/>
      <c r="CC221" s="19"/>
      <c r="CD221" s="19"/>
      <c r="CE221" s="19"/>
      <c r="CF221" s="19"/>
      <c r="CG221" s="19"/>
      <c r="CH221" s="19"/>
      <c r="CI221" s="19"/>
      <c r="CJ221" s="19"/>
      <c r="CK221" s="19"/>
      <c r="CL221" s="19"/>
      <c r="CM221" s="19" t="str">
        <f>$K221</f>
        <v>2026 HYUNDAI MOTOR COMPANY Ioniq 5 AWD XRT</v>
      </c>
      <c r="CN221" s="19"/>
      <c r="CO221" s="19"/>
      <c r="CP221" s="19"/>
      <c r="CQ221" s="19"/>
      <c r="CR221" s="19"/>
      <c r="CS221" s="19"/>
      <c r="CT221" s="19"/>
      <c r="CU221" s="19"/>
      <c r="CV221" s="19"/>
      <c r="CW221" s="19"/>
      <c r="CX221" s="19"/>
      <c r="CY221" s="19"/>
      <c r="CZ221" s="19"/>
      <c r="DA221" s="19"/>
      <c r="DB221" s="19"/>
      <c r="DC221" s="19"/>
      <c r="DD221" s="19" t="str">
        <f>$K221</f>
        <v>2026 HYUNDAI MOTOR COMPANY Ioniq 5 AWD XRT</v>
      </c>
      <c r="DE221" s="19"/>
      <c r="DF221" s="19"/>
      <c r="DG221" s="19"/>
      <c r="DH221" s="19"/>
      <c r="DI221" s="19"/>
      <c r="DJ221" s="19"/>
      <c r="DK221" s="19"/>
      <c r="DL221" s="19"/>
      <c r="DM221" s="19"/>
      <c r="DN221" s="19"/>
      <c r="DO221" s="19"/>
      <c r="DP221" s="19"/>
      <c r="DQ221" s="19"/>
      <c r="DR221" s="19"/>
      <c r="DS221" s="19"/>
      <c r="DT221" s="19"/>
      <c r="DU221" s="19" t="str">
        <f>$K221</f>
        <v>2026 HYUNDAI MOTOR COMPANY Ioniq 5 AWD XRT</v>
      </c>
      <c r="DV221" s="19"/>
      <c r="DW221" s="19"/>
      <c r="DX221" s="19"/>
      <c r="DY221" s="19"/>
      <c r="DZ221" s="19"/>
      <c r="EA221" s="117"/>
      <c r="EB221" s="19"/>
      <c r="EC221" s="19"/>
      <c r="ED221" s="19"/>
      <c r="EE221" s="19"/>
      <c r="EF221" s="19"/>
      <c r="EG221"/>
      <c r="EH221"/>
      <c r="EI221"/>
      <c r="EJ221"/>
      <c r="EK221"/>
      <c r="EL221"/>
      <c r="EM221"/>
      <c r="EN221"/>
      <c r="EO221"/>
      <c r="EP221"/>
      <c r="EQ221"/>
      <c r="ER221"/>
      <c r="ES221"/>
      <c r="ET221"/>
      <c r="EU221"/>
      <c r="EV221"/>
      <c r="EW221"/>
      <c r="EX221" s="19" t="s">
        <v>1992</v>
      </c>
      <c r="EY221"/>
      <c r="EZ221"/>
      <c r="FA221"/>
      <c r="FB221"/>
      <c r="FC221"/>
      <c r="FD221"/>
      <c r="FE221"/>
      <c r="FF221"/>
      <c r="FG221"/>
      <c r="FH221"/>
      <c r="FI221"/>
    </row>
    <row r="222" spans="1:165" s="66" customFormat="1" x14ac:dyDescent="0.35">
      <c r="A222">
        <v>2026</v>
      </c>
      <c r="B222" t="s">
        <v>400</v>
      </c>
      <c r="C222" s="112" t="s">
        <v>561</v>
      </c>
      <c r="D222" t="s">
        <v>1765</v>
      </c>
      <c r="E222" t="s">
        <v>403</v>
      </c>
      <c r="F222">
        <v>77</v>
      </c>
      <c r="G222" s="113">
        <v>0</v>
      </c>
      <c r="H222"/>
      <c r="I222" t="s">
        <v>1391</v>
      </c>
      <c r="J222">
        <v>103</v>
      </c>
      <c r="K222">
        <v>85</v>
      </c>
      <c r="L222">
        <v>94</v>
      </c>
      <c r="M222">
        <v>147.69999999999999</v>
      </c>
      <c r="N222">
        <v>121.5</v>
      </c>
      <c r="O222">
        <v>134.6354</v>
      </c>
      <c r="P222">
        <v>103.39</v>
      </c>
      <c r="Q222">
        <v>85.05</v>
      </c>
      <c r="R222">
        <v>94.244799999999998</v>
      </c>
      <c r="S222"/>
      <c r="T222"/>
      <c r="U222"/>
      <c r="V222" t="s">
        <v>170</v>
      </c>
      <c r="W222" t="s">
        <v>171</v>
      </c>
      <c r="X222" t="s">
        <v>1466</v>
      </c>
      <c r="Y222">
        <v>1</v>
      </c>
      <c r="Z222" t="s">
        <v>173</v>
      </c>
      <c r="AA222" t="s">
        <v>173</v>
      </c>
      <c r="AB222" t="s">
        <v>170</v>
      </c>
      <c r="AC222" t="s">
        <v>232</v>
      </c>
      <c r="AD222"/>
      <c r="AE222"/>
      <c r="AF222">
        <v>259</v>
      </c>
      <c r="AG222" t="s">
        <v>1392</v>
      </c>
      <c r="AH222" t="s">
        <v>1393</v>
      </c>
      <c r="AI222" t="s">
        <v>178</v>
      </c>
      <c r="AJ222" t="s">
        <v>179</v>
      </c>
      <c r="AK222">
        <v>4</v>
      </c>
      <c r="AL222" t="s">
        <v>1394</v>
      </c>
      <c r="AM222"/>
      <c r="AN222"/>
      <c r="AO222"/>
      <c r="AP222"/>
      <c r="AQ222"/>
      <c r="AR222"/>
      <c r="AS222">
        <v>900</v>
      </c>
      <c r="AT222">
        <v>900</v>
      </c>
      <c r="AU222"/>
      <c r="AV222"/>
      <c r="AW222"/>
      <c r="AX222"/>
      <c r="AY222"/>
      <c r="AZ222"/>
      <c r="BA222"/>
      <c r="BB222"/>
      <c r="BC222"/>
      <c r="BD222"/>
      <c r="BE222"/>
      <c r="BF222"/>
      <c r="BG222"/>
      <c r="BH222"/>
      <c r="BI222"/>
      <c r="BJ222"/>
      <c r="BK222"/>
      <c r="BL222"/>
      <c r="BM222"/>
      <c r="BN222" s="114"/>
      <c r="BO222"/>
      <c r="BP222"/>
      <c r="BQ222">
        <v>31</v>
      </c>
      <c r="BR222" t="s">
        <v>887</v>
      </c>
      <c r="BS222"/>
      <c r="BT222" t="s">
        <v>1395</v>
      </c>
      <c r="BU222" s="115">
        <v>45870</v>
      </c>
      <c r="BV222">
        <v>37303</v>
      </c>
      <c r="BW222" s="116"/>
      <c r="BX222" t="s">
        <v>173</v>
      </c>
      <c r="BY222" t="s">
        <v>173</v>
      </c>
      <c r="BZ222"/>
      <c r="CA222"/>
      <c r="CB222" t="s">
        <v>173</v>
      </c>
      <c r="CC222" t="s">
        <v>173</v>
      </c>
      <c r="CD222"/>
      <c r="CE222"/>
      <c r="CF222"/>
      <c r="CG222"/>
      <c r="CH222"/>
      <c r="CI222"/>
      <c r="CJ222"/>
      <c r="CK222" t="s">
        <v>259</v>
      </c>
      <c r="CL222"/>
      <c r="CM222">
        <v>1</v>
      </c>
      <c r="CN222" t="s">
        <v>260</v>
      </c>
      <c r="CO222"/>
      <c r="CP222">
        <v>697</v>
      </c>
      <c r="CQ222">
        <v>120.6</v>
      </c>
      <c r="CR222">
        <v>174.4</v>
      </c>
      <c r="CS222" t="s">
        <v>1437</v>
      </c>
      <c r="CT222"/>
      <c r="CU222"/>
      <c r="CV222" t="s">
        <v>262</v>
      </c>
      <c r="CW222"/>
      <c r="CX222" t="s">
        <v>702</v>
      </c>
      <c r="CY222" t="s">
        <v>172</v>
      </c>
      <c r="CZ222"/>
      <c r="DA222"/>
      <c r="DB222"/>
      <c r="DC222" t="s">
        <v>1497</v>
      </c>
      <c r="DD222">
        <v>2</v>
      </c>
      <c r="DE222" t="s">
        <v>307</v>
      </c>
      <c r="DF222" t="s">
        <v>1498</v>
      </c>
      <c r="DG222" t="s">
        <v>1762</v>
      </c>
      <c r="DH222"/>
      <c r="DI222"/>
      <c r="DJ222"/>
      <c r="DK222"/>
      <c r="DL222" t="s">
        <v>173</v>
      </c>
      <c r="DM222" t="s">
        <v>172</v>
      </c>
      <c r="DN222"/>
      <c r="DO222"/>
      <c r="DP222" t="s">
        <v>173</v>
      </c>
      <c r="DQ222" t="s">
        <v>189</v>
      </c>
      <c r="DR222"/>
      <c r="DS222"/>
      <c r="DT222"/>
      <c r="DU222"/>
      <c r="DV222"/>
      <c r="DW222"/>
      <c r="DX222"/>
      <c r="DY222"/>
      <c r="DZ222"/>
      <c r="EA222" s="117"/>
      <c r="EB222">
        <v>9</v>
      </c>
      <c r="EC222">
        <v>10</v>
      </c>
      <c r="ED222"/>
      <c r="EE222" t="s">
        <v>1763</v>
      </c>
      <c r="EF222">
        <v>10</v>
      </c>
      <c r="EG222"/>
      <c r="EH222"/>
      <c r="EI222"/>
      <c r="EJ222"/>
      <c r="EK222"/>
      <c r="EL222"/>
      <c r="EM222"/>
      <c r="EN222"/>
      <c r="EO222"/>
      <c r="EP222"/>
      <c r="EQ222"/>
      <c r="ER222"/>
      <c r="ES222"/>
      <c r="ET222"/>
      <c r="EU222">
        <v>4000</v>
      </c>
      <c r="EV222"/>
      <c r="EW222">
        <v>0</v>
      </c>
      <c r="EX222">
        <v>0</v>
      </c>
      <c r="EY222">
        <v>0</v>
      </c>
      <c r="EZ222"/>
      <c r="FA222">
        <v>8.1999999999999993</v>
      </c>
      <c r="FB222"/>
      <c r="FC222"/>
      <c r="FD222"/>
      <c r="FE222"/>
      <c r="FF222"/>
      <c r="FG222" s="94">
        <v>281</v>
      </c>
      <c r="FH222" s="94">
        <v>232</v>
      </c>
      <c r="FI222" s="94">
        <v>259</v>
      </c>
    </row>
    <row r="223" spans="1:165" s="66" customFormat="1" x14ac:dyDescent="0.35">
      <c r="A223">
        <v>2026</v>
      </c>
      <c r="B223" t="s">
        <v>400</v>
      </c>
      <c r="C223" s="112" t="s">
        <v>561</v>
      </c>
      <c r="D223" t="s">
        <v>1765</v>
      </c>
      <c r="E223" t="s">
        <v>403</v>
      </c>
      <c r="F223">
        <v>77</v>
      </c>
      <c r="G223" s="113">
        <v>0</v>
      </c>
      <c r="H223"/>
      <c r="I223" t="s">
        <v>1391</v>
      </c>
      <c r="J223">
        <v>33</v>
      </c>
      <c r="K223">
        <v>40</v>
      </c>
      <c r="L223">
        <v>36</v>
      </c>
      <c r="M223">
        <v>22.8261</v>
      </c>
      <c r="N223">
        <v>27.747800000000002</v>
      </c>
      <c r="O223">
        <v>25.040900000000001</v>
      </c>
      <c r="P223">
        <v>32.599899999999998</v>
      </c>
      <c r="Q223">
        <v>39.629600000000003</v>
      </c>
      <c r="R223">
        <v>35.763300000000001</v>
      </c>
      <c r="S223"/>
      <c r="T223"/>
      <c r="U223"/>
      <c r="V223" t="s">
        <v>170</v>
      </c>
      <c r="W223" t="s">
        <v>171</v>
      </c>
      <c r="X223" t="s">
        <v>1466</v>
      </c>
      <c r="Y223">
        <v>1</v>
      </c>
      <c r="Z223" t="s">
        <v>173</v>
      </c>
      <c r="AA223" t="s">
        <v>173</v>
      </c>
      <c r="AB223" t="s">
        <v>170</v>
      </c>
      <c r="AC223" t="s">
        <v>232</v>
      </c>
      <c r="AD223"/>
      <c r="AE223"/>
      <c r="AF223">
        <v>259</v>
      </c>
      <c r="AG223" t="s">
        <v>1392</v>
      </c>
      <c r="AH223" t="s">
        <v>1393</v>
      </c>
      <c r="AI223" t="s">
        <v>1399</v>
      </c>
      <c r="AJ223" t="s">
        <v>1400</v>
      </c>
      <c r="AK223">
        <v>4</v>
      </c>
      <c r="AL223" t="s">
        <v>1394</v>
      </c>
      <c r="AM223"/>
      <c r="AN223"/>
      <c r="AO223"/>
      <c r="AP223"/>
      <c r="AQ223"/>
      <c r="AR223"/>
      <c r="AS223">
        <v>900</v>
      </c>
      <c r="AT223">
        <v>900</v>
      </c>
      <c r="AU223"/>
      <c r="AV223"/>
      <c r="AW223"/>
      <c r="AX223"/>
      <c r="AY223"/>
      <c r="AZ223"/>
      <c r="BA223"/>
      <c r="BB223"/>
      <c r="BC223"/>
      <c r="BD223"/>
      <c r="BE223"/>
      <c r="BF223"/>
      <c r="BG223"/>
      <c r="BH223"/>
      <c r="BI223"/>
      <c r="BJ223"/>
      <c r="BK223"/>
      <c r="BL223"/>
      <c r="BM223"/>
      <c r="BN223" s="114"/>
      <c r="BO223"/>
      <c r="BP223"/>
      <c r="BQ223">
        <v>31</v>
      </c>
      <c r="BR223" t="s">
        <v>887</v>
      </c>
      <c r="BS223"/>
      <c r="BT223" t="s">
        <v>1395</v>
      </c>
      <c r="BU223" s="115">
        <v>45870</v>
      </c>
      <c r="BV223">
        <v>37303</v>
      </c>
      <c r="BW223" s="116"/>
      <c r="BX223" t="s">
        <v>173</v>
      </c>
      <c r="BY223" t="s">
        <v>173</v>
      </c>
      <c r="BZ223"/>
      <c r="CA223"/>
      <c r="CB223" t="s">
        <v>173</v>
      </c>
      <c r="CC223" t="s">
        <v>173</v>
      </c>
      <c r="CD223"/>
      <c r="CE223"/>
      <c r="CF223"/>
      <c r="CG223"/>
      <c r="CH223"/>
      <c r="CI223"/>
      <c r="CJ223"/>
      <c r="CK223" t="s">
        <v>259</v>
      </c>
      <c r="CL223"/>
      <c r="CM223">
        <v>1</v>
      </c>
      <c r="CN223" t="s">
        <v>260</v>
      </c>
      <c r="CO223"/>
      <c r="CP223">
        <v>697</v>
      </c>
      <c r="CQ223">
        <v>120.6</v>
      </c>
      <c r="CR223">
        <v>174.4</v>
      </c>
      <c r="CS223" t="s">
        <v>1437</v>
      </c>
      <c r="CT223"/>
      <c r="CU223"/>
      <c r="CV223" t="s">
        <v>262</v>
      </c>
      <c r="CW223"/>
      <c r="CX223" t="s">
        <v>702</v>
      </c>
      <c r="CY223" t="s">
        <v>172</v>
      </c>
      <c r="CZ223"/>
      <c r="DA223"/>
      <c r="DB223"/>
      <c r="DC223" t="s">
        <v>1497</v>
      </c>
      <c r="DD223">
        <v>2</v>
      </c>
      <c r="DE223" t="s">
        <v>307</v>
      </c>
      <c r="DF223" t="s">
        <v>1498</v>
      </c>
      <c r="DG223" t="s">
        <v>1762</v>
      </c>
      <c r="DH223"/>
      <c r="DI223"/>
      <c r="DJ223"/>
      <c r="DK223"/>
      <c r="DL223" t="s">
        <v>173</v>
      </c>
      <c r="DM223" t="s">
        <v>172</v>
      </c>
      <c r="DN223"/>
      <c r="DO223"/>
      <c r="DP223" t="s">
        <v>173</v>
      </c>
      <c r="DQ223" t="s">
        <v>189</v>
      </c>
      <c r="DR223"/>
      <c r="DS223"/>
      <c r="DT223"/>
      <c r="DU223"/>
      <c r="DV223"/>
      <c r="DW223"/>
      <c r="DX223"/>
      <c r="DY223"/>
      <c r="DZ223"/>
      <c r="EA223" s="117"/>
      <c r="EB223">
        <v>9</v>
      </c>
      <c r="EC223">
        <v>10</v>
      </c>
      <c r="ED223"/>
      <c r="EE223" t="s">
        <v>1763</v>
      </c>
      <c r="EF223">
        <v>10</v>
      </c>
      <c r="EG223"/>
      <c r="EH223"/>
      <c r="EI223"/>
      <c r="EJ223"/>
      <c r="EK223"/>
      <c r="EL223"/>
      <c r="EM223"/>
      <c r="EN223"/>
      <c r="EO223"/>
      <c r="EP223"/>
      <c r="EQ223"/>
      <c r="ER223"/>
      <c r="ES223"/>
      <c r="ET223"/>
      <c r="EU223">
        <v>4000</v>
      </c>
      <c r="EV223"/>
      <c r="EW223">
        <v>0</v>
      </c>
      <c r="EX223">
        <v>0</v>
      </c>
      <c r="EY223">
        <v>0</v>
      </c>
      <c r="EZ223"/>
      <c r="FA223">
        <v>8.1999999999999993</v>
      </c>
      <c r="FB223"/>
      <c r="FC223"/>
      <c r="FD223"/>
      <c r="FE223"/>
      <c r="FF223"/>
      <c r="FG223" s="94">
        <v>281</v>
      </c>
      <c r="FH223" s="94">
        <v>232</v>
      </c>
      <c r="FI223" s="94">
        <v>259</v>
      </c>
    </row>
    <row r="224" spans="1:165" s="66" customFormat="1" x14ac:dyDescent="0.35">
      <c r="A224" s="19"/>
      <c r="B224" s="19"/>
      <c r="C224" s="19"/>
      <c r="D224" s="19"/>
      <c r="E224" s="19"/>
      <c r="F224" s="128"/>
      <c r="G224" s="19"/>
      <c r="H224" s="19"/>
      <c r="I224" s="19"/>
      <c r="J224" s="19"/>
      <c r="K224" s="19" t="str">
        <f>_xlfn.CONCAT(A225," ",C225," ",D225)</f>
        <v>2026 HYUNDAI MOTOR COMPANY Ioniq 5 N</v>
      </c>
      <c r="L224" s="19"/>
      <c r="M224" s="19"/>
      <c r="N224" s="19"/>
      <c r="O224" s="19"/>
      <c r="P224" s="19"/>
      <c r="Q224" s="19"/>
      <c r="R224" s="19"/>
      <c r="S224" s="19"/>
      <c r="T224" s="19"/>
      <c r="U224" s="19"/>
      <c r="V224" s="19"/>
      <c r="W224" s="19"/>
      <c r="X224" s="19"/>
      <c r="Y224" s="19"/>
      <c r="Z224" s="19"/>
      <c r="AA224" s="19"/>
      <c r="AB224" s="19" t="str">
        <f>$K224</f>
        <v>2026 HYUNDAI MOTOR COMPANY Ioniq 5 N</v>
      </c>
      <c r="AC224" s="19"/>
      <c r="AD224" s="19"/>
      <c r="AE224" s="19"/>
      <c r="AF224" s="19"/>
      <c r="AG224" s="19"/>
      <c r="AH224" s="19"/>
      <c r="AI224" s="19"/>
      <c r="AJ224" s="19"/>
      <c r="AK224" s="19"/>
      <c r="AL224" s="19"/>
      <c r="AM224" s="19"/>
      <c r="AN224" s="19"/>
      <c r="AO224" s="19"/>
      <c r="AP224" s="19"/>
      <c r="AQ224" s="19"/>
      <c r="AR224" s="19" t="str">
        <f>$K224</f>
        <v>2026 HYUNDAI MOTOR COMPANY Ioniq 5 N</v>
      </c>
      <c r="AS224" s="19"/>
      <c r="AT224" s="19"/>
      <c r="AU224" s="19"/>
      <c r="AV224" s="19"/>
      <c r="AW224" s="19"/>
      <c r="AX224" s="19"/>
      <c r="AY224" s="19"/>
      <c r="AZ224" s="19"/>
      <c r="BA224" s="19"/>
      <c r="BB224" s="19"/>
      <c r="BC224" s="19"/>
      <c r="BD224" s="19"/>
      <c r="BE224" s="19"/>
      <c r="BF224" s="19"/>
      <c r="BG224" s="19" t="str">
        <f>$K224</f>
        <v>2026 HYUNDAI MOTOR COMPANY Ioniq 5 N</v>
      </c>
      <c r="BH224" s="19"/>
      <c r="BI224" s="19"/>
      <c r="BJ224" s="19"/>
      <c r="BK224" s="19"/>
      <c r="BL224" s="19"/>
      <c r="BM224" s="129"/>
      <c r="BN224" s="19"/>
      <c r="BO224" s="19"/>
      <c r="BP224" s="19"/>
      <c r="BQ224" s="19"/>
      <c r="BR224" s="19"/>
      <c r="BS224" s="19"/>
      <c r="BT224" s="130"/>
      <c r="BU224" s="19"/>
      <c r="BV224" s="19"/>
      <c r="BW224" s="116"/>
      <c r="BX224" s="19"/>
      <c r="BY224" s="19"/>
      <c r="BZ224" s="19"/>
      <c r="CA224" s="19"/>
      <c r="CB224" s="19"/>
      <c r="CC224" s="19"/>
      <c r="CD224" s="19"/>
      <c r="CE224" s="19"/>
      <c r="CF224" s="19"/>
      <c r="CG224" s="19"/>
      <c r="CH224" s="19"/>
      <c r="CI224" s="19"/>
      <c r="CJ224" s="19"/>
      <c r="CK224" s="19"/>
      <c r="CL224" s="19"/>
      <c r="CM224" s="19" t="str">
        <f>$K224</f>
        <v>2026 HYUNDAI MOTOR COMPANY Ioniq 5 N</v>
      </c>
      <c r="CN224" s="19"/>
      <c r="CO224" s="19"/>
      <c r="CP224" s="19"/>
      <c r="CQ224" s="19"/>
      <c r="CR224" s="19"/>
      <c r="CS224" s="19"/>
      <c r="CT224" s="19"/>
      <c r="CU224" s="19"/>
      <c r="CV224" s="19"/>
      <c r="CW224" s="19"/>
      <c r="CX224" s="19"/>
      <c r="CY224" s="19"/>
      <c r="CZ224" s="19"/>
      <c r="DA224" s="19"/>
      <c r="DB224" s="19"/>
      <c r="DC224" s="19"/>
      <c r="DD224" s="19" t="str">
        <f>$K224</f>
        <v>2026 HYUNDAI MOTOR COMPANY Ioniq 5 N</v>
      </c>
      <c r="DE224" s="19"/>
      <c r="DF224" s="19"/>
      <c r="DG224" s="19"/>
      <c r="DH224" s="19"/>
      <c r="DI224" s="19"/>
      <c r="DJ224" s="19"/>
      <c r="DK224" s="19"/>
      <c r="DL224" s="19"/>
      <c r="DM224" s="19"/>
      <c r="DN224" s="19"/>
      <c r="DO224" s="19"/>
      <c r="DP224" s="19"/>
      <c r="DQ224" s="19"/>
      <c r="DR224" s="19"/>
      <c r="DS224" s="19"/>
      <c r="DT224" s="19"/>
      <c r="DU224" s="19" t="str">
        <f>$K224</f>
        <v>2026 HYUNDAI MOTOR COMPANY Ioniq 5 N</v>
      </c>
      <c r="DV224" s="19"/>
      <c r="DW224" s="19"/>
      <c r="DX224" s="19"/>
      <c r="DY224" s="19"/>
      <c r="DZ224" s="19"/>
      <c r="EA224" s="117"/>
      <c r="EB224" s="19"/>
      <c r="EC224" s="19"/>
      <c r="ED224" s="19"/>
      <c r="EE224" s="19"/>
      <c r="EF224" s="19"/>
      <c r="EG224"/>
      <c r="EH224"/>
      <c r="EI224"/>
      <c r="EJ224"/>
      <c r="EK224"/>
      <c r="EL224"/>
      <c r="EM224"/>
      <c r="EN224"/>
      <c r="EO224"/>
      <c r="EP224"/>
      <c r="EQ224"/>
      <c r="ER224"/>
      <c r="ES224"/>
      <c r="ET224"/>
      <c r="EU224"/>
      <c r="EV224"/>
      <c r="EW224"/>
      <c r="EX224" s="19" t="s">
        <v>1993</v>
      </c>
      <c r="EY224"/>
      <c r="EZ224"/>
      <c r="FA224"/>
      <c r="FB224"/>
      <c r="FC224"/>
      <c r="FD224"/>
      <c r="FE224"/>
      <c r="FF224"/>
      <c r="FG224"/>
      <c r="FH224"/>
      <c r="FI224"/>
    </row>
    <row r="225" spans="1:165" s="66" customFormat="1" x14ac:dyDescent="0.35">
      <c r="A225">
        <v>2026</v>
      </c>
      <c r="B225" t="s">
        <v>400</v>
      </c>
      <c r="C225" s="112" t="s">
        <v>561</v>
      </c>
      <c r="D225" t="s">
        <v>1766</v>
      </c>
      <c r="E225" t="s">
        <v>403</v>
      </c>
      <c r="F225">
        <v>73</v>
      </c>
      <c r="G225" s="113">
        <v>0</v>
      </c>
      <c r="H225"/>
      <c r="I225" t="s">
        <v>1391</v>
      </c>
      <c r="J225">
        <v>84</v>
      </c>
      <c r="K225">
        <v>72</v>
      </c>
      <c r="L225">
        <v>78</v>
      </c>
      <c r="M225">
        <v>125.8</v>
      </c>
      <c r="N225">
        <v>108.3</v>
      </c>
      <c r="O225">
        <v>117.2726</v>
      </c>
      <c r="P225">
        <v>84</v>
      </c>
      <c r="Q225">
        <v>72</v>
      </c>
      <c r="R225">
        <v>78</v>
      </c>
      <c r="S225"/>
      <c r="T225"/>
      <c r="U225"/>
      <c r="V225" t="s">
        <v>170</v>
      </c>
      <c r="W225" t="s">
        <v>171</v>
      </c>
      <c r="X225" t="s">
        <v>1466</v>
      </c>
      <c r="Y225">
        <v>1</v>
      </c>
      <c r="Z225" t="s">
        <v>173</v>
      </c>
      <c r="AA225" t="s">
        <v>173</v>
      </c>
      <c r="AB225" t="s">
        <v>170</v>
      </c>
      <c r="AC225" t="s">
        <v>232</v>
      </c>
      <c r="AD225"/>
      <c r="AE225"/>
      <c r="AF225">
        <v>221</v>
      </c>
      <c r="AG225" t="s">
        <v>1392</v>
      </c>
      <c r="AH225" t="s">
        <v>1393</v>
      </c>
      <c r="AI225" t="s">
        <v>178</v>
      </c>
      <c r="AJ225" t="s">
        <v>179</v>
      </c>
      <c r="AK225">
        <v>4</v>
      </c>
      <c r="AL225" t="s">
        <v>1394</v>
      </c>
      <c r="AM225"/>
      <c r="AN225"/>
      <c r="AO225"/>
      <c r="AP225"/>
      <c r="AQ225"/>
      <c r="AR225"/>
      <c r="AS225">
        <v>1100</v>
      </c>
      <c r="AT225">
        <v>1100</v>
      </c>
      <c r="AU225"/>
      <c r="AV225"/>
      <c r="AW225"/>
      <c r="AX225"/>
      <c r="AY225"/>
      <c r="AZ225"/>
      <c r="BA225"/>
      <c r="BB225"/>
      <c r="BC225"/>
      <c r="BD225"/>
      <c r="BE225"/>
      <c r="BF225"/>
      <c r="BG225"/>
      <c r="BH225"/>
      <c r="BI225"/>
      <c r="BJ225"/>
      <c r="BK225"/>
      <c r="BL225"/>
      <c r="BM225"/>
      <c r="BN225" s="114"/>
      <c r="BO225"/>
      <c r="BP225"/>
      <c r="BQ225">
        <v>31</v>
      </c>
      <c r="BR225" t="s">
        <v>887</v>
      </c>
      <c r="BS225"/>
      <c r="BT225" t="s">
        <v>1395</v>
      </c>
      <c r="BU225" s="115">
        <v>45884</v>
      </c>
      <c r="BV225">
        <v>37315</v>
      </c>
      <c r="BW225" s="116"/>
      <c r="BX225" t="s">
        <v>173</v>
      </c>
      <c r="BY225" t="s">
        <v>173</v>
      </c>
      <c r="BZ225"/>
      <c r="CA225"/>
      <c r="CB225" t="s">
        <v>173</v>
      </c>
      <c r="CC225" t="s">
        <v>173</v>
      </c>
      <c r="CD225"/>
      <c r="CE225"/>
      <c r="CF225"/>
      <c r="CG225"/>
      <c r="CH225"/>
      <c r="CI225"/>
      <c r="CJ225"/>
      <c r="CK225" t="s">
        <v>259</v>
      </c>
      <c r="CL225"/>
      <c r="CM225">
        <v>1</v>
      </c>
      <c r="CN225" t="s">
        <v>260</v>
      </c>
      <c r="CO225"/>
      <c r="CP225">
        <v>697</v>
      </c>
      <c r="CQ225">
        <v>120.6</v>
      </c>
      <c r="CR225">
        <v>170.6</v>
      </c>
      <c r="CS225" t="s">
        <v>1437</v>
      </c>
      <c r="CT225"/>
      <c r="CU225"/>
      <c r="CV225" t="s">
        <v>262</v>
      </c>
      <c r="CW225"/>
      <c r="CX225" t="s">
        <v>263</v>
      </c>
      <c r="CY225" t="s">
        <v>172</v>
      </c>
      <c r="CZ225"/>
      <c r="DA225"/>
      <c r="DB225"/>
      <c r="DC225" t="s">
        <v>1467</v>
      </c>
      <c r="DD225">
        <v>2</v>
      </c>
      <c r="DE225" t="s">
        <v>307</v>
      </c>
      <c r="DF225" t="s">
        <v>330</v>
      </c>
      <c r="DG225" t="s">
        <v>1767</v>
      </c>
      <c r="DH225"/>
      <c r="DI225"/>
      <c r="DJ225"/>
      <c r="DK225"/>
      <c r="DL225" t="s">
        <v>173</v>
      </c>
      <c r="DM225" t="s">
        <v>172</v>
      </c>
      <c r="DN225"/>
      <c r="DO225"/>
      <c r="DP225" t="s">
        <v>173</v>
      </c>
      <c r="DQ225" t="s">
        <v>189</v>
      </c>
      <c r="DR225"/>
      <c r="DS225"/>
      <c r="DT225"/>
      <c r="DU225"/>
      <c r="DV225"/>
      <c r="DW225"/>
      <c r="DX225"/>
      <c r="DY225"/>
      <c r="DZ225"/>
      <c r="EA225" s="117"/>
      <c r="EB225">
        <v>9</v>
      </c>
      <c r="EC225">
        <v>10</v>
      </c>
      <c r="ED225"/>
      <c r="EE225" t="s">
        <v>1768</v>
      </c>
      <c r="EF225">
        <v>10</v>
      </c>
      <c r="EG225"/>
      <c r="EH225"/>
      <c r="EI225"/>
      <c r="EJ225"/>
      <c r="EK225"/>
      <c r="EL225"/>
      <c r="EM225"/>
      <c r="EN225"/>
      <c r="EO225"/>
      <c r="EP225"/>
      <c r="EQ225"/>
      <c r="ER225"/>
      <c r="ES225"/>
      <c r="ET225"/>
      <c r="EU225">
        <v>3000</v>
      </c>
      <c r="EV225"/>
      <c r="EW225">
        <v>0</v>
      </c>
      <c r="EX225">
        <v>0</v>
      </c>
      <c r="EY225">
        <v>0</v>
      </c>
      <c r="EZ225"/>
      <c r="FA225">
        <v>8.6999999999999993</v>
      </c>
      <c r="FB225"/>
      <c r="FC225"/>
      <c r="FD225"/>
      <c r="FE225"/>
      <c r="FF225"/>
      <c r="FG225" s="94">
        <v>237</v>
      </c>
      <c r="FH225" s="94">
        <v>202</v>
      </c>
      <c r="FI225" s="94">
        <v>221</v>
      </c>
    </row>
    <row r="226" spans="1:165" s="66" customFormat="1" x14ac:dyDescent="0.35">
      <c r="A226">
        <v>2026</v>
      </c>
      <c r="B226" t="s">
        <v>400</v>
      </c>
      <c r="C226" s="112" t="s">
        <v>561</v>
      </c>
      <c r="D226" t="s">
        <v>1766</v>
      </c>
      <c r="E226" t="s">
        <v>403</v>
      </c>
      <c r="F226">
        <v>73</v>
      </c>
      <c r="G226" s="113">
        <v>0</v>
      </c>
      <c r="H226"/>
      <c r="I226" t="s">
        <v>1391</v>
      </c>
      <c r="J226">
        <v>40</v>
      </c>
      <c r="K226">
        <v>47</v>
      </c>
      <c r="L226">
        <v>43</v>
      </c>
      <c r="M226">
        <v>26.7836</v>
      </c>
      <c r="N226">
        <v>31.116199999999999</v>
      </c>
      <c r="O226">
        <v>28.7333</v>
      </c>
      <c r="P226">
        <v>40</v>
      </c>
      <c r="Q226">
        <v>47</v>
      </c>
      <c r="R226">
        <v>43</v>
      </c>
      <c r="S226"/>
      <c r="T226"/>
      <c r="U226"/>
      <c r="V226" t="s">
        <v>170</v>
      </c>
      <c r="W226" t="s">
        <v>171</v>
      </c>
      <c r="X226" t="s">
        <v>1466</v>
      </c>
      <c r="Y226">
        <v>1</v>
      </c>
      <c r="Z226" t="s">
        <v>173</v>
      </c>
      <c r="AA226" t="s">
        <v>173</v>
      </c>
      <c r="AB226" t="s">
        <v>170</v>
      </c>
      <c r="AC226" t="s">
        <v>232</v>
      </c>
      <c r="AD226"/>
      <c r="AE226"/>
      <c r="AF226">
        <v>221</v>
      </c>
      <c r="AG226" t="s">
        <v>1392</v>
      </c>
      <c r="AH226" t="s">
        <v>1393</v>
      </c>
      <c r="AI226" t="s">
        <v>1399</v>
      </c>
      <c r="AJ226" t="s">
        <v>1400</v>
      </c>
      <c r="AK226">
        <v>4</v>
      </c>
      <c r="AL226" t="s">
        <v>1394</v>
      </c>
      <c r="AM226"/>
      <c r="AN226"/>
      <c r="AO226"/>
      <c r="AP226"/>
      <c r="AQ226"/>
      <c r="AR226"/>
      <c r="AS226">
        <v>1100</v>
      </c>
      <c r="AT226">
        <v>1100</v>
      </c>
      <c r="AU226"/>
      <c r="AV226"/>
      <c r="AW226"/>
      <c r="AX226"/>
      <c r="AY226"/>
      <c r="AZ226"/>
      <c r="BA226"/>
      <c r="BB226"/>
      <c r="BC226"/>
      <c r="BD226"/>
      <c r="BE226"/>
      <c r="BF226"/>
      <c r="BG226"/>
      <c r="BH226"/>
      <c r="BI226"/>
      <c r="BJ226"/>
      <c r="BK226"/>
      <c r="BL226"/>
      <c r="BM226"/>
      <c r="BN226" s="114"/>
      <c r="BO226"/>
      <c r="BP226"/>
      <c r="BQ226">
        <v>31</v>
      </c>
      <c r="BR226" t="s">
        <v>887</v>
      </c>
      <c r="BS226"/>
      <c r="BT226" t="s">
        <v>1395</v>
      </c>
      <c r="BU226" s="115">
        <v>45884</v>
      </c>
      <c r="BV226">
        <v>37315</v>
      </c>
      <c r="BW226" s="116"/>
      <c r="BX226" t="s">
        <v>173</v>
      </c>
      <c r="BY226" t="s">
        <v>173</v>
      </c>
      <c r="BZ226"/>
      <c r="CA226"/>
      <c r="CB226" t="s">
        <v>173</v>
      </c>
      <c r="CC226" t="s">
        <v>173</v>
      </c>
      <c r="CD226"/>
      <c r="CE226"/>
      <c r="CF226"/>
      <c r="CG226"/>
      <c r="CH226"/>
      <c r="CI226"/>
      <c r="CJ226"/>
      <c r="CK226" t="s">
        <v>259</v>
      </c>
      <c r="CL226"/>
      <c r="CM226">
        <v>1</v>
      </c>
      <c r="CN226" t="s">
        <v>260</v>
      </c>
      <c r="CO226"/>
      <c r="CP226">
        <v>697</v>
      </c>
      <c r="CQ226">
        <v>120.6</v>
      </c>
      <c r="CR226">
        <v>170.6</v>
      </c>
      <c r="CS226" t="s">
        <v>1437</v>
      </c>
      <c r="CT226"/>
      <c r="CU226"/>
      <c r="CV226" t="s">
        <v>262</v>
      </c>
      <c r="CW226"/>
      <c r="CX226" t="s">
        <v>263</v>
      </c>
      <c r="CY226" t="s">
        <v>172</v>
      </c>
      <c r="CZ226"/>
      <c r="DA226"/>
      <c r="DB226"/>
      <c r="DC226" t="s">
        <v>1467</v>
      </c>
      <c r="DD226">
        <v>2</v>
      </c>
      <c r="DE226" t="s">
        <v>307</v>
      </c>
      <c r="DF226" t="s">
        <v>330</v>
      </c>
      <c r="DG226" t="s">
        <v>1767</v>
      </c>
      <c r="DH226"/>
      <c r="DI226"/>
      <c r="DJ226"/>
      <c r="DK226"/>
      <c r="DL226" t="s">
        <v>173</v>
      </c>
      <c r="DM226" t="s">
        <v>172</v>
      </c>
      <c r="DN226"/>
      <c r="DO226"/>
      <c r="DP226" t="s">
        <v>173</v>
      </c>
      <c r="DQ226" t="s">
        <v>189</v>
      </c>
      <c r="DR226"/>
      <c r="DS226"/>
      <c r="DT226"/>
      <c r="DU226"/>
      <c r="DV226"/>
      <c r="DW226"/>
      <c r="DX226"/>
      <c r="DY226"/>
      <c r="DZ226"/>
      <c r="EA226" s="117"/>
      <c r="EB226">
        <v>9</v>
      </c>
      <c r="EC226">
        <v>10</v>
      </c>
      <c r="ED226"/>
      <c r="EE226" t="s">
        <v>1768</v>
      </c>
      <c r="EF226">
        <v>10</v>
      </c>
      <c r="EG226"/>
      <c r="EH226"/>
      <c r="EI226"/>
      <c r="EJ226"/>
      <c r="EK226"/>
      <c r="EL226"/>
      <c r="EM226"/>
      <c r="EN226"/>
      <c r="EO226"/>
      <c r="EP226"/>
      <c r="EQ226"/>
      <c r="ER226"/>
      <c r="ES226"/>
      <c r="ET226"/>
      <c r="EU226">
        <v>3000</v>
      </c>
      <c r="EV226"/>
      <c r="EW226">
        <v>0</v>
      </c>
      <c r="EX226">
        <v>0</v>
      </c>
      <c r="EY226">
        <v>0</v>
      </c>
      <c r="EZ226"/>
      <c r="FA226">
        <v>8.6999999999999993</v>
      </c>
      <c r="FB226"/>
      <c r="FC226"/>
      <c r="FD226"/>
      <c r="FE226"/>
      <c r="FF226"/>
      <c r="FG226" s="94">
        <v>237</v>
      </c>
      <c r="FH226" s="94">
        <v>202</v>
      </c>
      <c r="FI226" s="94">
        <v>221</v>
      </c>
    </row>
    <row r="227" spans="1:165" s="66" customFormat="1" x14ac:dyDescent="0.35">
      <c r="A227" s="19"/>
      <c r="B227" s="19"/>
      <c r="C227" s="19"/>
      <c r="D227" s="19"/>
      <c r="E227" s="19"/>
      <c r="F227" s="128"/>
      <c r="G227" s="19"/>
      <c r="H227" s="19"/>
      <c r="I227" s="19"/>
      <c r="J227" s="19"/>
      <c r="K227" s="19" t="str">
        <f>_xlfn.CONCAT(A228," ",C228," ",D228)</f>
        <v>2026 HYUNDAI MOTOR COMPANY Ioniq 9 RWD</v>
      </c>
      <c r="L227" s="19"/>
      <c r="M227" s="19"/>
      <c r="N227" s="19"/>
      <c r="O227" s="19"/>
      <c r="P227" s="19"/>
      <c r="Q227" s="19"/>
      <c r="R227" s="19"/>
      <c r="S227" s="19"/>
      <c r="T227" s="19"/>
      <c r="U227" s="19"/>
      <c r="V227" s="19"/>
      <c r="W227" s="19"/>
      <c r="X227" s="19"/>
      <c r="Y227" s="19"/>
      <c r="Z227" s="19"/>
      <c r="AA227" s="19"/>
      <c r="AB227" s="19" t="str">
        <f>$K227</f>
        <v>2026 HYUNDAI MOTOR COMPANY Ioniq 9 RWD</v>
      </c>
      <c r="AC227" s="19"/>
      <c r="AD227" s="19"/>
      <c r="AE227" s="19"/>
      <c r="AF227" s="19"/>
      <c r="AG227" s="19"/>
      <c r="AH227" s="19"/>
      <c r="AI227" s="19"/>
      <c r="AJ227" s="19"/>
      <c r="AK227" s="19"/>
      <c r="AL227" s="19"/>
      <c r="AM227" s="19"/>
      <c r="AN227" s="19"/>
      <c r="AO227" s="19"/>
      <c r="AP227" s="19"/>
      <c r="AQ227" s="19"/>
      <c r="AR227" s="19" t="str">
        <f>$K227</f>
        <v>2026 HYUNDAI MOTOR COMPANY Ioniq 9 RWD</v>
      </c>
      <c r="AS227" s="19"/>
      <c r="AT227" s="19"/>
      <c r="AU227" s="19"/>
      <c r="AV227" s="19"/>
      <c r="AW227" s="19"/>
      <c r="AX227" s="19"/>
      <c r="AY227" s="19"/>
      <c r="AZ227" s="19"/>
      <c r="BA227" s="19"/>
      <c r="BB227" s="19"/>
      <c r="BC227" s="19"/>
      <c r="BD227" s="19"/>
      <c r="BE227" s="19"/>
      <c r="BF227" s="19"/>
      <c r="BG227" s="19" t="str">
        <f>$K227</f>
        <v>2026 HYUNDAI MOTOR COMPANY Ioniq 9 RWD</v>
      </c>
      <c r="BH227" s="19"/>
      <c r="BI227" s="19"/>
      <c r="BJ227" s="19"/>
      <c r="BK227" s="19"/>
      <c r="BL227" s="19"/>
      <c r="BM227" s="129"/>
      <c r="BN227" s="19"/>
      <c r="BO227" s="19"/>
      <c r="BP227" s="19"/>
      <c r="BQ227" s="19"/>
      <c r="BR227" s="19"/>
      <c r="BS227" s="19"/>
      <c r="BT227" s="130"/>
      <c r="BU227" s="19"/>
      <c r="BV227" s="19"/>
      <c r="BW227" s="116"/>
      <c r="BX227" s="19"/>
      <c r="BY227" s="19"/>
      <c r="BZ227" s="19"/>
      <c r="CA227" s="19"/>
      <c r="CB227" s="19"/>
      <c r="CC227" s="19"/>
      <c r="CD227" s="19"/>
      <c r="CE227" s="19"/>
      <c r="CF227" s="19"/>
      <c r="CG227" s="19"/>
      <c r="CH227" s="19"/>
      <c r="CI227" s="19"/>
      <c r="CJ227" s="19"/>
      <c r="CK227" s="19"/>
      <c r="CL227" s="19"/>
      <c r="CM227" s="19" t="str">
        <f>$K227</f>
        <v>2026 HYUNDAI MOTOR COMPANY Ioniq 9 RWD</v>
      </c>
      <c r="CN227" s="19"/>
      <c r="CO227" s="19"/>
      <c r="CP227" s="19"/>
      <c r="CQ227" s="19"/>
      <c r="CR227" s="19"/>
      <c r="CS227" s="19"/>
      <c r="CT227" s="19"/>
      <c r="CU227" s="19"/>
      <c r="CV227" s="19"/>
      <c r="CW227" s="19"/>
      <c r="CX227" s="19"/>
      <c r="CY227" s="19"/>
      <c r="CZ227" s="19"/>
      <c r="DA227" s="19"/>
      <c r="DB227" s="19"/>
      <c r="DC227" s="19"/>
      <c r="DD227" s="19" t="str">
        <f>$K227</f>
        <v>2026 HYUNDAI MOTOR COMPANY Ioniq 9 RWD</v>
      </c>
      <c r="DE227" s="19"/>
      <c r="DF227" s="19"/>
      <c r="DG227" s="19"/>
      <c r="DH227" s="19"/>
      <c r="DI227" s="19"/>
      <c r="DJ227" s="19"/>
      <c r="DK227" s="19"/>
      <c r="DL227" s="19"/>
      <c r="DM227" s="19"/>
      <c r="DN227" s="19"/>
      <c r="DO227" s="19"/>
      <c r="DP227" s="19"/>
      <c r="DQ227" s="19"/>
      <c r="DR227" s="19"/>
      <c r="DS227" s="19"/>
      <c r="DT227" s="19"/>
      <c r="DU227" s="19" t="str">
        <f>$K227</f>
        <v>2026 HYUNDAI MOTOR COMPANY Ioniq 9 RWD</v>
      </c>
      <c r="DV227" s="19"/>
      <c r="DW227" s="19"/>
      <c r="DX227" s="19"/>
      <c r="DY227" s="19"/>
      <c r="DZ227" s="19"/>
      <c r="EA227" s="117"/>
      <c r="EB227" s="19"/>
      <c r="EC227" s="19"/>
      <c r="ED227" s="19"/>
      <c r="EE227" s="19"/>
      <c r="EF227" s="19"/>
      <c r="EG227"/>
      <c r="EH227"/>
      <c r="EI227"/>
      <c r="EJ227"/>
      <c r="EK227"/>
      <c r="EL227"/>
      <c r="EM227"/>
      <c r="EN227"/>
      <c r="EO227"/>
      <c r="EP227"/>
      <c r="EQ227"/>
      <c r="ER227"/>
      <c r="ES227"/>
      <c r="ET227"/>
      <c r="EU227"/>
      <c r="EV227"/>
      <c r="EW227"/>
      <c r="EX227" s="19" t="s">
        <v>1994</v>
      </c>
      <c r="EY227"/>
      <c r="EZ227"/>
      <c r="FA227"/>
      <c r="FB227"/>
      <c r="FC227"/>
      <c r="FD227"/>
      <c r="FE227"/>
      <c r="FF227"/>
      <c r="FG227"/>
      <c r="FH227"/>
      <c r="FI227"/>
    </row>
    <row r="228" spans="1:165" s="66" customFormat="1" x14ac:dyDescent="0.35">
      <c r="A228">
        <v>2026</v>
      </c>
      <c r="B228" t="s">
        <v>400</v>
      </c>
      <c r="C228" s="112" t="s">
        <v>561</v>
      </c>
      <c r="D228" t="s">
        <v>1489</v>
      </c>
      <c r="E228" t="s">
        <v>403</v>
      </c>
      <c r="F228">
        <v>80</v>
      </c>
      <c r="G228" s="113">
        <v>0</v>
      </c>
      <c r="H228"/>
      <c r="I228" t="s">
        <v>1391</v>
      </c>
      <c r="J228">
        <v>103</v>
      </c>
      <c r="K228">
        <v>81</v>
      </c>
      <c r="L228">
        <v>92</v>
      </c>
      <c r="M228">
        <v>154.4</v>
      </c>
      <c r="N228">
        <v>122.2</v>
      </c>
      <c r="O228">
        <v>138.0326</v>
      </c>
      <c r="P228">
        <v>103</v>
      </c>
      <c r="Q228">
        <v>81</v>
      </c>
      <c r="R228">
        <v>92</v>
      </c>
      <c r="S228"/>
      <c r="T228"/>
      <c r="U228"/>
      <c r="V228" t="s">
        <v>170</v>
      </c>
      <c r="W228" t="s">
        <v>171</v>
      </c>
      <c r="X228" t="s">
        <v>1466</v>
      </c>
      <c r="Y228">
        <v>1</v>
      </c>
      <c r="Z228" t="s">
        <v>173</v>
      </c>
      <c r="AA228" t="s">
        <v>173</v>
      </c>
      <c r="AB228" t="s">
        <v>174</v>
      </c>
      <c r="AC228" t="s">
        <v>175</v>
      </c>
      <c r="AD228"/>
      <c r="AE228"/>
      <c r="AF228">
        <v>335</v>
      </c>
      <c r="AG228" t="s">
        <v>1392</v>
      </c>
      <c r="AH228" t="s">
        <v>1393</v>
      </c>
      <c r="AI228" t="s">
        <v>178</v>
      </c>
      <c r="AJ228" t="s">
        <v>179</v>
      </c>
      <c r="AK228">
        <v>4</v>
      </c>
      <c r="AL228" t="s">
        <v>1394</v>
      </c>
      <c r="AM228"/>
      <c r="AN228"/>
      <c r="AO228"/>
      <c r="AP228"/>
      <c r="AQ228"/>
      <c r="AR228"/>
      <c r="AS228">
        <v>950</v>
      </c>
      <c r="AT228">
        <v>950</v>
      </c>
      <c r="AU228"/>
      <c r="AV228"/>
      <c r="AW228"/>
      <c r="AX228"/>
      <c r="AY228"/>
      <c r="AZ228"/>
      <c r="BA228"/>
      <c r="BB228"/>
      <c r="BC228"/>
      <c r="BD228"/>
      <c r="BE228"/>
      <c r="BF228"/>
      <c r="BG228"/>
      <c r="BH228"/>
      <c r="BI228"/>
      <c r="BJ228"/>
      <c r="BK228"/>
      <c r="BL228"/>
      <c r="BM228"/>
      <c r="BN228" s="114"/>
      <c r="BO228"/>
      <c r="BP228"/>
      <c r="BQ228">
        <v>32</v>
      </c>
      <c r="BR228" t="s">
        <v>1035</v>
      </c>
      <c r="BS228"/>
      <c r="BT228" t="s">
        <v>1395</v>
      </c>
      <c r="BU228" s="115">
        <v>45731</v>
      </c>
      <c r="BV228">
        <v>36329</v>
      </c>
      <c r="BW228" s="116"/>
      <c r="BX228" t="s">
        <v>173</v>
      </c>
      <c r="BY228" t="s">
        <v>173</v>
      </c>
      <c r="BZ228"/>
      <c r="CA228"/>
      <c r="CB228" t="s">
        <v>173</v>
      </c>
      <c r="CC228" t="s">
        <v>173</v>
      </c>
      <c r="CD228"/>
      <c r="CE228"/>
      <c r="CF228"/>
      <c r="CG228"/>
      <c r="CH228"/>
      <c r="CI228"/>
      <c r="CJ228"/>
      <c r="CK228" t="s">
        <v>259</v>
      </c>
      <c r="CL228"/>
      <c r="CM228">
        <v>1</v>
      </c>
      <c r="CN228" t="s">
        <v>260</v>
      </c>
      <c r="CO228"/>
      <c r="CP228">
        <v>610</v>
      </c>
      <c r="CQ228">
        <v>180.9</v>
      </c>
      <c r="CR228">
        <v>176.4</v>
      </c>
      <c r="CS228" t="s">
        <v>1437</v>
      </c>
      <c r="CT228"/>
      <c r="CU228"/>
      <c r="CV228" t="s">
        <v>262</v>
      </c>
      <c r="CW228"/>
      <c r="CX228" t="s">
        <v>702</v>
      </c>
      <c r="CY228" t="s">
        <v>172</v>
      </c>
      <c r="CZ228"/>
      <c r="DA228"/>
      <c r="DB228"/>
      <c r="DC228" t="s">
        <v>1467</v>
      </c>
      <c r="DD228">
        <v>1</v>
      </c>
      <c r="DE228" t="s">
        <v>307</v>
      </c>
      <c r="DF228" t="s">
        <v>330</v>
      </c>
      <c r="DG228">
        <v>160</v>
      </c>
      <c r="DH228"/>
      <c r="DI228"/>
      <c r="DJ228"/>
      <c r="DK228"/>
      <c r="DL228" t="s">
        <v>173</v>
      </c>
      <c r="DM228" t="s">
        <v>172</v>
      </c>
      <c r="DN228"/>
      <c r="DO228"/>
      <c r="DP228" t="s">
        <v>173</v>
      </c>
      <c r="DQ228" t="s">
        <v>189</v>
      </c>
      <c r="DR228"/>
      <c r="DS228"/>
      <c r="DT228"/>
      <c r="DU228"/>
      <c r="DV228"/>
      <c r="DW228"/>
      <c r="DX228"/>
      <c r="DY228"/>
      <c r="DZ228"/>
      <c r="EA228" s="117"/>
      <c r="EB228">
        <v>9</v>
      </c>
      <c r="EC228">
        <v>10</v>
      </c>
      <c r="ED228"/>
      <c r="EE228" t="s">
        <v>1490</v>
      </c>
      <c r="EF228">
        <v>10</v>
      </c>
      <c r="EG228"/>
      <c r="EH228"/>
      <c r="EI228"/>
      <c r="EJ228"/>
      <c r="EK228"/>
      <c r="EL228"/>
      <c r="EM228"/>
      <c r="EN228"/>
      <c r="EO228"/>
      <c r="EP228"/>
      <c r="EQ228"/>
      <c r="ER228"/>
      <c r="ES228"/>
      <c r="ET228"/>
      <c r="EU228">
        <v>3750</v>
      </c>
      <c r="EV228"/>
      <c r="EW228">
        <v>0</v>
      </c>
      <c r="EX228">
        <v>0</v>
      </c>
      <c r="EY228">
        <v>0</v>
      </c>
      <c r="EZ228"/>
      <c r="FA228">
        <v>11.7</v>
      </c>
      <c r="FB228"/>
      <c r="FC228"/>
      <c r="FD228"/>
      <c r="FE228"/>
      <c r="FF228"/>
      <c r="FG228" s="94">
        <v>367</v>
      </c>
      <c r="FH228" s="94">
        <v>296</v>
      </c>
      <c r="FI228" s="94">
        <v>335</v>
      </c>
    </row>
    <row r="229" spans="1:165" s="66" customFormat="1" x14ac:dyDescent="0.35">
      <c r="A229">
        <v>2026</v>
      </c>
      <c r="B229" t="s">
        <v>400</v>
      </c>
      <c r="C229" s="112" t="s">
        <v>561</v>
      </c>
      <c r="D229" t="s">
        <v>1489</v>
      </c>
      <c r="E229" t="s">
        <v>403</v>
      </c>
      <c r="F229">
        <v>80</v>
      </c>
      <c r="G229" s="113">
        <v>0</v>
      </c>
      <c r="H229"/>
      <c r="I229" t="s">
        <v>1391</v>
      </c>
      <c r="J229">
        <v>33</v>
      </c>
      <c r="K229">
        <v>41</v>
      </c>
      <c r="L229">
        <v>37</v>
      </c>
      <c r="M229">
        <v>21.828099999999999</v>
      </c>
      <c r="N229">
        <v>27.574000000000002</v>
      </c>
      <c r="O229">
        <v>24.413699999999999</v>
      </c>
      <c r="P229">
        <v>33</v>
      </c>
      <c r="Q229">
        <v>41</v>
      </c>
      <c r="R229">
        <v>37</v>
      </c>
      <c r="S229"/>
      <c r="T229"/>
      <c r="U229"/>
      <c r="V229" t="s">
        <v>170</v>
      </c>
      <c r="W229" t="s">
        <v>171</v>
      </c>
      <c r="X229" t="s">
        <v>1466</v>
      </c>
      <c r="Y229">
        <v>1</v>
      </c>
      <c r="Z229" t="s">
        <v>173</v>
      </c>
      <c r="AA229" t="s">
        <v>173</v>
      </c>
      <c r="AB229" t="s">
        <v>174</v>
      </c>
      <c r="AC229" t="s">
        <v>175</v>
      </c>
      <c r="AD229"/>
      <c r="AE229"/>
      <c r="AF229">
        <v>335</v>
      </c>
      <c r="AG229" t="s">
        <v>1392</v>
      </c>
      <c r="AH229" t="s">
        <v>1393</v>
      </c>
      <c r="AI229" t="s">
        <v>1399</v>
      </c>
      <c r="AJ229" t="s">
        <v>1400</v>
      </c>
      <c r="AK229">
        <v>4</v>
      </c>
      <c r="AL229" t="s">
        <v>1394</v>
      </c>
      <c r="AM229"/>
      <c r="AN229"/>
      <c r="AO229"/>
      <c r="AP229"/>
      <c r="AQ229"/>
      <c r="AR229"/>
      <c r="AS229">
        <v>950</v>
      </c>
      <c r="AT229">
        <v>950</v>
      </c>
      <c r="AU229"/>
      <c r="AV229"/>
      <c r="AW229"/>
      <c r="AX229"/>
      <c r="AY229"/>
      <c r="AZ229"/>
      <c r="BA229"/>
      <c r="BB229"/>
      <c r="BC229"/>
      <c r="BD229"/>
      <c r="BE229"/>
      <c r="BF229"/>
      <c r="BG229"/>
      <c r="BH229"/>
      <c r="BI229"/>
      <c r="BJ229"/>
      <c r="BK229"/>
      <c r="BL229"/>
      <c r="BM229"/>
      <c r="BN229" s="114"/>
      <c r="BO229"/>
      <c r="BP229"/>
      <c r="BQ229">
        <v>32</v>
      </c>
      <c r="BR229" t="s">
        <v>1035</v>
      </c>
      <c r="BS229"/>
      <c r="BT229" t="s">
        <v>1395</v>
      </c>
      <c r="BU229" s="115">
        <v>45731</v>
      </c>
      <c r="BV229">
        <v>36329</v>
      </c>
      <c r="BW229" s="116"/>
      <c r="BX229" t="s">
        <v>173</v>
      </c>
      <c r="BY229" t="s">
        <v>173</v>
      </c>
      <c r="BZ229"/>
      <c r="CA229"/>
      <c r="CB229" t="s">
        <v>173</v>
      </c>
      <c r="CC229" t="s">
        <v>173</v>
      </c>
      <c r="CD229"/>
      <c r="CE229"/>
      <c r="CF229"/>
      <c r="CG229"/>
      <c r="CH229"/>
      <c r="CI229"/>
      <c r="CJ229"/>
      <c r="CK229" t="s">
        <v>259</v>
      </c>
      <c r="CL229"/>
      <c r="CM229">
        <v>1</v>
      </c>
      <c r="CN229" t="s">
        <v>260</v>
      </c>
      <c r="CO229"/>
      <c r="CP229">
        <v>610</v>
      </c>
      <c r="CQ229">
        <v>180.9</v>
      </c>
      <c r="CR229">
        <v>176.4</v>
      </c>
      <c r="CS229" t="s">
        <v>1437</v>
      </c>
      <c r="CT229"/>
      <c r="CU229"/>
      <c r="CV229" t="s">
        <v>262</v>
      </c>
      <c r="CW229"/>
      <c r="CX229" t="s">
        <v>702</v>
      </c>
      <c r="CY229" t="s">
        <v>172</v>
      </c>
      <c r="CZ229"/>
      <c r="DA229"/>
      <c r="DB229"/>
      <c r="DC229" t="s">
        <v>1467</v>
      </c>
      <c r="DD229">
        <v>1</v>
      </c>
      <c r="DE229" t="s">
        <v>307</v>
      </c>
      <c r="DF229" t="s">
        <v>330</v>
      </c>
      <c r="DG229">
        <v>160</v>
      </c>
      <c r="DH229"/>
      <c r="DI229"/>
      <c r="DJ229"/>
      <c r="DK229"/>
      <c r="DL229" t="s">
        <v>173</v>
      </c>
      <c r="DM229" t="s">
        <v>172</v>
      </c>
      <c r="DN229"/>
      <c r="DO229"/>
      <c r="DP229" t="s">
        <v>173</v>
      </c>
      <c r="DQ229" t="s">
        <v>189</v>
      </c>
      <c r="DR229"/>
      <c r="DS229"/>
      <c r="DT229"/>
      <c r="DU229"/>
      <c r="DV229"/>
      <c r="DW229"/>
      <c r="DX229"/>
      <c r="DY229"/>
      <c r="DZ229"/>
      <c r="EA229" s="117"/>
      <c r="EB229">
        <v>9</v>
      </c>
      <c r="EC229">
        <v>10</v>
      </c>
      <c r="ED229"/>
      <c r="EE229" t="s">
        <v>1490</v>
      </c>
      <c r="EF229">
        <v>10</v>
      </c>
      <c r="EG229"/>
      <c r="EH229"/>
      <c r="EI229"/>
      <c r="EJ229"/>
      <c r="EK229"/>
      <c r="EL229"/>
      <c r="EM229"/>
      <c r="EN229"/>
      <c r="EO229"/>
      <c r="EP229"/>
      <c r="EQ229"/>
      <c r="ER229"/>
      <c r="ES229"/>
      <c r="ET229"/>
      <c r="EU229">
        <v>3750</v>
      </c>
      <c r="EV229"/>
      <c r="EW229">
        <v>0</v>
      </c>
      <c r="EX229">
        <v>0</v>
      </c>
      <c r="EY229">
        <v>0</v>
      </c>
      <c r="EZ229"/>
      <c r="FA229">
        <v>11.7</v>
      </c>
      <c r="FB229"/>
      <c r="FC229"/>
      <c r="FD229"/>
      <c r="FE229"/>
      <c r="FF229"/>
      <c r="FG229" s="94">
        <v>367</v>
      </c>
      <c r="FH229" s="94">
        <v>296</v>
      </c>
      <c r="FI229" s="94">
        <v>335</v>
      </c>
    </row>
    <row r="230" spans="1:165" s="66" customFormat="1" x14ac:dyDescent="0.35">
      <c r="A230" s="19"/>
      <c r="B230" s="19"/>
      <c r="C230" s="19"/>
      <c r="D230" s="19"/>
      <c r="E230" s="19"/>
      <c r="F230" s="128"/>
      <c r="G230" s="19"/>
      <c r="H230" s="19"/>
      <c r="I230" s="19"/>
      <c r="J230" s="19"/>
      <c r="K230" s="19" t="str">
        <f>_xlfn.CONCAT(A231," ",C231," ",D231)</f>
        <v>2026 HYUNDAI MOTOR COMPANY Ioniq 9 AWD</v>
      </c>
      <c r="L230" s="19"/>
      <c r="M230" s="19"/>
      <c r="N230" s="19"/>
      <c r="O230" s="19"/>
      <c r="P230" s="19"/>
      <c r="Q230" s="19"/>
      <c r="R230" s="19"/>
      <c r="S230" s="19"/>
      <c r="T230" s="19"/>
      <c r="U230" s="19"/>
      <c r="V230" s="19"/>
      <c r="W230" s="19"/>
      <c r="X230" s="19"/>
      <c r="Y230" s="19"/>
      <c r="Z230" s="19"/>
      <c r="AA230" s="19"/>
      <c r="AB230" s="19" t="str">
        <f>$K230</f>
        <v>2026 HYUNDAI MOTOR COMPANY Ioniq 9 AWD</v>
      </c>
      <c r="AC230" s="19"/>
      <c r="AD230" s="19"/>
      <c r="AE230" s="19"/>
      <c r="AF230" s="19"/>
      <c r="AG230" s="19"/>
      <c r="AH230" s="19"/>
      <c r="AI230" s="19"/>
      <c r="AJ230" s="19"/>
      <c r="AK230" s="19"/>
      <c r="AL230" s="19"/>
      <c r="AM230" s="19"/>
      <c r="AN230" s="19"/>
      <c r="AO230" s="19"/>
      <c r="AP230" s="19"/>
      <c r="AQ230" s="19"/>
      <c r="AR230" s="19" t="str">
        <f>$K230</f>
        <v>2026 HYUNDAI MOTOR COMPANY Ioniq 9 AWD</v>
      </c>
      <c r="AS230" s="19"/>
      <c r="AT230" s="19"/>
      <c r="AU230" s="19"/>
      <c r="AV230" s="19"/>
      <c r="AW230" s="19"/>
      <c r="AX230" s="19"/>
      <c r="AY230" s="19"/>
      <c r="AZ230" s="19"/>
      <c r="BA230" s="19"/>
      <c r="BB230" s="19"/>
      <c r="BC230" s="19"/>
      <c r="BD230" s="19"/>
      <c r="BE230" s="19"/>
      <c r="BF230" s="19"/>
      <c r="BG230" s="19" t="str">
        <f>$K230</f>
        <v>2026 HYUNDAI MOTOR COMPANY Ioniq 9 AWD</v>
      </c>
      <c r="BH230" s="19"/>
      <c r="BI230" s="19"/>
      <c r="BJ230" s="19"/>
      <c r="BK230" s="19"/>
      <c r="BL230" s="19"/>
      <c r="BM230" s="129"/>
      <c r="BN230" s="19"/>
      <c r="BO230" s="19"/>
      <c r="BP230" s="19"/>
      <c r="BQ230" s="19"/>
      <c r="BR230" s="19"/>
      <c r="BS230" s="19"/>
      <c r="BT230" s="130"/>
      <c r="BU230" s="19"/>
      <c r="BV230" s="19"/>
      <c r="BW230" s="116"/>
      <c r="BX230" s="19"/>
      <c r="BY230" s="19"/>
      <c r="BZ230" s="19"/>
      <c r="CA230" s="19"/>
      <c r="CB230" s="19"/>
      <c r="CC230" s="19"/>
      <c r="CD230" s="19"/>
      <c r="CE230" s="19"/>
      <c r="CF230" s="19"/>
      <c r="CG230" s="19"/>
      <c r="CH230" s="19"/>
      <c r="CI230" s="19"/>
      <c r="CJ230" s="19"/>
      <c r="CK230" s="19"/>
      <c r="CL230" s="19"/>
      <c r="CM230" s="19" t="str">
        <f>$K230</f>
        <v>2026 HYUNDAI MOTOR COMPANY Ioniq 9 AWD</v>
      </c>
      <c r="CN230" s="19"/>
      <c r="CO230" s="19"/>
      <c r="CP230" s="19"/>
      <c r="CQ230" s="19"/>
      <c r="CR230" s="19"/>
      <c r="CS230" s="19"/>
      <c r="CT230" s="19"/>
      <c r="CU230" s="19"/>
      <c r="CV230" s="19"/>
      <c r="CW230" s="19"/>
      <c r="CX230" s="19"/>
      <c r="CY230" s="19"/>
      <c r="CZ230" s="19"/>
      <c r="DA230" s="19"/>
      <c r="DB230" s="19"/>
      <c r="DC230" s="19"/>
      <c r="DD230" s="19" t="str">
        <f>$K230</f>
        <v>2026 HYUNDAI MOTOR COMPANY Ioniq 9 AWD</v>
      </c>
      <c r="DE230" s="19"/>
      <c r="DF230" s="19"/>
      <c r="DG230" s="19"/>
      <c r="DH230" s="19"/>
      <c r="DI230" s="19"/>
      <c r="DJ230" s="19"/>
      <c r="DK230" s="19"/>
      <c r="DL230" s="19"/>
      <c r="DM230" s="19"/>
      <c r="DN230" s="19"/>
      <c r="DO230" s="19"/>
      <c r="DP230" s="19"/>
      <c r="DQ230" s="19"/>
      <c r="DR230" s="19"/>
      <c r="DS230" s="19"/>
      <c r="DT230" s="19"/>
      <c r="DU230" s="19" t="str">
        <f>$K230</f>
        <v>2026 HYUNDAI MOTOR COMPANY Ioniq 9 AWD</v>
      </c>
      <c r="DV230" s="19"/>
      <c r="DW230" s="19"/>
      <c r="DX230" s="19"/>
      <c r="DY230" s="19"/>
      <c r="DZ230" s="19"/>
      <c r="EA230" s="117"/>
      <c r="EB230" s="19"/>
      <c r="EC230" s="19"/>
      <c r="ED230" s="19"/>
      <c r="EE230" s="19"/>
      <c r="EF230" s="19"/>
      <c r="EG230"/>
      <c r="EH230"/>
      <c r="EI230"/>
      <c r="EJ230"/>
      <c r="EK230"/>
      <c r="EL230"/>
      <c r="EM230"/>
      <c r="EN230"/>
      <c r="EO230"/>
      <c r="EP230"/>
      <c r="EQ230"/>
      <c r="ER230"/>
      <c r="ES230"/>
      <c r="ET230"/>
      <c r="EU230"/>
      <c r="EV230"/>
      <c r="EW230"/>
      <c r="EX230" s="19" t="s">
        <v>1995</v>
      </c>
      <c r="EY230"/>
      <c r="EZ230"/>
      <c r="FA230"/>
      <c r="FB230"/>
      <c r="FC230"/>
      <c r="FD230"/>
      <c r="FE230"/>
      <c r="FF230"/>
      <c r="FG230"/>
      <c r="FH230"/>
      <c r="FI230"/>
    </row>
    <row r="231" spans="1:165" s="66" customFormat="1" x14ac:dyDescent="0.35">
      <c r="A231">
        <v>2026</v>
      </c>
      <c r="B231" t="s">
        <v>400</v>
      </c>
      <c r="C231" s="112" t="s">
        <v>561</v>
      </c>
      <c r="D231" t="s">
        <v>1491</v>
      </c>
      <c r="E231" t="s">
        <v>403</v>
      </c>
      <c r="F231">
        <v>81</v>
      </c>
      <c r="G231" s="113">
        <v>0</v>
      </c>
      <c r="H231"/>
      <c r="I231" t="s">
        <v>1391</v>
      </c>
      <c r="J231">
        <v>98</v>
      </c>
      <c r="K231">
        <v>78</v>
      </c>
      <c r="L231">
        <v>88</v>
      </c>
      <c r="M231">
        <v>146</v>
      </c>
      <c r="N231">
        <v>117.2</v>
      </c>
      <c r="O231">
        <v>131.46279999999999</v>
      </c>
      <c r="P231">
        <v>98</v>
      </c>
      <c r="Q231">
        <v>78</v>
      </c>
      <c r="R231">
        <v>88</v>
      </c>
      <c r="S231"/>
      <c r="T231"/>
      <c r="U231"/>
      <c r="V231" t="s">
        <v>170</v>
      </c>
      <c r="W231" t="s">
        <v>171</v>
      </c>
      <c r="X231" t="s">
        <v>1466</v>
      </c>
      <c r="Y231">
        <v>1</v>
      </c>
      <c r="Z231" t="s">
        <v>173</v>
      </c>
      <c r="AA231" t="s">
        <v>173</v>
      </c>
      <c r="AB231" t="s">
        <v>170</v>
      </c>
      <c r="AC231" t="s">
        <v>232</v>
      </c>
      <c r="AD231"/>
      <c r="AE231"/>
      <c r="AF231">
        <v>320</v>
      </c>
      <c r="AG231" t="s">
        <v>1392</v>
      </c>
      <c r="AH231" t="s">
        <v>1393</v>
      </c>
      <c r="AI231" t="s">
        <v>178</v>
      </c>
      <c r="AJ231" t="s">
        <v>179</v>
      </c>
      <c r="AK231">
        <v>4</v>
      </c>
      <c r="AL231" t="s">
        <v>1394</v>
      </c>
      <c r="AM231"/>
      <c r="AN231"/>
      <c r="AO231"/>
      <c r="AP231"/>
      <c r="AQ231"/>
      <c r="AR231"/>
      <c r="AS231">
        <v>950</v>
      </c>
      <c r="AT231">
        <v>950</v>
      </c>
      <c r="AU231"/>
      <c r="AV231"/>
      <c r="AW231"/>
      <c r="AX231"/>
      <c r="AY231"/>
      <c r="AZ231"/>
      <c r="BA231"/>
      <c r="BB231"/>
      <c r="BC231"/>
      <c r="BD231"/>
      <c r="BE231"/>
      <c r="BF231"/>
      <c r="BG231"/>
      <c r="BH231"/>
      <c r="BI231"/>
      <c r="BJ231"/>
      <c r="BK231"/>
      <c r="BL231"/>
      <c r="BM231"/>
      <c r="BN231" s="114"/>
      <c r="BO231"/>
      <c r="BP231"/>
      <c r="BQ231">
        <v>33</v>
      </c>
      <c r="BR231" t="s">
        <v>1062</v>
      </c>
      <c r="BS231"/>
      <c r="BT231" t="s">
        <v>1395</v>
      </c>
      <c r="BU231" s="115">
        <v>45731</v>
      </c>
      <c r="BV231">
        <v>36330</v>
      </c>
      <c r="BW231" s="116"/>
      <c r="BX231" t="s">
        <v>173</v>
      </c>
      <c r="BY231" t="s">
        <v>173</v>
      </c>
      <c r="BZ231"/>
      <c r="CA231"/>
      <c r="CB231" t="s">
        <v>173</v>
      </c>
      <c r="CC231" t="s">
        <v>173</v>
      </c>
      <c r="CD231"/>
      <c r="CE231"/>
      <c r="CF231"/>
      <c r="CG231"/>
      <c r="CH231"/>
      <c r="CI231"/>
      <c r="CJ231"/>
      <c r="CK231" t="s">
        <v>259</v>
      </c>
      <c r="CL231"/>
      <c r="CM231">
        <v>1</v>
      </c>
      <c r="CN231" t="s">
        <v>260</v>
      </c>
      <c r="CO231"/>
      <c r="CP231">
        <v>610</v>
      </c>
      <c r="CQ231">
        <v>180.9</v>
      </c>
      <c r="CR231">
        <v>176.4</v>
      </c>
      <c r="CS231" t="s">
        <v>1437</v>
      </c>
      <c r="CT231"/>
      <c r="CU231"/>
      <c r="CV231" t="s">
        <v>262</v>
      </c>
      <c r="CW231"/>
      <c r="CX231" t="s">
        <v>263</v>
      </c>
      <c r="CY231" t="s">
        <v>172</v>
      </c>
      <c r="CZ231"/>
      <c r="DA231"/>
      <c r="DB231"/>
      <c r="DC231" t="s">
        <v>1467</v>
      </c>
      <c r="DD231">
        <v>2</v>
      </c>
      <c r="DE231" t="s">
        <v>307</v>
      </c>
      <c r="DF231" t="s">
        <v>330</v>
      </c>
      <c r="DG231" t="s">
        <v>1492</v>
      </c>
      <c r="DH231"/>
      <c r="DI231"/>
      <c r="DJ231"/>
      <c r="DK231"/>
      <c r="DL231" t="s">
        <v>173</v>
      </c>
      <c r="DM231" t="s">
        <v>172</v>
      </c>
      <c r="DN231"/>
      <c r="DO231"/>
      <c r="DP231" t="s">
        <v>173</v>
      </c>
      <c r="DQ231" t="s">
        <v>189</v>
      </c>
      <c r="DR231"/>
      <c r="DS231"/>
      <c r="DT231"/>
      <c r="DU231"/>
      <c r="DV231"/>
      <c r="DW231"/>
      <c r="DX231"/>
      <c r="DY231"/>
      <c r="DZ231"/>
      <c r="EA231" s="117"/>
      <c r="EB231">
        <v>9</v>
      </c>
      <c r="EC231">
        <v>10</v>
      </c>
      <c r="ED231"/>
      <c r="EE231" t="s">
        <v>1493</v>
      </c>
      <c r="EF231">
        <v>10</v>
      </c>
      <c r="EG231"/>
      <c r="EH231"/>
      <c r="EI231"/>
      <c r="EJ231"/>
      <c r="EK231"/>
      <c r="EL231"/>
      <c r="EM231"/>
      <c r="EN231"/>
      <c r="EO231"/>
      <c r="EP231"/>
      <c r="EQ231"/>
      <c r="ER231"/>
      <c r="ES231"/>
      <c r="ET231"/>
      <c r="EU231">
        <v>3750</v>
      </c>
      <c r="EV231"/>
      <c r="EW231">
        <v>0</v>
      </c>
      <c r="EX231">
        <v>0</v>
      </c>
      <c r="EY231">
        <v>0</v>
      </c>
      <c r="EZ231"/>
      <c r="FA231">
        <v>11.6</v>
      </c>
      <c r="FB231"/>
      <c r="FC231"/>
      <c r="FD231"/>
      <c r="FE231"/>
      <c r="FF231"/>
      <c r="FG231" s="94">
        <v>353</v>
      </c>
      <c r="FH231" s="94">
        <v>279</v>
      </c>
      <c r="FI231" s="94">
        <v>320</v>
      </c>
    </row>
    <row r="232" spans="1:165" s="66" customFormat="1" x14ac:dyDescent="0.35">
      <c r="A232">
        <v>2026</v>
      </c>
      <c r="B232" t="s">
        <v>400</v>
      </c>
      <c r="C232" s="112" t="s">
        <v>561</v>
      </c>
      <c r="D232" t="s">
        <v>1491</v>
      </c>
      <c r="E232" t="s">
        <v>403</v>
      </c>
      <c r="F232">
        <v>81</v>
      </c>
      <c r="G232" s="113">
        <v>0</v>
      </c>
      <c r="H232"/>
      <c r="I232" t="s">
        <v>1391</v>
      </c>
      <c r="J232">
        <v>34</v>
      </c>
      <c r="K232">
        <v>43</v>
      </c>
      <c r="L232">
        <v>38</v>
      </c>
      <c r="M232">
        <v>23.081399999999999</v>
      </c>
      <c r="N232">
        <v>28.746700000000001</v>
      </c>
      <c r="O232">
        <v>25.630800000000001</v>
      </c>
      <c r="P232">
        <v>34</v>
      </c>
      <c r="Q232">
        <v>43</v>
      </c>
      <c r="R232">
        <v>38</v>
      </c>
      <c r="S232"/>
      <c r="T232"/>
      <c r="U232"/>
      <c r="V232" t="s">
        <v>170</v>
      </c>
      <c r="W232" t="s">
        <v>171</v>
      </c>
      <c r="X232" t="s">
        <v>1466</v>
      </c>
      <c r="Y232">
        <v>1</v>
      </c>
      <c r="Z232" t="s">
        <v>173</v>
      </c>
      <c r="AA232" t="s">
        <v>173</v>
      </c>
      <c r="AB232" t="s">
        <v>170</v>
      </c>
      <c r="AC232" t="s">
        <v>232</v>
      </c>
      <c r="AD232"/>
      <c r="AE232"/>
      <c r="AF232">
        <v>320</v>
      </c>
      <c r="AG232" t="s">
        <v>1392</v>
      </c>
      <c r="AH232" t="s">
        <v>1393</v>
      </c>
      <c r="AI232" t="s">
        <v>1399</v>
      </c>
      <c r="AJ232" t="s">
        <v>1400</v>
      </c>
      <c r="AK232">
        <v>4</v>
      </c>
      <c r="AL232" t="s">
        <v>1394</v>
      </c>
      <c r="AM232"/>
      <c r="AN232"/>
      <c r="AO232"/>
      <c r="AP232"/>
      <c r="AQ232"/>
      <c r="AR232"/>
      <c r="AS232">
        <v>950</v>
      </c>
      <c r="AT232">
        <v>950</v>
      </c>
      <c r="AU232"/>
      <c r="AV232"/>
      <c r="AW232"/>
      <c r="AX232"/>
      <c r="AY232"/>
      <c r="AZ232"/>
      <c r="BA232"/>
      <c r="BB232"/>
      <c r="BC232"/>
      <c r="BD232"/>
      <c r="BE232"/>
      <c r="BF232"/>
      <c r="BG232"/>
      <c r="BH232"/>
      <c r="BI232"/>
      <c r="BJ232"/>
      <c r="BK232"/>
      <c r="BL232"/>
      <c r="BM232"/>
      <c r="BN232" s="114"/>
      <c r="BO232"/>
      <c r="BP232"/>
      <c r="BQ232">
        <v>33</v>
      </c>
      <c r="BR232" t="s">
        <v>1062</v>
      </c>
      <c r="BS232"/>
      <c r="BT232" t="s">
        <v>1395</v>
      </c>
      <c r="BU232" s="115">
        <v>45731</v>
      </c>
      <c r="BV232">
        <v>36330</v>
      </c>
      <c r="BW232" s="116"/>
      <c r="BX232" t="s">
        <v>173</v>
      </c>
      <c r="BY232" t="s">
        <v>173</v>
      </c>
      <c r="BZ232"/>
      <c r="CA232"/>
      <c r="CB232" t="s">
        <v>173</v>
      </c>
      <c r="CC232" t="s">
        <v>173</v>
      </c>
      <c r="CD232"/>
      <c r="CE232"/>
      <c r="CF232"/>
      <c r="CG232"/>
      <c r="CH232"/>
      <c r="CI232"/>
      <c r="CJ232"/>
      <c r="CK232" t="s">
        <v>259</v>
      </c>
      <c r="CL232"/>
      <c r="CM232">
        <v>1</v>
      </c>
      <c r="CN232" t="s">
        <v>260</v>
      </c>
      <c r="CO232"/>
      <c r="CP232">
        <v>610</v>
      </c>
      <c r="CQ232">
        <v>180.9</v>
      </c>
      <c r="CR232">
        <v>176.4</v>
      </c>
      <c r="CS232" t="s">
        <v>1437</v>
      </c>
      <c r="CT232"/>
      <c r="CU232"/>
      <c r="CV232" t="s">
        <v>262</v>
      </c>
      <c r="CW232"/>
      <c r="CX232" t="s">
        <v>263</v>
      </c>
      <c r="CY232" t="s">
        <v>172</v>
      </c>
      <c r="CZ232"/>
      <c r="DA232"/>
      <c r="DB232"/>
      <c r="DC232" t="s">
        <v>1467</v>
      </c>
      <c r="DD232">
        <v>2</v>
      </c>
      <c r="DE232" t="s">
        <v>307</v>
      </c>
      <c r="DF232" t="s">
        <v>330</v>
      </c>
      <c r="DG232" t="s">
        <v>1492</v>
      </c>
      <c r="DH232"/>
      <c r="DI232"/>
      <c r="DJ232"/>
      <c r="DK232"/>
      <c r="DL232" t="s">
        <v>173</v>
      </c>
      <c r="DM232" t="s">
        <v>172</v>
      </c>
      <c r="DN232"/>
      <c r="DO232"/>
      <c r="DP232" t="s">
        <v>173</v>
      </c>
      <c r="DQ232" t="s">
        <v>189</v>
      </c>
      <c r="DR232"/>
      <c r="DS232"/>
      <c r="DT232"/>
      <c r="DU232"/>
      <c r="DV232"/>
      <c r="DW232"/>
      <c r="DX232"/>
      <c r="DY232"/>
      <c r="DZ232"/>
      <c r="EA232" s="117"/>
      <c r="EB232">
        <v>9</v>
      </c>
      <c r="EC232">
        <v>10</v>
      </c>
      <c r="ED232"/>
      <c r="EE232" t="s">
        <v>1493</v>
      </c>
      <c r="EF232">
        <v>10</v>
      </c>
      <c r="EG232"/>
      <c r="EH232"/>
      <c r="EI232"/>
      <c r="EJ232"/>
      <c r="EK232"/>
      <c r="EL232"/>
      <c r="EM232"/>
      <c r="EN232"/>
      <c r="EO232"/>
      <c r="EP232"/>
      <c r="EQ232"/>
      <c r="ER232"/>
      <c r="ES232"/>
      <c r="ET232"/>
      <c r="EU232">
        <v>3750</v>
      </c>
      <c r="EV232"/>
      <c r="EW232">
        <v>0</v>
      </c>
      <c r="EX232">
        <v>0</v>
      </c>
      <c r="EY232">
        <v>0</v>
      </c>
      <c r="EZ232"/>
      <c r="FA232">
        <v>11.6</v>
      </c>
      <c r="FB232"/>
      <c r="FC232"/>
      <c r="FD232"/>
      <c r="FE232"/>
      <c r="FF232"/>
      <c r="FG232" s="94">
        <v>353</v>
      </c>
      <c r="FH232" s="94">
        <v>279</v>
      </c>
      <c r="FI232" s="94">
        <v>320</v>
      </c>
    </row>
    <row r="233" spans="1:165" s="66" customFormat="1" x14ac:dyDescent="0.35">
      <c r="A233" s="19"/>
      <c r="B233" s="19"/>
      <c r="C233" s="19"/>
      <c r="D233" s="19"/>
      <c r="E233" s="19"/>
      <c r="F233" s="128"/>
      <c r="G233" s="19"/>
      <c r="H233" s="19"/>
      <c r="I233" s="19"/>
      <c r="J233" s="19"/>
      <c r="K233" s="19" t="str">
        <f>_xlfn.CONCAT(A234," ",C234," ",D234)</f>
        <v>2026 HYUNDAI MOTOR COMPANY Ioniq 9 AWD Performance</v>
      </c>
      <c r="L233" s="19"/>
      <c r="M233" s="19"/>
      <c r="N233" s="19"/>
      <c r="O233" s="19"/>
      <c r="P233" s="19"/>
      <c r="Q233" s="19"/>
      <c r="R233" s="19"/>
      <c r="S233" s="19"/>
      <c r="T233" s="19"/>
      <c r="U233" s="19"/>
      <c r="V233" s="19"/>
      <c r="W233" s="19"/>
      <c r="X233" s="19"/>
      <c r="Y233" s="19"/>
      <c r="Z233" s="19"/>
      <c r="AA233" s="19"/>
      <c r="AB233" s="19" t="str">
        <f>$K233</f>
        <v>2026 HYUNDAI MOTOR COMPANY Ioniq 9 AWD Performance</v>
      </c>
      <c r="AC233" s="19"/>
      <c r="AD233" s="19"/>
      <c r="AE233" s="19"/>
      <c r="AF233" s="19"/>
      <c r="AG233" s="19"/>
      <c r="AH233" s="19"/>
      <c r="AI233" s="19"/>
      <c r="AJ233" s="19"/>
      <c r="AK233" s="19"/>
      <c r="AL233" s="19"/>
      <c r="AM233" s="19"/>
      <c r="AN233" s="19"/>
      <c r="AO233" s="19"/>
      <c r="AP233" s="19"/>
      <c r="AQ233" s="19"/>
      <c r="AR233" s="19" t="str">
        <f>$K233</f>
        <v>2026 HYUNDAI MOTOR COMPANY Ioniq 9 AWD Performance</v>
      </c>
      <c r="AS233" s="19"/>
      <c r="AT233" s="19"/>
      <c r="AU233" s="19"/>
      <c r="AV233" s="19"/>
      <c r="AW233" s="19"/>
      <c r="AX233" s="19"/>
      <c r="AY233" s="19"/>
      <c r="AZ233" s="19"/>
      <c r="BA233" s="19"/>
      <c r="BB233" s="19"/>
      <c r="BC233" s="19"/>
      <c r="BD233" s="19"/>
      <c r="BE233" s="19"/>
      <c r="BF233" s="19"/>
      <c r="BG233" s="19" t="str">
        <f>$K233</f>
        <v>2026 HYUNDAI MOTOR COMPANY Ioniq 9 AWD Performance</v>
      </c>
      <c r="BH233" s="19"/>
      <c r="BI233" s="19"/>
      <c r="BJ233" s="19"/>
      <c r="BK233" s="19"/>
      <c r="BL233" s="19"/>
      <c r="BM233" s="129"/>
      <c r="BN233" s="19"/>
      <c r="BO233" s="19"/>
      <c r="BP233" s="19"/>
      <c r="BQ233" s="19"/>
      <c r="BR233" s="19"/>
      <c r="BS233" s="19"/>
      <c r="BT233" s="130"/>
      <c r="BU233" s="19"/>
      <c r="BV233" s="19"/>
      <c r="BW233" s="116"/>
      <c r="BX233" s="19"/>
      <c r="BY233" s="19"/>
      <c r="BZ233" s="19"/>
      <c r="CA233" s="19"/>
      <c r="CB233" s="19"/>
      <c r="CC233" s="19"/>
      <c r="CD233" s="19"/>
      <c r="CE233" s="19"/>
      <c r="CF233" s="19"/>
      <c r="CG233" s="19"/>
      <c r="CH233" s="19"/>
      <c r="CI233" s="19"/>
      <c r="CJ233" s="19"/>
      <c r="CK233" s="19"/>
      <c r="CL233" s="19"/>
      <c r="CM233" s="19" t="str">
        <f>$K233</f>
        <v>2026 HYUNDAI MOTOR COMPANY Ioniq 9 AWD Performance</v>
      </c>
      <c r="CN233" s="19"/>
      <c r="CO233" s="19"/>
      <c r="CP233" s="19"/>
      <c r="CQ233" s="19"/>
      <c r="CR233" s="19"/>
      <c r="CS233" s="19"/>
      <c r="CT233" s="19"/>
      <c r="CU233" s="19"/>
      <c r="CV233" s="19"/>
      <c r="CW233" s="19"/>
      <c r="CX233" s="19"/>
      <c r="CY233" s="19"/>
      <c r="CZ233" s="19"/>
      <c r="DA233" s="19"/>
      <c r="DB233" s="19"/>
      <c r="DC233" s="19"/>
      <c r="DD233" s="19" t="str">
        <f>$K233</f>
        <v>2026 HYUNDAI MOTOR COMPANY Ioniq 9 AWD Performance</v>
      </c>
      <c r="DE233" s="19"/>
      <c r="DF233" s="19"/>
      <c r="DG233" s="19"/>
      <c r="DH233" s="19"/>
      <c r="DI233" s="19"/>
      <c r="DJ233" s="19"/>
      <c r="DK233" s="19"/>
      <c r="DL233" s="19"/>
      <c r="DM233" s="19"/>
      <c r="DN233" s="19"/>
      <c r="DO233" s="19"/>
      <c r="DP233" s="19"/>
      <c r="DQ233" s="19"/>
      <c r="DR233" s="19"/>
      <c r="DS233" s="19"/>
      <c r="DT233" s="19"/>
      <c r="DU233" s="19" t="str">
        <f>$K233</f>
        <v>2026 HYUNDAI MOTOR COMPANY Ioniq 9 AWD Performance</v>
      </c>
      <c r="DV233" s="19"/>
      <c r="DW233" s="19"/>
      <c r="DX233" s="19"/>
      <c r="DY233" s="19"/>
      <c r="DZ233" s="19"/>
      <c r="EA233" s="117"/>
      <c r="EB233" s="19"/>
      <c r="EC233" s="19"/>
      <c r="ED233" s="19"/>
      <c r="EE233" s="19"/>
      <c r="EF233" s="19"/>
      <c r="EG233"/>
      <c r="EH233"/>
      <c r="EI233"/>
      <c r="EJ233"/>
      <c r="EK233"/>
      <c r="EL233"/>
      <c r="EM233"/>
      <c r="EN233"/>
      <c r="EO233"/>
      <c r="EP233"/>
      <c r="EQ233"/>
      <c r="ER233"/>
      <c r="ES233"/>
      <c r="ET233"/>
      <c r="EU233"/>
      <c r="EV233"/>
      <c r="EW233"/>
      <c r="EX233" s="19" t="s">
        <v>1996</v>
      </c>
      <c r="EY233"/>
      <c r="EZ233"/>
      <c r="FA233"/>
      <c r="FB233"/>
      <c r="FC233"/>
      <c r="FD233"/>
      <c r="FE233"/>
      <c r="FF233"/>
      <c r="FG233"/>
      <c r="FH233"/>
      <c r="FI233"/>
    </row>
    <row r="234" spans="1:165" s="66" customFormat="1" x14ac:dyDescent="0.35">
      <c r="A234">
        <v>2026</v>
      </c>
      <c r="B234" t="s">
        <v>400</v>
      </c>
      <c r="C234" s="112" t="s">
        <v>561</v>
      </c>
      <c r="D234" t="s">
        <v>1494</v>
      </c>
      <c r="E234" t="s">
        <v>403</v>
      </c>
      <c r="F234">
        <v>82</v>
      </c>
      <c r="G234" s="113">
        <v>0</v>
      </c>
      <c r="H234"/>
      <c r="I234" t="s">
        <v>1391</v>
      </c>
      <c r="J234">
        <v>91</v>
      </c>
      <c r="K234">
        <v>79</v>
      </c>
      <c r="L234">
        <v>85</v>
      </c>
      <c r="M234">
        <v>135.1</v>
      </c>
      <c r="N234">
        <v>117.2</v>
      </c>
      <c r="O234">
        <v>126.4119</v>
      </c>
      <c r="P234">
        <v>91</v>
      </c>
      <c r="Q234">
        <v>79</v>
      </c>
      <c r="R234">
        <v>85</v>
      </c>
      <c r="S234"/>
      <c r="T234"/>
      <c r="U234"/>
      <c r="V234" t="s">
        <v>170</v>
      </c>
      <c r="W234" t="s">
        <v>171</v>
      </c>
      <c r="X234" t="s">
        <v>1466</v>
      </c>
      <c r="Y234">
        <v>1</v>
      </c>
      <c r="Z234" t="s">
        <v>173</v>
      </c>
      <c r="AA234" t="s">
        <v>173</v>
      </c>
      <c r="AB234" t="s">
        <v>170</v>
      </c>
      <c r="AC234" t="s">
        <v>232</v>
      </c>
      <c r="AD234"/>
      <c r="AE234"/>
      <c r="AF234">
        <v>311</v>
      </c>
      <c r="AG234" t="s">
        <v>1392</v>
      </c>
      <c r="AH234" t="s">
        <v>1393</v>
      </c>
      <c r="AI234" t="s">
        <v>178</v>
      </c>
      <c r="AJ234" t="s">
        <v>179</v>
      </c>
      <c r="AK234">
        <v>4</v>
      </c>
      <c r="AL234" t="s">
        <v>1394</v>
      </c>
      <c r="AM234"/>
      <c r="AN234"/>
      <c r="AO234"/>
      <c r="AP234"/>
      <c r="AQ234"/>
      <c r="AR234"/>
      <c r="AS234">
        <v>1000</v>
      </c>
      <c r="AT234">
        <v>1000</v>
      </c>
      <c r="AU234"/>
      <c r="AV234"/>
      <c r="AW234"/>
      <c r="AX234"/>
      <c r="AY234"/>
      <c r="AZ234"/>
      <c r="BA234"/>
      <c r="BB234"/>
      <c r="BC234"/>
      <c r="BD234"/>
      <c r="BE234"/>
      <c r="BF234"/>
      <c r="BG234"/>
      <c r="BH234"/>
      <c r="BI234"/>
      <c r="BJ234"/>
      <c r="BK234"/>
      <c r="BL234"/>
      <c r="BM234"/>
      <c r="BN234" s="114"/>
      <c r="BO234"/>
      <c r="BP234"/>
      <c r="BQ234">
        <v>33</v>
      </c>
      <c r="BR234" t="s">
        <v>1062</v>
      </c>
      <c r="BS234"/>
      <c r="BT234" t="s">
        <v>1395</v>
      </c>
      <c r="BU234" s="115">
        <v>45731</v>
      </c>
      <c r="BV234">
        <v>36331</v>
      </c>
      <c r="BW234" s="116"/>
      <c r="BX234" t="s">
        <v>173</v>
      </c>
      <c r="BY234" t="s">
        <v>173</v>
      </c>
      <c r="BZ234"/>
      <c r="CA234"/>
      <c r="CB234" t="s">
        <v>173</v>
      </c>
      <c r="CC234" t="s">
        <v>173</v>
      </c>
      <c r="CD234"/>
      <c r="CE234"/>
      <c r="CF234"/>
      <c r="CG234"/>
      <c r="CH234"/>
      <c r="CI234"/>
      <c r="CJ234"/>
      <c r="CK234" t="s">
        <v>259</v>
      </c>
      <c r="CL234"/>
      <c r="CM234">
        <v>1</v>
      </c>
      <c r="CN234" t="s">
        <v>260</v>
      </c>
      <c r="CO234"/>
      <c r="CP234">
        <v>610</v>
      </c>
      <c r="CQ234">
        <v>180.9</v>
      </c>
      <c r="CR234">
        <v>176.4</v>
      </c>
      <c r="CS234" t="s">
        <v>1437</v>
      </c>
      <c r="CT234"/>
      <c r="CU234"/>
      <c r="CV234" t="s">
        <v>262</v>
      </c>
      <c r="CW234"/>
      <c r="CX234" t="s">
        <v>263</v>
      </c>
      <c r="CY234" t="s">
        <v>172</v>
      </c>
      <c r="CZ234"/>
      <c r="DA234"/>
      <c r="DB234"/>
      <c r="DC234" t="s">
        <v>1467</v>
      </c>
      <c r="DD234">
        <v>2</v>
      </c>
      <c r="DE234" t="s">
        <v>307</v>
      </c>
      <c r="DF234" t="s">
        <v>330</v>
      </c>
      <c r="DG234">
        <v>157</v>
      </c>
      <c r="DH234"/>
      <c r="DI234"/>
      <c r="DJ234"/>
      <c r="DK234"/>
      <c r="DL234" t="s">
        <v>173</v>
      </c>
      <c r="DM234" t="s">
        <v>172</v>
      </c>
      <c r="DN234"/>
      <c r="DO234"/>
      <c r="DP234" t="s">
        <v>173</v>
      </c>
      <c r="DQ234" t="s">
        <v>189</v>
      </c>
      <c r="DR234"/>
      <c r="DS234"/>
      <c r="DT234"/>
      <c r="DU234"/>
      <c r="DV234"/>
      <c r="DW234"/>
      <c r="DX234"/>
      <c r="DY234"/>
      <c r="DZ234"/>
      <c r="EA234" s="117"/>
      <c r="EB234">
        <v>9</v>
      </c>
      <c r="EC234">
        <v>10</v>
      </c>
      <c r="ED234"/>
      <c r="EE234" t="s">
        <v>1495</v>
      </c>
      <c r="EF234">
        <v>10</v>
      </c>
      <c r="EG234"/>
      <c r="EH234"/>
      <c r="EI234"/>
      <c r="EJ234"/>
      <c r="EK234"/>
      <c r="EL234"/>
      <c r="EM234"/>
      <c r="EN234"/>
      <c r="EO234"/>
      <c r="EP234"/>
      <c r="EQ234"/>
      <c r="ER234"/>
      <c r="ES234"/>
      <c r="ET234"/>
      <c r="EU234">
        <v>3500</v>
      </c>
      <c r="EV234"/>
      <c r="EW234">
        <v>0</v>
      </c>
      <c r="EX234">
        <v>0</v>
      </c>
      <c r="EY234">
        <v>0</v>
      </c>
      <c r="EZ234"/>
      <c r="FA234">
        <v>11.5</v>
      </c>
      <c r="FB234"/>
      <c r="FC234"/>
      <c r="FD234"/>
      <c r="FE234"/>
      <c r="FF234"/>
      <c r="FG234" s="94">
        <v>332</v>
      </c>
      <c r="FH234" s="94">
        <v>286</v>
      </c>
      <c r="FI234" s="94">
        <v>311</v>
      </c>
    </row>
    <row r="235" spans="1:165" s="66" customFormat="1" x14ac:dyDescent="0.35">
      <c r="A235">
        <v>2026</v>
      </c>
      <c r="B235" t="s">
        <v>400</v>
      </c>
      <c r="C235" s="112" t="s">
        <v>561</v>
      </c>
      <c r="D235" t="s">
        <v>1494</v>
      </c>
      <c r="E235" t="s">
        <v>403</v>
      </c>
      <c r="F235">
        <v>82</v>
      </c>
      <c r="G235" s="113">
        <v>0</v>
      </c>
      <c r="H235"/>
      <c r="I235" t="s">
        <v>1391</v>
      </c>
      <c r="J235">
        <v>37</v>
      </c>
      <c r="K235">
        <v>43</v>
      </c>
      <c r="L235">
        <v>40</v>
      </c>
      <c r="M235">
        <v>24.9511</v>
      </c>
      <c r="N235">
        <v>28.761199999999999</v>
      </c>
      <c r="O235">
        <v>26.665600000000001</v>
      </c>
      <c r="P235">
        <v>37</v>
      </c>
      <c r="Q235">
        <v>43</v>
      </c>
      <c r="R235">
        <v>40</v>
      </c>
      <c r="S235"/>
      <c r="T235"/>
      <c r="U235"/>
      <c r="V235" t="s">
        <v>170</v>
      </c>
      <c r="W235" t="s">
        <v>171</v>
      </c>
      <c r="X235" t="s">
        <v>1466</v>
      </c>
      <c r="Y235">
        <v>1</v>
      </c>
      <c r="Z235" t="s">
        <v>173</v>
      </c>
      <c r="AA235" t="s">
        <v>173</v>
      </c>
      <c r="AB235" t="s">
        <v>170</v>
      </c>
      <c r="AC235" t="s">
        <v>232</v>
      </c>
      <c r="AD235"/>
      <c r="AE235"/>
      <c r="AF235">
        <v>311</v>
      </c>
      <c r="AG235" t="s">
        <v>1392</v>
      </c>
      <c r="AH235" t="s">
        <v>1393</v>
      </c>
      <c r="AI235" t="s">
        <v>1399</v>
      </c>
      <c r="AJ235" t="s">
        <v>1400</v>
      </c>
      <c r="AK235">
        <v>4</v>
      </c>
      <c r="AL235" t="s">
        <v>1394</v>
      </c>
      <c r="AM235"/>
      <c r="AN235"/>
      <c r="AO235"/>
      <c r="AP235"/>
      <c r="AQ235"/>
      <c r="AR235"/>
      <c r="AS235">
        <v>1000</v>
      </c>
      <c r="AT235">
        <v>1000</v>
      </c>
      <c r="AU235"/>
      <c r="AV235"/>
      <c r="AW235"/>
      <c r="AX235"/>
      <c r="AY235"/>
      <c r="AZ235"/>
      <c r="BA235"/>
      <c r="BB235"/>
      <c r="BC235"/>
      <c r="BD235"/>
      <c r="BE235"/>
      <c r="BF235"/>
      <c r="BG235"/>
      <c r="BH235"/>
      <c r="BI235"/>
      <c r="BJ235"/>
      <c r="BK235"/>
      <c r="BL235"/>
      <c r="BM235"/>
      <c r="BN235" s="114"/>
      <c r="BO235"/>
      <c r="BP235"/>
      <c r="BQ235">
        <v>33</v>
      </c>
      <c r="BR235" t="s">
        <v>1062</v>
      </c>
      <c r="BS235"/>
      <c r="BT235" t="s">
        <v>1395</v>
      </c>
      <c r="BU235" s="115">
        <v>45731</v>
      </c>
      <c r="BV235">
        <v>36331</v>
      </c>
      <c r="BW235" s="116"/>
      <c r="BX235" t="s">
        <v>173</v>
      </c>
      <c r="BY235" t="s">
        <v>173</v>
      </c>
      <c r="BZ235"/>
      <c r="CA235"/>
      <c r="CB235" t="s">
        <v>173</v>
      </c>
      <c r="CC235" t="s">
        <v>173</v>
      </c>
      <c r="CD235"/>
      <c r="CE235"/>
      <c r="CF235"/>
      <c r="CG235"/>
      <c r="CH235"/>
      <c r="CI235"/>
      <c r="CJ235"/>
      <c r="CK235" t="s">
        <v>259</v>
      </c>
      <c r="CL235"/>
      <c r="CM235">
        <v>1</v>
      </c>
      <c r="CN235" t="s">
        <v>260</v>
      </c>
      <c r="CO235"/>
      <c r="CP235">
        <v>610</v>
      </c>
      <c r="CQ235">
        <v>180.9</v>
      </c>
      <c r="CR235">
        <v>176.4</v>
      </c>
      <c r="CS235" t="s">
        <v>1437</v>
      </c>
      <c r="CT235"/>
      <c r="CU235"/>
      <c r="CV235" t="s">
        <v>262</v>
      </c>
      <c r="CW235"/>
      <c r="CX235" t="s">
        <v>263</v>
      </c>
      <c r="CY235" t="s">
        <v>172</v>
      </c>
      <c r="CZ235"/>
      <c r="DA235"/>
      <c r="DB235"/>
      <c r="DC235" t="s">
        <v>1467</v>
      </c>
      <c r="DD235">
        <v>2</v>
      </c>
      <c r="DE235" t="s">
        <v>307</v>
      </c>
      <c r="DF235" t="s">
        <v>330</v>
      </c>
      <c r="DG235">
        <v>157</v>
      </c>
      <c r="DH235"/>
      <c r="DI235"/>
      <c r="DJ235"/>
      <c r="DK235"/>
      <c r="DL235" t="s">
        <v>173</v>
      </c>
      <c r="DM235" t="s">
        <v>172</v>
      </c>
      <c r="DN235"/>
      <c r="DO235"/>
      <c r="DP235" t="s">
        <v>173</v>
      </c>
      <c r="DQ235" t="s">
        <v>189</v>
      </c>
      <c r="DR235"/>
      <c r="DS235"/>
      <c r="DT235"/>
      <c r="DU235"/>
      <c r="DV235"/>
      <c r="DW235"/>
      <c r="DX235"/>
      <c r="DY235"/>
      <c r="DZ235"/>
      <c r="EA235" s="117"/>
      <c r="EB235">
        <v>9</v>
      </c>
      <c r="EC235">
        <v>10</v>
      </c>
      <c r="ED235"/>
      <c r="EE235" t="s">
        <v>1495</v>
      </c>
      <c r="EF235">
        <v>10</v>
      </c>
      <c r="EG235"/>
      <c r="EH235"/>
      <c r="EI235"/>
      <c r="EJ235"/>
      <c r="EK235"/>
      <c r="EL235"/>
      <c r="EM235"/>
      <c r="EN235"/>
      <c r="EO235"/>
      <c r="EP235"/>
      <c r="EQ235"/>
      <c r="ER235"/>
      <c r="ES235"/>
      <c r="ET235"/>
      <c r="EU235">
        <v>3500</v>
      </c>
      <c r="EV235"/>
      <c r="EW235">
        <v>0</v>
      </c>
      <c r="EX235">
        <v>0</v>
      </c>
      <c r="EY235">
        <v>0</v>
      </c>
      <c r="EZ235"/>
      <c r="FA235">
        <v>11.5</v>
      </c>
      <c r="FB235"/>
      <c r="FC235"/>
      <c r="FD235"/>
      <c r="FE235"/>
      <c r="FF235"/>
      <c r="FG235" s="94">
        <v>332</v>
      </c>
      <c r="FH235" s="94">
        <v>286</v>
      </c>
      <c r="FI235" s="94">
        <v>311</v>
      </c>
    </row>
    <row r="236" spans="1:165" s="66" customFormat="1" x14ac:dyDescent="0.35">
      <c r="A236" s="19"/>
      <c r="B236" s="19"/>
      <c r="C236" s="19"/>
      <c r="D236" s="19"/>
      <c r="E236" s="19"/>
      <c r="F236" s="128"/>
      <c r="G236" s="19"/>
      <c r="H236" s="19"/>
      <c r="I236" s="19"/>
      <c r="J236" s="19"/>
      <c r="K236" s="19" t="str">
        <f>_xlfn.CONCAT(A237," ",C237," ",D237)</f>
        <v>2026 KIA Niro Electric</v>
      </c>
      <c r="L236" s="19"/>
      <c r="M236" s="19"/>
      <c r="N236" s="19"/>
      <c r="O236" s="19"/>
      <c r="P236" s="19"/>
      <c r="Q236" s="19"/>
      <c r="R236" s="19"/>
      <c r="S236" s="19"/>
      <c r="T236" s="19"/>
      <c r="U236" s="19"/>
      <c r="V236" s="19"/>
      <c r="W236" s="19"/>
      <c r="X236" s="19"/>
      <c r="Y236" s="19"/>
      <c r="Z236" s="19"/>
      <c r="AA236" s="19"/>
      <c r="AB236" s="19" t="str">
        <f>$K236</f>
        <v>2026 KIA Niro Electric</v>
      </c>
      <c r="AC236" s="19"/>
      <c r="AD236" s="19"/>
      <c r="AE236" s="19"/>
      <c r="AF236" s="19"/>
      <c r="AG236" s="19"/>
      <c r="AH236" s="19"/>
      <c r="AI236" s="19"/>
      <c r="AJ236" s="19"/>
      <c r="AK236" s="19"/>
      <c r="AL236" s="19"/>
      <c r="AM236" s="19"/>
      <c r="AN236" s="19"/>
      <c r="AO236" s="19"/>
      <c r="AP236" s="19"/>
      <c r="AQ236" s="19"/>
      <c r="AR236" s="19" t="str">
        <f>$K236</f>
        <v>2026 KIA Niro Electric</v>
      </c>
      <c r="AS236" s="19"/>
      <c r="AT236" s="19"/>
      <c r="AU236" s="19"/>
      <c r="AV236" s="19"/>
      <c r="AW236" s="19"/>
      <c r="AX236" s="19"/>
      <c r="AY236" s="19"/>
      <c r="AZ236" s="19"/>
      <c r="BA236" s="19"/>
      <c r="BB236" s="19"/>
      <c r="BC236" s="19"/>
      <c r="BD236" s="19"/>
      <c r="BE236" s="19"/>
      <c r="BF236" s="19"/>
      <c r="BG236" s="19" t="str">
        <f>$K236</f>
        <v>2026 KIA Niro Electric</v>
      </c>
      <c r="BH236" s="19"/>
      <c r="BI236" s="19"/>
      <c r="BJ236" s="19"/>
      <c r="BK236" s="19"/>
      <c r="BL236" s="19"/>
      <c r="BM236" s="129"/>
      <c r="BN236" s="19"/>
      <c r="BO236" s="19"/>
      <c r="BP236" s="19"/>
      <c r="BQ236" s="19"/>
      <c r="BR236" s="19"/>
      <c r="BS236" s="19"/>
      <c r="BT236" s="130"/>
      <c r="BU236" s="19"/>
      <c r="BV236" s="19"/>
      <c r="BW236" s="116"/>
      <c r="BX236" s="19"/>
      <c r="BY236" s="19"/>
      <c r="BZ236" s="19"/>
      <c r="CA236" s="19"/>
      <c r="CB236" s="19"/>
      <c r="CC236" s="19"/>
      <c r="CD236" s="19"/>
      <c r="CE236" s="19"/>
      <c r="CF236" s="19"/>
      <c r="CG236" s="19"/>
      <c r="CH236" s="19"/>
      <c r="CI236" s="19"/>
      <c r="CJ236" s="19"/>
      <c r="CK236" s="19"/>
      <c r="CL236" s="19"/>
      <c r="CM236" s="19" t="str">
        <f>$K236</f>
        <v>2026 KIA Niro Electric</v>
      </c>
      <c r="CN236" s="19"/>
      <c r="CO236" s="19"/>
      <c r="CP236" s="19"/>
      <c r="CQ236" s="19"/>
      <c r="CR236" s="19"/>
      <c r="CS236" s="19"/>
      <c r="CT236" s="19"/>
      <c r="CU236" s="19"/>
      <c r="CV236" s="19"/>
      <c r="CW236" s="19"/>
      <c r="CX236" s="19"/>
      <c r="CY236" s="19"/>
      <c r="CZ236" s="19"/>
      <c r="DA236" s="19"/>
      <c r="DB236" s="19"/>
      <c r="DC236" s="19"/>
      <c r="DD236" s="19" t="str">
        <f>$K236</f>
        <v>2026 KIA Niro Electric</v>
      </c>
      <c r="DE236" s="19"/>
      <c r="DF236" s="19"/>
      <c r="DG236" s="19"/>
      <c r="DH236" s="19"/>
      <c r="DI236" s="19"/>
      <c r="DJ236" s="19"/>
      <c r="DK236" s="19"/>
      <c r="DL236" s="19"/>
      <c r="DM236" s="19"/>
      <c r="DN236" s="19"/>
      <c r="DO236" s="19"/>
      <c r="DP236" s="19"/>
      <c r="DQ236" s="19"/>
      <c r="DR236" s="19"/>
      <c r="DS236" s="19"/>
      <c r="DT236" s="19"/>
      <c r="DU236" s="19" t="str">
        <f>$K236</f>
        <v>2026 KIA Niro Electric</v>
      </c>
      <c r="DV236" s="19"/>
      <c r="DW236" s="19"/>
      <c r="DX236" s="19"/>
      <c r="DY236" s="19"/>
      <c r="DZ236" s="19"/>
      <c r="EA236" s="117"/>
      <c r="EB236" s="19"/>
      <c r="EC236" s="19"/>
      <c r="ED236" s="19"/>
      <c r="EE236" s="19"/>
      <c r="EF236" s="19"/>
      <c r="EG236"/>
      <c r="EH236"/>
      <c r="EI236"/>
      <c r="EJ236"/>
      <c r="EK236"/>
      <c r="EL236"/>
      <c r="EM236"/>
      <c r="EN236"/>
      <c r="EO236"/>
      <c r="EP236"/>
      <c r="EQ236"/>
      <c r="ER236"/>
      <c r="ES236"/>
      <c r="ET236"/>
      <c r="EU236"/>
      <c r="EV236"/>
      <c r="EW236"/>
      <c r="EX236" s="19" t="s">
        <v>1997</v>
      </c>
      <c r="EY236"/>
      <c r="EZ236"/>
      <c r="FA236"/>
      <c r="FB236"/>
      <c r="FC236"/>
      <c r="FD236"/>
      <c r="FE236"/>
      <c r="FF236"/>
      <c r="FG236"/>
      <c r="FH236"/>
      <c r="FI236"/>
    </row>
    <row r="237" spans="1:165" s="66" customFormat="1" x14ac:dyDescent="0.35">
      <c r="A237">
        <v>2026</v>
      </c>
      <c r="B237" t="s">
        <v>578</v>
      </c>
      <c r="C237" s="112" t="s">
        <v>579</v>
      </c>
      <c r="D237" t="s">
        <v>1496</v>
      </c>
      <c r="E237" t="s">
        <v>581</v>
      </c>
      <c r="F237">
        <v>30</v>
      </c>
      <c r="G237" s="113">
        <v>0</v>
      </c>
      <c r="H237"/>
      <c r="I237" t="s">
        <v>1391</v>
      </c>
      <c r="J237">
        <v>126</v>
      </c>
      <c r="K237">
        <v>101</v>
      </c>
      <c r="L237">
        <v>113</v>
      </c>
      <c r="M237">
        <v>183</v>
      </c>
      <c r="N237">
        <v>146.6</v>
      </c>
      <c r="O237">
        <v>164.6079</v>
      </c>
      <c r="P237">
        <v>126</v>
      </c>
      <c r="Q237">
        <v>101</v>
      </c>
      <c r="R237">
        <v>113</v>
      </c>
      <c r="S237"/>
      <c r="T237"/>
      <c r="U237"/>
      <c r="V237" t="s">
        <v>170</v>
      </c>
      <c r="W237" t="s">
        <v>171</v>
      </c>
      <c r="X237" t="s">
        <v>1466</v>
      </c>
      <c r="Y237">
        <v>1</v>
      </c>
      <c r="Z237" t="s">
        <v>173</v>
      </c>
      <c r="AA237" t="s">
        <v>173</v>
      </c>
      <c r="AB237" t="s">
        <v>277</v>
      </c>
      <c r="AC237" t="s">
        <v>278</v>
      </c>
      <c r="AD237"/>
      <c r="AE237"/>
      <c r="AF237">
        <v>253</v>
      </c>
      <c r="AG237" t="s">
        <v>1392</v>
      </c>
      <c r="AH237" t="s">
        <v>1393</v>
      </c>
      <c r="AI237" t="s">
        <v>178</v>
      </c>
      <c r="AJ237" t="s">
        <v>179</v>
      </c>
      <c r="AK237">
        <v>4</v>
      </c>
      <c r="AL237" t="s">
        <v>1394</v>
      </c>
      <c r="AM237"/>
      <c r="AN237"/>
      <c r="AO237">
        <v>100</v>
      </c>
      <c r="AP237">
        <v>23</v>
      </c>
      <c r="AQ237"/>
      <c r="AR237"/>
      <c r="AS237">
        <v>750</v>
      </c>
      <c r="AT237">
        <v>750</v>
      </c>
      <c r="AU237"/>
      <c r="AV237"/>
      <c r="AW237"/>
      <c r="AX237"/>
      <c r="AY237"/>
      <c r="AZ237"/>
      <c r="BA237"/>
      <c r="BB237"/>
      <c r="BC237"/>
      <c r="BD237"/>
      <c r="BE237"/>
      <c r="BF237"/>
      <c r="BG237"/>
      <c r="BH237"/>
      <c r="BI237"/>
      <c r="BJ237"/>
      <c r="BK237"/>
      <c r="BL237"/>
      <c r="BM237"/>
      <c r="BN237" s="114"/>
      <c r="BO237"/>
      <c r="BP237"/>
      <c r="BQ237">
        <v>30</v>
      </c>
      <c r="BR237" t="s">
        <v>798</v>
      </c>
      <c r="BS237"/>
      <c r="BT237" t="s">
        <v>1395</v>
      </c>
      <c r="BU237" s="115">
        <v>45824</v>
      </c>
      <c r="BV237">
        <v>36766</v>
      </c>
      <c r="BW237" s="116"/>
      <c r="BX237" t="s">
        <v>173</v>
      </c>
      <c r="BY237" t="s">
        <v>173</v>
      </c>
      <c r="BZ237"/>
      <c r="CA237"/>
      <c r="CB237" t="s">
        <v>173</v>
      </c>
      <c r="CC237" t="s">
        <v>173</v>
      </c>
      <c r="CD237"/>
      <c r="CE237"/>
      <c r="CF237"/>
      <c r="CG237"/>
      <c r="CH237"/>
      <c r="CI237"/>
      <c r="CJ237"/>
      <c r="CK237" t="s">
        <v>259</v>
      </c>
      <c r="CL237"/>
      <c r="CM237">
        <v>1</v>
      </c>
      <c r="CN237" t="s">
        <v>260</v>
      </c>
      <c r="CO237"/>
      <c r="CP237">
        <v>358</v>
      </c>
      <c r="CQ237">
        <v>180.9</v>
      </c>
      <c r="CR237">
        <v>150.80000000000001</v>
      </c>
      <c r="CS237" t="s">
        <v>1437</v>
      </c>
      <c r="CT237"/>
      <c r="CU237"/>
      <c r="CV237" t="s">
        <v>262</v>
      </c>
      <c r="CW237"/>
      <c r="CX237" t="s">
        <v>493</v>
      </c>
      <c r="CY237" t="s">
        <v>172</v>
      </c>
      <c r="CZ237"/>
      <c r="DA237"/>
      <c r="DB237"/>
      <c r="DC237" t="s">
        <v>1497</v>
      </c>
      <c r="DD237">
        <v>1</v>
      </c>
      <c r="DE237" t="s">
        <v>307</v>
      </c>
      <c r="DF237" t="s">
        <v>1498</v>
      </c>
      <c r="DG237">
        <v>150</v>
      </c>
      <c r="DH237"/>
      <c r="DI237"/>
      <c r="DJ237"/>
      <c r="DK237"/>
      <c r="DL237" t="s">
        <v>173</v>
      </c>
      <c r="DM237" t="s">
        <v>172</v>
      </c>
      <c r="DN237"/>
      <c r="DO237"/>
      <c r="DP237" t="s">
        <v>173</v>
      </c>
      <c r="DQ237" t="s">
        <v>189</v>
      </c>
      <c r="DR237"/>
      <c r="DS237"/>
      <c r="DT237"/>
      <c r="DU237"/>
      <c r="DV237"/>
      <c r="DW237"/>
      <c r="DX237"/>
      <c r="DY237"/>
      <c r="DZ237"/>
      <c r="EA237" s="117"/>
      <c r="EB237">
        <v>9</v>
      </c>
      <c r="EC237">
        <v>10</v>
      </c>
      <c r="ED237"/>
      <c r="EE237" t="s">
        <v>1499</v>
      </c>
      <c r="EF237">
        <v>10</v>
      </c>
      <c r="EG237"/>
      <c r="EH237"/>
      <c r="EI237"/>
      <c r="EJ237"/>
      <c r="EK237"/>
      <c r="EL237"/>
      <c r="EM237"/>
      <c r="EN237"/>
      <c r="EO237"/>
      <c r="EP237"/>
      <c r="EQ237"/>
      <c r="ER237"/>
      <c r="ES237"/>
      <c r="ET237"/>
      <c r="EU237">
        <v>4750</v>
      </c>
      <c r="EV237"/>
      <c r="EW237">
        <v>0</v>
      </c>
      <c r="EX237">
        <v>0</v>
      </c>
      <c r="EY237">
        <v>0</v>
      </c>
      <c r="EZ237"/>
      <c r="FA237">
        <v>7.5</v>
      </c>
      <c r="FB237"/>
      <c r="FC237"/>
      <c r="FD237"/>
      <c r="FE237"/>
      <c r="FF237"/>
      <c r="FG237" s="94">
        <v>275</v>
      </c>
      <c r="FH237" s="94">
        <v>226</v>
      </c>
      <c r="FI237" s="94">
        <v>253</v>
      </c>
    </row>
    <row r="238" spans="1:165" s="66" customFormat="1" x14ac:dyDescent="0.35">
      <c r="A238">
        <v>2026</v>
      </c>
      <c r="B238" t="s">
        <v>578</v>
      </c>
      <c r="C238" s="112" t="s">
        <v>579</v>
      </c>
      <c r="D238" t="s">
        <v>1496</v>
      </c>
      <c r="E238" t="s">
        <v>581</v>
      </c>
      <c r="F238">
        <v>30</v>
      </c>
      <c r="G238" s="113">
        <v>0</v>
      </c>
      <c r="H238"/>
      <c r="I238" t="s">
        <v>1391</v>
      </c>
      <c r="J238">
        <v>27</v>
      </c>
      <c r="K238">
        <v>33</v>
      </c>
      <c r="L238">
        <v>30</v>
      </c>
      <c r="M238">
        <v>18.416899999999998</v>
      </c>
      <c r="N238">
        <v>22.9878</v>
      </c>
      <c r="O238">
        <v>20.473800000000001</v>
      </c>
      <c r="P238">
        <v>27</v>
      </c>
      <c r="Q238">
        <v>32.844499999999996</v>
      </c>
      <c r="R238">
        <v>30</v>
      </c>
      <c r="S238"/>
      <c r="T238"/>
      <c r="U238"/>
      <c r="V238" t="s">
        <v>170</v>
      </c>
      <c r="W238" t="s">
        <v>171</v>
      </c>
      <c r="X238" t="s">
        <v>1466</v>
      </c>
      <c r="Y238">
        <v>1</v>
      </c>
      <c r="Z238" t="s">
        <v>173</v>
      </c>
      <c r="AA238" t="s">
        <v>173</v>
      </c>
      <c r="AB238" t="s">
        <v>277</v>
      </c>
      <c r="AC238" t="s">
        <v>278</v>
      </c>
      <c r="AD238"/>
      <c r="AE238"/>
      <c r="AF238">
        <v>253</v>
      </c>
      <c r="AG238" t="s">
        <v>1392</v>
      </c>
      <c r="AH238" t="s">
        <v>1393</v>
      </c>
      <c r="AI238" t="s">
        <v>1399</v>
      </c>
      <c r="AJ238" t="s">
        <v>1400</v>
      </c>
      <c r="AK238">
        <v>4</v>
      </c>
      <c r="AL238" t="s">
        <v>1394</v>
      </c>
      <c r="AM238"/>
      <c r="AN238"/>
      <c r="AO238">
        <v>100</v>
      </c>
      <c r="AP238">
        <v>23</v>
      </c>
      <c r="AQ238"/>
      <c r="AR238"/>
      <c r="AS238">
        <v>750</v>
      </c>
      <c r="AT238">
        <v>750</v>
      </c>
      <c r="AU238"/>
      <c r="AV238"/>
      <c r="AW238"/>
      <c r="AX238"/>
      <c r="AY238"/>
      <c r="AZ238"/>
      <c r="BA238"/>
      <c r="BB238"/>
      <c r="BC238"/>
      <c r="BD238"/>
      <c r="BE238"/>
      <c r="BF238"/>
      <c r="BG238"/>
      <c r="BH238"/>
      <c r="BI238"/>
      <c r="BJ238"/>
      <c r="BK238"/>
      <c r="BL238"/>
      <c r="BM238"/>
      <c r="BN238" s="114"/>
      <c r="BO238"/>
      <c r="BP238"/>
      <c r="BQ238">
        <v>30</v>
      </c>
      <c r="BR238" t="s">
        <v>798</v>
      </c>
      <c r="BS238"/>
      <c r="BT238" t="s">
        <v>1395</v>
      </c>
      <c r="BU238" s="115">
        <v>45824</v>
      </c>
      <c r="BV238">
        <v>36766</v>
      </c>
      <c r="BW238" s="116"/>
      <c r="BX238" t="s">
        <v>173</v>
      </c>
      <c r="BY238" t="s">
        <v>173</v>
      </c>
      <c r="BZ238"/>
      <c r="CA238"/>
      <c r="CB238" t="s">
        <v>173</v>
      </c>
      <c r="CC238" t="s">
        <v>173</v>
      </c>
      <c r="CD238"/>
      <c r="CE238"/>
      <c r="CF238"/>
      <c r="CG238"/>
      <c r="CH238"/>
      <c r="CI238"/>
      <c r="CJ238"/>
      <c r="CK238" t="s">
        <v>259</v>
      </c>
      <c r="CL238"/>
      <c r="CM238">
        <v>1</v>
      </c>
      <c r="CN238" t="s">
        <v>260</v>
      </c>
      <c r="CO238"/>
      <c r="CP238">
        <v>358</v>
      </c>
      <c r="CQ238">
        <v>180.9</v>
      </c>
      <c r="CR238">
        <v>150.80000000000001</v>
      </c>
      <c r="CS238" t="s">
        <v>1437</v>
      </c>
      <c r="CT238"/>
      <c r="CU238"/>
      <c r="CV238" t="s">
        <v>262</v>
      </c>
      <c r="CW238"/>
      <c r="CX238" t="s">
        <v>493</v>
      </c>
      <c r="CY238" t="s">
        <v>172</v>
      </c>
      <c r="CZ238"/>
      <c r="DA238"/>
      <c r="DB238"/>
      <c r="DC238" t="s">
        <v>1497</v>
      </c>
      <c r="DD238">
        <v>1</v>
      </c>
      <c r="DE238" t="s">
        <v>307</v>
      </c>
      <c r="DF238" t="s">
        <v>1498</v>
      </c>
      <c r="DG238">
        <v>150</v>
      </c>
      <c r="DH238"/>
      <c r="DI238"/>
      <c r="DJ238"/>
      <c r="DK238"/>
      <c r="DL238" t="s">
        <v>173</v>
      </c>
      <c r="DM238" t="s">
        <v>172</v>
      </c>
      <c r="DN238"/>
      <c r="DO238"/>
      <c r="DP238" t="s">
        <v>173</v>
      </c>
      <c r="DQ238" t="s">
        <v>189</v>
      </c>
      <c r="DR238"/>
      <c r="DS238"/>
      <c r="DT238"/>
      <c r="DU238"/>
      <c r="DV238"/>
      <c r="DW238"/>
      <c r="DX238"/>
      <c r="DY238"/>
      <c r="DZ238"/>
      <c r="EA238" s="117"/>
      <c r="EB238">
        <v>9</v>
      </c>
      <c r="EC238">
        <v>10</v>
      </c>
      <c r="ED238"/>
      <c r="EE238" t="s">
        <v>1499</v>
      </c>
      <c r="EF238">
        <v>10</v>
      </c>
      <c r="EG238"/>
      <c r="EH238"/>
      <c r="EI238"/>
      <c r="EJ238"/>
      <c r="EK238"/>
      <c r="EL238"/>
      <c r="EM238"/>
      <c r="EN238"/>
      <c r="EO238"/>
      <c r="EP238"/>
      <c r="EQ238"/>
      <c r="ER238"/>
      <c r="ES238"/>
      <c r="ET238"/>
      <c r="EU238">
        <v>4750</v>
      </c>
      <c r="EV238"/>
      <c r="EW238">
        <v>0</v>
      </c>
      <c r="EX238">
        <v>0</v>
      </c>
      <c r="EY238">
        <v>0</v>
      </c>
      <c r="EZ238"/>
      <c r="FA238">
        <v>7.5</v>
      </c>
      <c r="FB238"/>
      <c r="FC238"/>
      <c r="FD238"/>
      <c r="FE238"/>
      <c r="FF238"/>
      <c r="FG238" s="94">
        <v>275</v>
      </c>
      <c r="FH238" s="94">
        <v>226</v>
      </c>
      <c r="FI238" s="94">
        <v>253</v>
      </c>
    </row>
    <row r="239" spans="1:165" s="66" customFormat="1" x14ac:dyDescent="0.35">
      <c r="A239" s="19"/>
      <c r="B239" s="19"/>
      <c r="C239" s="19"/>
      <c r="D239" s="19"/>
      <c r="E239" s="19"/>
      <c r="F239" s="128"/>
      <c r="G239" s="19"/>
      <c r="H239" s="19"/>
      <c r="I239" s="19"/>
      <c r="J239" s="19"/>
      <c r="K239" s="19" t="str">
        <f>_xlfn.CONCAT(A240," ",C240," ",D240)</f>
        <v>2026 KIA EV9 Long Range RWD</v>
      </c>
      <c r="L239" s="19"/>
      <c r="M239" s="19"/>
      <c r="N239" s="19"/>
      <c r="O239" s="19"/>
      <c r="P239" s="19"/>
      <c r="Q239" s="19"/>
      <c r="R239" s="19"/>
      <c r="S239" s="19"/>
      <c r="T239" s="19"/>
      <c r="U239" s="19"/>
      <c r="V239" s="19"/>
      <c r="W239" s="19"/>
      <c r="X239" s="19"/>
      <c r="Y239" s="19"/>
      <c r="Z239" s="19"/>
      <c r="AA239" s="19"/>
      <c r="AB239" s="19" t="str">
        <f>$K239</f>
        <v>2026 KIA EV9 Long Range RWD</v>
      </c>
      <c r="AC239" s="19"/>
      <c r="AD239" s="19"/>
      <c r="AE239" s="19"/>
      <c r="AF239" s="19"/>
      <c r="AG239" s="19"/>
      <c r="AH239" s="19"/>
      <c r="AI239" s="19"/>
      <c r="AJ239" s="19"/>
      <c r="AK239" s="19"/>
      <c r="AL239" s="19"/>
      <c r="AM239" s="19"/>
      <c r="AN239" s="19"/>
      <c r="AO239" s="19"/>
      <c r="AP239" s="19"/>
      <c r="AQ239" s="19"/>
      <c r="AR239" s="19" t="str">
        <f>$K239</f>
        <v>2026 KIA EV9 Long Range RWD</v>
      </c>
      <c r="AS239" s="19"/>
      <c r="AT239" s="19"/>
      <c r="AU239" s="19"/>
      <c r="AV239" s="19"/>
      <c r="AW239" s="19"/>
      <c r="AX239" s="19"/>
      <c r="AY239" s="19"/>
      <c r="AZ239" s="19"/>
      <c r="BA239" s="19"/>
      <c r="BB239" s="19"/>
      <c r="BC239" s="19"/>
      <c r="BD239" s="19"/>
      <c r="BE239" s="19"/>
      <c r="BF239" s="19"/>
      <c r="BG239" s="19" t="str">
        <f>$K239</f>
        <v>2026 KIA EV9 Long Range RWD</v>
      </c>
      <c r="BH239" s="19"/>
      <c r="BI239" s="19"/>
      <c r="BJ239" s="19"/>
      <c r="BK239" s="19"/>
      <c r="BL239" s="19"/>
      <c r="BM239" s="129"/>
      <c r="BN239" s="19"/>
      <c r="BO239" s="19"/>
      <c r="BP239" s="19"/>
      <c r="BQ239" s="19"/>
      <c r="BR239" s="19"/>
      <c r="BS239" s="19"/>
      <c r="BT239" s="130"/>
      <c r="BU239" s="19"/>
      <c r="BV239" s="19"/>
      <c r="BW239" s="116"/>
      <c r="BX239" s="19"/>
      <c r="BY239" s="19"/>
      <c r="BZ239" s="19"/>
      <c r="CA239" s="19"/>
      <c r="CB239" s="19"/>
      <c r="CC239" s="19"/>
      <c r="CD239" s="19"/>
      <c r="CE239" s="19"/>
      <c r="CF239" s="19"/>
      <c r="CG239" s="19"/>
      <c r="CH239" s="19"/>
      <c r="CI239" s="19"/>
      <c r="CJ239" s="19"/>
      <c r="CK239" s="19"/>
      <c r="CL239" s="19"/>
      <c r="CM239" s="19" t="str">
        <f>$K239</f>
        <v>2026 KIA EV9 Long Range RWD</v>
      </c>
      <c r="CN239" s="19"/>
      <c r="CO239" s="19"/>
      <c r="CP239" s="19"/>
      <c r="CQ239" s="19"/>
      <c r="CR239" s="19"/>
      <c r="CS239" s="19"/>
      <c r="CT239" s="19"/>
      <c r="CU239" s="19"/>
      <c r="CV239" s="19"/>
      <c r="CW239" s="19"/>
      <c r="CX239" s="19"/>
      <c r="CY239" s="19"/>
      <c r="CZ239" s="19"/>
      <c r="DA239" s="19"/>
      <c r="DB239" s="19"/>
      <c r="DC239" s="19"/>
      <c r="DD239" s="19" t="str">
        <f>$K239</f>
        <v>2026 KIA EV9 Long Range RWD</v>
      </c>
      <c r="DE239" s="19"/>
      <c r="DF239" s="19"/>
      <c r="DG239" s="19"/>
      <c r="DH239" s="19"/>
      <c r="DI239" s="19"/>
      <c r="DJ239" s="19"/>
      <c r="DK239" s="19"/>
      <c r="DL239" s="19"/>
      <c r="DM239" s="19"/>
      <c r="DN239" s="19"/>
      <c r="DO239" s="19"/>
      <c r="DP239" s="19"/>
      <c r="DQ239" s="19"/>
      <c r="DR239" s="19"/>
      <c r="DS239" s="19"/>
      <c r="DT239" s="19"/>
      <c r="DU239" s="19" t="str">
        <f>$K239</f>
        <v>2026 KIA EV9 Long Range RWD</v>
      </c>
      <c r="DV239" s="19"/>
      <c r="DW239" s="19"/>
      <c r="DX239" s="19"/>
      <c r="DY239" s="19"/>
      <c r="DZ239" s="19"/>
      <c r="EA239" s="117"/>
      <c r="EB239" s="19"/>
      <c r="EC239" s="19"/>
      <c r="ED239" s="19"/>
      <c r="EE239" s="19"/>
      <c r="EF239" s="19"/>
      <c r="EG239"/>
      <c r="EH239"/>
      <c r="EI239"/>
      <c r="EJ239"/>
      <c r="EK239"/>
      <c r="EL239"/>
      <c r="EM239"/>
      <c r="EN239"/>
      <c r="EO239"/>
      <c r="EP239"/>
      <c r="EQ239"/>
      <c r="ER239"/>
      <c r="ES239"/>
      <c r="ET239"/>
      <c r="EU239"/>
      <c r="EV239"/>
      <c r="EW239"/>
      <c r="EX239" s="19" t="s">
        <v>1998</v>
      </c>
      <c r="EY239"/>
      <c r="EZ239"/>
      <c r="FA239"/>
      <c r="FB239"/>
      <c r="FC239"/>
      <c r="FD239"/>
      <c r="FE239"/>
      <c r="FF239"/>
      <c r="FG239"/>
      <c r="FH239"/>
      <c r="FI239"/>
    </row>
    <row r="240" spans="1:165" s="66" customFormat="1" x14ac:dyDescent="0.35">
      <c r="A240">
        <v>2026</v>
      </c>
      <c r="B240" t="s">
        <v>578</v>
      </c>
      <c r="C240" s="112" t="s">
        <v>579</v>
      </c>
      <c r="D240" t="s">
        <v>1502</v>
      </c>
      <c r="E240" t="s">
        <v>581</v>
      </c>
      <c r="F240">
        <v>44</v>
      </c>
      <c r="G240" s="113">
        <v>0</v>
      </c>
      <c r="H240"/>
      <c r="I240" t="s">
        <v>1391</v>
      </c>
      <c r="J240">
        <v>100</v>
      </c>
      <c r="K240">
        <v>78</v>
      </c>
      <c r="L240">
        <v>89</v>
      </c>
      <c r="M240">
        <v>150.19999999999999</v>
      </c>
      <c r="N240">
        <v>116.8</v>
      </c>
      <c r="O240">
        <v>133.07560000000001</v>
      </c>
      <c r="P240">
        <v>100</v>
      </c>
      <c r="Q240">
        <v>78</v>
      </c>
      <c r="R240">
        <v>89</v>
      </c>
      <c r="S240"/>
      <c r="T240"/>
      <c r="U240"/>
      <c r="V240" t="s">
        <v>170</v>
      </c>
      <c r="W240" t="s">
        <v>171</v>
      </c>
      <c r="X240" t="s">
        <v>1466</v>
      </c>
      <c r="Y240">
        <v>1</v>
      </c>
      <c r="Z240" t="s">
        <v>173</v>
      </c>
      <c r="AA240" t="s">
        <v>173</v>
      </c>
      <c r="AB240" t="s">
        <v>174</v>
      </c>
      <c r="AC240" t="s">
        <v>175</v>
      </c>
      <c r="AD240"/>
      <c r="AE240"/>
      <c r="AF240">
        <v>305</v>
      </c>
      <c r="AG240" t="s">
        <v>1392</v>
      </c>
      <c r="AH240" t="s">
        <v>1393</v>
      </c>
      <c r="AI240" t="s">
        <v>178</v>
      </c>
      <c r="AJ240" t="s">
        <v>179</v>
      </c>
      <c r="AK240">
        <v>4</v>
      </c>
      <c r="AL240" t="s">
        <v>1394</v>
      </c>
      <c r="AM240"/>
      <c r="AN240"/>
      <c r="AO240"/>
      <c r="AP240"/>
      <c r="AQ240"/>
      <c r="AR240"/>
      <c r="AS240">
        <v>950</v>
      </c>
      <c r="AT240">
        <v>950</v>
      </c>
      <c r="AU240"/>
      <c r="AV240"/>
      <c r="AW240"/>
      <c r="AX240"/>
      <c r="AY240"/>
      <c r="AZ240"/>
      <c r="BA240"/>
      <c r="BB240"/>
      <c r="BC240"/>
      <c r="BD240"/>
      <c r="BE240"/>
      <c r="BF240"/>
      <c r="BG240"/>
      <c r="BH240"/>
      <c r="BI240"/>
      <c r="BJ240"/>
      <c r="BK240"/>
      <c r="BL240"/>
      <c r="BM240"/>
      <c r="BN240" s="114"/>
      <c r="BO240"/>
      <c r="BP240"/>
      <c r="BQ240">
        <v>32</v>
      </c>
      <c r="BR240" t="s">
        <v>1035</v>
      </c>
      <c r="BS240"/>
      <c r="BT240" t="s">
        <v>1395</v>
      </c>
      <c r="BU240" s="115">
        <v>45695</v>
      </c>
      <c r="BV240">
        <v>36312</v>
      </c>
      <c r="BW240" s="116"/>
      <c r="BX240" t="s">
        <v>173</v>
      </c>
      <c r="BY240" t="s">
        <v>173</v>
      </c>
      <c r="BZ240"/>
      <c r="CA240"/>
      <c r="CB240" t="s">
        <v>173</v>
      </c>
      <c r="CC240" t="s">
        <v>173</v>
      </c>
      <c r="CD240"/>
      <c r="CE240"/>
      <c r="CF240"/>
      <c r="CG240"/>
      <c r="CH240"/>
      <c r="CI240"/>
      <c r="CJ240"/>
      <c r="CK240" t="s">
        <v>259</v>
      </c>
      <c r="CL240"/>
      <c r="CM240">
        <v>1</v>
      </c>
      <c r="CN240" t="s">
        <v>260</v>
      </c>
      <c r="CO240"/>
      <c r="CP240">
        <v>552</v>
      </c>
      <c r="CQ240">
        <v>180.9</v>
      </c>
      <c r="CR240">
        <v>174.7</v>
      </c>
      <c r="CS240" t="s">
        <v>1437</v>
      </c>
      <c r="CT240"/>
      <c r="CU240"/>
      <c r="CV240" t="s">
        <v>262</v>
      </c>
      <c r="CW240"/>
      <c r="CX240" t="s">
        <v>702</v>
      </c>
      <c r="CY240" t="s">
        <v>172</v>
      </c>
      <c r="CZ240"/>
      <c r="DA240"/>
      <c r="DB240"/>
      <c r="DC240" t="s">
        <v>1497</v>
      </c>
      <c r="DD240">
        <v>1</v>
      </c>
      <c r="DE240" t="s">
        <v>307</v>
      </c>
      <c r="DF240" t="s">
        <v>1498</v>
      </c>
      <c r="DG240">
        <v>160</v>
      </c>
      <c r="DH240"/>
      <c r="DI240"/>
      <c r="DJ240"/>
      <c r="DK240"/>
      <c r="DL240" t="s">
        <v>173</v>
      </c>
      <c r="DM240" t="s">
        <v>172</v>
      </c>
      <c r="DN240"/>
      <c r="DO240"/>
      <c r="DP240" t="s">
        <v>173</v>
      </c>
      <c r="DQ240" t="s">
        <v>189</v>
      </c>
      <c r="DR240"/>
      <c r="DS240"/>
      <c r="DT240"/>
      <c r="DU240"/>
      <c r="DV240"/>
      <c r="DW240"/>
      <c r="DX240"/>
      <c r="DY240"/>
      <c r="DZ240"/>
      <c r="EA240" s="117"/>
      <c r="EB240">
        <v>9</v>
      </c>
      <c r="EC240">
        <v>10</v>
      </c>
      <c r="ED240"/>
      <c r="EE240" t="s">
        <v>1503</v>
      </c>
      <c r="EF240">
        <v>10</v>
      </c>
      <c r="EG240"/>
      <c r="EH240"/>
      <c r="EI240"/>
      <c r="EJ240"/>
      <c r="EK240"/>
      <c r="EL240"/>
      <c r="EM240"/>
      <c r="EN240"/>
      <c r="EO240"/>
      <c r="EP240"/>
      <c r="EQ240"/>
      <c r="ER240"/>
      <c r="ES240"/>
      <c r="ET240"/>
      <c r="EU240">
        <v>3750</v>
      </c>
      <c r="EV240"/>
      <c r="EW240">
        <v>0</v>
      </c>
      <c r="EX240">
        <v>0</v>
      </c>
      <c r="EY240">
        <v>0</v>
      </c>
      <c r="EZ240"/>
      <c r="FA240">
        <v>10.7</v>
      </c>
      <c r="FB240"/>
      <c r="FC240"/>
      <c r="FD240"/>
      <c r="FE240"/>
      <c r="FF240"/>
      <c r="FG240" s="94">
        <v>337</v>
      </c>
      <c r="FH240" s="94">
        <v>266</v>
      </c>
      <c r="FI240" s="94">
        <v>305</v>
      </c>
    </row>
    <row r="241" spans="1:165" s="66" customFormat="1" x14ac:dyDescent="0.35">
      <c r="A241">
        <v>2026</v>
      </c>
      <c r="B241" t="s">
        <v>578</v>
      </c>
      <c r="C241" s="112" t="s">
        <v>579</v>
      </c>
      <c r="D241" t="s">
        <v>1502</v>
      </c>
      <c r="E241" t="s">
        <v>581</v>
      </c>
      <c r="F241">
        <v>44</v>
      </c>
      <c r="G241" s="113">
        <v>0</v>
      </c>
      <c r="H241"/>
      <c r="I241" t="s">
        <v>1391</v>
      </c>
      <c r="J241">
        <v>34</v>
      </c>
      <c r="K241">
        <v>43</v>
      </c>
      <c r="L241">
        <v>38</v>
      </c>
      <c r="M241">
        <v>22.443100000000001</v>
      </c>
      <c r="N241">
        <v>28.855499999999999</v>
      </c>
      <c r="O241">
        <v>25.328700000000001</v>
      </c>
      <c r="P241">
        <v>34</v>
      </c>
      <c r="Q241">
        <v>43</v>
      </c>
      <c r="R241">
        <v>38</v>
      </c>
      <c r="S241"/>
      <c r="T241"/>
      <c r="U241"/>
      <c r="V241" t="s">
        <v>170</v>
      </c>
      <c r="W241" t="s">
        <v>171</v>
      </c>
      <c r="X241" t="s">
        <v>1466</v>
      </c>
      <c r="Y241">
        <v>1</v>
      </c>
      <c r="Z241" t="s">
        <v>173</v>
      </c>
      <c r="AA241" t="s">
        <v>173</v>
      </c>
      <c r="AB241" t="s">
        <v>174</v>
      </c>
      <c r="AC241" t="s">
        <v>175</v>
      </c>
      <c r="AD241"/>
      <c r="AE241"/>
      <c r="AF241">
        <v>305</v>
      </c>
      <c r="AG241" t="s">
        <v>1392</v>
      </c>
      <c r="AH241" t="s">
        <v>1393</v>
      </c>
      <c r="AI241" t="s">
        <v>1399</v>
      </c>
      <c r="AJ241" t="s">
        <v>1400</v>
      </c>
      <c r="AK241">
        <v>4</v>
      </c>
      <c r="AL241" t="s">
        <v>1394</v>
      </c>
      <c r="AM241"/>
      <c r="AN241"/>
      <c r="AO241"/>
      <c r="AP241"/>
      <c r="AQ241"/>
      <c r="AR241"/>
      <c r="AS241">
        <v>950</v>
      </c>
      <c r="AT241">
        <v>950</v>
      </c>
      <c r="AU241"/>
      <c r="AV241"/>
      <c r="AW241"/>
      <c r="AX241"/>
      <c r="AY241"/>
      <c r="AZ241"/>
      <c r="BA241"/>
      <c r="BB241"/>
      <c r="BC241"/>
      <c r="BD241"/>
      <c r="BE241"/>
      <c r="BF241"/>
      <c r="BG241"/>
      <c r="BH241"/>
      <c r="BI241"/>
      <c r="BJ241"/>
      <c r="BK241"/>
      <c r="BL241"/>
      <c r="BM241"/>
      <c r="BN241" s="114"/>
      <c r="BO241"/>
      <c r="BP241"/>
      <c r="BQ241">
        <v>32</v>
      </c>
      <c r="BR241" t="s">
        <v>1035</v>
      </c>
      <c r="BS241"/>
      <c r="BT241" t="s">
        <v>1395</v>
      </c>
      <c r="BU241" s="115">
        <v>45695</v>
      </c>
      <c r="BV241">
        <v>36312</v>
      </c>
      <c r="BW241" s="116"/>
      <c r="BX241" t="s">
        <v>173</v>
      </c>
      <c r="BY241" t="s">
        <v>173</v>
      </c>
      <c r="BZ241"/>
      <c r="CA241"/>
      <c r="CB241" t="s">
        <v>173</v>
      </c>
      <c r="CC241" t="s">
        <v>173</v>
      </c>
      <c r="CD241"/>
      <c r="CE241"/>
      <c r="CF241"/>
      <c r="CG241"/>
      <c r="CH241"/>
      <c r="CI241"/>
      <c r="CJ241"/>
      <c r="CK241" t="s">
        <v>259</v>
      </c>
      <c r="CL241"/>
      <c r="CM241">
        <v>1</v>
      </c>
      <c r="CN241" t="s">
        <v>260</v>
      </c>
      <c r="CO241"/>
      <c r="CP241">
        <v>552</v>
      </c>
      <c r="CQ241">
        <v>180.9</v>
      </c>
      <c r="CR241">
        <v>174.7</v>
      </c>
      <c r="CS241" t="s">
        <v>1437</v>
      </c>
      <c r="CT241"/>
      <c r="CU241"/>
      <c r="CV241" t="s">
        <v>262</v>
      </c>
      <c r="CW241"/>
      <c r="CX241" t="s">
        <v>702</v>
      </c>
      <c r="CY241" t="s">
        <v>172</v>
      </c>
      <c r="CZ241"/>
      <c r="DA241"/>
      <c r="DB241"/>
      <c r="DC241" t="s">
        <v>1497</v>
      </c>
      <c r="DD241">
        <v>1</v>
      </c>
      <c r="DE241" t="s">
        <v>307</v>
      </c>
      <c r="DF241" t="s">
        <v>1498</v>
      </c>
      <c r="DG241">
        <v>160</v>
      </c>
      <c r="DH241"/>
      <c r="DI241"/>
      <c r="DJ241"/>
      <c r="DK241"/>
      <c r="DL241" t="s">
        <v>173</v>
      </c>
      <c r="DM241" t="s">
        <v>172</v>
      </c>
      <c r="DN241"/>
      <c r="DO241"/>
      <c r="DP241" t="s">
        <v>173</v>
      </c>
      <c r="DQ241" t="s">
        <v>189</v>
      </c>
      <c r="DR241"/>
      <c r="DS241"/>
      <c r="DT241"/>
      <c r="DU241"/>
      <c r="DV241"/>
      <c r="DW241"/>
      <c r="DX241"/>
      <c r="DY241"/>
      <c r="DZ241"/>
      <c r="EA241" s="117"/>
      <c r="EB241">
        <v>9</v>
      </c>
      <c r="EC241">
        <v>10</v>
      </c>
      <c r="ED241"/>
      <c r="EE241" t="s">
        <v>1503</v>
      </c>
      <c r="EF241">
        <v>10</v>
      </c>
      <c r="EG241"/>
      <c r="EH241"/>
      <c r="EI241"/>
      <c r="EJ241"/>
      <c r="EK241"/>
      <c r="EL241"/>
      <c r="EM241"/>
      <c r="EN241"/>
      <c r="EO241"/>
      <c r="EP241"/>
      <c r="EQ241"/>
      <c r="ER241"/>
      <c r="ES241"/>
      <c r="ET241"/>
      <c r="EU241">
        <v>3750</v>
      </c>
      <c r="EV241"/>
      <c r="EW241">
        <v>0</v>
      </c>
      <c r="EX241">
        <v>0</v>
      </c>
      <c r="EY241">
        <v>0</v>
      </c>
      <c r="EZ241"/>
      <c r="FA241">
        <v>10.7</v>
      </c>
      <c r="FB241"/>
      <c r="FC241"/>
      <c r="FD241"/>
      <c r="FE241"/>
      <c r="FF241"/>
      <c r="FG241" s="94">
        <v>337</v>
      </c>
      <c r="FH241" s="94">
        <v>266</v>
      </c>
      <c r="FI241" s="94">
        <v>305</v>
      </c>
    </row>
    <row r="242" spans="1:165" s="66" customFormat="1" x14ac:dyDescent="0.35">
      <c r="A242" s="19"/>
      <c r="B242" s="19"/>
      <c r="C242" s="19"/>
      <c r="D242" s="19"/>
      <c r="E242" s="19"/>
      <c r="F242" s="128"/>
      <c r="G242" s="19"/>
      <c r="H242" s="19"/>
      <c r="I242" s="19"/>
      <c r="J242" s="19"/>
      <c r="K242" s="19" t="str">
        <f>_xlfn.CONCAT(A243," ",C243," ",D243)</f>
        <v>2026 KIA EV9 Standard Range RWD</v>
      </c>
      <c r="L242" s="19"/>
      <c r="M242" s="19"/>
      <c r="N242" s="19"/>
      <c r="O242" s="19"/>
      <c r="P242" s="19"/>
      <c r="Q242" s="19"/>
      <c r="R242" s="19"/>
      <c r="S242" s="19"/>
      <c r="T242" s="19"/>
      <c r="U242" s="19"/>
      <c r="V242" s="19"/>
      <c r="W242" s="19"/>
      <c r="X242" s="19"/>
      <c r="Y242" s="19"/>
      <c r="Z242" s="19"/>
      <c r="AA242" s="19"/>
      <c r="AB242" s="19" t="str">
        <f>$K242</f>
        <v>2026 KIA EV9 Standard Range RWD</v>
      </c>
      <c r="AC242" s="19"/>
      <c r="AD242" s="19"/>
      <c r="AE242" s="19"/>
      <c r="AF242" s="19"/>
      <c r="AG242" s="19"/>
      <c r="AH242" s="19"/>
      <c r="AI242" s="19"/>
      <c r="AJ242" s="19"/>
      <c r="AK242" s="19"/>
      <c r="AL242" s="19"/>
      <c r="AM242" s="19"/>
      <c r="AN242" s="19"/>
      <c r="AO242" s="19"/>
      <c r="AP242" s="19"/>
      <c r="AQ242" s="19"/>
      <c r="AR242" s="19" t="str">
        <f>$K242</f>
        <v>2026 KIA EV9 Standard Range RWD</v>
      </c>
      <c r="AS242" s="19"/>
      <c r="AT242" s="19"/>
      <c r="AU242" s="19"/>
      <c r="AV242" s="19"/>
      <c r="AW242" s="19"/>
      <c r="AX242" s="19"/>
      <c r="AY242" s="19"/>
      <c r="AZ242" s="19"/>
      <c r="BA242" s="19"/>
      <c r="BB242" s="19"/>
      <c r="BC242" s="19"/>
      <c r="BD242" s="19"/>
      <c r="BE242" s="19"/>
      <c r="BF242" s="19"/>
      <c r="BG242" s="19" t="str">
        <f>$K242</f>
        <v>2026 KIA EV9 Standard Range RWD</v>
      </c>
      <c r="BH242" s="19"/>
      <c r="BI242" s="19"/>
      <c r="BJ242" s="19"/>
      <c r="BK242" s="19"/>
      <c r="BL242" s="19"/>
      <c r="BM242" s="129"/>
      <c r="BN242" s="19"/>
      <c r="BO242" s="19"/>
      <c r="BP242" s="19"/>
      <c r="BQ242" s="19"/>
      <c r="BR242" s="19"/>
      <c r="BS242" s="19"/>
      <c r="BT242" s="130"/>
      <c r="BU242" s="19"/>
      <c r="BV242" s="19"/>
      <c r="BW242" s="116"/>
      <c r="BX242" s="19"/>
      <c r="BY242" s="19"/>
      <c r="BZ242" s="19"/>
      <c r="CA242" s="19"/>
      <c r="CB242" s="19"/>
      <c r="CC242" s="19"/>
      <c r="CD242" s="19"/>
      <c r="CE242" s="19"/>
      <c r="CF242" s="19"/>
      <c r="CG242" s="19"/>
      <c r="CH242" s="19"/>
      <c r="CI242" s="19"/>
      <c r="CJ242" s="19"/>
      <c r="CK242" s="19"/>
      <c r="CL242" s="19"/>
      <c r="CM242" s="19" t="str">
        <f>$K242</f>
        <v>2026 KIA EV9 Standard Range RWD</v>
      </c>
      <c r="CN242" s="19"/>
      <c r="CO242" s="19"/>
      <c r="CP242" s="19"/>
      <c r="CQ242" s="19"/>
      <c r="CR242" s="19"/>
      <c r="CS242" s="19"/>
      <c r="CT242" s="19"/>
      <c r="CU242" s="19"/>
      <c r="CV242" s="19"/>
      <c r="CW242" s="19"/>
      <c r="CX242" s="19"/>
      <c r="CY242" s="19"/>
      <c r="CZ242" s="19"/>
      <c r="DA242" s="19"/>
      <c r="DB242" s="19"/>
      <c r="DC242" s="19"/>
      <c r="DD242" s="19" t="str">
        <f>$K242</f>
        <v>2026 KIA EV9 Standard Range RWD</v>
      </c>
      <c r="DE242" s="19"/>
      <c r="DF242" s="19"/>
      <c r="DG242" s="19"/>
      <c r="DH242" s="19"/>
      <c r="DI242" s="19"/>
      <c r="DJ242" s="19"/>
      <c r="DK242" s="19"/>
      <c r="DL242" s="19"/>
      <c r="DM242" s="19"/>
      <c r="DN242" s="19"/>
      <c r="DO242" s="19"/>
      <c r="DP242" s="19"/>
      <c r="DQ242" s="19"/>
      <c r="DR242" s="19"/>
      <c r="DS242" s="19"/>
      <c r="DT242" s="19"/>
      <c r="DU242" s="19" t="str">
        <f>$K242</f>
        <v>2026 KIA EV9 Standard Range RWD</v>
      </c>
      <c r="DV242" s="19"/>
      <c r="DW242" s="19"/>
      <c r="DX242" s="19"/>
      <c r="DY242" s="19"/>
      <c r="DZ242" s="19"/>
      <c r="EA242" s="117"/>
      <c r="EB242" s="19"/>
      <c r="EC242" s="19"/>
      <c r="ED242" s="19"/>
      <c r="EE242" s="19"/>
      <c r="EF242" s="19"/>
      <c r="EG242"/>
      <c r="EH242"/>
      <c r="EI242"/>
      <c r="EJ242"/>
      <c r="EK242"/>
      <c r="EL242"/>
      <c r="EM242"/>
      <c r="EN242"/>
      <c r="EO242"/>
      <c r="EP242"/>
      <c r="EQ242"/>
      <c r="ER242"/>
      <c r="ES242"/>
      <c r="ET242"/>
      <c r="EU242"/>
      <c r="EV242"/>
      <c r="EW242"/>
      <c r="EX242" s="19" t="s">
        <v>1999</v>
      </c>
      <c r="EY242"/>
      <c r="EZ242"/>
      <c r="FA242"/>
      <c r="FB242"/>
      <c r="FC242"/>
      <c r="FD242"/>
      <c r="FE242"/>
      <c r="FF242"/>
      <c r="FG242"/>
      <c r="FH242"/>
      <c r="FI242"/>
    </row>
    <row r="243" spans="1:165" s="66" customFormat="1" x14ac:dyDescent="0.35">
      <c r="A243">
        <v>2026</v>
      </c>
      <c r="B243" t="s">
        <v>578</v>
      </c>
      <c r="C243" s="112" t="s">
        <v>579</v>
      </c>
      <c r="D243" t="s">
        <v>1500</v>
      </c>
      <c r="E243" t="s">
        <v>581</v>
      </c>
      <c r="F243">
        <v>43</v>
      </c>
      <c r="G243" s="113">
        <v>0</v>
      </c>
      <c r="H243"/>
      <c r="I243" t="s">
        <v>1391</v>
      </c>
      <c r="J243">
        <v>101</v>
      </c>
      <c r="K243">
        <v>76</v>
      </c>
      <c r="L243">
        <v>88</v>
      </c>
      <c r="M243">
        <v>149.1</v>
      </c>
      <c r="N243">
        <v>113.2</v>
      </c>
      <c r="O243">
        <v>130.47909999999999</v>
      </c>
      <c r="P243">
        <v>101</v>
      </c>
      <c r="Q243">
        <v>76</v>
      </c>
      <c r="R243">
        <v>88</v>
      </c>
      <c r="S243"/>
      <c r="T243"/>
      <c r="U243"/>
      <c r="V243" t="s">
        <v>170</v>
      </c>
      <c r="W243" t="s">
        <v>171</v>
      </c>
      <c r="X243" t="s">
        <v>1466</v>
      </c>
      <c r="Y243">
        <v>1</v>
      </c>
      <c r="Z243" t="s">
        <v>173</v>
      </c>
      <c r="AA243" t="s">
        <v>173</v>
      </c>
      <c r="AB243" t="s">
        <v>174</v>
      </c>
      <c r="AC243" t="s">
        <v>175</v>
      </c>
      <c r="AD243"/>
      <c r="AE243"/>
      <c r="AF243">
        <v>230</v>
      </c>
      <c r="AG243" t="s">
        <v>1392</v>
      </c>
      <c r="AH243" t="s">
        <v>1393</v>
      </c>
      <c r="AI243" t="s">
        <v>178</v>
      </c>
      <c r="AJ243" t="s">
        <v>179</v>
      </c>
      <c r="AK243">
        <v>4</v>
      </c>
      <c r="AL243" t="s">
        <v>1394</v>
      </c>
      <c r="AM243"/>
      <c r="AN243"/>
      <c r="AO243"/>
      <c r="AP243"/>
      <c r="AQ243"/>
      <c r="AR243"/>
      <c r="AS243">
        <v>950</v>
      </c>
      <c r="AT243">
        <v>950</v>
      </c>
      <c r="AU243"/>
      <c r="AV243"/>
      <c r="AW243"/>
      <c r="AX243"/>
      <c r="AY243"/>
      <c r="AZ243"/>
      <c r="BA243"/>
      <c r="BB243"/>
      <c r="BC243"/>
      <c r="BD243"/>
      <c r="BE243"/>
      <c r="BF243"/>
      <c r="BG243"/>
      <c r="BH243"/>
      <c r="BI243"/>
      <c r="BJ243"/>
      <c r="BK243"/>
      <c r="BL243"/>
      <c r="BM243"/>
      <c r="BN243" s="114"/>
      <c r="BO243"/>
      <c r="BP243"/>
      <c r="BQ243">
        <v>32</v>
      </c>
      <c r="BR243" t="s">
        <v>1035</v>
      </c>
      <c r="BS243"/>
      <c r="BT243" t="s">
        <v>1395</v>
      </c>
      <c r="BU243" s="115">
        <v>45695</v>
      </c>
      <c r="BV243">
        <v>36313</v>
      </c>
      <c r="BW243" s="116"/>
      <c r="BX243" t="s">
        <v>173</v>
      </c>
      <c r="BY243" t="s">
        <v>173</v>
      </c>
      <c r="BZ243"/>
      <c r="CA243"/>
      <c r="CB243" t="s">
        <v>173</v>
      </c>
      <c r="CC243" t="s">
        <v>173</v>
      </c>
      <c r="CD243"/>
      <c r="CE243"/>
      <c r="CF243"/>
      <c r="CG243"/>
      <c r="CH243"/>
      <c r="CI243"/>
      <c r="CJ243"/>
      <c r="CK243" t="s">
        <v>259</v>
      </c>
      <c r="CL243"/>
      <c r="CM243">
        <v>1</v>
      </c>
      <c r="CN243" t="s">
        <v>260</v>
      </c>
      <c r="CO243"/>
      <c r="CP243">
        <v>632</v>
      </c>
      <c r="CQ243">
        <v>120.6</v>
      </c>
      <c r="CR243">
        <v>162.9</v>
      </c>
      <c r="CS243" t="s">
        <v>1437</v>
      </c>
      <c r="CT243"/>
      <c r="CU243"/>
      <c r="CV243" t="s">
        <v>262</v>
      </c>
      <c r="CW243"/>
      <c r="CX243" t="s">
        <v>702</v>
      </c>
      <c r="CY243" t="s">
        <v>172</v>
      </c>
      <c r="CZ243"/>
      <c r="DA243"/>
      <c r="DB243"/>
      <c r="DC243" t="s">
        <v>1497</v>
      </c>
      <c r="DD243">
        <v>1</v>
      </c>
      <c r="DE243" t="s">
        <v>307</v>
      </c>
      <c r="DF243" t="s">
        <v>1498</v>
      </c>
      <c r="DG243">
        <v>160</v>
      </c>
      <c r="DH243"/>
      <c r="DI243"/>
      <c r="DJ243"/>
      <c r="DK243"/>
      <c r="DL243" t="s">
        <v>173</v>
      </c>
      <c r="DM243" t="s">
        <v>172</v>
      </c>
      <c r="DN243"/>
      <c r="DO243"/>
      <c r="DP243" t="s">
        <v>173</v>
      </c>
      <c r="DQ243" t="s">
        <v>189</v>
      </c>
      <c r="DR243"/>
      <c r="DS243"/>
      <c r="DT243"/>
      <c r="DU243"/>
      <c r="DV243"/>
      <c r="DW243"/>
      <c r="DX243"/>
      <c r="DY243"/>
      <c r="DZ243"/>
      <c r="EA243" s="117"/>
      <c r="EB243">
        <v>9</v>
      </c>
      <c r="EC243">
        <v>10</v>
      </c>
      <c r="ED243"/>
      <c r="EE243" t="s">
        <v>1501</v>
      </c>
      <c r="EF243">
        <v>10</v>
      </c>
      <c r="EG243"/>
      <c r="EH243"/>
      <c r="EI243"/>
      <c r="EJ243"/>
      <c r="EK243"/>
      <c r="EL243"/>
      <c r="EM243"/>
      <c r="EN243"/>
      <c r="EO243"/>
      <c r="EP243"/>
      <c r="EQ243"/>
      <c r="ER243"/>
      <c r="ES243"/>
      <c r="ET243"/>
      <c r="EU243">
        <v>3750</v>
      </c>
      <c r="EV243"/>
      <c r="EW243">
        <v>0</v>
      </c>
      <c r="EX243">
        <v>0</v>
      </c>
      <c r="EY243">
        <v>0</v>
      </c>
      <c r="EZ243"/>
      <c r="FA243">
        <v>8.1</v>
      </c>
      <c r="FB243"/>
      <c r="FC243"/>
      <c r="FD243"/>
      <c r="FE243"/>
      <c r="FF243"/>
      <c r="FG243" s="94">
        <v>256</v>
      </c>
      <c r="FH243" s="94">
        <v>198</v>
      </c>
      <c r="FI243" s="94">
        <v>230</v>
      </c>
    </row>
    <row r="244" spans="1:165" s="66" customFormat="1" x14ac:dyDescent="0.35">
      <c r="A244">
        <v>2026</v>
      </c>
      <c r="B244" t="s">
        <v>578</v>
      </c>
      <c r="C244" s="112" t="s">
        <v>579</v>
      </c>
      <c r="D244" t="s">
        <v>1500</v>
      </c>
      <c r="E244" t="s">
        <v>581</v>
      </c>
      <c r="F244">
        <v>43</v>
      </c>
      <c r="G244" s="113">
        <v>0</v>
      </c>
      <c r="H244"/>
      <c r="I244" t="s">
        <v>1391</v>
      </c>
      <c r="J244">
        <v>34</v>
      </c>
      <c r="K244">
        <v>44</v>
      </c>
      <c r="L244">
        <v>38</v>
      </c>
      <c r="M244">
        <v>22.6037</v>
      </c>
      <c r="N244">
        <v>29.781099999999999</v>
      </c>
      <c r="O244">
        <v>25.833500000000001</v>
      </c>
      <c r="P244">
        <v>34</v>
      </c>
      <c r="Q244">
        <v>44</v>
      </c>
      <c r="R244">
        <v>38</v>
      </c>
      <c r="S244"/>
      <c r="T244"/>
      <c r="U244"/>
      <c r="V244" t="s">
        <v>170</v>
      </c>
      <c r="W244" t="s">
        <v>171</v>
      </c>
      <c r="X244" t="s">
        <v>1466</v>
      </c>
      <c r="Y244">
        <v>1</v>
      </c>
      <c r="Z244" t="s">
        <v>173</v>
      </c>
      <c r="AA244" t="s">
        <v>173</v>
      </c>
      <c r="AB244" t="s">
        <v>174</v>
      </c>
      <c r="AC244" t="s">
        <v>175</v>
      </c>
      <c r="AD244"/>
      <c r="AE244"/>
      <c r="AF244">
        <v>230</v>
      </c>
      <c r="AG244" t="s">
        <v>1392</v>
      </c>
      <c r="AH244" t="s">
        <v>1393</v>
      </c>
      <c r="AI244" t="s">
        <v>1399</v>
      </c>
      <c r="AJ244" t="s">
        <v>1400</v>
      </c>
      <c r="AK244">
        <v>4</v>
      </c>
      <c r="AL244" t="s">
        <v>1394</v>
      </c>
      <c r="AM244"/>
      <c r="AN244"/>
      <c r="AO244"/>
      <c r="AP244"/>
      <c r="AQ244"/>
      <c r="AR244"/>
      <c r="AS244">
        <v>950</v>
      </c>
      <c r="AT244">
        <v>950</v>
      </c>
      <c r="AU244"/>
      <c r="AV244"/>
      <c r="AW244"/>
      <c r="AX244"/>
      <c r="AY244"/>
      <c r="AZ244"/>
      <c r="BA244"/>
      <c r="BB244"/>
      <c r="BC244"/>
      <c r="BD244"/>
      <c r="BE244"/>
      <c r="BF244"/>
      <c r="BG244"/>
      <c r="BH244"/>
      <c r="BI244"/>
      <c r="BJ244"/>
      <c r="BK244"/>
      <c r="BL244"/>
      <c r="BM244"/>
      <c r="BN244" s="114"/>
      <c r="BO244"/>
      <c r="BP244"/>
      <c r="BQ244">
        <v>32</v>
      </c>
      <c r="BR244" t="s">
        <v>1035</v>
      </c>
      <c r="BS244"/>
      <c r="BT244" t="s">
        <v>1395</v>
      </c>
      <c r="BU244" s="115">
        <v>45695</v>
      </c>
      <c r="BV244">
        <v>36313</v>
      </c>
      <c r="BW244" s="116"/>
      <c r="BX244" t="s">
        <v>173</v>
      </c>
      <c r="BY244" t="s">
        <v>173</v>
      </c>
      <c r="BZ244"/>
      <c r="CA244"/>
      <c r="CB244" t="s">
        <v>173</v>
      </c>
      <c r="CC244" t="s">
        <v>173</v>
      </c>
      <c r="CD244"/>
      <c r="CE244"/>
      <c r="CF244"/>
      <c r="CG244"/>
      <c r="CH244"/>
      <c r="CI244"/>
      <c r="CJ244"/>
      <c r="CK244" t="s">
        <v>259</v>
      </c>
      <c r="CL244"/>
      <c r="CM244">
        <v>1</v>
      </c>
      <c r="CN244" t="s">
        <v>260</v>
      </c>
      <c r="CO244"/>
      <c r="CP244">
        <v>632</v>
      </c>
      <c r="CQ244">
        <v>120.6</v>
      </c>
      <c r="CR244">
        <v>162.9</v>
      </c>
      <c r="CS244" t="s">
        <v>1437</v>
      </c>
      <c r="CT244"/>
      <c r="CU244"/>
      <c r="CV244" t="s">
        <v>262</v>
      </c>
      <c r="CW244"/>
      <c r="CX244" t="s">
        <v>702</v>
      </c>
      <c r="CY244" t="s">
        <v>172</v>
      </c>
      <c r="CZ244"/>
      <c r="DA244"/>
      <c r="DB244"/>
      <c r="DC244" t="s">
        <v>1497</v>
      </c>
      <c r="DD244">
        <v>1</v>
      </c>
      <c r="DE244" t="s">
        <v>307</v>
      </c>
      <c r="DF244" t="s">
        <v>1498</v>
      </c>
      <c r="DG244">
        <v>160</v>
      </c>
      <c r="DH244"/>
      <c r="DI244"/>
      <c r="DJ244"/>
      <c r="DK244"/>
      <c r="DL244" t="s">
        <v>173</v>
      </c>
      <c r="DM244" t="s">
        <v>172</v>
      </c>
      <c r="DN244"/>
      <c r="DO244"/>
      <c r="DP244" t="s">
        <v>173</v>
      </c>
      <c r="DQ244" t="s">
        <v>189</v>
      </c>
      <c r="DR244"/>
      <c r="DS244"/>
      <c r="DT244"/>
      <c r="DU244"/>
      <c r="DV244"/>
      <c r="DW244"/>
      <c r="DX244"/>
      <c r="DY244"/>
      <c r="DZ244"/>
      <c r="EA244" s="117"/>
      <c r="EB244">
        <v>9</v>
      </c>
      <c r="EC244">
        <v>10</v>
      </c>
      <c r="ED244"/>
      <c r="EE244" t="s">
        <v>1501</v>
      </c>
      <c r="EF244">
        <v>10</v>
      </c>
      <c r="EG244"/>
      <c r="EH244"/>
      <c r="EI244"/>
      <c r="EJ244"/>
      <c r="EK244"/>
      <c r="EL244"/>
      <c r="EM244"/>
      <c r="EN244"/>
      <c r="EO244"/>
      <c r="EP244"/>
      <c r="EQ244"/>
      <c r="ER244"/>
      <c r="ES244"/>
      <c r="ET244"/>
      <c r="EU244">
        <v>3750</v>
      </c>
      <c r="EV244"/>
      <c r="EW244">
        <v>0</v>
      </c>
      <c r="EX244">
        <v>0</v>
      </c>
      <c r="EY244">
        <v>0</v>
      </c>
      <c r="EZ244"/>
      <c r="FA244">
        <v>8.1</v>
      </c>
      <c r="FB244"/>
      <c r="FC244"/>
      <c r="FD244"/>
      <c r="FE244"/>
      <c r="FF244"/>
      <c r="FG244" s="94">
        <v>256</v>
      </c>
      <c r="FH244" s="94">
        <v>198</v>
      </c>
      <c r="FI244" s="94">
        <v>230</v>
      </c>
    </row>
    <row r="245" spans="1:165" s="66" customFormat="1" x14ac:dyDescent="0.35">
      <c r="A245" s="19"/>
      <c r="B245" s="19"/>
      <c r="C245" s="19"/>
      <c r="D245" s="19"/>
      <c r="E245" s="19"/>
      <c r="F245" s="128"/>
      <c r="G245" s="19"/>
      <c r="H245" s="19"/>
      <c r="I245" s="19"/>
      <c r="J245" s="19"/>
      <c r="K245" s="19" t="str">
        <f>_xlfn.CONCAT(A246," ",C246," ",D246)</f>
        <v>2026 KIA EV9 GT</v>
      </c>
      <c r="L245" s="19"/>
      <c r="M245" s="19"/>
      <c r="N245" s="19"/>
      <c r="O245" s="19"/>
      <c r="P245" s="19"/>
      <c r="Q245" s="19"/>
      <c r="R245" s="19"/>
      <c r="S245" s="19"/>
      <c r="T245" s="19"/>
      <c r="U245" s="19"/>
      <c r="V245" s="19"/>
      <c r="W245" s="19"/>
      <c r="X245" s="19"/>
      <c r="Y245" s="19"/>
      <c r="Z245" s="19"/>
      <c r="AA245" s="19"/>
      <c r="AB245" s="19" t="str">
        <f>$K245</f>
        <v>2026 KIA EV9 GT</v>
      </c>
      <c r="AC245" s="19"/>
      <c r="AD245" s="19"/>
      <c r="AE245" s="19"/>
      <c r="AF245" s="19"/>
      <c r="AG245" s="19"/>
      <c r="AH245" s="19"/>
      <c r="AI245" s="19"/>
      <c r="AJ245" s="19"/>
      <c r="AK245" s="19"/>
      <c r="AL245" s="19"/>
      <c r="AM245" s="19"/>
      <c r="AN245" s="19"/>
      <c r="AO245" s="19"/>
      <c r="AP245" s="19"/>
      <c r="AQ245" s="19"/>
      <c r="AR245" s="19" t="str">
        <f>$K245</f>
        <v>2026 KIA EV9 GT</v>
      </c>
      <c r="AS245" s="19"/>
      <c r="AT245" s="19"/>
      <c r="AU245" s="19"/>
      <c r="AV245" s="19"/>
      <c r="AW245" s="19"/>
      <c r="AX245" s="19"/>
      <c r="AY245" s="19"/>
      <c r="AZ245" s="19"/>
      <c r="BA245" s="19"/>
      <c r="BB245" s="19"/>
      <c r="BC245" s="19"/>
      <c r="BD245" s="19"/>
      <c r="BE245" s="19"/>
      <c r="BF245" s="19"/>
      <c r="BG245" s="19" t="str">
        <f>$K245</f>
        <v>2026 KIA EV9 GT</v>
      </c>
      <c r="BH245" s="19"/>
      <c r="BI245" s="19"/>
      <c r="BJ245" s="19"/>
      <c r="BK245" s="19"/>
      <c r="BL245" s="19"/>
      <c r="BM245" s="129"/>
      <c r="BN245" s="19"/>
      <c r="BO245" s="19"/>
      <c r="BP245" s="19"/>
      <c r="BQ245" s="19"/>
      <c r="BR245" s="19"/>
      <c r="BS245" s="19"/>
      <c r="BT245" s="130"/>
      <c r="BU245" s="19"/>
      <c r="BV245" s="19"/>
      <c r="BW245" s="116"/>
      <c r="BX245" s="19"/>
      <c r="BY245" s="19"/>
      <c r="BZ245" s="19"/>
      <c r="CA245" s="19"/>
      <c r="CB245" s="19"/>
      <c r="CC245" s="19"/>
      <c r="CD245" s="19"/>
      <c r="CE245" s="19"/>
      <c r="CF245" s="19"/>
      <c r="CG245" s="19"/>
      <c r="CH245" s="19"/>
      <c r="CI245" s="19"/>
      <c r="CJ245" s="19"/>
      <c r="CK245" s="19"/>
      <c r="CL245" s="19"/>
      <c r="CM245" s="19" t="str">
        <f>$K245</f>
        <v>2026 KIA EV9 GT</v>
      </c>
      <c r="CN245" s="19"/>
      <c r="CO245" s="19"/>
      <c r="CP245" s="19"/>
      <c r="CQ245" s="19"/>
      <c r="CR245" s="19"/>
      <c r="CS245" s="19"/>
      <c r="CT245" s="19"/>
      <c r="CU245" s="19"/>
      <c r="CV245" s="19"/>
      <c r="CW245" s="19"/>
      <c r="CX245" s="19"/>
      <c r="CY245" s="19"/>
      <c r="CZ245" s="19"/>
      <c r="DA245" s="19"/>
      <c r="DB245" s="19"/>
      <c r="DC245" s="19"/>
      <c r="DD245" s="19" t="str">
        <f>$K245</f>
        <v>2026 KIA EV9 GT</v>
      </c>
      <c r="DE245" s="19"/>
      <c r="DF245" s="19"/>
      <c r="DG245" s="19"/>
      <c r="DH245" s="19"/>
      <c r="DI245" s="19"/>
      <c r="DJ245" s="19"/>
      <c r="DK245" s="19"/>
      <c r="DL245" s="19"/>
      <c r="DM245" s="19"/>
      <c r="DN245" s="19"/>
      <c r="DO245" s="19"/>
      <c r="DP245" s="19"/>
      <c r="DQ245" s="19"/>
      <c r="DR245" s="19"/>
      <c r="DS245" s="19"/>
      <c r="DT245" s="19"/>
      <c r="DU245" s="19" t="str">
        <f>$K245</f>
        <v>2026 KIA EV9 GT</v>
      </c>
      <c r="DV245" s="19"/>
      <c r="DW245" s="19"/>
      <c r="DX245" s="19"/>
      <c r="DY245" s="19"/>
      <c r="DZ245" s="19"/>
      <c r="EA245" s="117"/>
      <c r="EB245" s="19"/>
      <c r="EC245" s="19"/>
      <c r="ED245" s="19"/>
      <c r="EE245" s="19"/>
      <c r="EF245" s="19"/>
      <c r="EG245"/>
      <c r="EH245"/>
      <c r="EI245"/>
      <c r="EJ245"/>
      <c r="EK245"/>
      <c r="EL245"/>
      <c r="EM245"/>
      <c r="EN245"/>
      <c r="EO245"/>
      <c r="EP245"/>
      <c r="EQ245"/>
      <c r="ER245"/>
      <c r="ES245"/>
      <c r="ET245"/>
      <c r="EU245"/>
      <c r="EV245"/>
      <c r="EW245"/>
      <c r="EX245" s="19" t="s">
        <v>2000</v>
      </c>
      <c r="EY245"/>
      <c r="EZ245"/>
      <c r="FA245"/>
      <c r="FB245"/>
      <c r="FC245"/>
      <c r="FD245"/>
      <c r="FE245"/>
      <c r="FF245"/>
      <c r="FG245"/>
      <c r="FH245"/>
      <c r="FI245"/>
    </row>
    <row r="246" spans="1:165" s="66" customFormat="1" x14ac:dyDescent="0.35">
      <c r="A246">
        <v>2026</v>
      </c>
      <c r="B246" t="s">
        <v>578</v>
      </c>
      <c r="C246" s="112" t="s">
        <v>579</v>
      </c>
      <c r="D246" t="s">
        <v>1507</v>
      </c>
      <c r="E246" t="s">
        <v>581</v>
      </c>
      <c r="F246">
        <v>47</v>
      </c>
      <c r="G246" s="113">
        <v>0</v>
      </c>
      <c r="H246"/>
      <c r="I246" t="s">
        <v>1391</v>
      </c>
      <c r="J246">
        <v>83</v>
      </c>
      <c r="K246">
        <v>72</v>
      </c>
      <c r="L246">
        <v>78</v>
      </c>
      <c r="M246">
        <v>123.4</v>
      </c>
      <c r="N246">
        <v>106.7</v>
      </c>
      <c r="O246">
        <v>115.2807</v>
      </c>
      <c r="P246">
        <v>83</v>
      </c>
      <c r="Q246">
        <v>72</v>
      </c>
      <c r="R246">
        <v>78</v>
      </c>
      <c r="S246"/>
      <c r="T246"/>
      <c r="U246"/>
      <c r="V246" t="s">
        <v>170</v>
      </c>
      <c r="W246" t="s">
        <v>171</v>
      </c>
      <c r="X246" t="s">
        <v>1466</v>
      </c>
      <c r="Y246">
        <v>1</v>
      </c>
      <c r="Z246" t="s">
        <v>173</v>
      </c>
      <c r="AA246" t="s">
        <v>173</v>
      </c>
      <c r="AB246" t="s">
        <v>170</v>
      </c>
      <c r="AC246" t="s">
        <v>232</v>
      </c>
      <c r="AD246"/>
      <c r="AE246"/>
      <c r="AF246">
        <v>260</v>
      </c>
      <c r="AG246" t="s">
        <v>1392</v>
      </c>
      <c r="AH246" t="s">
        <v>1393</v>
      </c>
      <c r="AI246" t="s">
        <v>178</v>
      </c>
      <c r="AJ246" t="s">
        <v>179</v>
      </c>
      <c r="AK246">
        <v>4</v>
      </c>
      <c r="AL246" t="s">
        <v>1394</v>
      </c>
      <c r="AM246"/>
      <c r="AN246"/>
      <c r="AO246"/>
      <c r="AP246"/>
      <c r="AQ246"/>
      <c r="AR246"/>
      <c r="AS246">
        <v>1100</v>
      </c>
      <c r="AT246">
        <v>1100</v>
      </c>
      <c r="AU246"/>
      <c r="AV246"/>
      <c r="AW246"/>
      <c r="AX246"/>
      <c r="AY246"/>
      <c r="AZ246"/>
      <c r="BA246"/>
      <c r="BB246"/>
      <c r="BC246"/>
      <c r="BD246"/>
      <c r="BE246"/>
      <c r="BF246"/>
      <c r="BG246"/>
      <c r="BH246"/>
      <c r="BI246"/>
      <c r="BJ246"/>
      <c r="BK246"/>
      <c r="BL246"/>
      <c r="BM246"/>
      <c r="BN246" s="114"/>
      <c r="BO246"/>
      <c r="BP246"/>
      <c r="BQ246">
        <v>33</v>
      </c>
      <c r="BR246" t="s">
        <v>1062</v>
      </c>
      <c r="BS246"/>
      <c r="BT246" t="s">
        <v>1395</v>
      </c>
      <c r="BU246" s="115">
        <v>45809</v>
      </c>
      <c r="BV246">
        <v>36704</v>
      </c>
      <c r="BW246" s="116"/>
      <c r="BX246" t="s">
        <v>173</v>
      </c>
      <c r="BY246" t="s">
        <v>173</v>
      </c>
      <c r="BZ246"/>
      <c r="CA246"/>
      <c r="CB246" t="s">
        <v>173</v>
      </c>
      <c r="CC246" t="s">
        <v>173</v>
      </c>
      <c r="CD246"/>
      <c r="CE246"/>
      <c r="CF246"/>
      <c r="CG246"/>
      <c r="CH246"/>
      <c r="CI246"/>
      <c r="CJ246"/>
      <c r="CK246" t="s">
        <v>259</v>
      </c>
      <c r="CL246"/>
      <c r="CM246">
        <v>1</v>
      </c>
      <c r="CN246" t="s">
        <v>260</v>
      </c>
      <c r="CO246"/>
      <c r="CP246">
        <v>552</v>
      </c>
      <c r="CQ246">
        <v>180.9</v>
      </c>
      <c r="CR246">
        <v>174.3</v>
      </c>
      <c r="CS246" t="s">
        <v>1437</v>
      </c>
      <c r="CT246"/>
      <c r="CU246"/>
      <c r="CV246" t="s">
        <v>262</v>
      </c>
      <c r="CW246"/>
      <c r="CX246" t="s">
        <v>263</v>
      </c>
      <c r="CY246" t="s">
        <v>172</v>
      </c>
      <c r="CZ246"/>
      <c r="DA246"/>
      <c r="DB246"/>
      <c r="DC246" t="s">
        <v>1497</v>
      </c>
      <c r="DD246">
        <v>2</v>
      </c>
      <c r="DE246" t="s">
        <v>307</v>
      </c>
      <c r="DF246" t="s">
        <v>1498</v>
      </c>
      <c r="DG246" t="s">
        <v>1508</v>
      </c>
      <c r="DH246"/>
      <c r="DI246"/>
      <c r="DJ246"/>
      <c r="DK246"/>
      <c r="DL246" t="s">
        <v>173</v>
      </c>
      <c r="DM246" t="s">
        <v>172</v>
      </c>
      <c r="DN246"/>
      <c r="DO246"/>
      <c r="DP246" t="s">
        <v>173</v>
      </c>
      <c r="DQ246" t="s">
        <v>189</v>
      </c>
      <c r="DR246"/>
      <c r="DS246"/>
      <c r="DT246"/>
      <c r="DU246"/>
      <c r="DV246"/>
      <c r="DW246"/>
      <c r="DX246"/>
      <c r="DY246"/>
      <c r="DZ246"/>
      <c r="EA246" s="117"/>
      <c r="EB246">
        <v>9</v>
      </c>
      <c r="EC246">
        <v>10</v>
      </c>
      <c r="ED246"/>
      <c r="EE246" t="s">
        <v>1509</v>
      </c>
      <c r="EF246">
        <v>10</v>
      </c>
      <c r="EG246"/>
      <c r="EH246"/>
      <c r="EI246"/>
      <c r="EJ246"/>
      <c r="EK246"/>
      <c r="EL246"/>
      <c r="EM246"/>
      <c r="EN246"/>
      <c r="EO246"/>
      <c r="EP246"/>
      <c r="EQ246"/>
      <c r="ER246"/>
      <c r="ES246"/>
      <c r="ET246"/>
      <c r="EU246">
        <v>3000</v>
      </c>
      <c r="EV246"/>
      <c r="EW246">
        <v>0</v>
      </c>
      <c r="EX246">
        <v>0</v>
      </c>
      <c r="EY246">
        <v>0</v>
      </c>
      <c r="EZ246"/>
      <c r="FA246">
        <v>10.8</v>
      </c>
      <c r="FB246"/>
      <c r="FC246"/>
      <c r="FD246"/>
      <c r="FE246"/>
      <c r="FF246"/>
      <c r="FG246" s="94">
        <v>279</v>
      </c>
      <c r="FH246" s="94">
        <v>237</v>
      </c>
      <c r="FI246" s="94">
        <v>260</v>
      </c>
    </row>
    <row r="247" spans="1:165" s="66" customFormat="1" x14ac:dyDescent="0.35">
      <c r="A247">
        <v>2026</v>
      </c>
      <c r="B247" t="s">
        <v>578</v>
      </c>
      <c r="C247" s="112" t="s">
        <v>579</v>
      </c>
      <c r="D247" t="s">
        <v>1507</v>
      </c>
      <c r="E247" t="s">
        <v>581</v>
      </c>
      <c r="F247">
        <v>47</v>
      </c>
      <c r="G247" s="113">
        <v>0</v>
      </c>
      <c r="H247"/>
      <c r="I247" t="s">
        <v>1391</v>
      </c>
      <c r="J247">
        <v>40</v>
      </c>
      <c r="K247">
        <v>47</v>
      </c>
      <c r="L247">
        <v>43</v>
      </c>
      <c r="M247">
        <v>27.3048</v>
      </c>
      <c r="N247">
        <v>31.602599999999999</v>
      </c>
      <c r="O247">
        <v>29.238800000000001</v>
      </c>
      <c r="P247">
        <v>40</v>
      </c>
      <c r="Q247">
        <v>47</v>
      </c>
      <c r="R247">
        <v>43</v>
      </c>
      <c r="S247"/>
      <c r="T247"/>
      <c r="U247"/>
      <c r="V247" t="s">
        <v>170</v>
      </c>
      <c r="W247" t="s">
        <v>171</v>
      </c>
      <c r="X247" t="s">
        <v>1466</v>
      </c>
      <c r="Y247">
        <v>1</v>
      </c>
      <c r="Z247" t="s">
        <v>173</v>
      </c>
      <c r="AA247" t="s">
        <v>173</v>
      </c>
      <c r="AB247" t="s">
        <v>170</v>
      </c>
      <c r="AC247" t="s">
        <v>232</v>
      </c>
      <c r="AD247"/>
      <c r="AE247"/>
      <c r="AF247">
        <v>260</v>
      </c>
      <c r="AG247" t="s">
        <v>1392</v>
      </c>
      <c r="AH247" t="s">
        <v>1393</v>
      </c>
      <c r="AI247" t="s">
        <v>1399</v>
      </c>
      <c r="AJ247" t="s">
        <v>1400</v>
      </c>
      <c r="AK247">
        <v>4</v>
      </c>
      <c r="AL247" t="s">
        <v>1394</v>
      </c>
      <c r="AM247"/>
      <c r="AN247"/>
      <c r="AO247"/>
      <c r="AP247"/>
      <c r="AQ247"/>
      <c r="AR247"/>
      <c r="AS247">
        <v>1100</v>
      </c>
      <c r="AT247">
        <v>1100</v>
      </c>
      <c r="AU247"/>
      <c r="AV247"/>
      <c r="AW247"/>
      <c r="AX247"/>
      <c r="AY247"/>
      <c r="AZ247"/>
      <c r="BA247"/>
      <c r="BB247"/>
      <c r="BC247"/>
      <c r="BD247"/>
      <c r="BE247"/>
      <c r="BF247"/>
      <c r="BG247"/>
      <c r="BH247"/>
      <c r="BI247"/>
      <c r="BJ247"/>
      <c r="BK247"/>
      <c r="BL247"/>
      <c r="BM247"/>
      <c r="BN247" s="114"/>
      <c r="BO247"/>
      <c r="BP247"/>
      <c r="BQ247">
        <v>33</v>
      </c>
      <c r="BR247" t="s">
        <v>1062</v>
      </c>
      <c r="BS247"/>
      <c r="BT247" t="s">
        <v>1395</v>
      </c>
      <c r="BU247" s="115">
        <v>45809</v>
      </c>
      <c r="BV247">
        <v>36704</v>
      </c>
      <c r="BW247" s="116"/>
      <c r="BX247" t="s">
        <v>173</v>
      </c>
      <c r="BY247" t="s">
        <v>173</v>
      </c>
      <c r="BZ247"/>
      <c r="CA247"/>
      <c r="CB247" t="s">
        <v>173</v>
      </c>
      <c r="CC247" t="s">
        <v>173</v>
      </c>
      <c r="CD247"/>
      <c r="CE247"/>
      <c r="CF247"/>
      <c r="CG247"/>
      <c r="CH247"/>
      <c r="CI247"/>
      <c r="CJ247"/>
      <c r="CK247" t="s">
        <v>259</v>
      </c>
      <c r="CL247"/>
      <c r="CM247">
        <v>1</v>
      </c>
      <c r="CN247" t="s">
        <v>260</v>
      </c>
      <c r="CO247"/>
      <c r="CP247">
        <v>552</v>
      </c>
      <c r="CQ247">
        <v>180.9</v>
      </c>
      <c r="CR247">
        <v>174.3</v>
      </c>
      <c r="CS247" t="s">
        <v>1437</v>
      </c>
      <c r="CT247"/>
      <c r="CU247"/>
      <c r="CV247" t="s">
        <v>262</v>
      </c>
      <c r="CW247"/>
      <c r="CX247" t="s">
        <v>263</v>
      </c>
      <c r="CY247" t="s">
        <v>172</v>
      </c>
      <c r="CZ247"/>
      <c r="DA247"/>
      <c r="DB247"/>
      <c r="DC247" t="s">
        <v>1497</v>
      </c>
      <c r="DD247">
        <v>2</v>
      </c>
      <c r="DE247" t="s">
        <v>307</v>
      </c>
      <c r="DF247" t="s">
        <v>1498</v>
      </c>
      <c r="DG247" t="s">
        <v>1508</v>
      </c>
      <c r="DH247"/>
      <c r="DI247"/>
      <c r="DJ247"/>
      <c r="DK247"/>
      <c r="DL247" t="s">
        <v>173</v>
      </c>
      <c r="DM247" t="s">
        <v>172</v>
      </c>
      <c r="DN247"/>
      <c r="DO247"/>
      <c r="DP247" t="s">
        <v>173</v>
      </c>
      <c r="DQ247" t="s">
        <v>189</v>
      </c>
      <c r="DR247"/>
      <c r="DS247"/>
      <c r="DT247"/>
      <c r="DU247"/>
      <c r="DV247"/>
      <c r="DW247"/>
      <c r="DX247"/>
      <c r="DY247"/>
      <c r="DZ247"/>
      <c r="EA247" s="117"/>
      <c r="EB247">
        <v>9</v>
      </c>
      <c r="EC247">
        <v>10</v>
      </c>
      <c r="ED247"/>
      <c r="EE247" t="s">
        <v>1509</v>
      </c>
      <c r="EF247">
        <v>10</v>
      </c>
      <c r="EG247"/>
      <c r="EH247"/>
      <c r="EI247"/>
      <c r="EJ247"/>
      <c r="EK247"/>
      <c r="EL247"/>
      <c r="EM247"/>
      <c r="EN247"/>
      <c r="EO247"/>
      <c r="EP247"/>
      <c r="EQ247"/>
      <c r="ER247"/>
      <c r="ES247"/>
      <c r="ET247"/>
      <c r="EU247">
        <v>3000</v>
      </c>
      <c r="EV247"/>
      <c r="EW247">
        <v>0</v>
      </c>
      <c r="EX247">
        <v>0</v>
      </c>
      <c r="EY247">
        <v>0</v>
      </c>
      <c r="EZ247"/>
      <c r="FA247">
        <v>10.8</v>
      </c>
      <c r="FB247"/>
      <c r="FC247"/>
      <c r="FD247"/>
      <c r="FE247"/>
      <c r="FF247"/>
      <c r="FG247" s="94">
        <v>279</v>
      </c>
      <c r="FH247" s="94">
        <v>237</v>
      </c>
      <c r="FI247" s="94">
        <v>260</v>
      </c>
    </row>
    <row r="248" spans="1:165" s="66" customFormat="1" x14ac:dyDescent="0.35">
      <c r="A248" s="19"/>
      <c r="B248" s="19"/>
      <c r="C248" s="19"/>
      <c r="D248" s="19"/>
      <c r="E248" s="19"/>
      <c r="F248" s="128"/>
      <c r="G248" s="19"/>
      <c r="H248" s="19"/>
      <c r="I248" s="19"/>
      <c r="J248" s="19"/>
      <c r="K248" s="19" t="str">
        <f>_xlfn.CONCAT(A249," ",C249," ",D249)</f>
        <v>2026 KIA EV9 Long Range AWD</v>
      </c>
      <c r="L248" s="19"/>
      <c r="M248" s="19"/>
      <c r="N248" s="19"/>
      <c r="O248" s="19"/>
      <c r="P248" s="19"/>
      <c r="Q248" s="19"/>
      <c r="R248" s="19"/>
      <c r="S248" s="19"/>
      <c r="T248" s="19"/>
      <c r="U248" s="19"/>
      <c r="V248" s="19"/>
      <c r="W248" s="19"/>
      <c r="X248" s="19"/>
      <c r="Y248" s="19"/>
      <c r="Z248" s="19"/>
      <c r="AA248" s="19"/>
      <c r="AB248" s="19" t="str">
        <f>$K248</f>
        <v>2026 KIA EV9 Long Range AWD</v>
      </c>
      <c r="AC248" s="19"/>
      <c r="AD248" s="19"/>
      <c r="AE248" s="19"/>
      <c r="AF248" s="19"/>
      <c r="AG248" s="19"/>
      <c r="AH248" s="19"/>
      <c r="AI248" s="19"/>
      <c r="AJ248" s="19"/>
      <c r="AK248" s="19"/>
      <c r="AL248" s="19"/>
      <c r="AM248" s="19"/>
      <c r="AN248" s="19"/>
      <c r="AO248" s="19"/>
      <c r="AP248" s="19"/>
      <c r="AQ248" s="19"/>
      <c r="AR248" s="19" t="str">
        <f>$K248</f>
        <v>2026 KIA EV9 Long Range AWD</v>
      </c>
      <c r="AS248" s="19"/>
      <c r="AT248" s="19"/>
      <c r="AU248" s="19"/>
      <c r="AV248" s="19"/>
      <c r="AW248" s="19"/>
      <c r="AX248" s="19"/>
      <c r="AY248" s="19"/>
      <c r="AZ248" s="19"/>
      <c r="BA248" s="19"/>
      <c r="BB248" s="19"/>
      <c r="BC248" s="19"/>
      <c r="BD248" s="19"/>
      <c r="BE248" s="19"/>
      <c r="BF248" s="19"/>
      <c r="BG248" s="19" t="str">
        <f>$K248</f>
        <v>2026 KIA EV9 Long Range AWD</v>
      </c>
      <c r="BH248" s="19"/>
      <c r="BI248" s="19"/>
      <c r="BJ248" s="19"/>
      <c r="BK248" s="19"/>
      <c r="BL248" s="19"/>
      <c r="BM248" s="129"/>
      <c r="BN248" s="19"/>
      <c r="BO248" s="19"/>
      <c r="BP248" s="19"/>
      <c r="BQ248" s="19"/>
      <c r="BR248" s="19"/>
      <c r="BS248" s="19"/>
      <c r="BT248" s="130"/>
      <c r="BU248" s="19"/>
      <c r="BV248" s="19"/>
      <c r="BW248" s="116"/>
      <c r="BX248" s="19"/>
      <c r="BY248" s="19"/>
      <c r="BZ248" s="19"/>
      <c r="CA248" s="19"/>
      <c r="CB248" s="19"/>
      <c r="CC248" s="19"/>
      <c r="CD248" s="19"/>
      <c r="CE248" s="19"/>
      <c r="CF248" s="19"/>
      <c r="CG248" s="19"/>
      <c r="CH248" s="19"/>
      <c r="CI248" s="19"/>
      <c r="CJ248" s="19"/>
      <c r="CK248" s="19"/>
      <c r="CL248" s="19"/>
      <c r="CM248" s="19" t="str">
        <f>$K248</f>
        <v>2026 KIA EV9 Long Range AWD</v>
      </c>
      <c r="CN248" s="19"/>
      <c r="CO248" s="19"/>
      <c r="CP248" s="19"/>
      <c r="CQ248" s="19"/>
      <c r="CR248" s="19"/>
      <c r="CS248" s="19"/>
      <c r="CT248" s="19"/>
      <c r="CU248" s="19"/>
      <c r="CV248" s="19"/>
      <c r="CW248" s="19"/>
      <c r="CX248" s="19"/>
      <c r="CY248" s="19"/>
      <c r="CZ248" s="19"/>
      <c r="DA248" s="19"/>
      <c r="DB248" s="19"/>
      <c r="DC248" s="19"/>
      <c r="DD248" s="19" t="str">
        <f>$K248</f>
        <v>2026 KIA EV9 Long Range AWD</v>
      </c>
      <c r="DE248" s="19"/>
      <c r="DF248" s="19"/>
      <c r="DG248" s="19"/>
      <c r="DH248" s="19"/>
      <c r="DI248" s="19"/>
      <c r="DJ248" s="19"/>
      <c r="DK248" s="19"/>
      <c r="DL248" s="19"/>
      <c r="DM248" s="19"/>
      <c r="DN248" s="19"/>
      <c r="DO248" s="19"/>
      <c r="DP248" s="19"/>
      <c r="DQ248" s="19"/>
      <c r="DR248" s="19"/>
      <c r="DS248" s="19"/>
      <c r="DT248" s="19"/>
      <c r="DU248" s="19" t="str">
        <f>$K248</f>
        <v>2026 KIA EV9 Long Range AWD</v>
      </c>
      <c r="DV248" s="19"/>
      <c r="DW248" s="19"/>
      <c r="DX248" s="19"/>
      <c r="DY248" s="19"/>
      <c r="DZ248" s="19"/>
      <c r="EA248" s="117"/>
      <c r="EB248" s="19"/>
      <c r="EC248" s="19"/>
      <c r="ED248" s="19"/>
      <c r="EE248" s="19"/>
      <c r="EF248" s="19"/>
      <c r="EG248"/>
      <c r="EH248"/>
      <c r="EI248"/>
      <c r="EJ248"/>
      <c r="EK248"/>
      <c r="EL248"/>
      <c r="EM248"/>
      <c r="EN248"/>
      <c r="EO248"/>
      <c r="EP248"/>
      <c r="EQ248"/>
      <c r="ER248"/>
      <c r="ES248"/>
      <c r="ET248"/>
      <c r="EU248"/>
      <c r="EV248"/>
      <c r="EW248"/>
      <c r="EX248" s="19" t="s">
        <v>2001</v>
      </c>
      <c r="EY248"/>
      <c r="EZ248"/>
      <c r="FA248"/>
      <c r="FB248"/>
      <c r="FC248"/>
      <c r="FD248"/>
      <c r="FE248"/>
      <c r="FF248"/>
      <c r="FG248"/>
      <c r="FH248"/>
      <c r="FI248"/>
    </row>
    <row r="249" spans="1:165" s="66" customFormat="1" x14ac:dyDescent="0.35">
      <c r="A249">
        <v>2026</v>
      </c>
      <c r="B249" t="s">
        <v>578</v>
      </c>
      <c r="C249" s="112" t="s">
        <v>579</v>
      </c>
      <c r="D249" t="s">
        <v>1504</v>
      </c>
      <c r="E249" t="s">
        <v>581</v>
      </c>
      <c r="F249">
        <v>45</v>
      </c>
      <c r="G249" s="113">
        <v>0</v>
      </c>
      <c r="H249"/>
      <c r="I249" t="s">
        <v>1391</v>
      </c>
      <c r="J249">
        <v>94</v>
      </c>
      <c r="K249">
        <v>75</v>
      </c>
      <c r="L249">
        <v>84</v>
      </c>
      <c r="M249">
        <v>141.1</v>
      </c>
      <c r="N249">
        <v>112.5</v>
      </c>
      <c r="O249">
        <v>126.6152</v>
      </c>
      <c r="P249">
        <v>94</v>
      </c>
      <c r="Q249">
        <v>75</v>
      </c>
      <c r="R249">
        <v>84</v>
      </c>
      <c r="S249"/>
      <c r="T249"/>
      <c r="U249"/>
      <c r="V249" t="s">
        <v>170</v>
      </c>
      <c r="W249" t="s">
        <v>171</v>
      </c>
      <c r="X249" t="s">
        <v>1466</v>
      </c>
      <c r="Y249">
        <v>1</v>
      </c>
      <c r="Z249" t="s">
        <v>173</v>
      </c>
      <c r="AA249" t="s">
        <v>173</v>
      </c>
      <c r="AB249" t="s">
        <v>170</v>
      </c>
      <c r="AC249" t="s">
        <v>232</v>
      </c>
      <c r="AD249"/>
      <c r="AE249"/>
      <c r="AF249">
        <v>283</v>
      </c>
      <c r="AG249" t="s">
        <v>1392</v>
      </c>
      <c r="AH249" t="s">
        <v>1393</v>
      </c>
      <c r="AI249" t="s">
        <v>178</v>
      </c>
      <c r="AJ249" t="s">
        <v>179</v>
      </c>
      <c r="AK249">
        <v>4</v>
      </c>
      <c r="AL249" t="s">
        <v>1394</v>
      </c>
      <c r="AM249"/>
      <c r="AN249"/>
      <c r="AO249"/>
      <c r="AP249"/>
      <c r="AQ249"/>
      <c r="AR249"/>
      <c r="AS249">
        <v>1000</v>
      </c>
      <c r="AT249">
        <v>1000</v>
      </c>
      <c r="AU249"/>
      <c r="AV249"/>
      <c r="AW249"/>
      <c r="AX249"/>
      <c r="AY249"/>
      <c r="AZ249"/>
      <c r="BA249"/>
      <c r="BB249"/>
      <c r="BC249"/>
      <c r="BD249"/>
      <c r="BE249"/>
      <c r="BF249"/>
      <c r="BG249"/>
      <c r="BH249"/>
      <c r="BI249"/>
      <c r="BJ249"/>
      <c r="BK249"/>
      <c r="BL249"/>
      <c r="BM249"/>
      <c r="BN249" s="114"/>
      <c r="BO249"/>
      <c r="BP249"/>
      <c r="BQ249">
        <v>33</v>
      </c>
      <c r="BR249" t="s">
        <v>1062</v>
      </c>
      <c r="BS249"/>
      <c r="BT249" t="s">
        <v>1395</v>
      </c>
      <c r="BU249" s="115">
        <v>45695</v>
      </c>
      <c r="BV249">
        <v>36315</v>
      </c>
      <c r="BW249" s="116"/>
      <c r="BX249" t="s">
        <v>173</v>
      </c>
      <c r="BY249" t="s">
        <v>173</v>
      </c>
      <c r="BZ249"/>
      <c r="CA249"/>
      <c r="CB249" t="s">
        <v>173</v>
      </c>
      <c r="CC249" t="s">
        <v>173</v>
      </c>
      <c r="CD249"/>
      <c r="CE249"/>
      <c r="CF249"/>
      <c r="CG249"/>
      <c r="CH249"/>
      <c r="CI249"/>
      <c r="CJ249"/>
      <c r="CK249" t="s">
        <v>259</v>
      </c>
      <c r="CL249"/>
      <c r="CM249">
        <v>1</v>
      </c>
      <c r="CN249" t="s">
        <v>260</v>
      </c>
      <c r="CO249"/>
      <c r="CP249">
        <v>552</v>
      </c>
      <c r="CQ249">
        <v>180.9</v>
      </c>
      <c r="CR249">
        <v>174.8</v>
      </c>
      <c r="CS249" t="s">
        <v>1437</v>
      </c>
      <c r="CT249"/>
      <c r="CU249"/>
      <c r="CV249" t="s">
        <v>262</v>
      </c>
      <c r="CW249"/>
      <c r="CX249" t="s">
        <v>702</v>
      </c>
      <c r="CY249" t="s">
        <v>172</v>
      </c>
      <c r="CZ249"/>
      <c r="DA249"/>
      <c r="DB249"/>
      <c r="DC249" t="s">
        <v>1497</v>
      </c>
      <c r="DD249">
        <v>2</v>
      </c>
      <c r="DE249" t="s">
        <v>307</v>
      </c>
      <c r="DF249" t="s">
        <v>1498</v>
      </c>
      <c r="DG249">
        <v>141</v>
      </c>
      <c r="DH249"/>
      <c r="DI249"/>
      <c r="DJ249"/>
      <c r="DK249"/>
      <c r="DL249" t="s">
        <v>173</v>
      </c>
      <c r="DM249" t="s">
        <v>172</v>
      </c>
      <c r="DN249"/>
      <c r="DO249"/>
      <c r="DP249" t="s">
        <v>173</v>
      </c>
      <c r="DQ249" t="s">
        <v>189</v>
      </c>
      <c r="DR249"/>
      <c r="DS249"/>
      <c r="DT249"/>
      <c r="DU249"/>
      <c r="DV249"/>
      <c r="DW249"/>
      <c r="DX249"/>
      <c r="DY249"/>
      <c r="DZ249"/>
      <c r="EA249" s="117"/>
      <c r="EB249">
        <v>9</v>
      </c>
      <c r="EC249">
        <v>10</v>
      </c>
      <c r="ED249"/>
      <c r="EE249" t="s">
        <v>1505</v>
      </c>
      <c r="EF249">
        <v>10</v>
      </c>
      <c r="EG249"/>
      <c r="EH249"/>
      <c r="EI249"/>
      <c r="EJ249"/>
      <c r="EK249"/>
      <c r="EL249"/>
      <c r="EM249"/>
      <c r="EN249"/>
      <c r="EO249"/>
      <c r="EP249"/>
      <c r="EQ249"/>
      <c r="ER249"/>
      <c r="ES249"/>
      <c r="ET249"/>
      <c r="EU249">
        <v>3500</v>
      </c>
      <c r="EV249"/>
      <c r="EW249">
        <v>0</v>
      </c>
      <c r="EX249">
        <v>0</v>
      </c>
      <c r="EY249">
        <v>0</v>
      </c>
      <c r="EZ249"/>
      <c r="FA249">
        <v>10.7</v>
      </c>
      <c r="FB249"/>
      <c r="FC249"/>
      <c r="FD249"/>
      <c r="FE249"/>
      <c r="FF249"/>
      <c r="FG249" s="94">
        <v>311</v>
      </c>
      <c r="FH249" s="94">
        <v>249</v>
      </c>
      <c r="FI249" s="94">
        <v>283</v>
      </c>
    </row>
    <row r="250" spans="1:165" s="66" customFormat="1" x14ac:dyDescent="0.35">
      <c r="A250">
        <v>2026</v>
      </c>
      <c r="B250" t="s">
        <v>578</v>
      </c>
      <c r="C250" s="112" t="s">
        <v>579</v>
      </c>
      <c r="D250" t="s">
        <v>1504</v>
      </c>
      <c r="E250" t="s">
        <v>581</v>
      </c>
      <c r="F250">
        <v>45</v>
      </c>
      <c r="G250" s="113">
        <v>0</v>
      </c>
      <c r="H250"/>
      <c r="I250" t="s">
        <v>1391</v>
      </c>
      <c r="J250">
        <v>36</v>
      </c>
      <c r="K250">
        <v>45</v>
      </c>
      <c r="L250">
        <v>40</v>
      </c>
      <c r="M250">
        <v>23.895</v>
      </c>
      <c r="N250">
        <v>29.962399999999999</v>
      </c>
      <c r="O250">
        <v>26.625299999999999</v>
      </c>
      <c r="P250">
        <v>36</v>
      </c>
      <c r="Q250">
        <v>45</v>
      </c>
      <c r="R250">
        <v>40</v>
      </c>
      <c r="S250"/>
      <c r="T250"/>
      <c r="U250"/>
      <c r="V250" t="s">
        <v>170</v>
      </c>
      <c r="W250" t="s">
        <v>171</v>
      </c>
      <c r="X250" t="s">
        <v>1466</v>
      </c>
      <c r="Y250">
        <v>1</v>
      </c>
      <c r="Z250" t="s">
        <v>173</v>
      </c>
      <c r="AA250" t="s">
        <v>173</v>
      </c>
      <c r="AB250" t="s">
        <v>170</v>
      </c>
      <c r="AC250" t="s">
        <v>232</v>
      </c>
      <c r="AD250"/>
      <c r="AE250"/>
      <c r="AF250">
        <v>283</v>
      </c>
      <c r="AG250" t="s">
        <v>1392</v>
      </c>
      <c r="AH250" t="s">
        <v>1393</v>
      </c>
      <c r="AI250" t="s">
        <v>1399</v>
      </c>
      <c r="AJ250" t="s">
        <v>1400</v>
      </c>
      <c r="AK250">
        <v>4</v>
      </c>
      <c r="AL250" t="s">
        <v>1394</v>
      </c>
      <c r="AM250"/>
      <c r="AN250"/>
      <c r="AO250"/>
      <c r="AP250"/>
      <c r="AQ250"/>
      <c r="AR250"/>
      <c r="AS250">
        <v>1000</v>
      </c>
      <c r="AT250">
        <v>1000</v>
      </c>
      <c r="AU250"/>
      <c r="AV250"/>
      <c r="AW250"/>
      <c r="AX250"/>
      <c r="AY250"/>
      <c r="AZ250"/>
      <c r="BA250"/>
      <c r="BB250"/>
      <c r="BC250"/>
      <c r="BD250"/>
      <c r="BE250"/>
      <c r="BF250"/>
      <c r="BG250"/>
      <c r="BH250"/>
      <c r="BI250"/>
      <c r="BJ250"/>
      <c r="BK250"/>
      <c r="BL250"/>
      <c r="BM250"/>
      <c r="BN250" s="114"/>
      <c r="BO250"/>
      <c r="BP250"/>
      <c r="BQ250">
        <v>33</v>
      </c>
      <c r="BR250" t="s">
        <v>1062</v>
      </c>
      <c r="BS250"/>
      <c r="BT250" t="s">
        <v>1395</v>
      </c>
      <c r="BU250" s="115">
        <v>45695</v>
      </c>
      <c r="BV250">
        <v>36315</v>
      </c>
      <c r="BW250" s="116"/>
      <c r="BX250" t="s">
        <v>173</v>
      </c>
      <c r="BY250" t="s">
        <v>173</v>
      </c>
      <c r="BZ250"/>
      <c r="CA250"/>
      <c r="CB250" t="s">
        <v>173</v>
      </c>
      <c r="CC250" t="s">
        <v>173</v>
      </c>
      <c r="CD250"/>
      <c r="CE250"/>
      <c r="CF250"/>
      <c r="CG250"/>
      <c r="CH250"/>
      <c r="CI250"/>
      <c r="CJ250"/>
      <c r="CK250" t="s">
        <v>259</v>
      </c>
      <c r="CL250"/>
      <c r="CM250">
        <v>1</v>
      </c>
      <c r="CN250" t="s">
        <v>260</v>
      </c>
      <c r="CO250"/>
      <c r="CP250">
        <v>552</v>
      </c>
      <c r="CQ250">
        <v>180.9</v>
      </c>
      <c r="CR250">
        <v>174.8</v>
      </c>
      <c r="CS250" t="s">
        <v>1437</v>
      </c>
      <c r="CT250"/>
      <c r="CU250"/>
      <c r="CV250" t="s">
        <v>262</v>
      </c>
      <c r="CW250"/>
      <c r="CX250" t="s">
        <v>702</v>
      </c>
      <c r="CY250" t="s">
        <v>172</v>
      </c>
      <c r="CZ250"/>
      <c r="DA250"/>
      <c r="DB250"/>
      <c r="DC250" t="s">
        <v>1497</v>
      </c>
      <c r="DD250">
        <v>2</v>
      </c>
      <c r="DE250" t="s">
        <v>307</v>
      </c>
      <c r="DF250" t="s">
        <v>1498</v>
      </c>
      <c r="DG250">
        <v>141</v>
      </c>
      <c r="DH250"/>
      <c r="DI250"/>
      <c r="DJ250"/>
      <c r="DK250"/>
      <c r="DL250" t="s">
        <v>173</v>
      </c>
      <c r="DM250" t="s">
        <v>172</v>
      </c>
      <c r="DN250"/>
      <c r="DO250"/>
      <c r="DP250" t="s">
        <v>173</v>
      </c>
      <c r="DQ250" t="s">
        <v>189</v>
      </c>
      <c r="DR250"/>
      <c r="DS250"/>
      <c r="DT250"/>
      <c r="DU250"/>
      <c r="DV250"/>
      <c r="DW250"/>
      <c r="DX250"/>
      <c r="DY250"/>
      <c r="DZ250"/>
      <c r="EA250" s="117"/>
      <c r="EB250">
        <v>9</v>
      </c>
      <c r="EC250">
        <v>10</v>
      </c>
      <c r="ED250"/>
      <c r="EE250" t="s">
        <v>1505</v>
      </c>
      <c r="EF250">
        <v>10</v>
      </c>
      <c r="EG250"/>
      <c r="EH250"/>
      <c r="EI250"/>
      <c r="EJ250"/>
      <c r="EK250"/>
      <c r="EL250"/>
      <c r="EM250"/>
      <c r="EN250"/>
      <c r="EO250"/>
      <c r="EP250"/>
      <c r="EQ250"/>
      <c r="ER250"/>
      <c r="ES250"/>
      <c r="ET250"/>
      <c r="EU250">
        <v>3500</v>
      </c>
      <c r="EV250"/>
      <c r="EW250">
        <v>0</v>
      </c>
      <c r="EX250">
        <v>0</v>
      </c>
      <c r="EY250">
        <v>0</v>
      </c>
      <c r="EZ250"/>
      <c r="FA250">
        <v>10.7</v>
      </c>
      <c r="FB250"/>
      <c r="FC250"/>
      <c r="FD250"/>
      <c r="FE250"/>
      <c r="FF250"/>
      <c r="FG250" s="94">
        <v>311</v>
      </c>
      <c r="FH250" s="94">
        <v>249</v>
      </c>
      <c r="FI250" s="94">
        <v>283</v>
      </c>
    </row>
    <row r="251" spans="1:165" s="66" customFormat="1" x14ac:dyDescent="0.35">
      <c r="A251" s="19"/>
      <c r="B251" s="19"/>
      <c r="C251" s="19"/>
      <c r="D251" s="19"/>
      <c r="E251" s="19"/>
      <c r="F251" s="128"/>
      <c r="G251" s="19"/>
      <c r="H251" s="19"/>
      <c r="I251" s="19"/>
      <c r="J251" s="19"/>
      <c r="K251" s="19" t="str">
        <f>_xlfn.CONCAT(A252," ",C252," ",D252)</f>
        <v>2026 KIA EV9 Long Range AWD GT-Line</v>
      </c>
      <c r="L251" s="19"/>
      <c r="M251" s="19"/>
      <c r="N251" s="19"/>
      <c r="O251" s="19"/>
      <c r="P251" s="19"/>
      <c r="Q251" s="19"/>
      <c r="R251" s="19"/>
      <c r="S251" s="19"/>
      <c r="T251" s="19"/>
      <c r="U251" s="19"/>
      <c r="V251" s="19"/>
      <c r="W251" s="19"/>
      <c r="X251" s="19"/>
      <c r="Y251" s="19"/>
      <c r="Z251" s="19"/>
      <c r="AA251" s="19"/>
      <c r="AB251" s="19" t="str">
        <f>$K251</f>
        <v>2026 KIA EV9 Long Range AWD GT-Line</v>
      </c>
      <c r="AC251" s="19"/>
      <c r="AD251" s="19"/>
      <c r="AE251" s="19"/>
      <c r="AF251" s="19"/>
      <c r="AG251" s="19"/>
      <c r="AH251" s="19"/>
      <c r="AI251" s="19"/>
      <c r="AJ251" s="19"/>
      <c r="AK251" s="19"/>
      <c r="AL251" s="19"/>
      <c r="AM251" s="19"/>
      <c r="AN251" s="19"/>
      <c r="AO251" s="19"/>
      <c r="AP251" s="19"/>
      <c r="AQ251" s="19"/>
      <c r="AR251" s="19" t="str">
        <f>$K251</f>
        <v>2026 KIA EV9 Long Range AWD GT-Line</v>
      </c>
      <c r="AS251" s="19"/>
      <c r="AT251" s="19"/>
      <c r="AU251" s="19"/>
      <c r="AV251" s="19"/>
      <c r="AW251" s="19"/>
      <c r="AX251" s="19"/>
      <c r="AY251" s="19"/>
      <c r="AZ251" s="19"/>
      <c r="BA251" s="19"/>
      <c r="BB251" s="19"/>
      <c r="BC251" s="19"/>
      <c r="BD251" s="19"/>
      <c r="BE251" s="19"/>
      <c r="BF251" s="19"/>
      <c r="BG251" s="19" t="str">
        <f>$K251</f>
        <v>2026 KIA EV9 Long Range AWD GT-Line</v>
      </c>
      <c r="BH251" s="19"/>
      <c r="BI251" s="19"/>
      <c r="BJ251" s="19"/>
      <c r="BK251" s="19"/>
      <c r="BL251" s="19"/>
      <c r="BM251" s="129"/>
      <c r="BN251" s="19"/>
      <c r="BO251" s="19"/>
      <c r="BP251" s="19"/>
      <c r="BQ251" s="19"/>
      <c r="BR251" s="19"/>
      <c r="BS251" s="19"/>
      <c r="BT251" s="130"/>
      <c r="BU251" s="19"/>
      <c r="BV251" s="19"/>
      <c r="BW251" s="116"/>
      <c r="BX251" s="19"/>
      <c r="BY251" s="19"/>
      <c r="BZ251" s="19"/>
      <c r="CA251" s="19"/>
      <c r="CB251" s="19"/>
      <c r="CC251" s="19"/>
      <c r="CD251" s="19"/>
      <c r="CE251" s="19"/>
      <c r="CF251" s="19"/>
      <c r="CG251" s="19"/>
      <c r="CH251" s="19"/>
      <c r="CI251" s="19"/>
      <c r="CJ251" s="19"/>
      <c r="CK251" s="19"/>
      <c r="CL251" s="19"/>
      <c r="CM251" s="19" t="str">
        <f>$K251</f>
        <v>2026 KIA EV9 Long Range AWD GT-Line</v>
      </c>
      <c r="CN251" s="19"/>
      <c r="CO251" s="19"/>
      <c r="CP251" s="19"/>
      <c r="CQ251" s="19"/>
      <c r="CR251" s="19"/>
      <c r="CS251" s="19"/>
      <c r="CT251" s="19"/>
      <c r="CU251" s="19"/>
      <c r="CV251" s="19"/>
      <c r="CW251" s="19"/>
      <c r="CX251" s="19"/>
      <c r="CY251" s="19"/>
      <c r="CZ251" s="19"/>
      <c r="DA251" s="19"/>
      <c r="DB251" s="19"/>
      <c r="DC251" s="19"/>
      <c r="DD251" s="19" t="str">
        <f>$K251</f>
        <v>2026 KIA EV9 Long Range AWD GT-Line</v>
      </c>
      <c r="DE251" s="19"/>
      <c r="DF251" s="19"/>
      <c r="DG251" s="19"/>
      <c r="DH251" s="19"/>
      <c r="DI251" s="19"/>
      <c r="DJ251" s="19"/>
      <c r="DK251" s="19"/>
      <c r="DL251" s="19"/>
      <c r="DM251" s="19"/>
      <c r="DN251" s="19"/>
      <c r="DO251" s="19"/>
      <c r="DP251" s="19"/>
      <c r="DQ251" s="19"/>
      <c r="DR251" s="19"/>
      <c r="DS251" s="19"/>
      <c r="DT251" s="19"/>
      <c r="DU251" s="19" t="str">
        <f>$K251</f>
        <v>2026 KIA EV9 Long Range AWD GT-Line</v>
      </c>
      <c r="DV251" s="19"/>
      <c r="DW251" s="19"/>
      <c r="DX251" s="19"/>
      <c r="DY251" s="19"/>
      <c r="DZ251" s="19"/>
      <c r="EA251" s="117"/>
      <c r="EB251" s="19"/>
      <c r="EC251" s="19"/>
      <c r="ED251" s="19"/>
      <c r="EE251" s="19"/>
      <c r="EF251" s="19"/>
      <c r="EG251"/>
      <c r="EH251"/>
      <c r="EI251"/>
      <c r="EJ251"/>
      <c r="EK251"/>
      <c r="EL251"/>
      <c r="EM251"/>
      <c r="EN251"/>
      <c r="EO251"/>
      <c r="EP251"/>
      <c r="EQ251"/>
      <c r="ER251"/>
      <c r="ES251"/>
      <c r="ET251"/>
      <c r="EU251"/>
      <c r="EV251"/>
      <c r="EW251"/>
      <c r="EX251" s="19" t="s">
        <v>2002</v>
      </c>
      <c r="EY251"/>
      <c r="EZ251"/>
      <c r="FA251"/>
      <c r="FB251"/>
      <c r="FC251"/>
      <c r="FD251"/>
      <c r="FE251"/>
      <c r="FF251"/>
      <c r="FG251"/>
      <c r="FH251"/>
      <c r="FI251"/>
    </row>
    <row r="252" spans="1:165" s="66" customFormat="1" x14ac:dyDescent="0.35">
      <c r="A252">
        <v>2026</v>
      </c>
      <c r="B252" t="s">
        <v>578</v>
      </c>
      <c r="C252" s="112" t="s">
        <v>579</v>
      </c>
      <c r="D252" t="s">
        <v>1506</v>
      </c>
      <c r="E252" t="s">
        <v>581</v>
      </c>
      <c r="F252">
        <v>46</v>
      </c>
      <c r="G252" s="113">
        <v>0</v>
      </c>
      <c r="H252"/>
      <c r="I252" t="s">
        <v>1391</v>
      </c>
      <c r="J252">
        <v>92</v>
      </c>
      <c r="K252">
        <v>72</v>
      </c>
      <c r="L252">
        <v>82</v>
      </c>
      <c r="M252">
        <v>142.4</v>
      </c>
      <c r="N252">
        <v>112.3</v>
      </c>
      <c r="O252">
        <v>127.0731</v>
      </c>
      <c r="P252">
        <v>92</v>
      </c>
      <c r="Q252">
        <v>72</v>
      </c>
      <c r="R252">
        <v>82</v>
      </c>
      <c r="S252"/>
      <c r="T252"/>
      <c r="U252"/>
      <c r="V252" t="s">
        <v>170</v>
      </c>
      <c r="W252" t="s">
        <v>171</v>
      </c>
      <c r="X252" t="s">
        <v>1466</v>
      </c>
      <c r="Y252">
        <v>1</v>
      </c>
      <c r="Z252" t="s">
        <v>173</v>
      </c>
      <c r="AA252" t="s">
        <v>173</v>
      </c>
      <c r="AB252" t="s">
        <v>170</v>
      </c>
      <c r="AC252" t="s">
        <v>232</v>
      </c>
      <c r="AD252"/>
      <c r="AE252"/>
      <c r="AF252">
        <v>280</v>
      </c>
      <c r="AG252" t="s">
        <v>1392</v>
      </c>
      <c r="AH252" t="s">
        <v>1393</v>
      </c>
      <c r="AI252" t="s">
        <v>178</v>
      </c>
      <c r="AJ252" t="s">
        <v>179</v>
      </c>
      <c r="AK252">
        <v>4</v>
      </c>
      <c r="AL252" t="s">
        <v>1394</v>
      </c>
      <c r="AM252"/>
      <c r="AN252"/>
      <c r="AO252"/>
      <c r="AP252"/>
      <c r="AQ252"/>
      <c r="AR252"/>
      <c r="AS252">
        <v>1050</v>
      </c>
      <c r="AT252">
        <v>1050</v>
      </c>
      <c r="AU252"/>
      <c r="AV252"/>
      <c r="AW252"/>
      <c r="AX252"/>
      <c r="AY252"/>
      <c r="AZ252"/>
      <c r="BA252"/>
      <c r="BB252"/>
      <c r="BC252"/>
      <c r="BD252"/>
      <c r="BE252"/>
      <c r="BF252"/>
      <c r="BG252"/>
      <c r="BH252"/>
      <c r="BI252"/>
      <c r="BJ252"/>
      <c r="BK252"/>
      <c r="BL252"/>
      <c r="BM252"/>
      <c r="BN252" s="114"/>
      <c r="BO252"/>
      <c r="BP252"/>
      <c r="BQ252">
        <v>33</v>
      </c>
      <c r="BR252" t="s">
        <v>1062</v>
      </c>
      <c r="BS252"/>
      <c r="BT252" t="s">
        <v>1395</v>
      </c>
      <c r="BU252" s="115">
        <v>45695</v>
      </c>
      <c r="BV252">
        <v>36314</v>
      </c>
      <c r="BW252" s="116"/>
      <c r="BX252" t="s">
        <v>172</v>
      </c>
      <c r="BY252" t="s">
        <v>173</v>
      </c>
      <c r="BZ252"/>
      <c r="CA252"/>
      <c r="CB252" t="s">
        <v>173</v>
      </c>
      <c r="CC252" t="s">
        <v>173</v>
      </c>
      <c r="CD252"/>
      <c r="CE252"/>
      <c r="CF252"/>
      <c r="CG252"/>
      <c r="CH252"/>
      <c r="CI252"/>
      <c r="CJ252"/>
      <c r="CK252" t="s">
        <v>259</v>
      </c>
      <c r="CL252"/>
      <c r="CM252">
        <v>1</v>
      </c>
      <c r="CN252" t="s">
        <v>260</v>
      </c>
      <c r="CO252"/>
      <c r="CP252">
        <v>552</v>
      </c>
      <c r="CQ252">
        <v>180.9</v>
      </c>
      <c r="CR252">
        <v>174.8</v>
      </c>
      <c r="CS252" t="s">
        <v>1437</v>
      </c>
      <c r="CT252"/>
      <c r="CU252"/>
      <c r="CV252" t="s">
        <v>262</v>
      </c>
      <c r="CW252"/>
      <c r="CX252" t="s">
        <v>702</v>
      </c>
      <c r="CY252" t="s">
        <v>172</v>
      </c>
      <c r="CZ252"/>
      <c r="DA252"/>
      <c r="DB252"/>
      <c r="DC252" t="s">
        <v>1497</v>
      </c>
      <c r="DD252">
        <v>2</v>
      </c>
      <c r="DE252" t="s">
        <v>307</v>
      </c>
      <c r="DF252" t="s">
        <v>1498</v>
      </c>
      <c r="DG252">
        <v>141</v>
      </c>
      <c r="DH252"/>
      <c r="DI252"/>
      <c r="DJ252"/>
      <c r="DK252"/>
      <c r="DL252" t="s">
        <v>173</v>
      </c>
      <c r="DM252" t="s">
        <v>172</v>
      </c>
      <c r="DN252"/>
      <c r="DO252"/>
      <c r="DP252" t="s">
        <v>173</v>
      </c>
      <c r="DQ252" t="s">
        <v>189</v>
      </c>
      <c r="DR252"/>
      <c r="DS252"/>
      <c r="DT252"/>
      <c r="DU252"/>
      <c r="DV252"/>
      <c r="DW252"/>
      <c r="DX252"/>
      <c r="DY252"/>
      <c r="DZ252"/>
      <c r="EA252" s="117"/>
      <c r="EB252">
        <v>9</v>
      </c>
      <c r="EC252">
        <v>10</v>
      </c>
      <c r="ED252"/>
      <c r="EE252" t="s">
        <v>1505</v>
      </c>
      <c r="EF252">
        <v>10</v>
      </c>
      <c r="EG252"/>
      <c r="EH252"/>
      <c r="EI252"/>
      <c r="EJ252"/>
      <c r="EK252"/>
      <c r="EL252"/>
      <c r="EM252"/>
      <c r="EN252"/>
      <c r="EO252"/>
      <c r="EP252"/>
      <c r="EQ252"/>
      <c r="ER252"/>
      <c r="ES252"/>
      <c r="ET252"/>
      <c r="EU252">
        <v>3250</v>
      </c>
      <c r="EV252"/>
      <c r="EW252">
        <v>0</v>
      </c>
      <c r="EX252">
        <v>0</v>
      </c>
      <c r="EY252">
        <v>0</v>
      </c>
      <c r="EZ252"/>
      <c r="FA252">
        <v>10.5</v>
      </c>
      <c r="FB252"/>
      <c r="FC252"/>
      <c r="FD252"/>
      <c r="FE252"/>
      <c r="FF252"/>
      <c r="FG252" s="94">
        <v>310</v>
      </c>
      <c r="FH252" s="94">
        <v>244</v>
      </c>
      <c r="FI252" s="94">
        <v>280</v>
      </c>
    </row>
    <row r="253" spans="1:165" s="66" customFormat="1" x14ac:dyDescent="0.35">
      <c r="A253">
        <v>2026</v>
      </c>
      <c r="B253" t="s">
        <v>578</v>
      </c>
      <c r="C253" s="112" t="s">
        <v>579</v>
      </c>
      <c r="D253" t="s">
        <v>1506</v>
      </c>
      <c r="E253" t="s">
        <v>581</v>
      </c>
      <c r="F253">
        <v>46</v>
      </c>
      <c r="G253" s="113">
        <v>0</v>
      </c>
      <c r="H253"/>
      <c r="I253" t="s">
        <v>1391</v>
      </c>
      <c r="J253">
        <v>37</v>
      </c>
      <c r="K253">
        <v>47</v>
      </c>
      <c r="L253">
        <v>41</v>
      </c>
      <c r="M253">
        <v>23.6768</v>
      </c>
      <c r="N253">
        <v>30.012799999999999</v>
      </c>
      <c r="O253">
        <v>26.527999999999999</v>
      </c>
      <c r="P253">
        <v>37</v>
      </c>
      <c r="Q253">
        <v>47</v>
      </c>
      <c r="R253">
        <v>41</v>
      </c>
      <c r="S253"/>
      <c r="T253"/>
      <c r="U253"/>
      <c r="V253" t="s">
        <v>170</v>
      </c>
      <c r="W253" t="s">
        <v>171</v>
      </c>
      <c r="X253" t="s">
        <v>1466</v>
      </c>
      <c r="Y253">
        <v>1</v>
      </c>
      <c r="Z253" t="s">
        <v>173</v>
      </c>
      <c r="AA253" t="s">
        <v>173</v>
      </c>
      <c r="AB253" t="s">
        <v>170</v>
      </c>
      <c r="AC253" t="s">
        <v>232</v>
      </c>
      <c r="AD253"/>
      <c r="AE253"/>
      <c r="AF253">
        <v>280</v>
      </c>
      <c r="AG253" t="s">
        <v>1392</v>
      </c>
      <c r="AH253" t="s">
        <v>1393</v>
      </c>
      <c r="AI253" t="s">
        <v>1399</v>
      </c>
      <c r="AJ253" t="s">
        <v>1400</v>
      </c>
      <c r="AK253">
        <v>4</v>
      </c>
      <c r="AL253" t="s">
        <v>1394</v>
      </c>
      <c r="AM253"/>
      <c r="AN253"/>
      <c r="AO253"/>
      <c r="AP253"/>
      <c r="AQ253"/>
      <c r="AR253"/>
      <c r="AS253">
        <v>1050</v>
      </c>
      <c r="AT253">
        <v>1050</v>
      </c>
      <c r="AU253"/>
      <c r="AV253"/>
      <c r="AW253"/>
      <c r="AX253"/>
      <c r="AY253"/>
      <c r="AZ253"/>
      <c r="BA253"/>
      <c r="BB253"/>
      <c r="BC253"/>
      <c r="BD253"/>
      <c r="BE253"/>
      <c r="BF253"/>
      <c r="BG253"/>
      <c r="BH253"/>
      <c r="BI253"/>
      <c r="BJ253"/>
      <c r="BK253"/>
      <c r="BL253"/>
      <c r="BM253"/>
      <c r="BN253" s="114"/>
      <c r="BO253"/>
      <c r="BP253"/>
      <c r="BQ253">
        <v>33</v>
      </c>
      <c r="BR253" t="s">
        <v>1062</v>
      </c>
      <c r="BS253"/>
      <c r="BT253" t="s">
        <v>1395</v>
      </c>
      <c r="BU253" s="115">
        <v>45695</v>
      </c>
      <c r="BV253">
        <v>36314</v>
      </c>
      <c r="BW253" s="116"/>
      <c r="BX253" t="s">
        <v>172</v>
      </c>
      <c r="BY253" t="s">
        <v>173</v>
      </c>
      <c r="BZ253"/>
      <c r="CA253"/>
      <c r="CB253" t="s">
        <v>173</v>
      </c>
      <c r="CC253" t="s">
        <v>173</v>
      </c>
      <c r="CD253"/>
      <c r="CE253"/>
      <c r="CF253"/>
      <c r="CG253"/>
      <c r="CH253"/>
      <c r="CI253"/>
      <c r="CJ253"/>
      <c r="CK253" t="s">
        <v>259</v>
      </c>
      <c r="CL253"/>
      <c r="CM253">
        <v>1</v>
      </c>
      <c r="CN253" t="s">
        <v>260</v>
      </c>
      <c r="CO253"/>
      <c r="CP253">
        <v>552</v>
      </c>
      <c r="CQ253">
        <v>180.9</v>
      </c>
      <c r="CR253">
        <v>174.8</v>
      </c>
      <c r="CS253" t="s">
        <v>1437</v>
      </c>
      <c r="CT253"/>
      <c r="CU253"/>
      <c r="CV253" t="s">
        <v>262</v>
      </c>
      <c r="CW253"/>
      <c r="CX253" t="s">
        <v>702</v>
      </c>
      <c r="CY253" t="s">
        <v>172</v>
      </c>
      <c r="CZ253"/>
      <c r="DA253"/>
      <c r="DB253"/>
      <c r="DC253" t="s">
        <v>1497</v>
      </c>
      <c r="DD253">
        <v>2</v>
      </c>
      <c r="DE253" t="s">
        <v>307</v>
      </c>
      <c r="DF253" t="s">
        <v>1498</v>
      </c>
      <c r="DG253">
        <v>141</v>
      </c>
      <c r="DH253"/>
      <c r="DI253"/>
      <c r="DJ253"/>
      <c r="DK253"/>
      <c r="DL253" t="s">
        <v>173</v>
      </c>
      <c r="DM253" t="s">
        <v>172</v>
      </c>
      <c r="DN253"/>
      <c r="DO253"/>
      <c r="DP253" t="s">
        <v>173</v>
      </c>
      <c r="DQ253" t="s">
        <v>189</v>
      </c>
      <c r="DR253"/>
      <c r="DS253"/>
      <c r="DT253"/>
      <c r="DU253"/>
      <c r="DV253"/>
      <c r="DW253"/>
      <c r="DX253"/>
      <c r="DY253"/>
      <c r="DZ253"/>
      <c r="EA253" s="117"/>
      <c r="EB253">
        <v>9</v>
      </c>
      <c r="EC253">
        <v>10</v>
      </c>
      <c r="ED253"/>
      <c r="EE253" t="s">
        <v>1505</v>
      </c>
      <c r="EF253">
        <v>10</v>
      </c>
      <c r="EG253"/>
      <c r="EH253"/>
      <c r="EI253"/>
      <c r="EJ253"/>
      <c r="EK253"/>
      <c r="EL253"/>
      <c r="EM253"/>
      <c r="EN253"/>
      <c r="EO253"/>
      <c r="EP253"/>
      <c r="EQ253"/>
      <c r="ER253"/>
      <c r="ES253"/>
      <c r="ET253"/>
      <c r="EU253">
        <v>3250</v>
      </c>
      <c r="EV253"/>
      <c r="EW253">
        <v>0</v>
      </c>
      <c r="EX253">
        <v>0</v>
      </c>
      <c r="EY253">
        <v>0</v>
      </c>
      <c r="EZ253"/>
      <c r="FA253">
        <v>10.5</v>
      </c>
      <c r="FB253"/>
      <c r="FC253"/>
      <c r="FD253"/>
      <c r="FE253"/>
      <c r="FF253"/>
      <c r="FG253" s="94">
        <v>310</v>
      </c>
      <c r="FH253" s="94">
        <v>244</v>
      </c>
      <c r="FI253" s="94">
        <v>280</v>
      </c>
    </row>
    <row r="254" spans="1:165" s="66" customFormat="1" x14ac:dyDescent="0.35">
      <c r="A254" s="19"/>
      <c r="B254" s="19"/>
      <c r="C254" s="19"/>
      <c r="D254" s="19"/>
      <c r="E254" s="19"/>
      <c r="F254" s="128"/>
      <c r="G254" s="19"/>
      <c r="H254" s="19"/>
      <c r="I254" s="19"/>
      <c r="J254" s="19"/>
      <c r="K254" s="19" t="str">
        <f>_xlfn.CONCAT(A255," ",C255," ",D255)</f>
        <v>2026 Lucid USA Inc. Air G Touring XR AWD w/19" wheels</v>
      </c>
      <c r="L254" s="19"/>
      <c r="M254" s="19"/>
      <c r="N254" s="19"/>
      <c r="O254" s="19"/>
      <c r="P254" s="19"/>
      <c r="Q254" s="19"/>
      <c r="R254" s="19"/>
      <c r="S254" s="19"/>
      <c r="T254" s="19"/>
      <c r="U254" s="19"/>
      <c r="V254" s="19"/>
      <c r="W254" s="19"/>
      <c r="X254" s="19"/>
      <c r="Y254" s="19"/>
      <c r="Z254" s="19"/>
      <c r="AA254" s="19"/>
      <c r="AB254" s="19" t="str">
        <f>$K254</f>
        <v>2026 Lucid USA Inc. Air G Touring XR AWD w/19" wheels</v>
      </c>
      <c r="AC254" s="19"/>
      <c r="AD254" s="19"/>
      <c r="AE254" s="19"/>
      <c r="AF254" s="19"/>
      <c r="AG254" s="19"/>
      <c r="AH254" s="19"/>
      <c r="AI254" s="19"/>
      <c r="AJ254" s="19"/>
      <c r="AK254" s="19"/>
      <c r="AL254" s="19"/>
      <c r="AM254" s="19"/>
      <c r="AN254" s="19"/>
      <c r="AO254" s="19"/>
      <c r="AP254" s="19"/>
      <c r="AQ254" s="19"/>
      <c r="AR254" s="19" t="str">
        <f>$K254</f>
        <v>2026 Lucid USA Inc. Air G Touring XR AWD w/19" wheels</v>
      </c>
      <c r="AS254" s="19"/>
      <c r="AT254" s="19"/>
      <c r="AU254" s="19"/>
      <c r="AV254" s="19"/>
      <c r="AW254" s="19"/>
      <c r="AX254" s="19"/>
      <c r="AY254" s="19"/>
      <c r="AZ254" s="19"/>
      <c r="BA254" s="19"/>
      <c r="BB254" s="19"/>
      <c r="BC254" s="19"/>
      <c r="BD254" s="19"/>
      <c r="BE254" s="19"/>
      <c r="BF254" s="19"/>
      <c r="BG254" s="19" t="str">
        <f>$K254</f>
        <v>2026 Lucid USA Inc. Air G Touring XR AWD w/19" wheels</v>
      </c>
      <c r="BH254" s="19"/>
      <c r="BI254" s="19"/>
      <c r="BJ254" s="19"/>
      <c r="BK254" s="19"/>
      <c r="BL254" s="19"/>
      <c r="BM254" s="129"/>
      <c r="BN254" s="19"/>
      <c r="BO254" s="19"/>
      <c r="BP254" s="19"/>
      <c r="BQ254" s="19"/>
      <c r="BR254" s="19"/>
      <c r="BS254" s="19"/>
      <c r="BT254" s="130"/>
      <c r="BU254" s="19"/>
      <c r="BV254" s="19"/>
      <c r="BW254" s="116"/>
      <c r="BX254" s="19"/>
      <c r="BY254" s="19"/>
      <c r="BZ254" s="19"/>
      <c r="CA254" s="19"/>
      <c r="CB254" s="19"/>
      <c r="CC254" s="19"/>
      <c r="CD254" s="19"/>
      <c r="CE254" s="19"/>
      <c r="CF254" s="19"/>
      <c r="CG254" s="19"/>
      <c r="CH254" s="19"/>
      <c r="CI254" s="19"/>
      <c r="CJ254" s="19"/>
      <c r="CK254" s="19"/>
      <c r="CL254" s="19"/>
      <c r="CM254" s="19" t="str">
        <f>$K254</f>
        <v>2026 Lucid USA Inc. Air G Touring XR AWD w/19" wheels</v>
      </c>
      <c r="CN254" s="19"/>
      <c r="CO254" s="19"/>
      <c r="CP254" s="19"/>
      <c r="CQ254" s="19"/>
      <c r="CR254" s="19"/>
      <c r="CS254" s="19"/>
      <c r="CT254" s="19"/>
      <c r="CU254" s="19"/>
      <c r="CV254" s="19"/>
      <c r="CW254" s="19"/>
      <c r="CX254" s="19"/>
      <c r="CY254" s="19"/>
      <c r="CZ254" s="19"/>
      <c r="DA254" s="19"/>
      <c r="DB254" s="19"/>
      <c r="DC254" s="19"/>
      <c r="DD254" s="19" t="str">
        <f>$K254</f>
        <v>2026 Lucid USA Inc. Air G Touring XR AWD w/19" wheels</v>
      </c>
      <c r="DE254" s="19"/>
      <c r="DF254" s="19"/>
      <c r="DG254" s="19"/>
      <c r="DH254" s="19"/>
      <c r="DI254" s="19"/>
      <c r="DJ254" s="19"/>
      <c r="DK254" s="19"/>
      <c r="DL254" s="19"/>
      <c r="DM254" s="19"/>
      <c r="DN254" s="19"/>
      <c r="DO254" s="19"/>
      <c r="DP254" s="19"/>
      <c r="DQ254" s="19"/>
      <c r="DR254" s="19"/>
      <c r="DS254" s="19"/>
      <c r="DT254" s="19"/>
      <c r="DU254" s="19" t="str">
        <f>$K254</f>
        <v>2026 Lucid USA Inc. Air G Touring XR AWD w/19" wheels</v>
      </c>
      <c r="DV254" s="19"/>
      <c r="DW254" s="19"/>
      <c r="DX254" s="19"/>
      <c r="DY254" s="19"/>
      <c r="DZ254" s="19"/>
      <c r="EA254" s="117"/>
      <c r="EB254" s="19"/>
      <c r="EC254" s="19"/>
      <c r="ED254" s="19"/>
      <c r="EE254" s="19"/>
      <c r="EF254" s="19"/>
      <c r="EG254"/>
      <c r="EH254"/>
      <c r="EI254"/>
      <c r="EJ254"/>
      <c r="EK254"/>
      <c r="EL254"/>
      <c r="EM254"/>
      <c r="EN254"/>
      <c r="EO254"/>
      <c r="EP254"/>
      <c r="EQ254"/>
      <c r="ER254"/>
      <c r="ES254"/>
      <c r="ET254"/>
      <c r="EU254"/>
      <c r="EV254"/>
      <c r="EW254"/>
      <c r="EX254" s="19" t="s">
        <v>2003</v>
      </c>
      <c r="EY254"/>
      <c r="EZ254"/>
      <c r="FA254"/>
      <c r="FB254"/>
      <c r="FC254"/>
      <c r="FD254"/>
      <c r="FE254"/>
      <c r="FF254"/>
      <c r="FG254"/>
      <c r="FH254"/>
      <c r="FI254"/>
    </row>
    <row r="255" spans="1:165" s="66" customFormat="1" x14ac:dyDescent="0.35">
      <c r="A255">
        <v>2026</v>
      </c>
      <c r="B255" t="s">
        <v>1510</v>
      </c>
      <c r="C255" s="112" t="s">
        <v>1511</v>
      </c>
      <c r="D255" t="s">
        <v>1724</v>
      </c>
      <c r="E255" t="s">
        <v>1513</v>
      </c>
      <c r="F255">
        <v>43</v>
      </c>
      <c r="G255" s="113">
        <v>0</v>
      </c>
      <c r="H255"/>
      <c r="I255" t="s">
        <v>1391</v>
      </c>
      <c r="J255">
        <v>129</v>
      </c>
      <c r="K255">
        <v>126</v>
      </c>
      <c r="L255">
        <v>128</v>
      </c>
      <c r="M255">
        <v>176.3</v>
      </c>
      <c r="N255">
        <v>173</v>
      </c>
      <c r="O255">
        <v>174.7996</v>
      </c>
      <c r="P255">
        <v>128.6285</v>
      </c>
      <c r="Q255">
        <v>126.2208</v>
      </c>
      <c r="R255">
        <v>127.5338</v>
      </c>
      <c r="S255"/>
      <c r="T255"/>
      <c r="U255"/>
      <c r="V255" t="s">
        <v>170</v>
      </c>
      <c r="W255" t="s">
        <v>171</v>
      </c>
      <c r="X255"/>
      <c r="Y255">
        <v>1</v>
      </c>
      <c r="Z255" t="s">
        <v>173</v>
      </c>
      <c r="AA255" t="s">
        <v>173</v>
      </c>
      <c r="AB255" t="s">
        <v>170</v>
      </c>
      <c r="AC255" t="s">
        <v>232</v>
      </c>
      <c r="AD255"/>
      <c r="AE255"/>
      <c r="AF255">
        <v>512</v>
      </c>
      <c r="AG255" t="s">
        <v>1392</v>
      </c>
      <c r="AH255" t="s">
        <v>1393</v>
      </c>
      <c r="AI255" t="s">
        <v>178</v>
      </c>
      <c r="AJ255" t="s">
        <v>179</v>
      </c>
      <c r="AK255">
        <v>4</v>
      </c>
      <c r="AL255" t="s">
        <v>1394</v>
      </c>
      <c r="AM255"/>
      <c r="AN255"/>
      <c r="AO255">
        <v>99</v>
      </c>
      <c r="AP255">
        <v>32</v>
      </c>
      <c r="AQ255"/>
      <c r="AR255"/>
      <c r="AS255">
        <v>650</v>
      </c>
      <c r="AT255">
        <v>650</v>
      </c>
      <c r="AU255"/>
      <c r="AV255"/>
      <c r="AW255"/>
      <c r="AX255"/>
      <c r="AY255"/>
      <c r="AZ255"/>
      <c r="BA255"/>
      <c r="BB255"/>
      <c r="BC255"/>
      <c r="BD255"/>
      <c r="BE255"/>
      <c r="BF255"/>
      <c r="BG255"/>
      <c r="BH255"/>
      <c r="BI255"/>
      <c r="BJ255"/>
      <c r="BK255"/>
      <c r="BL255"/>
      <c r="BM255"/>
      <c r="BN255" s="114"/>
      <c r="BO255"/>
      <c r="BP255"/>
      <c r="BQ255">
        <v>6</v>
      </c>
      <c r="BR255" t="s">
        <v>536</v>
      </c>
      <c r="BS255" t="s">
        <v>182</v>
      </c>
      <c r="BT255" t="s">
        <v>1402</v>
      </c>
      <c r="BU255" s="115">
        <v>45884</v>
      </c>
      <c r="BV255">
        <v>37537</v>
      </c>
      <c r="BW255" s="116"/>
      <c r="BX255" t="s">
        <v>172</v>
      </c>
      <c r="BY255" t="s">
        <v>173</v>
      </c>
      <c r="BZ255"/>
      <c r="CA255"/>
      <c r="CB255" t="s">
        <v>173</v>
      </c>
      <c r="CC255" t="s">
        <v>173</v>
      </c>
      <c r="CD255"/>
      <c r="CE255"/>
      <c r="CF255"/>
      <c r="CG255"/>
      <c r="CH255"/>
      <c r="CI255"/>
      <c r="CJ255"/>
      <c r="CK255" t="s">
        <v>259</v>
      </c>
      <c r="CL255"/>
      <c r="CM255">
        <v>1</v>
      </c>
      <c r="CN255" t="s">
        <v>260</v>
      </c>
      <c r="CO255"/>
      <c r="CP255">
        <v>800</v>
      </c>
      <c r="CQ255">
        <v>147</v>
      </c>
      <c r="CR255">
        <v>171</v>
      </c>
      <c r="CS255" t="s">
        <v>1437</v>
      </c>
      <c r="CT255"/>
      <c r="CU255"/>
      <c r="CV255" t="s">
        <v>262</v>
      </c>
      <c r="CW255"/>
      <c r="CX255" t="s">
        <v>263</v>
      </c>
      <c r="CY255" t="s">
        <v>172</v>
      </c>
      <c r="CZ255"/>
      <c r="DA255"/>
      <c r="DB255"/>
      <c r="DC255"/>
      <c r="DD255">
        <v>2</v>
      </c>
      <c r="DE255" t="s">
        <v>307</v>
      </c>
      <c r="DF255" t="s">
        <v>1514</v>
      </c>
      <c r="DG255" t="s">
        <v>1725</v>
      </c>
      <c r="DH255"/>
      <c r="DI255"/>
      <c r="DJ255"/>
      <c r="DK255"/>
      <c r="DL255" t="s">
        <v>173</v>
      </c>
      <c r="DM255" t="s">
        <v>172</v>
      </c>
      <c r="DN255"/>
      <c r="DO255"/>
      <c r="DP255" t="s">
        <v>173</v>
      </c>
      <c r="DQ255" t="s">
        <v>189</v>
      </c>
      <c r="DR255"/>
      <c r="DS255"/>
      <c r="DT255"/>
      <c r="DU255"/>
      <c r="DV255"/>
      <c r="DW255"/>
      <c r="DX255"/>
      <c r="DY255"/>
      <c r="DZ255"/>
      <c r="EA255" s="117"/>
      <c r="EB255">
        <v>10</v>
      </c>
      <c r="EC255">
        <v>10</v>
      </c>
      <c r="ED255"/>
      <c r="EE255" t="s">
        <v>1726</v>
      </c>
      <c r="EF255">
        <v>10</v>
      </c>
      <c r="EG255"/>
      <c r="EH255"/>
      <c r="EI255"/>
      <c r="EJ255"/>
      <c r="EK255"/>
      <c r="EL255"/>
      <c r="EM255"/>
      <c r="EN255"/>
      <c r="EO255"/>
      <c r="EP255"/>
      <c r="EQ255"/>
      <c r="ER255"/>
      <c r="ES255"/>
      <c r="ET255"/>
      <c r="EU255">
        <v>5250</v>
      </c>
      <c r="EV255"/>
      <c r="EW255">
        <v>0</v>
      </c>
      <c r="EX255">
        <v>0</v>
      </c>
      <c r="EY255">
        <v>0</v>
      </c>
      <c r="EZ255"/>
      <c r="FA255">
        <v>13</v>
      </c>
      <c r="FB255"/>
      <c r="FC255"/>
      <c r="FD255"/>
      <c r="FE255"/>
      <c r="FF255"/>
      <c r="FG255" s="94">
        <v>516</v>
      </c>
      <c r="FH255" s="94">
        <v>507</v>
      </c>
      <c r="FI255" s="94">
        <v>512</v>
      </c>
    </row>
    <row r="256" spans="1:165" s="66" customFormat="1" x14ac:dyDescent="0.35">
      <c r="A256">
        <v>2026</v>
      </c>
      <c r="B256" t="s">
        <v>1510</v>
      </c>
      <c r="C256" s="112" t="s">
        <v>1511</v>
      </c>
      <c r="D256" t="s">
        <v>1724</v>
      </c>
      <c r="E256" t="s">
        <v>1513</v>
      </c>
      <c r="F256">
        <v>43</v>
      </c>
      <c r="G256" s="113">
        <v>0</v>
      </c>
      <c r="H256"/>
      <c r="I256" t="s">
        <v>1391</v>
      </c>
      <c r="J256">
        <v>26</v>
      </c>
      <c r="K256">
        <v>27</v>
      </c>
      <c r="L256">
        <v>26</v>
      </c>
      <c r="M256">
        <v>19.12</v>
      </c>
      <c r="N256">
        <v>19.484000000000002</v>
      </c>
      <c r="O256">
        <v>19.283799999999999</v>
      </c>
      <c r="P256">
        <v>26.203399999999998</v>
      </c>
      <c r="Q256">
        <v>26.703199999999999</v>
      </c>
      <c r="R256">
        <v>26.4283</v>
      </c>
      <c r="S256"/>
      <c r="T256"/>
      <c r="U256"/>
      <c r="V256" t="s">
        <v>170</v>
      </c>
      <c r="W256" t="s">
        <v>171</v>
      </c>
      <c r="X256"/>
      <c r="Y256">
        <v>1</v>
      </c>
      <c r="Z256" t="s">
        <v>173</v>
      </c>
      <c r="AA256" t="s">
        <v>173</v>
      </c>
      <c r="AB256" t="s">
        <v>170</v>
      </c>
      <c r="AC256" t="s">
        <v>232</v>
      </c>
      <c r="AD256"/>
      <c r="AE256"/>
      <c r="AF256">
        <v>512</v>
      </c>
      <c r="AG256" t="s">
        <v>1392</v>
      </c>
      <c r="AH256" t="s">
        <v>1393</v>
      </c>
      <c r="AI256" t="s">
        <v>1399</v>
      </c>
      <c r="AJ256" t="s">
        <v>1400</v>
      </c>
      <c r="AK256">
        <v>4</v>
      </c>
      <c r="AL256" t="s">
        <v>1394</v>
      </c>
      <c r="AM256"/>
      <c r="AN256"/>
      <c r="AO256">
        <v>99</v>
      </c>
      <c r="AP256">
        <v>32</v>
      </c>
      <c r="AQ256"/>
      <c r="AR256"/>
      <c r="AS256">
        <v>650</v>
      </c>
      <c r="AT256">
        <v>650</v>
      </c>
      <c r="AU256"/>
      <c r="AV256"/>
      <c r="AW256"/>
      <c r="AX256"/>
      <c r="AY256"/>
      <c r="AZ256"/>
      <c r="BA256"/>
      <c r="BB256"/>
      <c r="BC256"/>
      <c r="BD256"/>
      <c r="BE256"/>
      <c r="BF256"/>
      <c r="BG256"/>
      <c r="BH256"/>
      <c r="BI256"/>
      <c r="BJ256"/>
      <c r="BK256"/>
      <c r="BL256"/>
      <c r="BM256"/>
      <c r="BN256" s="114"/>
      <c r="BO256"/>
      <c r="BP256"/>
      <c r="BQ256">
        <v>6</v>
      </c>
      <c r="BR256" t="s">
        <v>536</v>
      </c>
      <c r="BS256" t="s">
        <v>182</v>
      </c>
      <c r="BT256" t="s">
        <v>1402</v>
      </c>
      <c r="BU256" s="115">
        <v>45884</v>
      </c>
      <c r="BV256">
        <v>37537</v>
      </c>
      <c r="BW256" s="116"/>
      <c r="BX256" t="s">
        <v>172</v>
      </c>
      <c r="BY256" t="s">
        <v>173</v>
      </c>
      <c r="BZ256"/>
      <c r="CA256"/>
      <c r="CB256" t="s">
        <v>173</v>
      </c>
      <c r="CC256" t="s">
        <v>173</v>
      </c>
      <c r="CD256"/>
      <c r="CE256"/>
      <c r="CF256"/>
      <c r="CG256"/>
      <c r="CH256"/>
      <c r="CI256"/>
      <c r="CJ256"/>
      <c r="CK256" t="s">
        <v>259</v>
      </c>
      <c r="CL256"/>
      <c r="CM256">
        <v>1</v>
      </c>
      <c r="CN256" t="s">
        <v>260</v>
      </c>
      <c r="CO256"/>
      <c r="CP256">
        <v>800</v>
      </c>
      <c r="CQ256">
        <v>147</v>
      </c>
      <c r="CR256">
        <v>171</v>
      </c>
      <c r="CS256" t="s">
        <v>1437</v>
      </c>
      <c r="CT256"/>
      <c r="CU256"/>
      <c r="CV256" t="s">
        <v>262</v>
      </c>
      <c r="CW256"/>
      <c r="CX256" t="s">
        <v>263</v>
      </c>
      <c r="CY256" t="s">
        <v>172</v>
      </c>
      <c r="CZ256"/>
      <c r="DA256"/>
      <c r="DB256"/>
      <c r="DC256"/>
      <c r="DD256">
        <v>2</v>
      </c>
      <c r="DE256" t="s">
        <v>307</v>
      </c>
      <c r="DF256" t="s">
        <v>1514</v>
      </c>
      <c r="DG256" t="s">
        <v>1725</v>
      </c>
      <c r="DH256"/>
      <c r="DI256"/>
      <c r="DJ256"/>
      <c r="DK256"/>
      <c r="DL256" t="s">
        <v>173</v>
      </c>
      <c r="DM256" t="s">
        <v>172</v>
      </c>
      <c r="DN256"/>
      <c r="DO256"/>
      <c r="DP256" t="s">
        <v>173</v>
      </c>
      <c r="DQ256" t="s">
        <v>189</v>
      </c>
      <c r="DR256"/>
      <c r="DS256"/>
      <c r="DT256"/>
      <c r="DU256"/>
      <c r="DV256"/>
      <c r="DW256"/>
      <c r="DX256"/>
      <c r="DY256"/>
      <c r="DZ256"/>
      <c r="EA256" s="117"/>
      <c r="EB256">
        <v>10</v>
      </c>
      <c r="EC256">
        <v>10</v>
      </c>
      <c r="ED256"/>
      <c r="EE256" t="s">
        <v>1726</v>
      </c>
      <c r="EF256">
        <v>10</v>
      </c>
      <c r="EG256"/>
      <c r="EH256"/>
      <c r="EI256"/>
      <c r="EJ256"/>
      <c r="EK256"/>
      <c r="EL256"/>
      <c r="EM256"/>
      <c r="EN256"/>
      <c r="EO256"/>
      <c r="EP256"/>
      <c r="EQ256"/>
      <c r="ER256"/>
      <c r="ES256"/>
      <c r="ET256"/>
      <c r="EU256">
        <v>5250</v>
      </c>
      <c r="EV256"/>
      <c r="EW256">
        <v>0</v>
      </c>
      <c r="EX256">
        <v>0</v>
      </c>
      <c r="EY256">
        <v>0</v>
      </c>
      <c r="EZ256"/>
      <c r="FA256">
        <v>13</v>
      </c>
      <c r="FB256"/>
      <c r="FC256"/>
      <c r="FD256"/>
      <c r="FE256"/>
      <c r="FF256"/>
      <c r="FG256" s="94">
        <v>516</v>
      </c>
      <c r="FH256" s="94">
        <v>507</v>
      </c>
      <c r="FI256" s="94">
        <v>512</v>
      </c>
    </row>
    <row r="257" spans="1:165" s="66" customFormat="1" x14ac:dyDescent="0.35">
      <c r="A257" s="19"/>
      <c r="B257" s="19"/>
      <c r="C257" s="19"/>
      <c r="D257" s="19"/>
      <c r="E257" s="19"/>
      <c r="F257" s="128"/>
      <c r="G257" s="19"/>
      <c r="H257" s="19"/>
      <c r="I257" s="19"/>
      <c r="J257" s="19"/>
      <c r="K257" s="19" t="str">
        <f>_xlfn.CONCAT(A258," ",C258," ",D258)</f>
        <v>2026 Lucid USA Inc. Air G Touring XR AWD w/20" wheels</v>
      </c>
      <c r="L257" s="19"/>
      <c r="M257" s="19"/>
      <c r="N257" s="19"/>
      <c r="O257" s="19"/>
      <c r="P257" s="19"/>
      <c r="Q257" s="19"/>
      <c r="R257" s="19"/>
      <c r="S257" s="19"/>
      <c r="T257" s="19"/>
      <c r="U257" s="19"/>
      <c r="V257" s="19"/>
      <c r="W257" s="19"/>
      <c r="X257" s="19"/>
      <c r="Y257" s="19"/>
      <c r="Z257" s="19"/>
      <c r="AA257" s="19"/>
      <c r="AB257" s="19" t="str">
        <f>$K257</f>
        <v>2026 Lucid USA Inc. Air G Touring XR AWD w/20" wheels</v>
      </c>
      <c r="AC257" s="19"/>
      <c r="AD257" s="19"/>
      <c r="AE257" s="19"/>
      <c r="AF257" s="19"/>
      <c r="AG257" s="19"/>
      <c r="AH257" s="19"/>
      <c r="AI257" s="19"/>
      <c r="AJ257" s="19"/>
      <c r="AK257" s="19"/>
      <c r="AL257" s="19"/>
      <c r="AM257" s="19"/>
      <c r="AN257" s="19"/>
      <c r="AO257" s="19"/>
      <c r="AP257" s="19"/>
      <c r="AQ257" s="19"/>
      <c r="AR257" s="19" t="str">
        <f>$K257</f>
        <v>2026 Lucid USA Inc. Air G Touring XR AWD w/20" wheels</v>
      </c>
      <c r="AS257" s="19"/>
      <c r="AT257" s="19"/>
      <c r="AU257" s="19"/>
      <c r="AV257" s="19"/>
      <c r="AW257" s="19"/>
      <c r="AX257" s="19"/>
      <c r="AY257" s="19"/>
      <c r="AZ257" s="19"/>
      <c r="BA257" s="19"/>
      <c r="BB257" s="19"/>
      <c r="BC257" s="19"/>
      <c r="BD257" s="19"/>
      <c r="BE257" s="19"/>
      <c r="BF257" s="19"/>
      <c r="BG257" s="19" t="str">
        <f>$K257</f>
        <v>2026 Lucid USA Inc. Air G Touring XR AWD w/20" wheels</v>
      </c>
      <c r="BH257" s="19"/>
      <c r="BI257" s="19"/>
      <c r="BJ257" s="19"/>
      <c r="BK257" s="19"/>
      <c r="BL257" s="19"/>
      <c r="BM257" s="129"/>
      <c r="BN257" s="19"/>
      <c r="BO257" s="19"/>
      <c r="BP257" s="19"/>
      <c r="BQ257" s="19"/>
      <c r="BR257" s="19"/>
      <c r="BS257" s="19"/>
      <c r="BT257" s="130"/>
      <c r="BU257" s="19"/>
      <c r="BV257" s="19"/>
      <c r="BW257" s="116"/>
      <c r="BX257" s="19"/>
      <c r="BY257" s="19"/>
      <c r="BZ257" s="19"/>
      <c r="CA257" s="19"/>
      <c r="CB257" s="19"/>
      <c r="CC257" s="19"/>
      <c r="CD257" s="19"/>
      <c r="CE257" s="19"/>
      <c r="CF257" s="19"/>
      <c r="CG257" s="19"/>
      <c r="CH257" s="19"/>
      <c r="CI257" s="19"/>
      <c r="CJ257" s="19"/>
      <c r="CK257" s="19"/>
      <c r="CL257" s="19"/>
      <c r="CM257" s="19" t="str">
        <f>$K257</f>
        <v>2026 Lucid USA Inc. Air G Touring XR AWD w/20" wheels</v>
      </c>
      <c r="CN257" s="19"/>
      <c r="CO257" s="19"/>
      <c r="CP257" s="19"/>
      <c r="CQ257" s="19"/>
      <c r="CR257" s="19"/>
      <c r="CS257" s="19"/>
      <c r="CT257" s="19"/>
      <c r="CU257" s="19"/>
      <c r="CV257" s="19"/>
      <c r="CW257" s="19"/>
      <c r="CX257" s="19"/>
      <c r="CY257" s="19"/>
      <c r="CZ257" s="19"/>
      <c r="DA257" s="19"/>
      <c r="DB257" s="19"/>
      <c r="DC257" s="19"/>
      <c r="DD257" s="19" t="str">
        <f>$K257</f>
        <v>2026 Lucid USA Inc. Air G Touring XR AWD w/20" wheels</v>
      </c>
      <c r="DE257" s="19"/>
      <c r="DF257" s="19"/>
      <c r="DG257" s="19"/>
      <c r="DH257" s="19"/>
      <c r="DI257" s="19"/>
      <c r="DJ257" s="19"/>
      <c r="DK257" s="19"/>
      <c r="DL257" s="19"/>
      <c r="DM257" s="19"/>
      <c r="DN257" s="19"/>
      <c r="DO257" s="19"/>
      <c r="DP257" s="19"/>
      <c r="DQ257" s="19"/>
      <c r="DR257" s="19"/>
      <c r="DS257" s="19"/>
      <c r="DT257" s="19"/>
      <c r="DU257" s="19" t="str">
        <f>$K257</f>
        <v>2026 Lucid USA Inc. Air G Touring XR AWD w/20" wheels</v>
      </c>
      <c r="DV257" s="19"/>
      <c r="DW257" s="19"/>
      <c r="DX257" s="19"/>
      <c r="DY257" s="19"/>
      <c r="DZ257" s="19"/>
      <c r="EA257" s="117"/>
      <c r="EB257" s="19"/>
      <c r="EC257" s="19"/>
      <c r="ED257" s="19"/>
      <c r="EE257" s="19"/>
      <c r="EF257" s="19"/>
      <c r="EG257"/>
      <c r="EH257"/>
      <c r="EI257"/>
      <c r="EJ257"/>
      <c r="EK257"/>
      <c r="EL257"/>
      <c r="EM257"/>
      <c r="EN257"/>
      <c r="EO257"/>
      <c r="EP257"/>
      <c r="EQ257"/>
      <c r="ER257"/>
      <c r="ES257"/>
      <c r="ET257"/>
      <c r="EU257"/>
      <c r="EV257"/>
      <c r="EW257"/>
      <c r="EX257" s="19" t="s">
        <v>2004</v>
      </c>
      <c r="EY257"/>
      <c r="EZ257"/>
      <c r="FA257"/>
      <c r="FB257"/>
      <c r="FC257"/>
      <c r="FD257"/>
      <c r="FE257"/>
      <c r="FF257"/>
      <c r="FG257"/>
      <c r="FH257"/>
      <c r="FI257"/>
    </row>
    <row r="258" spans="1:165" s="66" customFormat="1" x14ac:dyDescent="0.35">
      <c r="A258">
        <v>2026</v>
      </c>
      <c r="B258" t="s">
        <v>1510</v>
      </c>
      <c r="C258" s="112" t="s">
        <v>1511</v>
      </c>
      <c r="D258" t="s">
        <v>1727</v>
      </c>
      <c r="E258" t="s">
        <v>1513</v>
      </c>
      <c r="F258">
        <v>44</v>
      </c>
      <c r="G258" s="113">
        <v>0</v>
      </c>
      <c r="H258"/>
      <c r="I258" t="s">
        <v>1391</v>
      </c>
      <c r="J258">
        <v>122</v>
      </c>
      <c r="K258">
        <v>117</v>
      </c>
      <c r="L258">
        <v>120</v>
      </c>
      <c r="M258">
        <v>166.8</v>
      </c>
      <c r="N258">
        <v>160.80000000000001</v>
      </c>
      <c r="O258">
        <v>160.0455</v>
      </c>
      <c r="P258">
        <v>121.6973</v>
      </c>
      <c r="Q258">
        <v>117.3197</v>
      </c>
      <c r="R258">
        <v>119.6876</v>
      </c>
      <c r="S258"/>
      <c r="T258"/>
      <c r="U258"/>
      <c r="V258" t="s">
        <v>170</v>
      </c>
      <c r="W258" t="s">
        <v>171</v>
      </c>
      <c r="X258"/>
      <c r="Y258">
        <v>1</v>
      </c>
      <c r="Z258" t="s">
        <v>173</v>
      </c>
      <c r="AA258" t="s">
        <v>173</v>
      </c>
      <c r="AB258" t="s">
        <v>170</v>
      </c>
      <c r="AC258" t="s">
        <v>232</v>
      </c>
      <c r="AD258"/>
      <c r="AE258"/>
      <c r="AF258">
        <v>480</v>
      </c>
      <c r="AG258" t="s">
        <v>1392</v>
      </c>
      <c r="AH258" t="s">
        <v>1393</v>
      </c>
      <c r="AI258" t="s">
        <v>178</v>
      </c>
      <c r="AJ258" t="s">
        <v>179</v>
      </c>
      <c r="AK258">
        <v>4</v>
      </c>
      <c r="AL258" t="s">
        <v>1394</v>
      </c>
      <c r="AM258"/>
      <c r="AN258"/>
      <c r="AO258">
        <v>99</v>
      </c>
      <c r="AP258">
        <v>32</v>
      </c>
      <c r="AQ258"/>
      <c r="AR258"/>
      <c r="AS258">
        <v>700</v>
      </c>
      <c r="AT258">
        <v>700</v>
      </c>
      <c r="AU258"/>
      <c r="AV258"/>
      <c r="AW258"/>
      <c r="AX258"/>
      <c r="AY258"/>
      <c r="AZ258"/>
      <c r="BA258"/>
      <c r="BB258"/>
      <c r="BC258"/>
      <c r="BD258"/>
      <c r="BE258"/>
      <c r="BF258"/>
      <c r="BG258"/>
      <c r="BH258"/>
      <c r="BI258"/>
      <c r="BJ258"/>
      <c r="BK258"/>
      <c r="BL258"/>
      <c r="BM258"/>
      <c r="BN258" s="114"/>
      <c r="BO258"/>
      <c r="BP258"/>
      <c r="BQ258">
        <v>6</v>
      </c>
      <c r="BR258" t="s">
        <v>536</v>
      </c>
      <c r="BS258" t="s">
        <v>182</v>
      </c>
      <c r="BT258" t="s">
        <v>1402</v>
      </c>
      <c r="BU258" s="115">
        <v>45884</v>
      </c>
      <c r="BV258">
        <v>37538</v>
      </c>
      <c r="BW258" s="116"/>
      <c r="BX258" t="s">
        <v>172</v>
      </c>
      <c r="BY258" t="s">
        <v>173</v>
      </c>
      <c r="BZ258"/>
      <c r="CA258"/>
      <c r="CB258" t="s">
        <v>173</v>
      </c>
      <c r="CC258" t="s">
        <v>173</v>
      </c>
      <c r="CD258"/>
      <c r="CE258"/>
      <c r="CF258"/>
      <c r="CG258"/>
      <c r="CH258"/>
      <c r="CI258"/>
      <c r="CJ258"/>
      <c r="CK258" t="s">
        <v>259</v>
      </c>
      <c r="CL258"/>
      <c r="CM258">
        <v>1</v>
      </c>
      <c r="CN258" t="s">
        <v>260</v>
      </c>
      <c r="CO258"/>
      <c r="CP258">
        <v>800</v>
      </c>
      <c r="CQ258">
        <v>147</v>
      </c>
      <c r="CR258">
        <v>171</v>
      </c>
      <c r="CS258" t="s">
        <v>1437</v>
      </c>
      <c r="CT258"/>
      <c r="CU258"/>
      <c r="CV258" t="s">
        <v>262</v>
      </c>
      <c r="CW258"/>
      <c r="CX258" t="s">
        <v>263</v>
      </c>
      <c r="CY258" t="s">
        <v>172</v>
      </c>
      <c r="CZ258"/>
      <c r="DA258"/>
      <c r="DB258"/>
      <c r="DC258"/>
      <c r="DD258">
        <v>2</v>
      </c>
      <c r="DE258" t="s">
        <v>307</v>
      </c>
      <c r="DF258" t="s">
        <v>1514</v>
      </c>
      <c r="DG258" t="s">
        <v>1725</v>
      </c>
      <c r="DH258"/>
      <c r="DI258"/>
      <c r="DJ258"/>
      <c r="DK258"/>
      <c r="DL258" t="s">
        <v>173</v>
      </c>
      <c r="DM258" t="s">
        <v>172</v>
      </c>
      <c r="DN258"/>
      <c r="DO258"/>
      <c r="DP258" t="s">
        <v>173</v>
      </c>
      <c r="DQ258" t="s">
        <v>189</v>
      </c>
      <c r="DR258"/>
      <c r="DS258"/>
      <c r="DT258"/>
      <c r="DU258"/>
      <c r="DV258"/>
      <c r="DW258"/>
      <c r="DX258"/>
      <c r="DY258"/>
      <c r="DZ258"/>
      <c r="EA258" s="117"/>
      <c r="EB258">
        <v>9</v>
      </c>
      <c r="EC258">
        <v>10</v>
      </c>
      <c r="ED258"/>
      <c r="EE258" t="s">
        <v>1726</v>
      </c>
      <c r="EF258">
        <v>10</v>
      </c>
      <c r="EG258"/>
      <c r="EH258"/>
      <c r="EI258"/>
      <c r="EJ258"/>
      <c r="EK258"/>
      <c r="EL258"/>
      <c r="EM258"/>
      <c r="EN258"/>
      <c r="EO258"/>
      <c r="EP258"/>
      <c r="EQ258"/>
      <c r="ER258"/>
      <c r="ES258"/>
      <c r="ET258"/>
      <c r="EU258">
        <v>5000</v>
      </c>
      <c r="EV258"/>
      <c r="EW258">
        <v>0</v>
      </c>
      <c r="EX258">
        <v>0</v>
      </c>
      <c r="EY258">
        <v>0</v>
      </c>
      <c r="EZ258"/>
      <c r="FA258">
        <v>13</v>
      </c>
      <c r="FB258"/>
      <c r="FC258"/>
      <c r="FD258"/>
      <c r="FE258"/>
      <c r="FF258"/>
      <c r="FG258" s="94">
        <v>488</v>
      </c>
      <c r="FH258" s="94">
        <v>470</v>
      </c>
      <c r="FI258" s="94">
        <v>480</v>
      </c>
    </row>
    <row r="259" spans="1:165" s="66" customFormat="1" x14ac:dyDescent="0.35">
      <c r="A259">
        <v>2026</v>
      </c>
      <c r="B259" t="s">
        <v>1510</v>
      </c>
      <c r="C259" s="112" t="s">
        <v>1511</v>
      </c>
      <c r="D259" t="s">
        <v>1727</v>
      </c>
      <c r="E259" t="s">
        <v>1513</v>
      </c>
      <c r="F259">
        <v>44</v>
      </c>
      <c r="G259" s="113">
        <v>0</v>
      </c>
      <c r="H259"/>
      <c r="I259" t="s">
        <v>1391</v>
      </c>
      <c r="J259">
        <v>28</v>
      </c>
      <c r="K259">
        <v>29</v>
      </c>
      <c r="L259">
        <v>28</v>
      </c>
      <c r="M259">
        <v>20.207999999999998</v>
      </c>
      <c r="N259">
        <v>20.963999999999999</v>
      </c>
      <c r="O259">
        <v>20.548200000000001</v>
      </c>
      <c r="P259">
        <v>27.695799999999998</v>
      </c>
      <c r="Q259">
        <v>28.729199999999999</v>
      </c>
      <c r="R259">
        <v>28.160799999999998</v>
      </c>
      <c r="S259"/>
      <c r="T259"/>
      <c r="U259"/>
      <c r="V259" t="s">
        <v>170</v>
      </c>
      <c r="W259" t="s">
        <v>171</v>
      </c>
      <c r="X259"/>
      <c r="Y259">
        <v>1</v>
      </c>
      <c r="Z259" t="s">
        <v>173</v>
      </c>
      <c r="AA259" t="s">
        <v>173</v>
      </c>
      <c r="AB259" t="s">
        <v>170</v>
      </c>
      <c r="AC259" t="s">
        <v>232</v>
      </c>
      <c r="AD259"/>
      <c r="AE259"/>
      <c r="AF259">
        <v>480</v>
      </c>
      <c r="AG259" t="s">
        <v>1392</v>
      </c>
      <c r="AH259" t="s">
        <v>1393</v>
      </c>
      <c r="AI259" t="s">
        <v>1399</v>
      </c>
      <c r="AJ259" t="s">
        <v>1400</v>
      </c>
      <c r="AK259">
        <v>4</v>
      </c>
      <c r="AL259" t="s">
        <v>1394</v>
      </c>
      <c r="AM259"/>
      <c r="AN259"/>
      <c r="AO259">
        <v>99</v>
      </c>
      <c r="AP259">
        <v>32</v>
      </c>
      <c r="AQ259"/>
      <c r="AR259"/>
      <c r="AS259">
        <v>700</v>
      </c>
      <c r="AT259">
        <v>700</v>
      </c>
      <c r="AU259"/>
      <c r="AV259"/>
      <c r="AW259"/>
      <c r="AX259"/>
      <c r="AY259"/>
      <c r="AZ259"/>
      <c r="BA259"/>
      <c r="BB259"/>
      <c r="BC259"/>
      <c r="BD259"/>
      <c r="BE259"/>
      <c r="BF259"/>
      <c r="BG259"/>
      <c r="BH259"/>
      <c r="BI259"/>
      <c r="BJ259"/>
      <c r="BK259"/>
      <c r="BL259"/>
      <c r="BM259"/>
      <c r="BN259" s="114"/>
      <c r="BO259"/>
      <c r="BP259"/>
      <c r="BQ259">
        <v>6</v>
      </c>
      <c r="BR259" t="s">
        <v>536</v>
      </c>
      <c r="BS259" t="s">
        <v>182</v>
      </c>
      <c r="BT259" t="s">
        <v>1402</v>
      </c>
      <c r="BU259" s="115">
        <v>45884</v>
      </c>
      <c r="BV259">
        <v>37538</v>
      </c>
      <c r="BW259" s="116"/>
      <c r="BX259" t="s">
        <v>172</v>
      </c>
      <c r="BY259" t="s">
        <v>173</v>
      </c>
      <c r="BZ259"/>
      <c r="CA259"/>
      <c r="CB259" t="s">
        <v>173</v>
      </c>
      <c r="CC259" t="s">
        <v>173</v>
      </c>
      <c r="CD259"/>
      <c r="CE259"/>
      <c r="CF259"/>
      <c r="CG259"/>
      <c r="CH259"/>
      <c r="CI259"/>
      <c r="CJ259"/>
      <c r="CK259" t="s">
        <v>259</v>
      </c>
      <c r="CL259"/>
      <c r="CM259">
        <v>1</v>
      </c>
      <c r="CN259" t="s">
        <v>260</v>
      </c>
      <c r="CO259"/>
      <c r="CP259">
        <v>800</v>
      </c>
      <c r="CQ259">
        <v>147</v>
      </c>
      <c r="CR259">
        <v>171</v>
      </c>
      <c r="CS259" t="s">
        <v>1437</v>
      </c>
      <c r="CT259"/>
      <c r="CU259"/>
      <c r="CV259" t="s">
        <v>262</v>
      </c>
      <c r="CW259"/>
      <c r="CX259" t="s">
        <v>263</v>
      </c>
      <c r="CY259" t="s">
        <v>172</v>
      </c>
      <c r="CZ259"/>
      <c r="DA259"/>
      <c r="DB259"/>
      <c r="DC259"/>
      <c r="DD259">
        <v>2</v>
      </c>
      <c r="DE259" t="s">
        <v>307</v>
      </c>
      <c r="DF259" t="s">
        <v>1514</v>
      </c>
      <c r="DG259" t="s">
        <v>1725</v>
      </c>
      <c r="DH259"/>
      <c r="DI259"/>
      <c r="DJ259"/>
      <c r="DK259"/>
      <c r="DL259" t="s">
        <v>173</v>
      </c>
      <c r="DM259" t="s">
        <v>172</v>
      </c>
      <c r="DN259"/>
      <c r="DO259"/>
      <c r="DP259" t="s">
        <v>173</v>
      </c>
      <c r="DQ259" t="s">
        <v>189</v>
      </c>
      <c r="DR259"/>
      <c r="DS259"/>
      <c r="DT259"/>
      <c r="DU259"/>
      <c r="DV259"/>
      <c r="DW259"/>
      <c r="DX259"/>
      <c r="DY259"/>
      <c r="DZ259"/>
      <c r="EA259" s="117"/>
      <c r="EB259">
        <v>10</v>
      </c>
      <c r="EC259">
        <v>10</v>
      </c>
      <c r="ED259"/>
      <c r="EE259" t="s">
        <v>1726</v>
      </c>
      <c r="EF259">
        <v>10</v>
      </c>
      <c r="EG259"/>
      <c r="EH259"/>
      <c r="EI259"/>
      <c r="EJ259"/>
      <c r="EK259"/>
      <c r="EL259"/>
      <c r="EM259"/>
      <c r="EN259"/>
      <c r="EO259"/>
      <c r="EP259"/>
      <c r="EQ259"/>
      <c r="ER259"/>
      <c r="ES259"/>
      <c r="ET259"/>
      <c r="EU259">
        <v>5000</v>
      </c>
      <c r="EV259"/>
      <c r="EW259">
        <v>0</v>
      </c>
      <c r="EX259">
        <v>0</v>
      </c>
      <c r="EY259">
        <v>0</v>
      </c>
      <c r="EZ259"/>
      <c r="FA259">
        <v>13</v>
      </c>
      <c r="FB259"/>
      <c r="FC259"/>
      <c r="FD259"/>
      <c r="FE259"/>
      <c r="FF259"/>
      <c r="FG259" s="94">
        <v>488</v>
      </c>
      <c r="FH259" s="94">
        <v>470</v>
      </c>
      <c r="FI259" s="94">
        <v>480</v>
      </c>
    </row>
    <row r="260" spans="1:165" s="66" customFormat="1" x14ac:dyDescent="0.35">
      <c r="A260" s="19"/>
      <c r="B260" s="19"/>
      <c r="C260" s="19"/>
      <c r="D260" s="19"/>
      <c r="E260" s="19"/>
      <c r="F260" s="128"/>
      <c r="G260" s="19"/>
      <c r="H260" s="19"/>
      <c r="I260" s="19"/>
      <c r="J260" s="19"/>
      <c r="K260" s="19" t="str">
        <f>_xlfn.CONCAT(A261," ",C261," ",D261)</f>
        <v>2026 Lucid USA Inc. Air G Touring XR AWD w/21" wheels</v>
      </c>
      <c r="L260" s="19"/>
      <c r="M260" s="19"/>
      <c r="N260" s="19"/>
      <c r="O260" s="19"/>
      <c r="P260" s="19"/>
      <c r="Q260" s="19"/>
      <c r="R260" s="19"/>
      <c r="S260" s="19"/>
      <c r="T260" s="19"/>
      <c r="U260" s="19"/>
      <c r="V260" s="19"/>
      <c r="W260" s="19"/>
      <c r="X260" s="19"/>
      <c r="Y260" s="19"/>
      <c r="Z260" s="19"/>
      <c r="AA260" s="19"/>
      <c r="AB260" s="19" t="str">
        <f>$K260</f>
        <v>2026 Lucid USA Inc. Air G Touring XR AWD w/21" wheels</v>
      </c>
      <c r="AC260" s="19"/>
      <c r="AD260" s="19"/>
      <c r="AE260" s="19"/>
      <c r="AF260" s="19"/>
      <c r="AG260" s="19"/>
      <c r="AH260" s="19"/>
      <c r="AI260" s="19"/>
      <c r="AJ260" s="19"/>
      <c r="AK260" s="19"/>
      <c r="AL260" s="19"/>
      <c r="AM260" s="19"/>
      <c r="AN260" s="19"/>
      <c r="AO260" s="19"/>
      <c r="AP260" s="19"/>
      <c r="AQ260" s="19"/>
      <c r="AR260" s="19" t="str">
        <f>$K260</f>
        <v>2026 Lucid USA Inc. Air G Touring XR AWD w/21" wheels</v>
      </c>
      <c r="AS260" s="19"/>
      <c r="AT260" s="19"/>
      <c r="AU260" s="19"/>
      <c r="AV260" s="19"/>
      <c r="AW260" s="19"/>
      <c r="AX260" s="19"/>
      <c r="AY260" s="19"/>
      <c r="AZ260" s="19"/>
      <c r="BA260" s="19"/>
      <c r="BB260" s="19"/>
      <c r="BC260" s="19"/>
      <c r="BD260" s="19"/>
      <c r="BE260" s="19"/>
      <c r="BF260" s="19"/>
      <c r="BG260" s="19" t="str">
        <f>$K260</f>
        <v>2026 Lucid USA Inc. Air G Touring XR AWD w/21" wheels</v>
      </c>
      <c r="BH260" s="19"/>
      <c r="BI260" s="19"/>
      <c r="BJ260" s="19"/>
      <c r="BK260" s="19"/>
      <c r="BL260" s="19"/>
      <c r="BM260" s="129"/>
      <c r="BN260" s="19"/>
      <c r="BO260" s="19"/>
      <c r="BP260" s="19"/>
      <c r="BQ260" s="19"/>
      <c r="BR260" s="19"/>
      <c r="BS260" s="19"/>
      <c r="BT260" s="130"/>
      <c r="BU260" s="19"/>
      <c r="BV260" s="19"/>
      <c r="BW260" s="116"/>
      <c r="BX260" s="19"/>
      <c r="BY260" s="19"/>
      <c r="BZ260" s="19"/>
      <c r="CA260" s="19"/>
      <c r="CB260" s="19"/>
      <c r="CC260" s="19"/>
      <c r="CD260" s="19"/>
      <c r="CE260" s="19"/>
      <c r="CF260" s="19"/>
      <c r="CG260" s="19"/>
      <c r="CH260" s="19"/>
      <c r="CI260" s="19"/>
      <c r="CJ260" s="19"/>
      <c r="CK260" s="19"/>
      <c r="CL260" s="19"/>
      <c r="CM260" s="19" t="str">
        <f>$K260</f>
        <v>2026 Lucid USA Inc. Air G Touring XR AWD w/21" wheels</v>
      </c>
      <c r="CN260" s="19"/>
      <c r="CO260" s="19"/>
      <c r="CP260" s="19"/>
      <c r="CQ260" s="19"/>
      <c r="CR260" s="19"/>
      <c r="CS260" s="19"/>
      <c r="CT260" s="19"/>
      <c r="CU260" s="19"/>
      <c r="CV260" s="19"/>
      <c r="CW260" s="19"/>
      <c r="CX260" s="19"/>
      <c r="CY260" s="19"/>
      <c r="CZ260" s="19"/>
      <c r="DA260" s="19"/>
      <c r="DB260" s="19"/>
      <c r="DC260" s="19"/>
      <c r="DD260" s="19" t="str">
        <f>$K260</f>
        <v>2026 Lucid USA Inc. Air G Touring XR AWD w/21" wheels</v>
      </c>
      <c r="DE260" s="19"/>
      <c r="DF260" s="19"/>
      <c r="DG260" s="19"/>
      <c r="DH260" s="19"/>
      <c r="DI260" s="19"/>
      <c r="DJ260" s="19"/>
      <c r="DK260" s="19"/>
      <c r="DL260" s="19"/>
      <c r="DM260" s="19"/>
      <c r="DN260" s="19"/>
      <c r="DO260" s="19"/>
      <c r="DP260" s="19"/>
      <c r="DQ260" s="19"/>
      <c r="DR260" s="19"/>
      <c r="DS260" s="19"/>
      <c r="DT260" s="19"/>
      <c r="DU260" s="19" t="str">
        <f>$K260</f>
        <v>2026 Lucid USA Inc. Air G Touring XR AWD w/21" wheels</v>
      </c>
      <c r="DV260" s="19"/>
      <c r="DW260" s="19"/>
      <c r="DX260" s="19"/>
      <c r="DY260" s="19"/>
      <c r="DZ260" s="19"/>
      <c r="EA260" s="117"/>
      <c r="EB260" s="19"/>
      <c r="EC260" s="19"/>
      <c r="ED260" s="19"/>
      <c r="EE260" s="19"/>
      <c r="EF260" s="19"/>
      <c r="EG260"/>
      <c r="EH260"/>
      <c r="EI260"/>
      <c r="EJ260"/>
      <c r="EK260"/>
      <c r="EL260"/>
      <c r="EM260"/>
      <c r="EN260"/>
      <c r="EO260"/>
      <c r="EP260"/>
      <c r="EQ260"/>
      <c r="ER260"/>
      <c r="ES260"/>
      <c r="ET260"/>
      <c r="EU260"/>
      <c r="EV260"/>
      <c r="EW260"/>
      <c r="EX260" s="19" t="s">
        <v>2005</v>
      </c>
      <c r="EY260"/>
      <c r="EZ260"/>
      <c r="FA260"/>
      <c r="FB260"/>
      <c r="FC260"/>
      <c r="FD260"/>
      <c r="FE260"/>
      <c r="FF260"/>
      <c r="FG260"/>
      <c r="FH260"/>
      <c r="FI260"/>
    </row>
    <row r="261" spans="1:165" s="66" customFormat="1" x14ac:dyDescent="0.35">
      <c r="A261">
        <v>2026</v>
      </c>
      <c r="B261" t="s">
        <v>1510</v>
      </c>
      <c r="C261" s="112" t="s">
        <v>1511</v>
      </c>
      <c r="D261" t="s">
        <v>1728</v>
      </c>
      <c r="E261" t="s">
        <v>1513</v>
      </c>
      <c r="F261">
        <v>45</v>
      </c>
      <c r="G261" s="113">
        <v>0</v>
      </c>
      <c r="H261"/>
      <c r="I261" t="s">
        <v>1391</v>
      </c>
      <c r="J261">
        <v>114</v>
      </c>
      <c r="K261">
        <v>109</v>
      </c>
      <c r="L261">
        <v>112</v>
      </c>
      <c r="M261">
        <v>156.19999999999999</v>
      </c>
      <c r="N261">
        <v>150</v>
      </c>
      <c r="O261">
        <v>153.3477</v>
      </c>
      <c r="P261">
        <v>113.9635</v>
      </c>
      <c r="Q261">
        <v>109.44</v>
      </c>
      <c r="R261">
        <v>111.88249999999999</v>
      </c>
      <c r="S261"/>
      <c r="T261"/>
      <c r="U261"/>
      <c r="V261" t="s">
        <v>170</v>
      </c>
      <c r="W261" t="s">
        <v>171</v>
      </c>
      <c r="X261"/>
      <c r="Y261">
        <v>1</v>
      </c>
      <c r="Z261" t="s">
        <v>173</v>
      </c>
      <c r="AA261" t="s">
        <v>173</v>
      </c>
      <c r="AB261" t="s">
        <v>170</v>
      </c>
      <c r="AC261" t="s">
        <v>232</v>
      </c>
      <c r="AD261"/>
      <c r="AE261"/>
      <c r="AF261">
        <v>446</v>
      </c>
      <c r="AG261" t="s">
        <v>1392</v>
      </c>
      <c r="AH261" t="s">
        <v>1393</v>
      </c>
      <c r="AI261" t="s">
        <v>178</v>
      </c>
      <c r="AJ261" t="s">
        <v>179</v>
      </c>
      <c r="AK261">
        <v>4</v>
      </c>
      <c r="AL261" t="s">
        <v>1394</v>
      </c>
      <c r="AM261"/>
      <c r="AN261"/>
      <c r="AO261">
        <v>99</v>
      </c>
      <c r="AP261">
        <v>32</v>
      </c>
      <c r="AQ261"/>
      <c r="AR261"/>
      <c r="AS261">
        <v>750</v>
      </c>
      <c r="AT261">
        <v>750</v>
      </c>
      <c r="AU261"/>
      <c r="AV261"/>
      <c r="AW261"/>
      <c r="AX261"/>
      <c r="AY261"/>
      <c r="AZ261"/>
      <c r="BA261"/>
      <c r="BB261"/>
      <c r="BC261"/>
      <c r="BD261"/>
      <c r="BE261"/>
      <c r="BF261"/>
      <c r="BG261"/>
      <c r="BH261"/>
      <c r="BI261"/>
      <c r="BJ261"/>
      <c r="BK261"/>
      <c r="BL261"/>
      <c r="BM261"/>
      <c r="BN261" s="114"/>
      <c r="BO261"/>
      <c r="BP261"/>
      <c r="BQ261">
        <v>6</v>
      </c>
      <c r="BR261" t="s">
        <v>536</v>
      </c>
      <c r="BS261" t="s">
        <v>182</v>
      </c>
      <c r="BT261" t="s">
        <v>1402</v>
      </c>
      <c r="BU261" s="115">
        <v>45884</v>
      </c>
      <c r="BV261">
        <v>37539</v>
      </c>
      <c r="BW261" s="116"/>
      <c r="BX261" t="s">
        <v>172</v>
      </c>
      <c r="BY261" t="s">
        <v>173</v>
      </c>
      <c r="BZ261"/>
      <c r="CA261"/>
      <c r="CB261" t="s">
        <v>173</v>
      </c>
      <c r="CC261" t="s">
        <v>173</v>
      </c>
      <c r="CD261"/>
      <c r="CE261"/>
      <c r="CF261"/>
      <c r="CG261"/>
      <c r="CH261"/>
      <c r="CI261"/>
      <c r="CJ261"/>
      <c r="CK261" t="s">
        <v>259</v>
      </c>
      <c r="CL261"/>
      <c r="CM261">
        <v>1</v>
      </c>
      <c r="CN261" t="s">
        <v>260</v>
      </c>
      <c r="CO261"/>
      <c r="CP261">
        <v>800</v>
      </c>
      <c r="CQ261">
        <v>147</v>
      </c>
      <c r="CR261">
        <v>171</v>
      </c>
      <c r="CS261" t="s">
        <v>1437</v>
      </c>
      <c r="CT261"/>
      <c r="CU261"/>
      <c r="CV261" t="s">
        <v>262</v>
      </c>
      <c r="CW261"/>
      <c r="CX261" t="s">
        <v>263</v>
      </c>
      <c r="CY261" t="s">
        <v>172</v>
      </c>
      <c r="CZ261"/>
      <c r="DA261"/>
      <c r="DB261"/>
      <c r="DC261"/>
      <c r="DD261">
        <v>2</v>
      </c>
      <c r="DE261" t="s">
        <v>307</v>
      </c>
      <c r="DF261" t="s">
        <v>1514</v>
      </c>
      <c r="DG261" t="s">
        <v>1725</v>
      </c>
      <c r="DH261"/>
      <c r="DI261"/>
      <c r="DJ261"/>
      <c r="DK261"/>
      <c r="DL261" t="s">
        <v>173</v>
      </c>
      <c r="DM261" t="s">
        <v>172</v>
      </c>
      <c r="DN261"/>
      <c r="DO261"/>
      <c r="DP261" t="s">
        <v>173</v>
      </c>
      <c r="DQ261" t="s">
        <v>189</v>
      </c>
      <c r="DR261"/>
      <c r="DS261"/>
      <c r="DT261"/>
      <c r="DU261"/>
      <c r="DV261"/>
      <c r="DW261"/>
      <c r="DX261"/>
      <c r="DY261"/>
      <c r="DZ261"/>
      <c r="EA261" s="117"/>
      <c r="EB261">
        <v>9</v>
      </c>
      <c r="EC261">
        <v>10</v>
      </c>
      <c r="ED261"/>
      <c r="EE261" t="s">
        <v>1726</v>
      </c>
      <c r="EF261">
        <v>10</v>
      </c>
      <c r="EG261"/>
      <c r="EH261"/>
      <c r="EI261"/>
      <c r="EJ261"/>
      <c r="EK261"/>
      <c r="EL261"/>
      <c r="EM261"/>
      <c r="EN261"/>
      <c r="EO261"/>
      <c r="EP261"/>
      <c r="EQ261"/>
      <c r="ER261"/>
      <c r="ES261"/>
      <c r="ET261"/>
      <c r="EU261">
        <v>4750</v>
      </c>
      <c r="EV261"/>
      <c r="EW261">
        <v>0</v>
      </c>
      <c r="EX261">
        <v>0</v>
      </c>
      <c r="EY261">
        <v>0</v>
      </c>
      <c r="EZ261"/>
      <c r="FA261">
        <v>13</v>
      </c>
      <c r="FB261"/>
      <c r="FC261"/>
      <c r="FD261"/>
      <c r="FE261"/>
      <c r="FF261"/>
      <c r="FG261" s="94">
        <v>454</v>
      </c>
      <c r="FH261" s="94">
        <v>436</v>
      </c>
      <c r="FI261" s="94">
        <v>446</v>
      </c>
    </row>
    <row r="262" spans="1:165" s="66" customFormat="1" x14ac:dyDescent="0.35">
      <c r="A262">
        <v>2026</v>
      </c>
      <c r="B262" t="s">
        <v>1510</v>
      </c>
      <c r="C262" s="112" t="s">
        <v>1511</v>
      </c>
      <c r="D262" t="s">
        <v>1728</v>
      </c>
      <c r="E262" t="s">
        <v>1513</v>
      </c>
      <c r="F262">
        <v>45</v>
      </c>
      <c r="G262" s="113">
        <v>0</v>
      </c>
      <c r="H262"/>
      <c r="I262" t="s">
        <v>1391</v>
      </c>
      <c r="J262">
        <v>30</v>
      </c>
      <c r="K262">
        <v>31</v>
      </c>
      <c r="L262">
        <v>30</v>
      </c>
      <c r="M262">
        <v>21.571999999999999</v>
      </c>
      <c r="N262">
        <v>22.463999999999999</v>
      </c>
      <c r="O262">
        <v>21.973400000000002</v>
      </c>
      <c r="P262">
        <v>29.575299999999999</v>
      </c>
      <c r="Q262">
        <v>30.797699999999999</v>
      </c>
      <c r="R262">
        <v>30.125399999999999</v>
      </c>
      <c r="S262"/>
      <c r="T262"/>
      <c r="U262"/>
      <c r="V262" t="s">
        <v>170</v>
      </c>
      <c r="W262" t="s">
        <v>171</v>
      </c>
      <c r="X262"/>
      <c r="Y262">
        <v>1</v>
      </c>
      <c r="Z262" t="s">
        <v>173</v>
      </c>
      <c r="AA262" t="s">
        <v>173</v>
      </c>
      <c r="AB262" t="s">
        <v>170</v>
      </c>
      <c r="AC262" t="s">
        <v>232</v>
      </c>
      <c r="AD262"/>
      <c r="AE262"/>
      <c r="AF262">
        <v>446</v>
      </c>
      <c r="AG262" t="s">
        <v>1392</v>
      </c>
      <c r="AH262" t="s">
        <v>1393</v>
      </c>
      <c r="AI262" t="s">
        <v>1399</v>
      </c>
      <c r="AJ262" t="s">
        <v>1400</v>
      </c>
      <c r="AK262">
        <v>4</v>
      </c>
      <c r="AL262" t="s">
        <v>1394</v>
      </c>
      <c r="AM262"/>
      <c r="AN262"/>
      <c r="AO262">
        <v>99</v>
      </c>
      <c r="AP262">
        <v>32</v>
      </c>
      <c r="AQ262"/>
      <c r="AR262"/>
      <c r="AS262">
        <v>750</v>
      </c>
      <c r="AT262">
        <v>750</v>
      </c>
      <c r="AU262"/>
      <c r="AV262"/>
      <c r="AW262"/>
      <c r="AX262"/>
      <c r="AY262"/>
      <c r="AZ262"/>
      <c r="BA262"/>
      <c r="BB262"/>
      <c r="BC262"/>
      <c r="BD262"/>
      <c r="BE262"/>
      <c r="BF262"/>
      <c r="BG262"/>
      <c r="BH262"/>
      <c r="BI262"/>
      <c r="BJ262"/>
      <c r="BK262"/>
      <c r="BL262"/>
      <c r="BM262"/>
      <c r="BN262" s="114"/>
      <c r="BO262"/>
      <c r="BP262"/>
      <c r="BQ262">
        <v>6</v>
      </c>
      <c r="BR262" t="s">
        <v>536</v>
      </c>
      <c r="BS262" t="s">
        <v>182</v>
      </c>
      <c r="BT262" t="s">
        <v>1402</v>
      </c>
      <c r="BU262" s="115">
        <v>45884</v>
      </c>
      <c r="BV262">
        <v>37539</v>
      </c>
      <c r="BW262" s="116"/>
      <c r="BX262" t="s">
        <v>172</v>
      </c>
      <c r="BY262" t="s">
        <v>173</v>
      </c>
      <c r="BZ262"/>
      <c r="CA262"/>
      <c r="CB262" t="s">
        <v>173</v>
      </c>
      <c r="CC262" t="s">
        <v>173</v>
      </c>
      <c r="CD262"/>
      <c r="CE262"/>
      <c r="CF262"/>
      <c r="CG262"/>
      <c r="CH262"/>
      <c r="CI262"/>
      <c r="CJ262"/>
      <c r="CK262" t="s">
        <v>259</v>
      </c>
      <c r="CL262"/>
      <c r="CM262">
        <v>1</v>
      </c>
      <c r="CN262" t="s">
        <v>260</v>
      </c>
      <c r="CO262"/>
      <c r="CP262">
        <v>800</v>
      </c>
      <c r="CQ262">
        <v>147</v>
      </c>
      <c r="CR262">
        <v>171</v>
      </c>
      <c r="CS262" t="s">
        <v>1437</v>
      </c>
      <c r="CT262"/>
      <c r="CU262"/>
      <c r="CV262" t="s">
        <v>262</v>
      </c>
      <c r="CW262"/>
      <c r="CX262" t="s">
        <v>263</v>
      </c>
      <c r="CY262" t="s">
        <v>172</v>
      </c>
      <c r="CZ262"/>
      <c r="DA262"/>
      <c r="DB262"/>
      <c r="DC262"/>
      <c r="DD262">
        <v>2</v>
      </c>
      <c r="DE262" t="s">
        <v>307</v>
      </c>
      <c r="DF262" t="s">
        <v>1514</v>
      </c>
      <c r="DG262" t="s">
        <v>1725</v>
      </c>
      <c r="DH262"/>
      <c r="DI262"/>
      <c r="DJ262"/>
      <c r="DK262"/>
      <c r="DL262" t="s">
        <v>173</v>
      </c>
      <c r="DM262" t="s">
        <v>172</v>
      </c>
      <c r="DN262"/>
      <c r="DO262"/>
      <c r="DP262" t="s">
        <v>173</v>
      </c>
      <c r="DQ262" t="s">
        <v>189</v>
      </c>
      <c r="DR262"/>
      <c r="DS262"/>
      <c r="DT262"/>
      <c r="DU262"/>
      <c r="DV262"/>
      <c r="DW262"/>
      <c r="DX262"/>
      <c r="DY262"/>
      <c r="DZ262"/>
      <c r="EA262" s="117"/>
      <c r="EB262">
        <v>10</v>
      </c>
      <c r="EC262">
        <v>10</v>
      </c>
      <c r="ED262"/>
      <c r="EE262" t="s">
        <v>1726</v>
      </c>
      <c r="EF262">
        <v>10</v>
      </c>
      <c r="EG262"/>
      <c r="EH262"/>
      <c r="EI262"/>
      <c r="EJ262"/>
      <c r="EK262"/>
      <c r="EL262"/>
      <c r="EM262"/>
      <c r="EN262"/>
      <c r="EO262"/>
      <c r="EP262"/>
      <c r="EQ262"/>
      <c r="ER262"/>
      <c r="ES262"/>
      <c r="ET262"/>
      <c r="EU262">
        <v>4750</v>
      </c>
      <c r="EV262"/>
      <c r="EW262">
        <v>0</v>
      </c>
      <c r="EX262">
        <v>0</v>
      </c>
      <c r="EY262">
        <v>0</v>
      </c>
      <c r="EZ262"/>
      <c r="FA262">
        <v>13</v>
      </c>
      <c r="FB262"/>
      <c r="FC262"/>
      <c r="FD262"/>
      <c r="FE262"/>
      <c r="FF262"/>
      <c r="FG262" s="94">
        <v>454</v>
      </c>
      <c r="FH262" s="94">
        <v>436</v>
      </c>
      <c r="FI262" s="94">
        <v>446</v>
      </c>
    </row>
    <row r="263" spans="1:165" s="66" customFormat="1" x14ac:dyDescent="0.35">
      <c r="A263" s="19"/>
      <c r="B263" s="19"/>
      <c r="C263" s="19"/>
      <c r="D263" s="19"/>
      <c r="E263" s="19"/>
      <c r="F263" s="128"/>
      <c r="G263" s="19"/>
      <c r="H263" s="19"/>
      <c r="I263" s="19"/>
      <c r="J263" s="19"/>
      <c r="K263" s="19" t="str">
        <f>_xlfn.CONCAT(A264," ",C264," ",D264)</f>
        <v>2026 Lucid USA Inc. Air Pure RWD w/19" wheels</v>
      </c>
      <c r="L263" s="19"/>
      <c r="M263" s="19"/>
      <c r="N263" s="19"/>
      <c r="O263" s="19"/>
      <c r="P263" s="19"/>
      <c r="Q263" s="19"/>
      <c r="R263" s="19"/>
      <c r="S263" s="19"/>
      <c r="T263" s="19"/>
      <c r="U263" s="19"/>
      <c r="V263" s="19"/>
      <c r="W263" s="19"/>
      <c r="X263" s="19"/>
      <c r="Y263" s="19"/>
      <c r="Z263" s="19"/>
      <c r="AA263" s="19"/>
      <c r="AB263" s="19" t="str">
        <f>$K263</f>
        <v>2026 Lucid USA Inc. Air Pure RWD w/19" wheels</v>
      </c>
      <c r="AC263" s="19"/>
      <c r="AD263" s="19"/>
      <c r="AE263" s="19"/>
      <c r="AF263" s="19"/>
      <c r="AG263" s="19"/>
      <c r="AH263" s="19"/>
      <c r="AI263" s="19"/>
      <c r="AJ263" s="19"/>
      <c r="AK263" s="19"/>
      <c r="AL263" s="19"/>
      <c r="AM263" s="19"/>
      <c r="AN263" s="19"/>
      <c r="AO263" s="19"/>
      <c r="AP263" s="19"/>
      <c r="AQ263" s="19"/>
      <c r="AR263" s="19" t="str">
        <f>$K263</f>
        <v>2026 Lucid USA Inc. Air Pure RWD w/19" wheels</v>
      </c>
      <c r="AS263" s="19"/>
      <c r="AT263" s="19"/>
      <c r="AU263" s="19"/>
      <c r="AV263" s="19"/>
      <c r="AW263" s="19"/>
      <c r="AX263" s="19"/>
      <c r="AY263" s="19"/>
      <c r="AZ263" s="19"/>
      <c r="BA263" s="19"/>
      <c r="BB263" s="19"/>
      <c r="BC263" s="19"/>
      <c r="BD263" s="19"/>
      <c r="BE263" s="19"/>
      <c r="BF263" s="19"/>
      <c r="BG263" s="19" t="str">
        <f>$K263</f>
        <v>2026 Lucid USA Inc. Air Pure RWD w/19" wheels</v>
      </c>
      <c r="BH263" s="19"/>
      <c r="BI263" s="19"/>
      <c r="BJ263" s="19"/>
      <c r="BK263" s="19"/>
      <c r="BL263" s="19"/>
      <c r="BM263" s="129"/>
      <c r="BN263" s="19"/>
      <c r="BO263" s="19"/>
      <c r="BP263" s="19"/>
      <c r="BQ263" s="19"/>
      <c r="BR263" s="19"/>
      <c r="BS263" s="19"/>
      <c r="BT263" s="130"/>
      <c r="BU263" s="19"/>
      <c r="BV263" s="19"/>
      <c r="BW263" s="116"/>
      <c r="BX263" s="19"/>
      <c r="BY263" s="19"/>
      <c r="BZ263" s="19"/>
      <c r="CA263" s="19"/>
      <c r="CB263" s="19"/>
      <c r="CC263" s="19"/>
      <c r="CD263" s="19"/>
      <c r="CE263" s="19"/>
      <c r="CF263" s="19"/>
      <c r="CG263" s="19"/>
      <c r="CH263" s="19"/>
      <c r="CI263" s="19"/>
      <c r="CJ263" s="19"/>
      <c r="CK263" s="19"/>
      <c r="CL263" s="19"/>
      <c r="CM263" s="19" t="str">
        <f>$K263</f>
        <v>2026 Lucid USA Inc. Air Pure RWD w/19" wheels</v>
      </c>
      <c r="CN263" s="19"/>
      <c r="CO263" s="19"/>
      <c r="CP263" s="19"/>
      <c r="CQ263" s="19"/>
      <c r="CR263" s="19"/>
      <c r="CS263" s="19"/>
      <c r="CT263" s="19"/>
      <c r="CU263" s="19"/>
      <c r="CV263" s="19"/>
      <c r="CW263" s="19"/>
      <c r="CX263" s="19"/>
      <c r="CY263" s="19"/>
      <c r="CZ263" s="19"/>
      <c r="DA263" s="19"/>
      <c r="DB263" s="19"/>
      <c r="DC263" s="19"/>
      <c r="DD263" s="19" t="str">
        <f>$K263</f>
        <v>2026 Lucid USA Inc. Air Pure RWD w/19" wheels</v>
      </c>
      <c r="DE263" s="19"/>
      <c r="DF263" s="19"/>
      <c r="DG263" s="19"/>
      <c r="DH263" s="19"/>
      <c r="DI263" s="19"/>
      <c r="DJ263" s="19"/>
      <c r="DK263" s="19"/>
      <c r="DL263" s="19"/>
      <c r="DM263" s="19"/>
      <c r="DN263" s="19"/>
      <c r="DO263" s="19"/>
      <c r="DP263" s="19"/>
      <c r="DQ263" s="19"/>
      <c r="DR263" s="19"/>
      <c r="DS263" s="19"/>
      <c r="DT263" s="19"/>
      <c r="DU263" s="19" t="str">
        <f>$K263</f>
        <v>2026 Lucid USA Inc. Air Pure RWD w/19" wheels</v>
      </c>
      <c r="DV263" s="19"/>
      <c r="DW263" s="19"/>
      <c r="DX263" s="19"/>
      <c r="DY263" s="19"/>
      <c r="DZ263" s="19"/>
      <c r="EA263" s="117"/>
      <c r="EB263" s="19"/>
      <c r="EC263" s="19"/>
      <c r="ED263" s="19"/>
      <c r="EE263" s="19"/>
      <c r="EF263" s="19"/>
      <c r="EG263"/>
      <c r="EH263"/>
      <c r="EI263"/>
      <c r="EJ263"/>
      <c r="EK263"/>
      <c r="EL263"/>
      <c r="EM263"/>
      <c r="EN263"/>
      <c r="EO263"/>
      <c r="EP263"/>
      <c r="EQ263"/>
      <c r="ER263"/>
      <c r="ES263"/>
      <c r="ET263"/>
      <c r="EU263"/>
      <c r="EV263"/>
      <c r="EW263"/>
      <c r="EX263" s="19" t="s">
        <v>2006</v>
      </c>
      <c r="EY263"/>
      <c r="EZ263"/>
      <c r="FA263"/>
      <c r="FB263"/>
      <c r="FC263"/>
      <c r="FD263"/>
      <c r="FE263"/>
      <c r="FF263"/>
      <c r="FG263"/>
      <c r="FH263"/>
      <c r="FI263"/>
    </row>
    <row r="264" spans="1:165" s="66" customFormat="1" x14ac:dyDescent="0.35">
      <c r="A264">
        <v>2026</v>
      </c>
      <c r="B264" t="s">
        <v>1510</v>
      </c>
      <c r="C264" s="112" t="s">
        <v>1511</v>
      </c>
      <c r="D264" t="s">
        <v>1729</v>
      </c>
      <c r="E264" t="s">
        <v>1513</v>
      </c>
      <c r="F264">
        <v>40</v>
      </c>
      <c r="G264" s="113">
        <v>0</v>
      </c>
      <c r="H264"/>
      <c r="I264" t="s">
        <v>1391</v>
      </c>
      <c r="J264">
        <v>149</v>
      </c>
      <c r="K264">
        <v>142</v>
      </c>
      <c r="L264">
        <v>146</v>
      </c>
      <c r="M264">
        <v>209.1</v>
      </c>
      <c r="N264">
        <v>198.8</v>
      </c>
      <c r="O264">
        <v>204.33590000000001</v>
      </c>
      <c r="P264">
        <v>149.04650000000001</v>
      </c>
      <c r="Q264">
        <v>141.7046</v>
      </c>
      <c r="R264">
        <v>145.6506</v>
      </c>
      <c r="S264"/>
      <c r="T264"/>
      <c r="U264"/>
      <c r="V264" t="s">
        <v>170</v>
      </c>
      <c r="W264" t="s">
        <v>171</v>
      </c>
      <c r="X264"/>
      <c r="Y264">
        <v>1</v>
      </c>
      <c r="Z264" t="s">
        <v>173</v>
      </c>
      <c r="AA264" t="s">
        <v>173</v>
      </c>
      <c r="AB264" t="s">
        <v>174</v>
      </c>
      <c r="AC264" t="s">
        <v>175</v>
      </c>
      <c r="AD264"/>
      <c r="AE264"/>
      <c r="AF264">
        <v>420</v>
      </c>
      <c r="AG264" t="s">
        <v>1392</v>
      </c>
      <c r="AH264" t="s">
        <v>1393</v>
      </c>
      <c r="AI264" t="s">
        <v>178</v>
      </c>
      <c r="AJ264" t="s">
        <v>179</v>
      </c>
      <c r="AK264">
        <v>4</v>
      </c>
      <c r="AL264" t="s">
        <v>1394</v>
      </c>
      <c r="AM264"/>
      <c r="AN264"/>
      <c r="AO264">
        <v>101</v>
      </c>
      <c r="AP264">
        <v>32</v>
      </c>
      <c r="AQ264"/>
      <c r="AR264"/>
      <c r="AS264">
        <v>600</v>
      </c>
      <c r="AT264">
        <v>600</v>
      </c>
      <c r="AU264"/>
      <c r="AV264"/>
      <c r="AW264"/>
      <c r="AX264"/>
      <c r="AY264"/>
      <c r="AZ264"/>
      <c r="BA264"/>
      <c r="BB264"/>
      <c r="BC264"/>
      <c r="BD264"/>
      <c r="BE264"/>
      <c r="BF264"/>
      <c r="BG264"/>
      <c r="BH264"/>
      <c r="BI264"/>
      <c r="BJ264"/>
      <c r="BK264"/>
      <c r="BL264"/>
      <c r="BM264"/>
      <c r="BN264" s="114"/>
      <c r="BO264"/>
      <c r="BP264"/>
      <c r="BQ264">
        <v>6</v>
      </c>
      <c r="BR264" t="s">
        <v>536</v>
      </c>
      <c r="BS264" t="s">
        <v>182</v>
      </c>
      <c r="BT264" t="s">
        <v>1402</v>
      </c>
      <c r="BU264" s="115">
        <v>45884</v>
      </c>
      <c r="BV264">
        <v>37535</v>
      </c>
      <c r="BW264" s="116"/>
      <c r="BX264" t="s">
        <v>172</v>
      </c>
      <c r="BY264" t="s">
        <v>173</v>
      </c>
      <c r="BZ264"/>
      <c r="CA264"/>
      <c r="CB264" t="s">
        <v>173</v>
      </c>
      <c r="CC264" t="s">
        <v>173</v>
      </c>
      <c r="CD264"/>
      <c r="CE264"/>
      <c r="CF264"/>
      <c r="CG264"/>
      <c r="CH264"/>
      <c r="CI264"/>
      <c r="CJ264"/>
      <c r="CK264" t="s">
        <v>259</v>
      </c>
      <c r="CL264"/>
      <c r="CM264">
        <v>1</v>
      </c>
      <c r="CN264" t="s">
        <v>260</v>
      </c>
      <c r="CO264"/>
      <c r="CP264">
        <v>580</v>
      </c>
      <c r="CQ264">
        <v>155</v>
      </c>
      <c r="CR264">
        <v>161.19999999999999</v>
      </c>
      <c r="CS264" t="s">
        <v>1437</v>
      </c>
      <c r="CT264"/>
      <c r="CU264"/>
      <c r="CV264" t="s">
        <v>262</v>
      </c>
      <c r="CW264"/>
      <c r="CX264" t="s">
        <v>263</v>
      </c>
      <c r="CY264" t="s">
        <v>172</v>
      </c>
      <c r="CZ264"/>
      <c r="DA264"/>
      <c r="DB264"/>
      <c r="DC264"/>
      <c r="DD264">
        <v>1</v>
      </c>
      <c r="DE264" t="s">
        <v>307</v>
      </c>
      <c r="DF264" t="s">
        <v>1514</v>
      </c>
      <c r="DG264">
        <v>330</v>
      </c>
      <c r="DH264"/>
      <c r="DI264"/>
      <c r="DJ264"/>
      <c r="DK264"/>
      <c r="DL264" t="s">
        <v>173</v>
      </c>
      <c r="DM264" t="s">
        <v>172</v>
      </c>
      <c r="DN264"/>
      <c r="DO264"/>
      <c r="DP264" t="s">
        <v>173</v>
      </c>
      <c r="DQ264" t="s">
        <v>189</v>
      </c>
      <c r="DR264"/>
      <c r="DS264"/>
      <c r="DT264"/>
      <c r="DU264"/>
      <c r="DV264"/>
      <c r="DW264"/>
      <c r="DX264"/>
      <c r="DY264"/>
      <c r="DZ264"/>
      <c r="EA264" s="117"/>
      <c r="EB264">
        <v>10</v>
      </c>
      <c r="EC264">
        <v>10</v>
      </c>
      <c r="ED264"/>
      <c r="EE264" t="s">
        <v>1730</v>
      </c>
      <c r="EF264">
        <v>10</v>
      </c>
      <c r="EG264"/>
      <c r="EH264"/>
      <c r="EI264"/>
      <c r="EJ264"/>
      <c r="EK264"/>
      <c r="EL264"/>
      <c r="EM264"/>
      <c r="EN264"/>
      <c r="EO264"/>
      <c r="EP264"/>
      <c r="EQ264"/>
      <c r="ER264"/>
      <c r="ES264"/>
      <c r="ET264"/>
      <c r="EU264">
        <v>5500</v>
      </c>
      <c r="EV264"/>
      <c r="EW264">
        <v>0</v>
      </c>
      <c r="EX264">
        <v>0</v>
      </c>
      <c r="EY264">
        <v>0</v>
      </c>
      <c r="EZ264"/>
      <c r="FA264">
        <v>10</v>
      </c>
      <c r="FB264"/>
      <c r="FC264"/>
      <c r="FD264"/>
      <c r="FE264"/>
      <c r="FF264"/>
      <c r="FG264" s="94">
        <v>430</v>
      </c>
      <c r="FH264" s="94">
        <v>408</v>
      </c>
      <c r="FI264" s="94">
        <v>420</v>
      </c>
    </row>
    <row r="265" spans="1:165" s="66" customFormat="1" x14ac:dyDescent="0.35">
      <c r="A265">
        <v>2026</v>
      </c>
      <c r="B265" t="s">
        <v>1510</v>
      </c>
      <c r="C265" s="112" t="s">
        <v>1511</v>
      </c>
      <c r="D265" t="s">
        <v>1729</v>
      </c>
      <c r="E265" t="s">
        <v>1513</v>
      </c>
      <c r="F265">
        <v>40</v>
      </c>
      <c r="G265" s="113">
        <v>0</v>
      </c>
      <c r="H265"/>
      <c r="I265" t="s">
        <v>1391</v>
      </c>
      <c r="J265">
        <v>23</v>
      </c>
      <c r="K265">
        <v>24</v>
      </c>
      <c r="L265">
        <v>23</v>
      </c>
      <c r="M265">
        <v>16.12</v>
      </c>
      <c r="N265">
        <v>16.957000000000001</v>
      </c>
      <c r="O265">
        <v>16.496700000000001</v>
      </c>
      <c r="P265">
        <v>22.613800000000001</v>
      </c>
      <c r="Q265">
        <v>23.785399999999999</v>
      </c>
      <c r="R265">
        <v>23.140999999999998</v>
      </c>
      <c r="S265"/>
      <c r="T265"/>
      <c r="U265"/>
      <c r="V265" t="s">
        <v>170</v>
      </c>
      <c r="W265" t="s">
        <v>171</v>
      </c>
      <c r="X265"/>
      <c r="Y265">
        <v>1</v>
      </c>
      <c r="Z265" t="s">
        <v>173</v>
      </c>
      <c r="AA265" t="s">
        <v>173</v>
      </c>
      <c r="AB265" t="s">
        <v>174</v>
      </c>
      <c r="AC265" t="s">
        <v>175</v>
      </c>
      <c r="AD265"/>
      <c r="AE265"/>
      <c r="AF265">
        <v>420</v>
      </c>
      <c r="AG265" t="s">
        <v>1392</v>
      </c>
      <c r="AH265" t="s">
        <v>1393</v>
      </c>
      <c r="AI265" t="s">
        <v>1399</v>
      </c>
      <c r="AJ265" t="s">
        <v>1400</v>
      </c>
      <c r="AK265">
        <v>4</v>
      </c>
      <c r="AL265" t="s">
        <v>1394</v>
      </c>
      <c r="AM265"/>
      <c r="AN265"/>
      <c r="AO265">
        <v>101</v>
      </c>
      <c r="AP265">
        <v>32</v>
      </c>
      <c r="AQ265"/>
      <c r="AR265"/>
      <c r="AS265">
        <v>600</v>
      </c>
      <c r="AT265">
        <v>600</v>
      </c>
      <c r="AU265"/>
      <c r="AV265"/>
      <c r="AW265"/>
      <c r="AX265"/>
      <c r="AY265"/>
      <c r="AZ265"/>
      <c r="BA265"/>
      <c r="BB265"/>
      <c r="BC265"/>
      <c r="BD265"/>
      <c r="BE265"/>
      <c r="BF265"/>
      <c r="BG265"/>
      <c r="BH265"/>
      <c r="BI265"/>
      <c r="BJ265"/>
      <c r="BK265"/>
      <c r="BL265"/>
      <c r="BM265"/>
      <c r="BN265" s="114"/>
      <c r="BO265"/>
      <c r="BP265"/>
      <c r="BQ265">
        <v>6</v>
      </c>
      <c r="BR265" t="s">
        <v>536</v>
      </c>
      <c r="BS265" t="s">
        <v>182</v>
      </c>
      <c r="BT265" t="s">
        <v>1402</v>
      </c>
      <c r="BU265" s="115">
        <v>45884</v>
      </c>
      <c r="BV265">
        <v>37535</v>
      </c>
      <c r="BW265" s="116"/>
      <c r="BX265" t="s">
        <v>172</v>
      </c>
      <c r="BY265" t="s">
        <v>173</v>
      </c>
      <c r="BZ265"/>
      <c r="CA265"/>
      <c r="CB265" t="s">
        <v>173</v>
      </c>
      <c r="CC265" t="s">
        <v>173</v>
      </c>
      <c r="CD265"/>
      <c r="CE265"/>
      <c r="CF265"/>
      <c r="CG265"/>
      <c r="CH265"/>
      <c r="CI265"/>
      <c r="CJ265"/>
      <c r="CK265" t="s">
        <v>259</v>
      </c>
      <c r="CL265"/>
      <c r="CM265">
        <v>1</v>
      </c>
      <c r="CN265" t="s">
        <v>260</v>
      </c>
      <c r="CO265"/>
      <c r="CP265">
        <v>580</v>
      </c>
      <c r="CQ265">
        <v>155</v>
      </c>
      <c r="CR265">
        <v>161.19999999999999</v>
      </c>
      <c r="CS265" t="s">
        <v>1437</v>
      </c>
      <c r="CT265"/>
      <c r="CU265"/>
      <c r="CV265" t="s">
        <v>262</v>
      </c>
      <c r="CW265"/>
      <c r="CX265" t="s">
        <v>263</v>
      </c>
      <c r="CY265" t="s">
        <v>172</v>
      </c>
      <c r="CZ265"/>
      <c r="DA265"/>
      <c r="DB265"/>
      <c r="DC265"/>
      <c r="DD265">
        <v>1</v>
      </c>
      <c r="DE265" t="s">
        <v>307</v>
      </c>
      <c r="DF265" t="s">
        <v>1514</v>
      </c>
      <c r="DG265">
        <v>330</v>
      </c>
      <c r="DH265"/>
      <c r="DI265"/>
      <c r="DJ265"/>
      <c r="DK265"/>
      <c r="DL265" t="s">
        <v>173</v>
      </c>
      <c r="DM265" t="s">
        <v>172</v>
      </c>
      <c r="DN265"/>
      <c r="DO265"/>
      <c r="DP265" t="s">
        <v>173</v>
      </c>
      <c r="DQ265" t="s">
        <v>189</v>
      </c>
      <c r="DR265"/>
      <c r="DS265"/>
      <c r="DT265"/>
      <c r="DU265"/>
      <c r="DV265"/>
      <c r="DW265"/>
      <c r="DX265"/>
      <c r="DY265"/>
      <c r="DZ265"/>
      <c r="EA265" s="117"/>
      <c r="EB265">
        <v>10</v>
      </c>
      <c r="EC265">
        <v>10</v>
      </c>
      <c r="ED265"/>
      <c r="EE265" t="s">
        <v>1730</v>
      </c>
      <c r="EF265">
        <v>10</v>
      </c>
      <c r="EG265"/>
      <c r="EH265"/>
      <c r="EI265"/>
      <c r="EJ265"/>
      <c r="EK265"/>
      <c r="EL265"/>
      <c r="EM265"/>
      <c r="EN265"/>
      <c r="EO265"/>
      <c r="EP265"/>
      <c r="EQ265"/>
      <c r="ER265"/>
      <c r="ES265"/>
      <c r="ET265"/>
      <c r="EU265">
        <v>5500</v>
      </c>
      <c r="EV265"/>
      <c r="EW265">
        <v>0</v>
      </c>
      <c r="EX265">
        <v>0</v>
      </c>
      <c r="EY265">
        <v>0</v>
      </c>
      <c r="EZ265"/>
      <c r="FA265">
        <v>10</v>
      </c>
      <c r="FB265"/>
      <c r="FC265"/>
      <c r="FD265"/>
      <c r="FE265"/>
      <c r="FF265"/>
      <c r="FG265" s="94">
        <v>430</v>
      </c>
      <c r="FH265" s="94">
        <v>408</v>
      </c>
      <c r="FI265" s="94">
        <v>420</v>
      </c>
    </row>
    <row r="266" spans="1:165" s="66" customFormat="1" x14ac:dyDescent="0.35">
      <c r="A266" s="19"/>
      <c r="B266" s="19"/>
      <c r="C266" s="19"/>
      <c r="D266" s="19"/>
      <c r="E266" s="19"/>
      <c r="F266" s="128"/>
      <c r="G266" s="19"/>
      <c r="H266" s="19"/>
      <c r="I266" s="19"/>
      <c r="J266" s="19"/>
      <c r="K266" s="19" t="str">
        <f>_xlfn.CONCAT(A267," ",C267," ",D267)</f>
        <v>2026 Lucid USA Inc. Air Pure RWD w/20" wheels</v>
      </c>
      <c r="L266" s="19"/>
      <c r="M266" s="19"/>
      <c r="N266" s="19"/>
      <c r="O266" s="19"/>
      <c r="P266" s="19"/>
      <c r="Q266" s="19"/>
      <c r="R266" s="19"/>
      <c r="S266" s="19"/>
      <c r="T266" s="19"/>
      <c r="U266" s="19"/>
      <c r="V266" s="19"/>
      <c r="W266" s="19"/>
      <c r="X266" s="19"/>
      <c r="Y266" s="19"/>
      <c r="Z266" s="19"/>
      <c r="AA266" s="19"/>
      <c r="AB266" s="19" t="str">
        <f>$K266</f>
        <v>2026 Lucid USA Inc. Air Pure RWD w/20" wheels</v>
      </c>
      <c r="AC266" s="19"/>
      <c r="AD266" s="19"/>
      <c r="AE266" s="19"/>
      <c r="AF266" s="19"/>
      <c r="AG266" s="19"/>
      <c r="AH266" s="19"/>
      <c r="AI266" s="19"/>
      <c r="AJ266" s="19"/>
      <c r="AK266" s="19"/>
      <c r="AL266" s="19"/>
      <c r="AM266" s="19"/>
      <c r="AN266" s="19"/>
      <c r="AO266" s="19"/>
      <c r="AP266" s="19"/>
      <c r="AQ266" s="19"/>
      <c r="AR266" s="19" t="str">
        <f>$K266</f>
        <v>2026 Lucid USA Inc. Air Pure RWD w/20" wheels</v>
      </c>
      <c r="AS266" s="19"/>
      <c r="AT266" s="19"/>
      <c r="AU266" s="19"/>
      <c r="AV266" s="19"/>
      <c r="AW266" s="19"/>
      <c r="AX266" s="19"/>
      <c r="AY266" s="19"/>
      <c r="AZ266" s="19"/>
      <c r="BA266" s="19"/>
      <c r="BB266" s="19"/>
      <c r="BC266" s="19"/>
      <c r="BD266" s="19"/>
      <c r="BE266" s="19"/>
      <c r="BF266" s="19"/>
      <c r="BG266" s="19" t="str">
        <f>$K266</f>
        <v>2026 Lucid USA Inc. Air Pure RWD w/20" wheels</v>
      </c>
      <c r="BH266" s="19"/>
      <c r="BI266" s="19"/>
      <c r="BJ266" s="19"/>
      <c r="BK266" s="19"/>
      <c r="BL266" s="19"/>
      <c r="BM266" s="129"/>
      <c r="BN266" s="19"/>
      <c r="BO266" s="19"/>
      <c r="BP266" s="19"/>
      <c r="BQ266" s="19"/>
      <c r="BR266" s="19"/>
      <c r="BS266" s="19"/>
      <c r="BT266" s="130"/>
      <c r="BU266" s="19"/>
      <c r="BV266" s="19"/>
      <c r="BW266" s="116"/>
      <c r="BX266" s="19"/>
      <c r="BY266" s="19"/>
      <c r="BZ266" s="19"/>
      <c r="CA266" s="19"/>
      <c r="CB266" s="19"/>
      <c r="CC266" s="19"/>
      <c r="CD266" s="19"/>
      <c r="CE266" s="19"/>
      <c r="CF266" s="19"/>
      <c r="CG266" s="19"/>
      <c r="CH266" s="19"/>
      <c r="CI266" s="19"/>
      <c r="CJ266" s="19"/>
      <c r="CK266" s="19"/>
      <c r="CL266" s="19"/>
      <c r="CM266" s="19" t="str">
        <f>$K266</f>
        <v>2026 Lucid USA Inc. Air Pure RWD w/20" wheels</v>
      </c>
      <c r="CN266" s="19"/>
      <c r="CO266" s="19"/>
      <c r="CP266" s="19"/>
      <c r="CQ266" s="19"/>
      <c r="CR266" s="19"/>
      <c r="CS266" s="19"/>
      <c r="CT266" s="19"/>
      <c r="CU266" s="19"/>
      <c r="CV266" s="19"/>
      <c r="CW266" s="19"/>
      <c r="CX266" s="19"/>
      <c r="CY266" s="19"/>
      <c r="CZ266" s="19"/>
      <c r="DA266" s="19"/>
      <c r="DB266" s="19"/>
      <c r="DC266" s="19"/>
      <c r="DD266" s="19" t="str">
        <f>$K266</f>
        <v>2026 Lucid USA Inc. Air Pure RWD w/20" wheels</v>
      </c>
      <c r="DE266" s="19"/>
      <c r="DF266" s="19"/>
      <c r="DG266" s="19"/>
      <c r="DH266" s="19"/>
      <c r="DI266" s="19"/>
      <c r="DJ266" s="19"/>
      <c r="DK266" s="19"/>
      <c r="DL266" s="19"/>
      <c r="DM266" s="19"/>
      <c r="DN266" s="19"/>
      <c r="DO266" s="19"/>
      <c r="DP266" s="19"/>
      <c r="DQ266" s="19"/>
      <c r="DR266" s="19"/>
      <c r="DS266" s="19"/>
      <c r="DT266" s="19"/>
      <c r="DU266" s="19" t="str">
        <f>$K266</f>
        <v>2026 Lucid USA Inc. Air Pure RWD w/20" wheels</v>
      </c>
      <c r="DV266" s="19"/>
      <c r="DW266" s="19"/>
      <c r="DX266" s="19"/>
      <c r="DY266" s="19"/>
      <c r="DZ266" s="19"/>
      <c r="EA266" s="117"/>
      <c r="EB266" s="19"/>
      <c r="EC266" s="19"/>
      <c r="ED266" s="19"/>
      <c r="EE266" s="19"/>
      <c r="EF266" s="19"/>
      <c r="EG266"/>
      <c r="EH266"/>
      <c r="EI266"/>
      <c r="EJ266"/>
      <c r="EK266"/>
      <c r="EL266"/>
      <c r="EM266"/>
      <c r="EN266"/>
      <c r="EO266"/>
      <c r="EP266"/>
      <c r="EQ266"/>
      <c r="ER266"/>
      <c r="ES266"/>
      <c r="ET266"/>
      <c r="EU266"/>
      <c r="EV266"/>
      <c r="EW266"/>
      <c r="EX266" s="19" t="s">
        <v>2007</v>
      </c>
      <c r="EY266"/>
      <c r="EZ266"/>
      <c r="FA266"/>
      <c r="FB266"/>
      <c r="FC266"/>
      <c r="FD266"/>
      <c r="FE266"/>
      <c r="FF266"/>
      <c r="FG266"/>
      <c r="FH266"/>
      <c r="FI266"/>
    </row>
    <row r="267" spans="1:165" s="66" customFormat="1" x14ac:dyDescent="0.35">
      <c r="A267">
        <v>2026</v>
      </c>
      <c r="B267" t="s">
        <v>1510</v>
      </c>
      <c r="C267" s="112" t="s">
        <v>1511</v>
      </c>
      <c r="D267" t="s">
        <v>1731</v>
      </c>
      <c r="E267" t="s">
        <v>1513</v>
      </c>
      <c r="F267">
        <v>41</v>
      </c>
      <c r="G267" s="113">
        <v>0</v>
      </c>
      <c r="H267"/>
      <c r="I267" t="s">
        <v>1391</v>
      </c>
      <c r="J267">
        <v>132</v>
      </c>
      <c r="K267">
        <v>125</v>
      </c>
      <c r="L267">
        <v>129</v>
      </c>
      <c r="M267">
        <v>185.7</v>
      </c>
      <c r="N267">
        <v>175.9</v>
      </c>
      <c r="O267">
        <v>181.15819999999999</v>
      </c>
      <c r="P267">
        <v>132.36699999999999</v>
      </c>
      <c r="Q267">
        <v>125.3815</v>
      </c>
      <c r="R267">
        <v>129.12960000000001</v>
      </c>
      <c r="S267"/>
      <c r="T267"/>
      <c r="U267"/>
      <c r="V267" t="s">
        <v>170</v>
      </c>
      <c r="W267" t="s">
        <v>171</v>
      </c>
      <c r="X267"/>
      <c r="Y267">
        <v>1</v>
      </c>
      <c r="Z267" t="s">
        <v>173</v>
      </c>
      <c r="AA267" t="s">
        <v>173</v>
      </c>
      <c r="AB267" t="s">
        <v>174</v>
      </c>
      <c r="AC267" t="s">
        <v>175</v>
      </c>
      <c r="AD267"/>
      <c r="AE267"/>
      <c r="AF267">
        <v>372</v>
      </c>
      <c r="AG267" t="s">
        <v>1392</v>
      </c>
      <c r="AH267" t="s">
        <v>1393</v>
      </c>
      <c r="AI267" t="s">
        <v>178</v>
      </c>
      <c r="AJ267" t="s">
        <v>179</v>
      </c>
      <c r="AK267">
        <v>4</v>
      </c>
      <c r="AL267" t="s">
        <v>1394</v>
      </c>
      <c r="AM267"/>
      <c r="AN267"/>
      <c r="AO267">
        <v>101</v>
      </c>
      <c r="AP267">
        <v>32</v>
      </c>
      <c r="AQ267"/>
      <c r="AR267"/>
      <c r="AS267">
        <v>650</v>
      </c>
      <c r="AT267">
        <v>650</v>
      </c>
      <c r="AU267"/>
      <c r="AV267"/>
      <c r="AW267"/>
      <c r="AX267"/>
      <c r="AY267"/>
      <c r="AZ267"/>
      <c r="BA267"/>
      <c r="BB267"/>
      <c r="BC267"/>
      <c r="BD267"/>
      <c r="BE267"/>
      <c r="BF267"/>
      <c r="BG267"/>
      <c r="BH267"/>
      <c r="BI267"/>
      <c r="BJ267"/>
      <c r="BK267"/>
      <c r="BL267"/>
      <c r="BM267"/>
      <c r="BN267" s="114"/>
      <c r="BO267"/>
      <c r="BP267"/>
      <c r="BQ267">
        <v>6</v>
      </c>
      <c r="BR267" t="s">
        <v>536</v>
      </c>
      <c r="BS267" t="s">
        <v>182</v>
      </c>
      <c r="BT267" t="s">
        <v>1402</v>
      </c>
      <c r="BU267" s="115">
        <v>45884</v>
      </c>
      <c r="BV267">
        <v>37536</v>
      </c>
      <c r="BW267" s="116"/>
      <c r="BX267" t="s">
        <v>172</v>
      </c>
      <c r="BY267" t="s">
        <v>173</v>
      </c>
      <c r="BZ267"/>
      <c r="CA267"/>
      <c r="CB267" t="s">
        <v>173</v>
      </c>
      <c r="CC267" t="s">
        <v>173</v>
      </c>
      <c r="CD267"/>
      <c r="CE267"/>
      <c r="CF267"/>
      <c r="CG267"/>
      <c r="CH267"/>
      <c r="CI267"/>
      <c r="CJ267"/>
      <c r="CK267" t="s">
        <v>259</v>
      </c>
      <c r="CL267"/>
      <c r="CM267">
        <v>1</v>
      </c>
      <c r="CN267" t="s">
        <v>260</v>
      </c>
      <c r="CO267"/>
      <c r="CP267">
        <v>580</v>
      </c>
      <c r="CQ267">
        <v>155</v>
      </c>
      <c r="CR267">
        <v>161.19999999999999</v>
      </c>
      <c r="CS267" t="s">
        <v>1437</v>
      </c>
      <c r="CT267"/>
      <c r="CU267"/>
      <c r="CV267" t="s">
        <v>262</v>
      </c>
      <c r="CW267"/>
      <c r="CX267" t="s">
        <v>263</v>
      </c>
      <c r="CY267" t="s">
        <v>172</v>
      </c>
      <c r="CZ267"/>
      <c r="DA267"/>
      <c r="DB267"/>
      <c r="DC267"/>
      <c r="DD267">
        <v>1</v>
      </c>
      <c r="DE267" t="s">
        <v>307</v>
      </c>
      <c r="DF267" t="s">
        <v>1514</v>
      </c>
      <c r="DG267">
        <v>330</v>
      </c>
      <c r="DH267"/>
      <c r="DI267"/>
      <c r="DJ267"/>
      <c r="DK267"/>
      <c r="DL267" t="s">
        <v>173</v>
      </c>
      <c r="DM267" t="s">
        <v>172</v>
      </c>
      <c r="DN267"/>
      <c r="DO267"/>
      <c r="DP267" t="s">
        <v>173</v>
      </c>
      <c r="DQ267" t="s">
        <v>189</v>
      </c>
      <c r="DR267"/>
      <c r="DS267"/>
      <c r="DT267"/>
      <c r="DU267"/>
      <c r="DV267"/>
      <c r="DW267"/>
      <c r="DX267"/>
      <c r="DY267"/>
      <c r="DZ267"/>
      <c r="EA267" s="117"/>
      <c r="EB267">
        <v>10</v>
      </c>
      <c r="EC267">
        <v>10</v>
      </c>
      <c r="ED267"/>
      <c r="EE267" t="s">
        <v>1730</v>
      </c>
      <c r="EF267">
        <v>10</v>
      </c>
      <c r="EG267"/>
      <c r="EH267"/>
      <c r="EI267"/>
      <c r="EJ267"/>
      <c r="EK267"/>
      <c r="EL267"/>
      <c r="EM267"/>
      <c r="EN267"/>
      <c r="EO267"/>
      <c r="EP267"/>
      <c r="EQ267"/>
      <c r="ER267"/>
      <c r="ES267"/>
      <c r="ET267"/>
      <c r="EU267">
        <v>5250</v>
      </c>
      <c r="EV267"/>
      <c r="EW267">
        <v>0</v>
      </c>
      <c r="EX267">
        <v>0</v>
      </c>
      <c r="EY267">
        <v>0</v>
      </c>
      <c r="EZ267"/>
      <c r="FA267">
        <v>10</v>
      </c>
      <c r="FB267"/>
      <c r="FC267"/>
      <c r="FD267"/>
      <c r="FE267"/>
      <c r="FF267"/>
      <c r="FG267" s="94">
        <v>381</v>
      </c>
      <c r="FH267" s="94">
        <v>361</v>
      </c>
      <c r="FI267" s="94">
        <v>372</v>
      </c>
    </row>
    <row r="268" spans="1:165" s="66" customFormat="1" x14ac:dyDescent="0.35">
      <c r="A268">
        <v>2026</v>
      </c>
      <c r="B268" t="s">
        <v>1510</v>
      </c>
      <c r="C268" s="112" t="s">
        <v>1511</v>
      </c>
      <c r="D268" t="s">
        <v>1731</v>
      </c>
      <c r="E268" t="s">
        <v>1513</v>
      </c>
      <c r="F268">
        <v>41</v>
      </c>
      <c r="G268" s="113">
        <v>0</v>
      </c>
      <c r="H268"/>
      <c r="I268" t="s">
        <v>1391</v>
      </c>
      <c r="J268">
        <v>25</v>
      </c>
      <c r="K268">
        <v>27</v>
      </c>
      <c r="L268">
        <v>26</v>
      </c>
      <c r="M268">
        <v>18.154</v>
      </c>
      <c r="N268">
        <v>19.163</v>
      </c>
      <c r="O268">
        <v>18.6081</v>
      </c>
      <c r="P268">
        <v>25.4633</v>
      </c>
      <c r="Q268">
        <v>26.882000000000001</v>
      </c>
      <c r="R268">
        <v>26.101700000000001</v>
      </c>
      <c r="S268"/>
      <c r="T268"/>
      <c r="U268"/>
      <c r="V268" t="s">
        <v>170</v>
      </c>
      <c r="W268" t="s">
        <v>171</v>
      </c>
      <c r="X268"/>
      <c r="Y268">
        <v>1</v>
      </c>
      <c r="Z268" t="s">
        <v>173</v>
      </c>
      <c r="AA268" t="s">
        <v>173</v>
      </c>
      <c r="AB268" t="s">
        <v>174</v>
      </c>
      <c r="AC268" t="s">
        <v>175</v>
      </c>
      <c r="AD268"/>
      <c r="AE268"/>
      <c r="AF268">
        <v>372</v>
      </c>
      <c r="AG268" t="s">
        <v>1392</v>
      </c>
      <c r="AH268" t="s">
        <v>1393</v>
      </c>
      <c r="AI268" t="s">
        <v>1399</v>
      </c>
      <c r="AJ268" t="s">
        <v>1400</v>
      </c>
      <c r="AK268">
        <v>4</v>
      </c>
      <c r="AL268" t="s">
        <v>1394</v>
      </c>
      <c r="AM268"/>
      <c r="AN268"/>
      <c r="AO268">
        <v>101</v>
      </c>
      <c r="AP268">
        <v>32</v>
      </c>
      <c r="AQ268"/>
      <c r="AR268"/>
      <c r="AS268">
        <v>650</v>
      </c>
      <c r="AT268">
        <v>650</v>
      </c>
      <c r="AU268"/>
      <c r="AV268"/>
      <c r="AW268"/>
      <c r="AX268"/>
      <c r="AY268"/>
      <c r="AZ268"/>
      <c r="BA268"/>
      <c r="BB268"/>
      <c r="BC268"/>
      <c r="BD268"/>
      <c r="BE268"/>
      <c r="BF268"/>
      <c r="BG268"/>
      <c r="BH268"/>
      <c r="BI268"/>
      <c r="BJ268"/>
      <c r="BK268"/>
      <c r="BL268"/>
      <c r="BM268"/>
      <c r="BN268" s="114"/>
      <c r="BO268"/>
      <c r="BP268"/>
      <c r="BQ268">
        <v>6</v>
      </c>
      <c r="BR268" t="s">
        <v>536</v>
      </c>
      <c r="BS268" t="s">
        <v>182</v>
      </c>
      <c r="BT268" t="s">
        <v>1402</v>
      </c>
      <c r="BU268" s="115">
        <v>45884</v>
      </c>
      <c r="BV268">
        <v>37536</v>
      </c>
      <c r="BW268" s="116"/>
      <c r="BX268" t="s">
        <v>172</v>
      </c>
      <c r="BY268" t="s">
        <v>173</v>
      </c>
      <c r="BZ268"/>
      <c r="CA268"/>
      <c r="CB268" t="s">
        <v>173</v>
      </c>
      <c r="CC268" t="s">
        <v>173</v>
      </c>
      <c r="CD268"/>
      <c r="CE268"/>
      <c r="CF268"/>
      <c r="CG268"/>
      <c r="CH268"/>
      <c r="CI268"/>
      <c r="CJ268"/>
      <c r="CK268" t="s">
        <v>259</v>
      </c>
      <c r="CL268"/>
      <c r="CM268">
        <v>1</v>
      </c>
      <c r="CN268" t="s">
        <v>260</v>
      </c>
      <c r="CO268"/>
      <c r="CP268">
        <v>580</v>
      </c>
      <c r="CQ268">
        <v>155</v>
      </c>
      <c r="CR268">
        <v>161.19999999999999</v>
      </c>
      <c r="CS268" t="s">
        <v>1437</v>
      </c>
      <c r="CT268"/>
      <c r="CU268"/>
      <c r="CV268" t="s">
        <v>262</v>
      </c>
      <c r="CW268"/>
      <c r="CX268" t="s">
        <v>263</v>
      </c>
      <c r="CY268" t="s">
        <v>172</v>
      </c>
      <c r="CZ268"/>
      <c r="DA268"/>
      <c r="DB268"/>
      <c r="DC268"/>
      <c r="DD268">
        <v>1</v>
      </c>
      <c r="DE268" t="s">
        <v>307</v>
      </c>
      <c r="DF268" t="s">
        <v>1514</v>
      </c>
      <c r="DG268">
        <v>330</v>
      </c>
      <c r="DH268"/>
      <c r="DI268"/>
      <c r="DJ268"/>
      <c r="DK268"/>
      <c r="DL268" t="s">
        <v>173</v>
      </c>
      <c r="DM268" t="s">
        <v>172</v>
      </c>
      <c r="DN268"/>
      <c r="DO268"/>
      <c r="DP268" t="s">
        <v>173</v>
      </c>
      <c r="DQ268" t="s">
        <v>189</v>
      </c>
      <c r="DR268"/>
      <c r="DS268"/>
      <c r="DT268"/>
      <c r="DU268"/>
      <c r="DV268"/>
      <c r="DW268"/>
      <c r="DX268"/>
      <c r="DY268"/>
      <c r="DZ268"/>
      <c r="EA268" s="117"/>
      <c r="EB268">
        <v>10</v>
      </c>
      <c r="EC268">
        <v>10</v>
      </c>
      <c r="ED268"/>
      <c r="EE268" t="s">
        <v>1730</v>
      </c>
      <c r="EF268">
        <v>10</v>
      </c>
      <c r="EG268"/>
      <c r="EH268"/>
      <c r="EI268"/>
      <c r="EJ268"/>
      <c r="EK268"/>
      <c r="EL268"/>
      <c r="EM268"/>
      <c r="EN268"/>
      <c r="EO268"/>
      <c r="EP268"/>
      <c r="EQ268"/>
      <c r="ER268"/>
      <c r="ES268"/>
      <c r="ET268"/>
      <c r="EU268">
        <v>5250</v>
      </c>
      <c r="EV268"/>
      <c r="EW268">
        <v>0</v>
      </c>
      <c r="EX268">
        <v>0</v>
      </c>
      <c r="EY268">
        <v>0</v>
      </c>
      <c r="EZ268"/>
      <c r="FA268">
        <v>10</v>
      </c>
      <c r="FB268"/>
      <c r="FC268"/>
      <c r="FD268"/>
      <c r="FE268"/>
      <c r="FF268"/>
      <c r="FG268" s="94">
        <v>381</v>
      </c>
      <c r="FH268" s="94">
        <v>361</v>
      </c>
      <c r="FI268" s="94">
        <v>372</v>
      </c>
    </row>
    <row r="269" spans="1:165" s="66" customFormat="1" x14ac:dyDescent="0.35">
      <c r="A269" s="19"/>
      <c r="B269" s="19"/>
      <c r="C269" s="19"/>
      <c r="D269" s="19"/>
      <c r="E269" s="19"/>
      <c r="F269" s="128"/>
      <c r="G269" s="19"/>
      <c r="H269" s="19"/>
      <c r="I269" s="19"/>
      <c r="J269" s="19"/>
      <c r="K269" s="19" t="str">
        <f>_xlfn.CONCAT(A270," ",C270," ",D270)</f>
        <v>2026 Lucid USA Inc. Air Sapphire AWD</v>
      </c>
      <c r="L269" s="19"/>
      <c r="M269" s="19"/>
      <c r="N269" s="19"/>
      <c r="O269" s="19"/>
      <c r="P269" s="19"/>
      <c r="Q269" s="19"/>
      <c r="R269" s="19"/>
      <c r="S269" s="19"/>
      <c r="T269" s="19"/>
      <c r="U269" s="19"/>
      <c r="V269" s="19"/>
      <c r="W269" s="19"/>
      <c r="X269" s="19"/>
      <c r="Y269" s="19"/>
      <c r="Z269" s="19"/>
      <c r="AA269" s="19"/>
      <c r="AB269" s="19" t="str">
        <f>$K269</f>
        <v>2026 Lucid USA Inc. Air Sapphire AWD</v>
      </c>
      <c r="AC269" s="19"/>
      <c r="AD269" s="19"/>
      <c r="AE269" s="19"/>
      <c r="AF269" s="19"/>
      <c r="AG269" s="19"/>
      <c r="AH269" s="19"/>
      <c r="AI269" s="19"/>
      <c r="AJ269" s="19"/>
      <c r="AK269" s="19"/>
      <c r="AL269" s="19"/>
      <c r="AM269" s="19"/>
      <c r="AN269" s="19"/>
      <c r="AO269" s="19"/>
      <c r="AP269" s="19"/>
      <c r="AQ269" s="19"/>
      <c r="AR269" s="19" t="str">
        <f>$K269</f>
        <v>2026 Lucid USA Inc. Air Sapphire AWD</v>
      </c>
      <c r="AS269" s="19"/>
      <c r="AT269" s="19"/>
      <c r="AU269" s="19"/>
      <c r="AV269" s="19"/>
      <c r="AW269" s="19"/>
      <c r="AX269" s="19"/>
      <c r="AY269" s="19"/>
      <c r="AZ269" s="19"/>
      <c r="BA269" s="19"/>
      <c r="BB269" s="19"/>
      <c r="BC269" s="19"/>
      <c r="BD269" s="19"/>
      <c r="BE269" s="19"/>
      <c r="BF269" s="19"/>
      <c r="BG269" s="19" t="str">
        <f>$K269</f>
        <v>2026 Lucid USA Inc. Air Sapphire AWD</v>
      </c>
      <c r="BH269" s="19"/>
      <c r="BI269" s="19"/>
      <c r="BJ269" s="19"/>
      <c r="BK269" s="19"/>
      <c r="BL269" s="19"/>
      <c r="BM269" s="129"/>
      <c r="BN269" s="19"/>
      <c r="BO269" s="19"/>
      <c r="BP269" s="19"/>
      <c r="BQ269" s="19"/>
      <c r="BR269" s="19"/>
      <c r="BS269" s="19"/>
      <c r="BT269" s="130"/>
      <c r="BU269" s="19"/>
      <c r="BV269" s="19"/>
      <c r="BW269" s="116"/>
      <c r="BX269" s="19"/>
      <c r="BY269" s="19"/>
      <c r="BZ269" s="19"/>
      <c r="CA269" s="19"/>
      <c r="CB269" s="19"/>
      <c r="CC269" s="19"/>
      <c r="CD269" s="19"/>
      <c r="CE269" s="19"/>
      <c r="CF269" s="19"/>
      <c r="CG269" s="19"/>
      <c r="CH269" s="19"/>
      <c r="CI269" s="19"/>
      <c r="CJ269" s="19"/>
      <c r="CK269" s="19"/>
      <c r="CL269" s="19"/>
      <c r="CM269" s="19" t="str">
        <f>$K269</f>
        <v>2026 Lucid USA Inc. Air Sapphire AWD</v>
      </c>
      <c r="CN269" s="19"/>
      <c r="CO269" s="19"/>
      <c r="CP269" s="19"/>
      <c r="CQ269" s="19"/>
      <c r="CR269" s="19"/>
      <c r="CS269" s="19"/>
      <c r="CT269" s="19"/>
      <c r="CU269" s="19"/>
      <c r="CV269" s="19"/>
      <c r="CW269" s="19"/>
      <c r="CX269" s="19"/>
      <c r="CY269" s="19"/>
      <c r="CZ269" s="19"/>
      <c r="DA269" s="19"/>
      <c r="DB269" s="19"/>
      <c r="DC269" s="19"/>
      <c r="DD269" s="19" t="str">
        <f>$K269</f>
        <v>2026 Lucid USA Inc. Air Sapphire AWD</v>
      </c>
      <c r="DE269" s="19"/>
      <c r="DF269" s="19"/>
      <c r="DG269" s="19"/>
      <c r="DH269" s="19"/>
      <c r="DI269" s="19"/>
      <c r="DJ269" s="19"/>
      <c r="DK269" s="19"/>
      <c r="DL269" s="19"/>
      <c r="DM269" s="19"/>
      <c r="DN269" s="19"/>
      <c r="DO269" s="19"/>
      <c r="DP269" s="19"/>
      <c r="DQ269" s="19"/>
      <c r="DR269" s="19"/>
      <c r="DS269" s="19"/>
      <c r="DT269" s="19"/>
      <c r="DU269" s="19" t="str">
        <f>$K269</f>
        <v>2026 Lucid USA Inc. Air Sapphire AWD</v>
      </c>
      <c r="DV269" s="19"/>
      <c r="DW269" s="19"/>
      <c r="DX269" s="19"/>
      <c r="DY269" s="19"/>
      <c r="DZ269" s="19"/>
      <c r="EA269" s="117"/>
      <c r="EB269" s="19"/>
      <c r="EC269" s="19"/>
      <c r="ED269" s="19"/>
      <c r="EE269" s="19"/>
      <c r="EF269" s="19"/>
      <c r="EG269"/>
      <c r="EH269"/>
      <c r="EI269"/>
      <c r="EJ269"/>
      <c r="EK269"/>
      <c r="EL269"/>
      <c r="EM269"/>
      <c r="EN269"/>
      <c r="EO269"/>
      <c r="EP269"/>
      <c r="EQ269"/>
      <c r="ER269"/>
      <c r="ES269"/>
      <c r="ET269"/>
      <c r="EU269"/>
      <c r="EV269"/>
      <c r="EW269"/>
      <c r="EX269" s="19" t="s">
        <v>2008</v>
      </c>
      <c r="EY269"/>
      <c r="EZ269"/>
      <c r="FA269"/>
      <c r="FB269"/>
      <c r="FC269"/>
      <c r="FD269"/>
      <c r="FE269"/>
      <c r="FF269"/>
      <c r="FG269"/>
      <c r="FH269"/>
      <c r="FI269"/>
    </row>
    <row r="270" spans="1:165" s="66" customFormat="1" x14ac:dyDescent="0.35">
      <c r="A270">
        <v>2026</v>
      </c>
      <c r="B270" t="s">
        <v>1510</v>
      </c>
      <c r="C270" s="112" t="s">
        <v>1511</v>
      </c>
      <c r="D270" t="s">
        <v>1732</v>
      </c>
      <c r="E270" t="s">
        <v>1513</v>
      </c>
      <c r="F270">
        <v>39</v>
      </c>
      <c r="G270" s="113">
        <v>0</v>
      </c>
      <c r="H270"/>
      <c r="I270" t="s">
        <v>1391</v>
      </c>
      <c r="J270">
        <v>108</v>
      </c>
      <c r="K270">
        <v>101</v>
      </c>
      <c r="L270">
        <v>105</v>
      </c>
      <c r="M270">
        <v>149.19999999999999</v>
      </c>
      <c r="N270">
        <v>140.1</v>
      </c>
      <c r="O270">
        <v>144.96289999999999</v>
      </c>
      <c r="P270">
        <v>107.9611</v>
      </c>
      <c r="Q270">
        <v>101.3764</v>
      </c>
      <c r="R270">
        <v>104.8952</v>
      </c>
      <c r="S270"/>
      <c r="T270"/>
      <c r="U270"/>
      <c r="V270" t="s">
        <v>170</v>
      </c>
      <c r="W270" t="s">
        <v>171</v>
      </c>
      <c r="X270"/>
      <c r="Y270">
        <v>1</v>
      </c>
      <c r="Z270" t="s">
        <v>173</v>
      </c>
      <c r="AA270" t="s">
        <v>173</v>
      </c>
      <c r="AB270" t="s">
        <v>170</v>
      </c>
      <c r="AC270" t="s">
        <v>232</v>
      </c>
      <c r="AD270"/>
      <c r="AE270"/>
      <c r="AF270">
        <v>427</v>
      </c>
      <c r="AG270" t="s">
        <v>1392</v>
      </c>
      <c r="AH270" t="s">
        <v>1393</v>
      </c>
      <c r="AI270" t="s">
        <v>178</v>
      </c>
      <c r="AJ270" t="s">
        <v>179</v>
      </c>
      <c r="AK270">
        <v>4</v>
      </c>
      <c r="AL270" t="s">
        <v>1394</v>
      </c>
      <c r="AM270"/>
      <c r="AN270"/>
      <c r="AO270">
        <v>99</v>
      </c>
      <c r="AP270">
        <v>32</v>
      </c>
      <c r="AQ270"/>
      <c r="AR270"/>
      <c r="AS270">
        <v>800</v>
      </c>
      <c r="AT270">
        <v>800</v>
      </c>
      <c r="AU270"/>
      <c r="AV270"/>
      <c r="AW270"/>
      <c r="AX270"/>
      <c r="AY270"/>
      <c r="AZ270"/>
      <c r="BA270"/>
      <c r="BB270"/>
      <c r="BC270"/>
      <c r="BD270"/>
      <c r="BE270"/>
      <c r="BF270"/>
      <c r="BG270"/>
      <c r="BH270"/>
      <c r="BI270"/>
      <c r="BJ270"/>
      <c r="BK270"/>
      <c r="BL270"/>
      <c r="BM270"/>
      <c r="BN270" s="114"/>
      <c r="BO270"/>
      <c r="BP270"/>
      <c r="BQ270">
        <v>6</v>
      </c>
      <c r="BR270" t="s">
        <v>536</v>
      </c>
      <c r="BS270" t="s">
        <v>182</v>
      </c>
      <c r="BT270" t="s">
        <v>1402</v>
      </c>
      <c r="BU270" s="115">
        <v>45884</v>
      </c>
      <c r="BV270">
        <v>37534</v>
      </c>
      <c r="BW270" s="116"/>
      <c r="BX270" t="s">
        <v>172</v>
      </c>
      <c r="BY270" t="s">
        <v>173</v>
      </c>
      <c r="BZ270"/>
      <c r="CA270"/>
      <c r="CB270" t="s">
        <v>173</v>
      </c>
      <c r="CC270" t="s">
        <v>173</v>
      </c>
      <c r="CD270"/>
      <c r="CE270"/>
      <c r="CF270"/>
      <c r="CG270"/>
      <c r="CH270"/>
      <c r="CI270"/>
      <c r="CJ270"/>
      <c r="CK270" t="s">
        <v>259</v>
      </c>
      <c r="CL270"/>
      <c r="CM270">
        <v>1</v>
      </c>
      <c r="CN270" t="s">
        <v>260</v>
      </c>
      <c r="CO270"/>
      <c r="CP270">
        <v>810</v>
      </c>
      <c r="CQ270">
        <v>147</v>
      </c>
      <c r="CR270">
        <v>171</v>
      </c>
      <c r="CS270" t="s">
        <v>1437</v>
      </c>
      <c r="CT270"/>
      <c r="CU270"/>
      <c r="CV270" t="s">
        <v>262</v>
      </c>
      <c r="CW270"/>
      <c r="CX270" t="s">
        <v>263</v>
      </c>
      <c r="CY270" t="s">
        <v>172</v>
      </c>
      <c r="CZ270"/>
      <c r="DA270"/>
      <c r="DB270"/>
      <c r="DC270"/>
      <c r="DD270">
        <v>3</v>
      </c>
      <c r="DE270" t="s">
        <v>307</v>
      </c>
      <c r="DF270" t="s">
        <v>1514</v>
      </c>
      <c r="DG270">
        <v>310</v>
      </c>
      <c r="DH270"/>
      <c r="DI270"/>
      <c r="DJ270"/>
      <c r="DK270"/>
      <c r="DL270" t="s">
        <v>173</v>
      </c>
      <c r="DM270" t="s">
        <v>172</v>
      </c>
      <c r="DN270"/>
      <c r="DO270"/>
      <c r="DP270" t="s">
        <v>173</v>
      </c>
      <c r="DQ270" t="s">
        <v>189</v>
      </c>
      <c r="DR270"/>
      <c r="DS270"/>
      <c r="DT270"/>
      <c r="DU270"/>
      <c r="DV270"/>
      <c r="DW270"/>
      <c r="DX270"/>
      <c r="DY270"/>
      <c r="DZ270"/>
      <c r="EA270" s="117"/>
      <c r="EB270">
        <v>9</v>
      </c>
      <c r="EC270">
        <v>10</v>
      </c>
      <c r="ED270"/>
      <c r="EE270" t="s">
        <v>1733</v>
      </c>
      <c r="EF270">
        <v>10</v>
      </c>
      <c r="EG270"/>
      <c r="EH270"/>
      <c r="EI270"/>
      <c r="EJ270"/>
      <c r="EK270"/>
      <c r="EL270"/>
      <c r="EM270"/>
      <c r="EN270"/>
      <c r="EO270"/>
      <c r="EP270"/>
      <c r="EQ270"/>
      <c r="ER270"/>
      <c r="ES270"/>
      <c r="ET270"/>
      <c r="EU270">
        <v>4500</v>
      </c>
      <c r="EV270"/>
      <c r="EW270">
        <v>0</v>
      </c>
      <c r="EX270">
        <v>0</v>
      </c>
      <c r="EY270">
        <v>0</v>
      </c>
      <c r="EZ270"/>
      <c r="FA270">
        <v>13</v>
      </c>
      <c r="FB270"/>
      <c r="FC270"/>
      <c r="FD270"/>
      <c r="FE270"/>
      <c r="FF270"/>
      <c r="FG270" s="94">
        <v>439</v>
      </c>
      <c r="FH270" s="94">
        <v>412</v>
      </c>
      <c r="FI270" s="94">
        <v>427</v>
      </c>
    </row>
    <row r="271" spans="1:165" s="66" customFormat="1" x14ac:dyDescent="0.35">
      <c r="A271">
        <v>2026</v>
      </c>
      <c r="B271" t="s">
        <v>1510</v>
      </c>
      <c r="C271" s="112" t="s">
        <v>1511</v>
      </c>
      <c r="D271" t="s">
        <v>1732</v>
      </c>
      <c r="E271" t="s">
        <v>1513</v>
      </c>
      <c r="F271">
        <v>39</v>
      </c>
      <c r="G271" s="113">
        <v>0</v>
      </c>
      <c r="H271"/>
      <c r="I271" t="s">
        <v>1391</v>
      </c>
      <c r="J271">
        <v>31</v>
      </c>
      <c r="K271">
        <v>33</v>
      </c>
      <c r="L271">
        <v>32</v>
      </c>
      <c r="M271">
        <v>22.594999999999999</v>
      </c>
      <c r="N271">
        <v>24.062999999999999</v>
      </c>
      <c r="O271">
        <v>23.255600000000001</v>
      </c>
      <c r="P271">
        <v>31.2196</v>
      </c>
      <c r="Q271">
        <v>33.247399999999999</v>
      </c>
      <c r="R271">
        <v>32.132100000000001</v>
      </c>
      <c r="S271"/>
      <c r="T271"/>
      <c r="U271"/>
      <c r="V271" t="s">
        <v>170</v>
      </c>
      <c r="W271" t="s">
        <v>171</v>
      </c>
      <c r="X271"/>
      <c r="Y271">
        <v>1</v>
      </c>
      <c r="Z271" t="s">
        <v>173</v>
      </c>
      <c r="AA271" t="s">
        <v>173</v>
      </c>
      <c r="AB271" t="s">
        <v>170</v>
      </c>
      <c r="AC271" t="s">
        <v>232</v>
      </c>
      <c r="AD271"/>
      <c r="AE271"/>
      <c r="AF271">
        <v>427</v>
      </c>
      <c r="AG271" t="s">
        <v>1392</v>
      </c>
      <c r="AH271" t="s">
        <v>1393</v>
      </c>
      <c r="AI271" t="s">
        <v>1399</v>
      </c>
      <c r="AJ271" t="s">
        <v>1400</v>
      </c>
      <c r="AK271">
        <v>4</v>
      </c>
      <c r="AL271" t="s">
        <v>1394</v>
      </c>
      <c r="AM271"/>
      <c r="AN271"/>
      <c r="AO271">
        <v>99</v>
      </c>
      <c r="AP271">
        <v>32</v>
      </c>
      <c r="AQ271"/>
      <c r="AR271"/>
      <c r="AS271">
        <v>800</v>
      </c>
      <c r="AT271">
        <v>800</v>
      </c>
      <c r="AU271"/>
      <c r="AV271"/>
      <c r="AW271"/>
      <c r="AX271"/>
      <c r="AY271"/>
      <c r="AZ271"/>
      <c r="BA271"/>
      <c r="BB271"/>
      <c r="BC271"/>
      <c r="BD271"/>
      <c r="BE271"/>
      <c r="BF271"/>
      <c r="BG271"/>
      <c r="BH271"/>
      <c r="BI271"/>
      <c r="BJ271"/>
      <c r="BK271"/>
      <c r="BL271"/>
      <c r="BM271"/>
      <c r="BN271" s="114"/>
      <c r="BO271"/>
      <c r="BP271"/>
      <c r="BQ271">
        <v>6</v>
      </c>
      <c r="BR271" t="s">
        <v>536</v>
      </c>
      <c r="BS271" t="s">
        <v>182</v>
      </c>
      <c r="BT271" t="s">
        <v>1402</v>
      </c>
      <c r="BU271" s="115">
        <v>45884</v>
      </c>
      <c r="BV271">
        <v>37534</v>
      </c>
      <c r="BW271" s="116"/>
      <c r="BX271" t="s">
        <v>172</v>
      </c>
      <c r="BY271" t="s">
        <v>173</v>
      </c>
      <c r="BZ271"/>
      <c r="CA271"/>
      <c r="CB271" t="s">
        <v>173</v>
      </c>
      <c r="CC271" t="s">
        <v>173</v>
      </c>
      <c r="CD271"/>
      <c r="CE271"/>
      <c r="CF271"/>
      <c r="CG271"/>
      <c r="CH271"/>
      <c r="CI271"/>
      <c r="CJ271"/>
      <c r="CK271" t="s">
        <v>259</v>
      </c>
      <c r="CL271"/>
      <c r="CM271">
        <v>1</v>
      </c>
      <c r="CN271" t="s">
        <v>260</v>
      </c>
      <c r="CO271"/>
      <c r="CP271">
        <v>810</v>
      </c>
      <c r="CQ271">
        <v>147</v>
      </c>
      <c r="CR271">
        <v>171</v>
      </c>
      <c r="CS271" t="s">
        <v>1437</v>
      </c>
      <c r="CT271"/>
      <c r="CU271"/>
      <c r="CV271" t="s">
        <v>262</v>
      </c>
      <c r="CW271"/>
      <c r="CX271" t="s">
        <v>263</v>
      </c>
      <c r="CY271" t="s">
        <v>172</v>
      </c>
      <c r="CZ271"/>
      <c r="DA271"/>
      <c r="DB271"/>
      <c r="DC271"/>
      <c r="DD271">
        <v>3</v>
      </c>
      <c r="DE271" t="s">
        <v>307</v>
      </c>
      <c r="DF271" t="s">
        <v>1514</v>
      </c>
      <c r="DG271">
        <v>310</v>
      </c>
      <c r="DH271"/>
      <c r="DI271"/>
      <c r="DJ271"/>
      <c r="DK271"/>
      <c r="DL271" t="s">
        <v>173</v>
      </c>
      <c r="DM271" t="s">
        <v>172</v>
      </c>
      <c r="DN271"/>
      <c r="DO271"/>
      <c r="DP271" t="s">
        <v>173</v>
      </c>
      <c r="DQ271" t="s">
        <v>189</v>
      </c>
      <c r="DR271"/>
      <c r="DS271"/>
      <c r="DT271"/>
      <c r="DU271"/>
      <c r="DV271"/>
      <c r="DW271"/>
      <c r="DX271"/>
      <c r="DY271"/>
      <c r="DZ271"/>
      <c r="EA271" s="117"/>
      <c r="EB271">
        <v>10</v>
      </c>
      <c r="EC271">
        <v>10</v>
      </c>
      <c r="ED271"/>
      <c r="EE271" t="s">
        <v>1733</v>
      </c>
      <c r="EF271">
        <v>10</v>
      </c>
      <c r="EG271"/>
      <c r="EH271"/>
      <c r="EI271"/>
      <c r="EJ271"/>
      <c r="EK271"/>
      <c r="EL271"/>
      <c r="EM271"/>
      <c r="EN271"/>
      <c r="EO271"/>
      <c r="EP271"/>
      <c r="EQ271"/>
      <c r="ER271"/>
      <c r="ES271"/>
      <c r="ET271"/>
      <c r="EU271">
        <v>4500</v>
      </c>
      <c r="EV271"/>
      <c r="EW271">
        <v>0</v>
      </c>
      <c r="EX271">
        <v>0</v>
      </c>
      <c r="EY271">
        <v>0</v>
      </c>
      <c r="EZ271"/>
      <c r="FA271">
        <v>13</v>
      </c>
      <c r="FB271"/>
      <c r="FC271"/>
      <c r="FD271"/>
      <c r="FE271"/>
      <c r="FF271"/>
      <c r="FG271" s="94">
        <v>439</v>
      </c>
      <c r="FH271" s="94">
        <v>412</v>
      </c>
      <c r="FI271" s="94">
        <v>427</v>
      </c>
    </row>
    <row r="272" spans="1:165" s="66" customFormat="1" x14ac:dyDescent="0.35">
      <c r="A272" s="19"/>
      <c r="B272" s="19"/>
      <c r="C272" s="19"/>
      <c r="D272" s="19"/>
      <c r="E272" s="19"/>
      <c r="F272" s="128"/>
      <c r="G272" s="19"/>
      <c r="H272" s="19"/>
      <c r="I272" s="19"/>
      <c r="J272" s="19"/>
      <c r="K272" s="19" t="str">
        <f>_xlfn.CONCAT(A273," ",C273," ",D273)</f>
        <v>2026 Lucid USA Inc. Air Touring AWD w/19" wheels</v>
      </c>
      <c r="L272" s="19"/>
      <c r="M272" s="19"/>
      <c r="N272" s="19"/>
      <c r="O272" s="19"/>
      <c r="P272" s="19"/>
      <c r="Q272" s="19"/>
      <c r="R272" s="19"/>
      <c r="S272" s="19"/>
      <c r="T272" s="19"/>
      <c r="U272" s="19"/>
      <c r="V272" s="19"/>
      <c r="W272" s="19"/>
      <c r="X272" s="19"/>
      <c r="Y272" s="19"/>
      <c r="Z272" s="19"/>
      <c r="AA272" s="19"/>
      <c r="AB272" s="19" t="str">
        <f>$K272</f>
        <v>2026 Lucid USA Inc. Air Touring AWD w/19" wheels</v>
      </c>
      <c r="AC272" s="19"/>
      <c r="AD272" s="19"/>
      <c r="AE272" s="19"/>
      <c r="AF272" s="19"/>
      <c r="AG272" s="19"/>
      <c r="AH272" s="19"/>
      <c r="AI272" s="19"/>
      <c r="AJ272" s="19"/>
      <c r="AK272" s="19"/>
      <c r="AL272" s="19"/>
      <c r="AM272" s="19"/>
      <c r="AN272" s="19"/>
      <c r="AO272" s="19"/>
      <c r="AP272" s="19"/>
      <c r="AQ272" s="19"/>
      <c r="AR272" s="19" t="str">
        <f>$K272</f>
        <v>2026 Lucid USA Inc. Air Touring AWD w/19" wheels</v>
      </c>
      <c r="AS272" s="19"/>
      <c r="AT272" s="19"/>
      <c r="AU272" s="19"/>
      <c r="AV272" s="19"/>
      <c r="AW272" s="19"/>
      <c r="AX272" s="19"/>
      <c r="AY272" s="19"/>
      <c r="AZ272" s="19"/>
      <c r="BA272" s="19"/>
      <c r="BB272" s="19"/>
      <c r="BC272" s="19"/>
      <c r="BD272" s="19"/>
      <c r="BE272" s="19"/>
      <c r="BF272" s="19"/>
      <c r="BG272" s="19" t="str">
        <f>$K272</f>
        <v>2026 Lucid USA Inc. Air Touring AWD w/19" wheels</v>
      </c>
      <c r="BH272" s="19"/>
      <c r="BI272" s="19"/>
      <c r="BJ272" s="19"/>
      <c r="BK272" s="19"/>
      <c r="BL272" s="19"/>
      <c r="BM272" s="129"/>
      <c r="BN272" s="19"/>
      <c r="BO272" s="19"/>
      <c r="BP272" s="19"/>
      <c r="BQ272" s="19"/>
      <c r="BR272" s="19"/>
      <c r="BS272" s="19"/>
      <c r="BT272" s="130"/>
      <c r="BU272" s="19"/>
      <c r="BV272" s="19"/>
      <c r="BW272" s="116"/>
      <c r="BX272" s="19"/>
      <c r="BY272" s="19"/>
      <c r="BZ272" s="19"/>
      <c r="CA272" s="19"/>
      <c r="CB272" s="19"/>
      <c r="CC272" s="19"/>
      <c r="CD272" s="19"/>
      <c r="CE272" s="19"/>
      <c r="CF272" s="19"/>
      <c r="CG272" s="19"/>
      <c r="CH272" s="19"/>
      <c r="CI272" s="19"/>
      <c r="CJ272" s="19"/>
      <c r="CK272" s="19"/>
      <c r="CL272" s="19"/>
      <c r="CM272" s="19" t="str">
        <f>$K272</f>
        <v>2026 Lucid USA Inc. Air Touring AWD w/19" wheels</v>
      </c>
      <c r="CN272" s="19"/>
      <c r="CO272" s="19"/>
      <c r="CP272" s="19"/>
      <c r="CQ272" s="19"/>
      <c r="CR272" s="19"/>
      <c r="CS272" s="19"/>
      <c r="CT272" s="19"/>
      <c r="CU272" s="19"/>
      <c r="CV272" s="19"/>
      <c r="CW272" s="19"/>
      <c r="CX272" s="19"/>
      <c r="CY272" s="19"/>
      <c r="CZ272" s="19"/>
      <c r="DA272" s="19"/>
      <c r="DB272" s="19"/>
      <c r="DC272" s="19"/>
      <c r="DD272" s="19" t="str">
        <f>$K272</f>
        <v>2026 Lucid USA Inc. Air Touring AWD w/19" wheels</v>
      </c>
      <c r="DE272" s="19"/>
      <c r="DF272" s="19"/>
      <c r="DG272" s="19"/>
      <c r="DH272" s="19"/>
      <c r="DI272" s="19"/>
      <c r="DJ272" s="19"/>
      <c r="DK272" s="19"/>
      <c r="DL272" s="19"/>
      <c r="DM272" s="19"/>
      <c r="DN272" s="19"/>
      <c r="DO272" s="19"/>
      <c r="DP272" s="19"/>
      <c r="DQ272" s="19"/>
      <c r="DR272" s="19"/>
      <c r="DS272" s="19"/>
      <c r="DT272" s="19"/>
      <c r="DU272" s="19" t="str">
        <f>$K272</f>
        <v>2026 Lucid USA Inc. Air Touring AWD w/19" wheels</v>
      </c>
      <c r="DV272" s="19"/>
      <c r="DW272" s="19"/>
      <c r="DX272" s="19"/>
      <c r="DY272" s="19"/>
      <c r="DZ272" s="19"/>
      <c r="EA272" s="117"/>
      <c r="EB272" s="19"/>
      <c r="EC272" s="19"/>
      <c r="ED272" s="19"/>
      <c r="EE272" s="19"/>
      <c r="EF272" s="19"/>
      <c r="EG272"/>
      <c r="EH272"/>
      <c r="EI272"/>
      <c r="EJ272"/>
      <c r="EK272"/>
      <c r="EL272"/>
      <c r="EM272"/>
      <c r="EN272"/>
      <c r="EO272"/>
      <c r="EP272"/>
      <c r="EQ272"/>
      <c r="ER272"/>
      <c r="ES272"/>
      <c r="ET272"/>
      <c r="EU272"/>
      <c r="EV272"/>
      <c r="EW272"/>
      <c r="EX272" s="19" t="s">
        <v>2009</v>
      </c>
      <c r="EY272"/>
      <c r="EZ272"/>
      <c r="FA272"/>
      <c r="FB272"/>
      <c r="FC272"/>
      <c r="FD272"/>
      <c r="FE272"/>
      <c r="FF272"/>
      <c r="FG272"/>
      <c r="FH272"/>
      <c r="FI272"/>
    </row>
    <row r="273" spans="1:165" s="66" customFormat="1" x14ac:dyDescent="0.35">
      <c r="A273">
        <v>2026</v>
      </c>
      <c r="B273" t="s">
        <v>1510</v>
      </c>
      <c r="C273" s="112" t="s">
        <v>1511</v>
      </c>
      <c r="D273" t="s">
        <v>1734</v>
      </c>
      <c r="E273" t="s">
        <v>1513</v>
      </c>
      <c r="F273">
        <v>46</v>
      </c>
      <c r="G273" s="113">
        <v>0</v>
      </c>
      <c r="H273"/>
      <c r="I273" t="s">
        <v>1391</v>
      </c>
      <c r="J273">
        <v>136</v>
      </c>
      <c r="K273">
        <v>132</v>
      </c>
      <c r="L273">
        <v>134</v>
      </c>
      <c r="M273">
        <v>186</v>
      </c>
      <c r="N273">
        <v>180.3</v>
      </c>
      <c r="O273">
        <v>183.39099999999999</v>
      </c>
      <c r="P273">
        <v>135.7056</v>
      </c>
      <c r="Q273">
        <v>131.54689999999999</v>
      </c>
      <c r="R273">
        <v>133.8021</v>
      </c>
      <c r="S273"/>
      <c r="T273"/>
      <c r="U273"/>
      <c r="V273" t="s">
        <v>170</v>
      </c>
      <c r="W273" t="s">
        <v>171</v>
      </c>
      <c r="X273"/>
      <c r="Y273">
        <v>1</v>
      </c>
      <c r="Z273" t="s">
        <v>173</v>
      </c>
      <c r="AA273" t="s">
        <v>173</v>
      </c>
      <c r="AB273" t="s">
        <v>170</v>
      </c>
      <c r="AC273" t="s">
        <v>232</v>
      </c>
      <c r="AD273"/>
      <c r="AE273"/>
      <c r="AF273">
        <v>431</v>
      </c>
      <c r="AG273" t="s">
        <v>1392</v>
      </c>
      <c r="AH273" t="s">
        <v>1393</v>
      </c>
      <c r="AI273" t="s">
        <v>178</v>
      </c>
      <c r="AJ273" t="s">
        <v>179</v>
      </c>
      <c r="AK273">
        <v>4</v>
      </c>
      <c r="AL273" t="s">
        <v>1394</v>
      </c>
      <c r="AM273"/>
      <c r="AN273"/>
      <c r="AO273">
        <v>101</v>
      </c>
      <c r="AP273">
        <v>32</v>
      </c>
      <c r="AQ273"/>
      <c r="AR273"/>
      <c r="AS273">
        <v>650</v>
      </c>
      <c r="AT273">
        <v>650</v>
      </c>
      <c r="AU273"/>
      <c r="AV273"/>
      <c r="AW273"/>
      <c r="AX273"/>
      <c r="AY273"/>
      <c r="AZ273"/>
      <c r="BA273"/>
      <c r="BB273"/>
      <c r="BC273"/>
      <c r="BD273"/>
      <c r="BE273"/>
      <c r="BF273"/>
      <c r="BG273"/>
      <c r="BH273"/>
      <c r="BI273"/>
      <c r="BJ273"/>
      <c r="BK273"/>
      <c r="BL273"/>
      <c r="BM273"/>
      <c r="BN273" s="114"/>
      <c r="BO273"/>
      <c r="BP273"/>
      <c r="BQ273">
        <v>6</v>
      </c>
      <c r="BR273" t="s">
        <v>536</v>
      </c>
      <c r="BS273" t="s">
        <v>182</v>
      </c>
      <c r="BT273" t="s">
        <v>1402</v>
      </c>
      <c r="BU273" s="115">
        <v>45884</v>
      </c>
      <c r="BV273">
        <v>37540</v>
      </c>
      <c r="BW273" s="116"/>
      <c r="BX273" t="s">
        <v>172</v>
      </c>
      <c r="BY273" t="s">
        <v>173</v>
      </c>
      <c r="BZ273"/>
      <c r="CA273"/>
      <c r="CB273" t="s">
        <v>173</v>
      </c>
      <c r="CC273" t="s">
        <v>173</v>
      </c>
      <c r="CD273"/>
      <c r="CE273"/>
      <c r="CF273"/>
      <c r="CG273"/>
      <c r="CH273"/>
      <c r="CI273"/>
      <c r="CJ273"/>
      <c r="CK273" t="s">
        <v>259</v>
      </c>
      <c r="CL273"/>
      <c r="CM273">
        <v>1</v>
      </c>
      <c r="CN273" t="s">
        <v>260</v>
      </c>
      <c r="CO273"/>
      <c r="CP273">
        <v>800</v>
      </c>
      <c r="CQ273">
        <v>147</v>
      </c>
      <c r="CR273">
        <v>171</v>
      </c>
      <c r="CS273" t="s">
        <v>1437</v>
      </c>
      <c r="CT273"/>
      <c r="CU273"/>
      <c r="CV273" t="s">
        <v>262</v>
      </c>
      <c r="CW273"/>
      <c r="CX273" t="s">
        <v>263</v>
      </c>
      <c r="CY273" t="s">
        <v>172</v>
      </c>
      <c r="CZ273"/>
      <c r="DA273"/>
      <c r="DB273"/>
      <c r="DC273"/>
      <c r="DD273">
        <v>2</v>
      </c>
      <c r="DE273" t="s">
        <v>307</v>
      </c>
      <c r="DF273" t="s">
        <v>1514</v>
      </c>
      <c r="DG273" t="s">
        <v>1725</v>
      </c>
      <c r="DH273"/>
      <c r="DI273"/>
      <c r="DJ273"/>
      <c r="DK273"/>
      <c r="DL273" t="s">
        <v>173</v>
      </c>
      <c r="DM273" t="s">
        <v>172</v>
      </c>
      <c r="DN273"/>
      <c r="DO273"/>
      <c r="DP273" t="s">
        <v>173</v>
      </c>
      <c r="DQ273" t="s">
        <v>189</v>
      </c>
      <c r="DR273"/>
      <c r="DS273"/>
      <c r="DT273"/>
      <c r="DU273"/>
      <c r="DV273"/>
      <c r="DW273"/>
      <c r="DX273"/>
      <c r="DY273"/>
      <c r="DZ273"/>
      <c r="EA273" s="117"/>
      <c r="EB273">
        <v>10</v>
      </c>
      <c r="EC273">
        <v>10</v>
      </c>
      <c r="ED273"/>
      <c r="EE273" t="s">
        <v>1726</v>
      </c>
      <c r="EF273">
        <v>10</v>
      </c>
      <c r="EG273"/>
      <c r="EH273"/>
      <c r="EI273"/>
      <c r="EJ273"/>
      <c r="EK273"/>
      <c r="EL273"/>
      <c r="EM273"/>
      <c r="EN273"/>
      <c r="EO273"/>
      <c r="EP273"/>
      <c r="EQ273"/>
      <c r="ER273"/>
      <c r="ES273"/>
      <c r="ET273"/>
      <c r="EU273">
        <v>5250</v>
      </c>
      <c r="EV273"/>
      <c r="EW273">
        <v>0</v>
      </c>
      <c r="EX273">
        <v>0</v>
      </c>
      <c r="EY273">
        <v>0</v>
      </c>
      <c r="EZ273"/>
      <c r="FA273">
        <v>10</v>
      </c>
      <c r="FB273"/>
      <c r="FC273"/>
      <c r="FD273"/>
      <c r="FE273"/>
      <c r="FF273"/>
      <c r="FG273" s="94">
        <v>437</v>
      </c>
      <c r="FH273" s="94">
        <v>424</v>
      </c>
      <c r="FI273" s="94">
        <v>431</v>
      </c>
    </row>
    <row r="274" spans="1:165" s="66" customFormat="1" x14ac:dyDescent="0.35">
      <c r="A274">
        <v>2026</v>
      </c>
      <c r="B274" t="s">
        <v>1510</v>
      </c>
      <c r="C274" s="112" t="s">
        <v>1511</v>
      </c>
      <c r="D274" t="s">
        <v>1734</v>
      </c>
      <c r="E274" t="s">
        <v>1513</v>
      </c>
      <c r="F274">
        <v>46</v>
      </c>
      <c r="G274" s="113">
        <v>0</v>
      </c>
      <c r="H274"/>
      <c r="I274" t="s">
        <v>1391</v>
      </c>
      <c r="J274">
        <v>25</v>
      </c>
      <c r="K274">
        <v>26</v>
      </c>
      <c r="L274">
        <v>25</v>
      </c>
      <c r="M274">
        <v>18.117000000000001</v>
      </c>
      <c r="N274">
        <v>18.690999999999999</v>
      </c>
      <c r="O274">
        <v>18.375299999999999</v>
      </c>
      <c r="P274">
        <v>24.8369</v>
      </c>
      <c r="Q274">
        <v>25.622</v>
      </c>
      <c r="R274">
        <v>25.190200000000001</v>
      </c>
      <c r="S274"/>
      <c r="T274"/>
      <c r="U274"/>
      <c r="V274" t="s">
        <v>170</v>
      </c>
      <c r="W274" t="s">
        <v>171</v>
      </c>
      <c r="X274"/>
      <c r="Y274">
        <v>1</v>
      </c>
      <c r="Z274" t="s">
        <v>173</v>
      </c>
      <c r="AA274" t="s">
        <v>173</v>
      </c>
      <c r="AB274" t="s">
        <v>170</v>
      </c>
      <c r="AC274" t="s">
        <v>232</v>
      </c>
      <c r="AD274"/>
      <c r="AE274"/>
      <c r="AF274">
        <v>431</v>
      </c>
      <c r="AG274" t="s">
        <v>1392</v>
      </c>
      <c r="AH274" t="s">
        <v>1393</v>
      </c>
      <c r="AI274" t="s">
        <v>1399</v>
      </c>
      <c r="AJ274" t="s">
        <v>1400</v>
      </c>
      <c r="AK274">
        <v>4</v>
      </c>
      <c r="AL274" t="s">
        <v>1394</v>
      </c>
      <c r="AM274"/>
      <c r="AN274"/>
      <c r="AO274">
        <v>101</v>
      </c>
      <c r="AP274">
        <v>32</v>
      </c>
      <c r="AQ274"/>
      <c r="AR274"/>
      <c r="AS274">
        <v>650</v>
      </c>
      <c r="AT274">
        <v>650</v>
      </c>
      <c r="AU274"/>
      <c r="AV274"/>
      <c r="AW274"/>
      <c r="AX274"/>
      <c r="AY274"/>
      <c r="AZ274"/>
      <c r="BA274"/>
      <c r="BB274"/>
      <c r="BC274"/>
      <c r="BD274"/>
      <c r="BE274"/>
      <c r="BF274"/>
      <c r="BG274"/>
      <c r="BH274"/>
      <c r="BI274"/>
      <c r="BJ274"/>
      <c r="BK274"/>
      <c r="BL274"/>
      <c r="BM274"/>
      <c r="BN274" s="114"/>
      <c r="BO274"/>
      <c r="BP274"/>
      <c r="BQ274">
        <v>6</v>
      </c>
      <c r="BR274" t="s">
        <v>536</v>
      </c>
      <c r="BS274" t="s">
        <v>182</v>
      </c>
      <c r="BT274" t="s">
        <v>1402</v>
      </c>
      <c r="BU274" s="115">
        <v>45884</v>
      </c>
      <c r="BV274">
        <v>37540</v>
      </c>
      <c r="BW274" s="116"/>
      <c r="BX274" t="s">
        <v>172</v>
      </c>
      <c r="BY274" t="s">
        <v>173</v>
      </c>
      <c r="BZ274"/>
      <c r="CA274"/>
      <c r="CB274" t="s">
        <v>173</v>
      </c>
      <c r="CC274" t="s">
        <v>173</v>
      </c>
      <c r="CD274"/>
      <c r="CE274"/>
      <c r="CF274"/>
      <c r="CG274"/>
      <c r="CH274"/>
      <c r="CI274"/>
      <c r="CJ274"/>
      <c r="CK274" t="s">
        <v>259</v>
      </c>
      <c r="CL274"/>
      <c r="CM274">
        <v>1</v>
      </c>
      <c r="CN274" t="s">
        <v>260</v>
      </c>
      <c r="CO274"/>
      <c r="CP274">
        <v>800</v>
      </c>
      <c r="CQ274">
        <v>147</v>
      </c>
      <c r="CR274">
        <v>171</v>
      </c>
      <c r="CS274" t="s">
        <v>1437</v>
      </c>
      <c r="CT274"/>
      <c r="CU274"/>
      <c r="CV274" t="s">
        <v>262</v>
      </c>
      <c r="CW274"/>
      <c r="CX274" t="s">
        <v>263</v>
      </c>
      <c r="CY274" t="s">
        <v>172</v>
      </c>
      <c r="CZ274"/>
      <c r="DA274"/>
      <c r="DB274"/>
      <c r="DC274"/>
      <c r="DD274">
        <v>2</v>
      </c>
      <c r="DE274" t="s">
        <v>307</v>
      </c>
      <c r="DF274" t="s">
        <v>1514</v>
      </c>
      <c r="DG274" t="s">
        <v>1725</v>
      </c>
      <c r="DH274"/>
      <c r="DI274"/>
      <c r="DJ274"/>
      <c r="DK274"/>
      <c r="DL274" t="s">
        <v>173</v>
      </c>
      <c r="DM274" t="s">
        <v>172</v>
      </c>
      <c r="DN274"/>
      <c r="DO274"/>
      <c r="DP274" t="s">
        <v>173</v>
      </c>
      <c r="DQ274" t="s">
        <v>189</v>
      </c>
      <c r="DR274"/>
      <c r="DS274"/>
      <c r="DT274"/>
      <c r="DU274"/>
      <c r="DV274"/>
      <c r="DW274"/>
      <c r="DX274"/>
      <c r="DY274"/>
      <c r="DZ274"/>
      <c r="EA274" s="117"/>
      <c r="EB274">
        <v>10</v>
      </c>
      <c r="EC274">
        <v>10</v>
      </c>
      <c r="ED274"/>
      <c r="EE274" t="s">
        <v>1726</v>
      </c>
      <c r="EF274">
        <v>10</v>
      </c>
      <c r="EG274"/>
      <c r="EH274"/>
      <c r="EI274"/>
      <c r="EJ274"/>
      <c r="EK274"/>
      <c r="EL274"/>
      <c r="EM274"/>
      <c r="EN274"/>
      <c r="EO274"/>
      <c r="EP274"/>
      <c r="EQ274"/>
      <c r="ER274"/>
      <c r="ES274"/>
      <c r="ET274"/>
      <c r="EU274">
        <v>5250</v>
      </c>
      <c r="EV274"/>
      <c r="EW274">
        <v>0</v>
      </c>
      <c r="EX274">
        <v>0</v>
      </c>
      <c r="EY274">
        <v>0</v>
      </c>
      <c r="EZ274"/>
      <c r="FA274">
        <v>10</v>
      </c>
      <c r="FB274"/>
      <c r="FC274"/>
      <c r="FD274"/>
      <c r="FE274"/>
      <c r="FF274"/>
      <c r="FG274" s="94">
        <v>437</v>
      </c>
      <c r="FH274" s="94">
        <v>424</v>
      </c>
      <c r="FI274" s="94">
        <v>431</v>
      </c>
    </row>
    <row r="275" spans="1:165" s="66" customFormat="1" x14ac:dyDescent="0.35">
      <c r="A275" s="19"/>
      <c r="B275" s="19"/>
      <c r="C275" s="19"/>
      <c r="D275" s="19"/>
      <c r="E275" s="19"/>
      <c r="F275" s="128"/>
      <c r="G275" s="19"/>
      <c r="H275" s="19"/>
      <c r="I275" s="19"/>
      <c r="J275" s="19"/>
      <c r="K275" s="19" t="str">
        <f>_xlfn.CONCAT(A276," ",C276," ",D276)</f>
        <v>2026 Lucid USA Inc. Air Touring AWD w/20" wheels</v>
      </c>
      <c r="L275" s="19"/>
      <c r="M275" s="19"/>
      <c r="N275" s="19"/>
      <c r="O275" s="19"/>
      <c r="P275" s="19"/>
      <c r="Q275" s="19"/>
      <c r="R275" s="19"/>
      <c r="S275" s="19"/>
      <c r="T275" s="19"/>
      <c r="U275" s="19"/>
      <c r="V275" s="19"/>
      <c r="W275" s="19"/>
      <c r="X275" s="19"/>
      <c r="Y275" s="19"/>
      <c r="Z275" s="19"/>
      <c r="AA275" s="19"/>
      <c r="AB275" s="19" t="str">
        <f>$K275</f>
        <v>2026 Lucid USA Inc. Air Touring AWD w/20" wheels</v>
      </c>
      <c r="AC275" s="19"/>
      <c r="AD275" s="19"/>
      <c r="AE275" s="19"/>
      <c r="AF275" s="19"/>
      <c r="AG275" s="19"/>
      <c r="AH275" s="19"/>
      <c r="AI275" s="19"/>
      <c r="AJ275" s="19"/>
      <c r="AK275" s="19"/>
      <c r="AL275" s="19"/>
      <c r="AM275" s="19"/>
      <c r="AN275" s="19"/>
      <c r="AO275" s="19"/>
      <c r="AP275" s="19"/>
      <c r="AQ275" s="19"/>
      <c r="AR275" s="19" t="str">
        <f>$K275</f>
        <v>2026 Lucid USA Inc. Air Touring AWD w/20" wheels</v>
      </c>
      <c r="AS275" s="19"/>
      <c r="AT275" s="19"/>
      <c r="AU275" s="19"/>
      <c r="AV275" s="19"/>
      <c r="AW275" s="19"/>
      <c r="AX275" s="19"/>
      <c r="AY275" s="19"/>
      <c r="AZ275" s="19"/>
      <c r="BA275" s="19"/>
      <c r="BB275" s="19"/>
      <c r="BC275" s="19"/>
      <c r="BD275" s="19"/>
      <c r="BE275" s="19"/>
      <c r="BF275" s="19"/>
      <c r="BG275" s="19" t="str">
        <f>$K275</f>
        <v>2026 Lucid USA Inc. Air Touring AWD w/20" wheels</v>
      </c>
      <c r="BH275" s="19"/>
      <c r="BI275" s="19"/>
      <c r="BJ275" s="19"/>
      <c r="BK275" s="19"/>
      <c r="BL275" s="19"/>
      <c r="BM275" s="129"/>
      <c r="BN275" s="19"/>
      <c r="BO275" s="19"/>
      <c r="BP275" s="19"/>
      <c r="BQ275" s="19"/>
      <c r="BR275" s="19"/>
      <c r="BS275" s="19"/>
      <c r="BT275" s="130"/>
      <c r="BU275" s="19"/>
      <c r="BV275" s="19"/>
      <c r="BW275" s="116"/>
      <c r="BX275" s="19"/>
      <c r="BY275" s="19"/>
      <c r="BZ275" s="19"/>
      <c r="CA275" s="19"/>
      <c r="CB275" s="19"/>
      <c r="CC275" s="19"/>
      <c r="CD275" s="19"/>
      <c r="CE275" s="19"/>
      <c r="CF275" s="19"/>
      <c r="CG275" s="19"/>
      <c r="CH275" s="19"/>
      <c r="CI275" s="19"/>
      <c r="CJ275" s="19"/>
      <c r="CK275" s="19"/>
      <c r="CL275" s="19"/>
      <c r="CM275" s="19" t="str">
        <f>$K275</f>
        <v>2026 Lucid USA Inc. Air Touring AWD w/20" wheels</v>
      </c>
      <c r="CN275" s="19"/>
      <c r="CO275" s="19"/>
      <c r="CP275" s="19"/>
      <c r="CQ275" s="19"/>
      <c r="CR275" s="19"/>
      <c r="CS275" s="19"/>
      <c r="CT275" s="19"/>
      <c r="CU275" s="19"/>
      <c r="CV275" s="19"/>
      <c r="CW275" s="19"/>
      <c r="CX275" s="19"/>
      <c r="CY275" s="19"/>
      <c r="CZ275" s="19"/>
      <c r="DA275" s="19"/>
      <c r="DB275" s="19"/>
      <c r="DC275" s="19"/>
      <c r="DD275" s="19" t="str">
        <f>$K275</f>
        <v>2026 Lucid USA Inc. Air Touring AWD w/20" wheels</v>
      </c>
      <c r="DE275" s="19"/>
      <c r="DF275" s="19"/>
      <c r="DG275" s="19"/>
      <c r="DH275" s="19"/>
      <c r="DI275" s="19"/>
      <c r="DJ275" s="19"/>
      <c r="DK275" s="19"/>
      <c r="DL275" s="19"/>
      <c r="DM275" s="19"/>
      <c r="DN275" s="19"/>
      <c r="DO275" s="19"/>
      <c r="DP275" s="19"/>
      <c r="DQ275" s="19"/>
      <c r="DR275" s="19"/>
      <c r="DS275" s="19"/>
      <c r="DT275" s="19"/>
      <c r="DU275" s="19" t="str">
        <f>$K275</f>
        <v>2026 Lucid USA Inc. Air Touring AWD w/20" wheels</v>
      </c>
      <c r="DV275" s="19"/>
      <c r="DW275" s="19"/>
      <c r="DX275" s="19"/>
      <c r="DY275" s="19"/>
      <c r="DZ275" s="19"/>
      <c r="EA275" s="117"/>
      <c r="EB275" s="19"/>
      <c r="EC275" s="19"/>
      <c r="ED275" s="19"/>
      <c r="EE275" s="19"/>
      <c r="EF275" s="19"/>
      <c r="EG275"/>
      <c r="EH275"/>
      <c r="EI275"/>
      <c r="EJ275"/>
      <c r="EK275"/>
      <c r="EL275"/>
      <c r="EM275"/>
      <c r="EN275"/>
      <c r="EO275"/>
      <c r="EP275"/>
      <c r="EQ275"/>
      <c r="ER275"/>
      <c r="ES275"/>
      <c r="ET275"/>
      <c r="EU275"/>
      <c r="EV275"/>
      <c r="EW275"/>
      <c r="EX275" s="19" t="s">
        <v>2010</v>
      </c>
      <c r="EY275"/>
      <c r="EZ275"/>
      <c r="FA275"/>
      <c r="FB275"/>
      <c r="FC275"/>
      <c r="FD275"/>
      <c r="FE275"/>
      <c r="FF275"/>
      <c r="FG275"/>
      <c r="FH275"/>
      <c r="FI275"/>
    </row>
    <row r="276" spans="1:165" s="66" customFormat="1" x14ac:dyDescent="0.35">
      <c r="A276">
        <v>2026</v>
      </c>
      <c r="B276" t="s">
        <v>1510</v>
      </c>
      <c r="C276" s="112" t="s">
        <v>1511</v>
      </c>
      <c r="D276" t="s">
        <v>1735</v>
      </c>
      <c r="E276" t="s">
        <v>1513</v>
      </c>
      <c r="F276">
        <v>47</v>
      </c>
      <c r="G276" s="113">
        <v>0</v>
      </c>
      <c r="H276"/>
      <c r="I276" t="s">
        <v>1391</v>
      </c>
      <c r="J276">
        <v>126</v>
      </c>
      <c r="K276">
        <v>121</v>
      </c>
      <c r="L276">
        <v>123</v>
      </c>
      <c r="M276">
        <v>172.5</v>
      </c>
      <c r="N276">
        <v>165.3</v>
      </c>
      <c r="O276">
        <v>169.18389999999999</v>
      </c>
      <c r="P276">
        <v>125.85599999999999</v>
      </c>
      <c r="Q276">
        <v>120.60290000000001</v>
      </c>
      <c r="R276">
        <v>123.4366</v>
      </c>
      <c r="S276"/>
      <c r="T276"/>
      <c r="U276"/>
      <c r="V276" t="s">
        <v>170</v>
      </c>
      <c r="W276" t="s">
        <v>171</v>
      </c>
      <c r="X276"/>
      <c r="Y276">
        <v>1</v>
      </c>
      <c r="Z276" t="s">
        <v>173</v>
      </c>
      <c r="AA276" t="s">
        <v>173</v>
      </c>
      <c r="AB276" t="s">
        <v>170</v>
      </c>
      <c r="AC276" t="s">
        <v>232</v>
      </c>
      <c r="AD276"/>
      <c r="AE276"/>
      <c r="AF276">
        <v>396</v>
      </c>
      <c r="AG276" t="s">
        <v>1392</v>
      </c>
      <c r="AH276" t="s">
        <v>1393</v>
      </c>
      <c r="AI276" t="s">
        <v>178</v>
      </c>
      <c r="AJ276" t="s">
        <v>179</v>
      </c>
      <c r="AK276">
        <v>4</v>
      </c>
      <c r="AL276" t="s">
        <v>1394</v>
      </c>
      <c r="AM276"/>
      <c r="AN276"/>
      <c r="AO276">
        <v>101</v>
      </c>
      <c r="AP276">
        <v>32</v>
      </c>
      <c r="AQ276"/>
      <c r="AR276"/>
      <c r="AS276">
        <v>700</v>
      </c>
      <c r="AT276">
        <v>700</v>
      </c>
      <c r="AU276"/>
      <c r="AV276"/>
      <c r="AW276"/>
      <c r="AX276"/>
      <c r="AY276"/>
      <c r="AZ276"/>
      <c r="BA276"/>
      <c r="BB276"/>
      <c r="BC276"/>
      <c r="BD276"/>
      <c r="BE276"/>
      <c r="BF276"/>
      <c r="BG276"/>
      <c r="BH276"/>
      <c r="BI276"/>
      <c r="BJ276"/>
      <c r="BK276"/>
      <c r="BL276"/>
      <c r="BM276"/>
      <c r="BN276" s="114"/>
      <c r="BO276"/>
      <c r="BP276"/>
      <c r="BQ276">
        <v>6</v>
      </c>
      <c r="BR276" t="s">
        <v>536</v>
      </c>
      <c r="BS276" t="s">
        <v>182</v>
      </c>
      <c r="BT276" t="s">
        <v>1402</v>
      </c>
      <c r="BU276" s="115">
        <v>45884</v>
      </c>
      <c r="BV276">
        <v>37541</v>
      </c>
      <c r="BW276" s="116"/>
      <c r="BX276" t="s">
        <v>172</v>
      </c>
      <c r="BY276" t="s">
        <v>173</v>
      </c>
      <c r="BZ276"/>
      <c r="CA276"/>
      <c r="CB276" t="s">
        <v>173</v>
      </c>
      <c r="CC276" t="s">
        <v>173</v>
      </c>
      <c r="CD276"/>
      <c r="CE276"/>
      <c r="CF276"/>
      <c r="CG276"/>
      <c r="CH276"/>
      <c r="CI276"/>
      <c r="CJ276"/>
      <c r="CK276" t="s">
        <v>259</v>
      </c>
      <c r="CL276"/>
      <c r="CM276">
        <v>1</v>
      </c>
      <c r="CN276" t="s">
        <v>260</v>
      </c>
      <c r="CO276"/>
      <c r="CP276">
        <v>800</v>
      </c>
      <c r="CQ276">
        <v>147</v>
      </c>
      <c r="CR276">
        <v>171</v>
      </c>
      <c r="CS276" t="s">
        <v>1437</v>
      </c>
      <c r="CT276"/>
      <c r="CU276"/>
      <c r="CV276" t="s">
        <v>262</v>
      </c>
      <c r="CW276"/>
      <c r="CX276" t="s">
        <v>263</v>
      </c>
      <c r="CY276" t="s">
        <v>172</v>
      </c>
      <c r="CZ276"/>
      <c r="DA276"/>
      <c r="DB276"/>
      <c r="DC276"/>
      <c r="DD276">
        <v>2</v>
      </c>
      <c r="DE276" t="s">
        <v>307</v>
      </c>
      <c r="DF276" t="s">
        <v>1514</v>
      </c>
      <c r="DG276" t="s">
        <v>1725</v>
      </c>
      <c r="DH276"/>
      <c r="DI276"/>
      <c r="DJ276"/>
      <c r="DK276"/>
      <c r="DL276" t="s">
        <v>173</v>
      </c>
      <c r="DM276" t="s">
        <v>172</v>
      </c>
      <c r="DN276"/>
      <c r="DO276"/>
      <c r="DP276" t="s">
        <v>173</v>
      </c>
      <c r="DQ276" t="s">
        <v>189</v>
      </c>
      <c r="DR276"/>
      <c r="DS276"/>
      <c r="DT276"/>
      <c r="DU276"/>
      <c r="DV276"/>
      <c r="DW276"/>
      <c r="DX276"/>
      <c r="DY276"/>
      <c r="DZ276"/>
      <c r="EA276" s="117"/>
      <c r="EB276">
        <v>10</v>
      </c>
      <c r="EC276">
        <v>10</v>
      </c>
      <c r="ED276"/>
      <c r="EE276" t="s">
        <v>1726</v>
      </c>
      <c r="EF276">
        <v>10</v>
      </c>
      <c r="EG276"/>
      <c r="EH276"/>
      <c r="EI276"/>
      <c r="EJ276"/>
      <c r="EK276"/>
      <c r="EL276"/>
      <c r="EM276"/>
      <c r="EN276"/>
      <c r="EO276"/>
      <c r="EP276"/>
      <c r="EQ276"/>
      <c r="ER276"/>
      <c r="ES276"/>
      <c r="ET276"/>
      <c r="EU276">
        <v>5000</v>
      </c>
      <c r="EV276"/>
      <c r="EW276">
        <v>0</v>
      </c>
      <c r="EX276">
        <v>0</v>
      </c>
      <c r="EY276">
        <v>0</v>
      </c>
      <c r="EZ276"/>
      <c r="FA276">
        <v>10</v>
      </c>
      <c r="FB276"/>
      <c r="FC276"/>
      <c r="FD276"/>
      <c r="FE276"/>
      <c r="FF276"/>
      <c r="FG276" s="94">
        <v>404</v>
      </c>
      <c r="FH276" s="94">
        <v>387</v>
      </c>
      <c r="FI276" s="94">
        <v>396</v>
      </c>
    </row>
    <row r="277" spans="1:165" s="66" customFormat="1" x14ac:dyDescent="0.35">
      <c r="A277">
        <v>2026</v>
      </c>
      <c r="B277" t="s">
        <v>1510</v>
      </c>
      <c r="C277" s="112" t="s">
        <v>1511</v>
      </c>
      <c r="D277" t="s">
        <v>1735</v>
      </c>
      <c r="E277" t="s">
        <v>1513</v>
      </c>
      <c r="F277">
        <v>47</v>
      </c>
      <c r="G277" s="113">
        <v>0</v>
      </c>
      <c r="H277"/>
      <c r="I277" t="s">
        <v>1391</v>
      </c>
      <c r="J277">
        <v>27</v>
      </c>
      <c r="K277">
        <v>28</v>
      </c>
      <c r="L277">
        <v>27</v>
      </c>
      <c r="M277">
        <v>19.533999999999999</v>
      </c>
      <c r="N277">
        <v>20.39</v>
      </c>
      <c r="O277">
        <v>19.9192</v>
      </c>
      <c r="P277">
        <v>26.7806</v>
      </c>
      <c r="Q277">
        <v>27.947099999999999</v>
      </c>
      <c r="R277">
        <v>27.305499999999999</v>
      </c>
      <c r="S277"/>
      <c r="T277"/>
      <c r="U277"/>
      <c r="V277" t="s">
        <v>170</v>
      </c>
      <c r="W277" t="s">
        <v>171</v>
      </c>
      <c r="X277"/>
      <c r="Y277">
        <v>1</v>
      </c>
      <c r="Z277" t="s">
        <v>173</v>
      </c>
      <c r="AA277" t="s">
        <v>173</v>
      </c>
      <c r="AB277" t="s">
        <v>170</v>
      </c>
      <c r="AC277" t="s">
        <v>232</v>
      </c>
      <c r="AD277"/>
      <c r="AE277"/>
      <c r="AF277">
        <v>396</v>
      </c>
      <c r="AG277" t="s">
        <v>1392</v>
      </c>
      <c r="AH277" t="s">
        <v>1393</v>
      </c>
      <c r="AI277" t="s">
        <v>1399</v>
      </c>
      <c r="AJ277" t="s">
        <v>1400</v>
      </c>
      <c r="AK277">
        <v>4</v>
      </c>
      <c r="AL277" t="s">
        <v>1394</v>
      </c>
      <c r="AM277"/>
      <c r="AN277"/>
      <c r="AO277">
        <v>101</v>
      </c>
      <c r="AP277">
        <v>32</v>
      </c>
      <c r="AQ277"/>
      <c r="AR277"/>
      <c r="AS277">
        <v>700</v>
      </c>
      <c r="AT277">
        <v>700</v>
      </c>
      <c r="AU277"/>
      <c r="AV277"/>
      <c r="AW277"/>
      <c r="AX277"/>
      <c r="AY277"/>
      <c r="AZ277"/>
      <c r="BA277"/>
      <c r="BB277"/>
      <c r="BC277"/>
      <c r="BD277"/>
      <c r="BE277"/>
      <c r="BF277"/>
      <c r="BG277"/>
      <c r="BH277"/>
      <c r="BI277"/>
      <c r="BJ277"/>
      <c r="BK277"/>
      <c r="BL277"/>
      <c r="BM277"/>
      <c r="BN277" s="114"/>
      <c r="BO277"/>
      <c r="BP277"/>
      <c r="BQ277">
        <v>6</v>
      </c>
      <c r="BR277" t="s">
        <v>536</v>
      </c>
      <c r="BS277" t="s">
        <v>182</v>
      </c>
      <c r="BT277" t="s">
        <v>1402</v>
      </c>
      <c r="BU277" s="115">
        <v>45884</v>
      </c>
      <c r="BV277">
        <v>37541</v>
      </c>
      <c r="BW277" s="116"/>
      <c r="BX277" t="s">
        <v>172</v>
      </c>
      <c r="BY277" t="s">
        <v>173</v>
      </c>
      <c r="BZ277"/>
      <c r="CA277"/>
      <c r="CB277" t="s">
        <v>173</v>
      </c>
      <c r="CC277" t="s">
        <v>173</v>
      </c>
      <c r="CD277"/>
      <c r="CE277"/>
      <c r="CF277"/>
      <c r="CG277"/>
      <c r="CH277"/>
      <c r="CI277"/>
      <c r="CJ277"/>
      <c r="CK277" t="s">
        <v>259</v>
      </c>
      <c r="CL277"/>
      <c r="CM277">
        <v>1</v>
      </c>
      <c r="CN277" t="s">
        <v>260</v>
      </c>
      <c r="CO277"/>
      <c r="CP277">
        <v>800</v>
      </c>
      <c r="CQ277">
        <v>147</v>
      </c>
      <c r="CR277">
        <v>171</v>
      </c>
      <c r="CS277" t="s">
        <v>1437</v>
      </c>
      <c r="CT277"/>
      <c r="CU277"/>
      <c r="CV277" t="s">
        <v>262</v>
      </c>
      <c r="CW277"/>
      <c r="CX277" t="s">
        <v>263</v>
      </c>
      <c r="CY277" t="s">
        <v>172</v>
      </c>
      <c r="CZ277"/>
      <c r="DA277"/>
      <c r="DB277"/>
      <c r="DC277"/>
      <c r="DD277">
        <v>2</v>
      </c>
      <c r="DE277" t="s">
        <v>307</v>
      </c>
      <c r="DF277" t="s">
        <v>1514</v>
      </c>
      <c r="DG277" t="s">
        <v>1725</v>
      </c>
      <c r="DH277"/>
      <c r="DI277"/>
      <c r="DJ277"/>
      <c r="DK277"/>
      <c r="DL277" t="s">
        <v>173</v>
      </c>
      <c r="DM277" t="s">
        <v>172</v>
      </c>
      <c r="DN277"/>
      <c r="DO277"/>
      <c r="DP277" t="s">
        <v>173</v>
      </c>
      <c r="DQ277" t="s">
        <v>189</v>
      </c>
      <c r="DR277"/>
      <c r="DS277"/>
      <c r="DT277"/>
      <c r="DU277"/>
      <c r="DV277"/>
      <c r="DW277"/>
      <c r="DX277"/>
      <c r="DY277"/>
      <c r="DZ277"/>
      <c r="EA277" s="117"/>
      <c r="EB277">
        <v>10</v>
      </c>
      <c r="EC277">
        <v>10</v>
      </c>
      <c r="ED277"/>
      <c r="EE277" t="s">
        <v>1726</v>
      </c>
      <c r="EF277">
        <v>10</v>
      </c>
      <c r="EG277"/>
      <c r="EH277"/>
      <c r="EI277"/>
      <c r="EJ277"/>
      <c r="EK277"/>
      <c r="EL277"/>
      <c r="EM277"/>
      <c r="EN277"/>
      <c r="EO277"/>
      <c r="EP277"/>
      <c r="EQ277"/>
      <c r="ER277"/>
      <c r="ES277"/>
      <c r="ET277"/>
      <c r="EU277">
        <v>5000</v>
      </c>
      <c r="EV277"/>
      <c r="EW277">
        <v>0</v>
      </c>
      <c r="EX277">
        <v>0</v>
      </c>
      <c r="EY277">
        <v>0</v>
      </c>
      <c r="EZ277"/>
      <c r="FA277">
        <v>10</v>
      </c>
      <c r="FB277"/>
      <c r="FC277"/>
      <c r="FD277"/>
      <c r="FE277"/>
      <c r="FF277"/>
      <c r="FG277" s="94">
        <v>404</v>
      </c>
      <c r="FH277" s="94">
        <v>387</v>
      </c>
      <c r="FI277" s="94">
        <v>396</v>
      </c>
    </row>
    <row r="278" spans="1:165" s="66" customFormat="1" x14ac:dyDescent="0.35">
      <c r="A278" s="19"/>
      <c r="B278" s="19"/>
      <c r="C278" s="19"/>
      <c r="D278" s="19"/>
      <c r="E278" s="19"/>
      <c r="F278" s="128"/>
      <c r="G278" s="19"/>
      <c r="H278" s="19"/>
      <c r="I278" s="19"/>
      <c r="J278" s="19"/>
      <c r="K278" s="19" t="str">
        <f>_xlfn.CONCAT(A279," ",C279," ",D279)</f>
        <v>2026 Lucid USA Inc. Gravity Dream w/20F21R wheels (3R)</v>
      </c>
      <c r="L278" s="19"/>
      <c r="M278" s="19"/>
      <c r="N278" s="19"/>
      <c r="O278" s="19"/>
      <c r="P278" s="19"/>
      <c r="Q278" s="19"/>
      <c r="R278" s="19"/>
      <c r="S278" s="19"/>
      <c r="T278" s="19"/>
      <c r="U278" s="19"/>
      <c r="V278" s="19"/>
      <c r="W278" s="19"/>
      <c r="X278" s="19"/>
      <c r="Y278" s="19"/>
      <c r="Z278" s="19"/>
      <c r="AA278" s="19"/>
      <c r="AB278" s="19" t="str">
        <f>$K278</f>
        <v>2026 Lucid USA Inc. Gravity Dream w/20F21R wheels (3R)</v>
      </c>
      <c r="AC278" s="19"/>
      <c r="AD278" s="19"/>
      <c r="AE278" s="19"/>
      <c r="AF278" s="19"/>
      <c r="AG278" s="19"/>
      <c r="AH278" s="19"/>
      <c r="AI278" s="19"/>
      <c r="AJ278" s="19"/>
      <c r="AK278" s="19"/>
      <c r="AL278" s="19"/>
      <c r="AM278" s="19"/>
      <c r="AN278" s="19"/>
      <c r="AO278" s="19"/>
      <c r="AP278" s="19"/>
      <c r="AQ278" s="19"/>
      <c r="AR278" s="19" t="str">
        <f>$K278</f>
        <v>2026 Lucid USA Inc. Gravity Dream w/20F21R wheels (3R)</v>
      </c>
      <c r="AS278" s="19"/>
      <c r="AT278" s="19"/>
      <c r="AU278" s="19"/>
      <c r="AV278" s="19"/>
      <c r="AW278" s="19"/>
      <c r="AX278" s="19"/>
      <c r="AY278" s="19"/>
      <c r="AZ278" s="19"/>
      <c r="BA278" s="19"/>
      <c r="BB278" s="19"/>
      <c r="BC278" s="19"/>
      <c r="BD278" s="19"/>
      <c r="BE278" s="19"/>
      <c r="BF278" s="19"/>
      <c r="BG278" s="19" t="str">
        <f>$K278</f>
        <v>2026 Lucid USA Inc. Gravity Dream w/20F21R wheels (3R)</v>
      </c>
      <c r="BH278" s="19"/>
      <c r="BI278" s="19"/>
      <c r="BJ278" s="19"/>
      <c r="BK278" s="19"/>
      <c r="BL278" s="19"/>
      <c r="BM278" s="129"/>
      <c r="BN278" s="19"/>
      <c r="BO278" s="19"/>
      <c r="BP278" s="19"/>
      <c r="BQ278" s="19"/>
      <c r="BR278" s="19"/>
      <c r="BS278" s="19"/>
      <c r="BT278" s="130"/>
      <c r="BU278" s="19"/>
      <c r="BV278" s="19"/>
      <c r="BW278" s="116"/>
      <c r="BX278" s="19"/>
      <c r="BY278" s="19"/>
      <c r="BZ278" s="19"/>
      <c r="CA278" s="19"/>
      <c r="CB278" s="19"/>
      <c r="CC278" s="19"/>
      <c r="CD278" s="19"/>
      <c r="CE278" s="19"/>
      <c r="CF278" s="19"/>
      <c r="CG278" s="19"/>
      <c r="CH278" s="19"/>
      <c r="CI278" s="19"/>
      <c r="CJ278" s="19"/>
      <c r="CK278" s="19"/>
      <c r="CL278" s="19"/>
      <c r="CM278" s="19" t="str">
        <f>$K278</f>
        <v>2026 Lucid USA Inc. Gravity Dream w/20F21R wheels (3R)</v>
      </c>
      <c r="CN278" s="19"/>
      <c r="CO278" s="19"/>
      <c r="CP278" s="19"/>
      <c r="CQ278" s="19"/>
      <c r="CR278" s="19"/>
      <c r="CS278" s="19"/>
      <c r="CT278" s="19"/>
      <c r="CU278" s="19"/>
      <c r="CV278" s="19"/>
      <c r="CW278" s="19"/>
      <c r="CX278" s="19"/>
      <c r="CY278" s="19"/>
      <c r="CZ278" s="19"/>
      <c r="DA278" s="19"/>
      <c r="DB278" s="19"/>
      <c r="DC278" s="19"/>
      <c r="DD278" s="19" t="str">
        <f>$K278</f>
        <v>2026 Lucid USA Inc. Gravity Dream w/20F21R wheels (3R)</v>
      </c>
      <c r="DE278" s="19"/>
      <c r="DF278" s="19"/>
      <c r="DG278" s="19"/>
      <c r="DH278" s="19"/>
      <c r="DI278" s="19"/>
      <c r="DJ278" s="19"/>
      <c r="DK278" s="19"/>
      <c r="DL278" s="19"/>
      <c r="DM278" s="19"/>
      <c r="DN278" s="19"/>
      <c r="DO278" s="19"/>
      <c r="DP278" s="19"/>
      <c r="DQ278" s="19"/>
      <c r="DR278" s="19"/>
      <c r="DS278" s="19"/>
      <c r="DT278" s="19"/>
      <c r="DU278" s="19" t="str">
        <f>$K278</f>
        <v>2026 Lucid USA Inc. Gravity Dream w/20F21R wheels (3R)</v>
      </c>
      <c r="DV278" s="19"/>
      <c r="DW278" s="19"/>
      <c r="DX278" s="19"/>
      <c r="DY278" s="19"/>
      <c r="DZ278" s="19"/>
      <c r="EA278" s="117"/>
      <c r="EB278" s="19"/>
      <c r="EC278" s="19"/>
      <c r="ED278" s="19"/>
      <c r="EE278" s="19"/>
      <c r="EF278" s="19"/>
      <c r="EG278"/>
      <c r="EH278"/>
      <c r="EI278"/>
      <c r="EJ278"/>
      <c r="EK278"/>
      <c r="EL278"/>
      <c r="EM278"/>
      <c r="EN278"/>
      <c r="EO278"/>
      <c r="EP278"/>
      <c r="EQ278"/>
      <c r="ER278"/>
      <c r="ES278"/>
      <c r="ET278"/>
      <c r="EU278"/>
      <c r="EV278"/>
      <c r="EW278"/>
      <c r="EX278" s="19" t="s">
        <v>2011</v>
      </c>
      <c r="EY278"/>
      <c r="EZ278"/>
      <c r="FA278"/>
      <c r="FB278"/>
      <c r="FC278"/>
      <c r="FD278"/>
      <c r="FE278"/>
      <c r="FF278"/>
      <c r="FG278"/>
      <c r="FH278"/>
      <c r="FI278"/>
    </row>
    <row r="279" spans="1:165" s="66" customFormat="1" x14ac:dyDescent="0.35">
      <c r="A279">
        <v>2026</v>
      </c>
      <c r="B279" t="s">
        <v>1510</v>
      </c>
      <c r="C279" s="112" t="s">
        <v>1511</v>
      </c>
      <c r="D279" t="s">
        <v>1520</v>
      </c>
      <c r="E279" t="s">
        <v>1513</v>
      </c>
      <c r="F279">
        <v>33</v>
      </c>
      <c r="G279" s="113">
        <v>0</v>
      </c>
      <c r="H279"/>
      <c r="I279" t="s">
        <v>1391</v>
      </c>
      <c r="J279">
        <v>101</v>
      </c>
      <c r="K279">
        <v>98</v>
      </c>
      <c r="L279">
        <v>99</v>
      </c>
      <c r="M279">
        <v>141.4</v>
      </c>
      <c r="N279">
        <v>136.4</v>
      </c>
      <c r="O279">
        <v>139.1054</v>
      </c>
      <c r="P279">
        <v>101.1151</v>
      </c>
      <c r="Q279">
        <v>97.539599999999993</v>
      </c>
      <c r="R279">
        <v>99.474299999999999</v>
      </c>
      <c r="S279"/>
      <c r="T279"/>
      <c r="U279"/>
      <c r="V279" t="s">
        <v>170</v>
      </c>
      <c r="W279" t="s">
        <v>171</v>
      </c>
      <c r="X279"/>
      <c r="Y279">
        <v>1</v>
      </c>
      <c r="Z279" t="s">
        <v>173</v>
      </c>
      <c r="AA279" t="s">
        <v>173</v>
      </c>
      <c r="AB279" t="s">
        <v>170</v>
      </c>
      <c r="AC279" t="s">
        <v>232</v>
      </c>
      <c r="AD279"/>
      <c r="AE279"/>
      <c r="AF279">
        <v>420</v>
      </c>
      <c r="AG279" t="s">
        <v>1392</v>
      </c>
      <c r="AH279" t="s">
        <v>1393</v>
      </c>
      <c r="AI279" t="s">
        <v>178</v>
      </c>
      <c r="AJ279" t="s">
        <v>179</v>
      </c>
      <c r="AK279">
        <v>4</v>
      </c>
      <c r="AL279" t="s">
        <v>1394</v>
      </c>
      <c r="AM279"/>
      <c r="AN279"/>
      <c r="AO279"/>
      <c r="AP279"/>
      <c r="AQ279"/>
      <c r="AR279"/>
      <c r="AS279">
        <v>850</v>
      </c>
      <c r="AT279">
        <v>850</v>
      </c>
      <c r="AU279"/>
      <c r="AV279"/>
      <c r="AW279"/>
      <c r="AX279"/>
      <c r="AY279"/>
      <c r="AZ279"/>
      <c r="BA279"/>
      <c r="BB279"/>
      <c r="BC279"/>
      <c r="BD279"/>
      <c r="BE279"/>
      <c r="BF279"/>
      <c r="BG279"/>
      <c r="BH279"/>
      <c r="BI279"/>
      <c r="BJ279"/>
      <c r="BK279"/>
      <c r="BL279"/>
      <c r="BM279"/>
      <c r="BN279" s="114"/>
      <c r="BO279"/>
      <c r="BP279"/>
      <c r="BQ279">
        <v>33</v>
      </c>
      <c r="BR279" t="s">
        <v>1062</v>
      </c>
      <c r="BS279"/>
      <c r="BT279" t="s">
        <v>1402</v>
      </c>
      <c r="BU279" s="115">
        <v>45786</v>
      </c>
      <c r="BV279">
        <v>36917</v>
      </c>
      <c r="BW279" s="116"/>
      <c r="BX279" t="s">
        <v>172</v>
      </c>
      <c r="BY279" t="s">
        <v>173</v>
      </c>
      <c r="BZ279"/>
      <c r="CA279"/>
      <c r="CB279" t="s">
        <v>173</v>
      </c>
      <c r="CC279" t="s">
        <v>173</v>
      </c>
      <c r="CD279"/>
      <c r="CE279"/>
      <c r="CF279"/>
      <c r="CG279"/>
      <c r="CH279"/>
      <c r="CI279"/>
      <c r="CJ279"/>
      <c r="CK279" t="s">
        <v>259</v>
      </c>
      <c r="CL279"/>
      <c r="CM279">
        <v>1</v>
      </c>
      <c r="CN279" t="s">
        <v>260</v>
      </c>
      <c r="CO279"/>
      <c r="CP279">
        <v>810</v>
      </c>
      <c r="CQ279">
        <v>151</v>
      </c>
      <c r="CR279">
        <v>179</v>
      </c>
      <c r="CS279" t="s">
        <v>1437</v>
      </c>
      <c r="CT279"/>
      <c r="CU279"/>
      <c r="CV279" t="s">
        <v>262</v>
      </c>
      <c r="CW279"/>
      <c r="CX279" t="s">
        <v>263</v>
      </c>
      <c r="CY279" t="s">
        <v>172</v>
      </c>
      <c r="CZ279"/>
      <c r="DA279"/>
      <c r="DB279"/>
      <c r="DC279"/>
      <c r="DD279">
        <v>2</v>
      </c>
      <c r="DE279" t="s">
        <v>307</v>
      </c>
      <c r="DF279" t="s">
        <v>1514</v>
      </c>
      <c r="DG279">
        <v>399</v>
      </c>
      <c r="DH279"/>
      <c r="DI279"/>
      <c r="DJ279"/>
      <c r="DK279"/>
      <c r="DL279" t="s">
        <v>173</v>
      </c>
      <c r="DM279" t="s">
        <v>172</v>
      </c>
      <c r="DN279"/>
      <c r="DO279"/>
      <c r="DP279" t="s">
        <v>173</v>
      </c>
      <c r="DQ279" t="s">
        <v>189</v>
      </c>
      <c r="DR279"/>
      <c r="DS279"/>
      <c r="DT279"/>
      <c r="DU279"/>
      <c r="DV279"/>
      <c r="DW279"/>
      <c r="DX279"/>
      <c r="DY279"/>
      <c r="DZ279"/>
      <c r="EA279" s="117"/>
      <c r="EB279">
        <v>9</v>
      </c>
      <c r="EC279">
        <v>10</v>
      </c>
      <c r="ED279"/>
      <c r="EE279" t="s">
        <v>1515</v>
      </c>
      <c r="EF279">
        <v>10</v>
      </c>
      <c r="EG279"/>
      <c r="EH279"/>
      <c r="EI279"/>
      <c r="EJ279"/>
      <c r="EK279"/>
      <c r="EL279"/>
      <c r="EM279"/>
      <c r="EN279"/>
      <c r="EO279"/>
      <c r="EP279"/>
      <c r="EQ279"/>
      <c r="ER279"/>
      <c r="ES279"/>
      <c r="ET279"/>
      <c r="EU279">
        <v>4250</v>
      </c>
      <c r="EV279"/>
      <c r="EW279">
        <v>0</v>
      </c>
      <c r="EX279">
        <v>0</v>
      </c>
      <c r="EY279">
        <v>0</v>
      </c>
      <c r="EZ279"/>
      <c r="FA279">
        <v>9.5</v>
      </c>
      <c r="FB279"/>
      <c r="FC279"/>
      <c r="FD279"/>
      <c r="FE279"/>
      <c r="FF279"/>
      <c r="FG279" s="94">
        <v>427</v>
      </c>
      <c r="FH279" s="94">
        <v>412</v>
      </c>
      <c r="FI279" s="94">
        <v>420</v>
      </c>
    </row>
    <row r="280" spans="1:165" s="66" customFormat="1" x14ac:dyDescent="0.35">
      <c r="A280">
        <v>2026</v>
      </c>
      <c r="B280" t="s">
        <v>1510</v>
      </c>
      <c r="C280" s="112" t="s">
        <v>1511</v>
      </c>
      <c r="D280" t="s">
        <v>1520</v>
      </c>
      <c r="E280" t="s">
        <v>1513</v>
      </c>
      <c r="F280">
        <v>33</v>
      </c>
      <c r="G280" s="113">
        <v>0</v>
      </c>
      <c r="H280"/>
      <c r="I280" t="s">
        <v>1391</v>
      </c>
      <c r="J280">
        <v>33</v>
      </c>
      <c r="K280">
        <v>35</v>
      </c>
      <c r="L280">
        <v>34</v>
      </c>
      <c r="M280">
        <v>23.8322</v>
      </c>
      <c r="N280">
        <v>24.713000000000001</v>
      </c>
      <c r="O280">
        <v>24.2286</v>
      </c>
      <c r="P280">
        <v>33.333300000000001</v>
      </c>
      <c r="Q280">
        <v>34.555199999999999</v>
      </c>
      <c r="R280">
        <v>33.883099999999999</v>
      </c>
      <c r="S280"/>
      <c r="T280"/>
      <c r="U280"/>
      <c r="V280" t="s">
        <v>170</v>
      </c>
      <c r="W280" t="s">
        <v>171</v>
      </c>
      <c r="X280"/>
      <c r="Y280">
        <v>1</v>
      </c>
      <c r="Z280" t="s">
        <v>173</v>
      </c>
      <c r="AA280" t="s">
        <v>173</v>
      </c>
      <c r="AB280" t="s">
        <v>170</v>
      </c>
      <c r="AC280" t="s">
        <v>232</v>
      </c>
      <c r="AD280"/>
      <c r="AE280"/>
      <c r="AF280">
        <v>420</v>
      </c>
      <c r="AG280" t="s">
        <v>1392</v>
      </c>
      <c r="AH280" t="s">
        <v>1393</v>
      </c>
      <c r="AI280" t="s">
        <v>1399</v>
      </c>
      <c r="AJ280" t="s">
        <v>1400</v>
      </c>
      <c r="AK280">
        <v>4</v>
      </c>
      <c r="AL280" t="s">
        <v>1394</v>
      </c>
      <c r="AM280"/>
      <c r="AN280"/>
      <c r="AO280"/>
      <c r="AP280"/>
      <c r="AQ280"/>
      <c r="AR280"/>
      <c r="AS280">
        <v>850</v>
      </c>
      <c r="AT280">
        <v>850</v>
      </c>
      <c r="AU280"/>
      <c r="AV280"/>
      <c r="AW280"/>
      <c r="AX280"/>
      <c r="AY280"/>
      <c r="AZ280"/>
      <c r="BA280"/>
      <c r="BB280"/>
      <c r="BC280"/>
      <c r="BD280"/>
      <c r="BE280"/>
      <c r="BF280"/>
      <c r="BG280"/>
      <c r="BH280"/>
      <c r="BI280"/>
      <c r="BJ280"/>
      <c r="BK280"/>
      <c r="BL280"/>
      <c r="BM280"/>
      <c r="BN280" s="114"/>
      <c r="BO280"/>
      <c r="BP280"/>
      <c r="BQ280">
        <v>33</v>
      </c>
      <c r="BR280" t="s">
        <v>1062</v>
      </c>
      <c r="BS280"/>
      <c r="BT280" t="s">
        <v>1402</v>
      </c>
      <c r="BU280" s="115">
        <v>45786</v>
      </c>
      <c r="BV280">
        <v>36917</v>
      </c>
      <c r="BW280" s="116"/>
      <c r="BX280" t="s">
        <v>172</v>
      </c>
      <c r="BY280" t="s">
        <v>173</v>
      </c>
      <c r="BZ280"/>
      <c r="CA280"/>
      <c r="CB280" t="s">
        <v>173</v>
      </c>
      <c r="CC280" t="s">
        <v>173</v>
      </c>
      <c r="CD280"/>
      <c r="CE280"/>
      <c r="CF280"/>
      <c r="CG280"/>
      <c r="CH280"/>
      <c r="CI280"/>
      <c r="CJ280"/>
      <c r="CK280" t="s">
        <v>259</v>
      </c>
      <c r="CL280"/>
      <c r="CM280">
        <v>1</v>
      </c>
      <c r="CN280" t="s">
        <v>260</v>
      </c>
      <c r="CO280"/>
      <c r="CP280">
        <v>810</v>
      </c>
      <c r="CQ280">
        <v>151</v>
      </c>
      <c r="CR280">
        <v>179</v>
      </c>
      <c r="CS280" t="s">
        <v>1437</v>
      </c>
      <c r="CT280"/>
      <c r="CU280"/>
      <c r="CV280" t="s">
        <v>262</v>
      </c>
      <c r="CW280"/>
      <c r="CX280" t="s">
        <v>263</v>
      </c>
      <c r="CY280" t="s">
        <v>172</v>
      </c>
      <c r="CZ280"/>
      <c r="DA280"/>
      <c r="DB280"/>
      <c r="DC280"/>
      <c r="DD280">
        <v>2</v>
      </c>
      <c r="DE280" t="s">
        <v>307</v>
      </c>
      <c r="DF280" t="s">
        <v>1514</v>
      </c>
      <c r="DG280">
        <v>399</v>
      </c>
      <c r="DH280"/>
      <c r="DI280"/>
      <c r="DJ280"/>
      <c r="DK280"/>
      <c r="DL280" t="s">
        <v>173</v>
      </c>
      <c r="DM280" t="s">
        <v>172</v>
      </c>
      <c r="DN280"/>
      <c r="DO280"/>
      <c r="DP280" t="s">
        <v>173</v>
      </c>
      <c r="DQ280" t="s">
        <v>189</v>
      </c>
      <c r="DR280"/>
      <c r="DS280"/>
      <c r="DT280"/>
      <c r="DU280"/>
      <c r="DV280"/>
      <c r="DW280"/>
      <c r="DX280"/>
      <c r="DY280"/>
      <c r="DZ280"/>
      <c r="EA280" s="117"/>
      <c r="EB280">
        <v>9</v>
      </c>
      <c r="EC280">
        <v>10</v>
      </c>
      <c r="ED280"/>
      <c r="EE280" t="s">
        <v>1515</v>
      </c>
      <c r="EF280">
        <v>10</v>
      </c>
      <c r="EG280"/>
      <c r="EH280"/>
      <c r="EI280"/>
      <c r="EJ280"/>
      <c r="EK280"/>
      <c r="EL280"/>
      <c r="EM280"/>
      <c r="EN280"/>
      <c r="EO280"/>
      <c r="EP280"/>
      <c r="EQ280"/>
      <c r="ER280"/>
      <c r="ES280"/>
      <c r="ET280"/>
      <c r="EU280">
        <v>4250</v>
      </c>
      <c r="EV280"/>
      <c r="EW280">
        <v>0</v>
      </c>
      <c r="EX280">
        <v>0</v>
      </c>
      <c r="EY280">
        <v>0</v>
      </c>
      <c r="EZ280"/>
      <c r="FA280">
        <v>9.5</v>
      </c>
      <c r="FB280"/>
      <c r="FC280"/>
      <c r="FD280"/>
      <c r="FE280"/>
      <c r="FF280"/>
      <c r="FG280" s="94">
        <v>427</v>
      </c>
      <c r="FH280" s="94">
        <v>412</v>
      </c>
      <c r="FI280" s="94">
        <v>420</v>
      </c>
    </row>
    <row r="281" spans="1:165" s="66" customFormat="1" x14ac:dyDescent="0.35">
      <c r="A281" s="19"/>
      <c r="B281" s="19"/>
      <c r="C281" s="19"/>
      <c r="D281" s="19"/>
      <c r="E281" s="19"/>
      <c r="F281" s="128"/>
      <c r="G281" s="19"/>
      <c r="H281" s="19"/>
      <c r="I281" s="19"/>
      <c r="J281" s="19"/>
      <c r="K281" s="19" t="str">
        <f>_xlfn.CONCAT(A282," ",C282," ",D282)</f>
        <v>2026 Lucid USA Inc. Gravity Dream w/21F22R wheels (3R)</v>
      </c>
      <c r="L281" s="19"/>
      <c r="M281" s="19"/>
      <c r="N281" s="19"/>
      <c r="O281" s="19"/>
      <c r="P281" s="19"/>
      <c r="Q281" s="19"/>
      <c r="R281" s="19"/>
      <c r="S281" s="19"/>
      <c r="T281" s="19"/>
      <c r="U281" s="19"/>
      <c r="V281" s="19"/>
      <c r="W281" s="19"/>
      <c r="X281" s="19"/>
      <c r="Y281" s="19"/>
      <c r="Z281" s="19"/>
      <c r="AA281" s="19"/>
      <c r="AB281" s="19" t="str">
        <f>$K281</f>
        <v>2026 Lucid USA Inc. Gravity Dream w/21F22R wheels (3R)</v>
      </c>
      <c r="AC281" s="19"/>
      <c r="AD281" s="19"/>
      <c r="AE281" s="19"/>
      <c r="AF281" s="19"/>
      <c r="AG281" s="19"/>
      <c r="AH281" s="19"/>
      <c r="AI281" s="19"/>
      <c r="AJ281" s="19"/>
      <c r="AK281" s="19"/>
      <c r="AL281" s="19"/>
      <c r="AM281" s="19"/>
      <c r="AN281" s="19"/>
      <c r="AO281" s="19"/>
      <c r="AP281" s="19"/>
      <c r="AQ281" s="19"/>
      <c r="AR281" s="19" t="str">
        <f>$K281</f>
        <v>2026 Lucid USA Inc. Gravity Dream w/21F22R wheels (3R)</v>
      </c>
      <c r="AS281" s="19"/>
      <c r="AT281" s="19"/>
      <c r="AU281" s="19"/>
      <c r="AV281" s="19"/>
      <c r="AW281" s="19"/>
      <c r="AX281" s="19"/>
      <c r="AY281" s="19"/>
      <c r="AZ281" s="19"/>
      <c r="BA281" s="19"/>
      <c r="BB281" s="19"/>
      <c r="BC281" s="19"/>
      <c r="BD281" s="19"/>
      <c r="BE281" s="19"/>
      <c r="BF281" s="19"/>
      <c r="BG281" s="19" t="str">
        <f>$K281</f>
        <v>2026 Lucid USA Inc. Gravity Dream w/21F22R wheels (3R)</v>
      </c>
      <c r="BH281" s="19"/>
      <c r="BI281" s="19"/>
      <c r="BJ281" s="19"/>
      <c r="BK281" s="19"/>
      <c r="BL281" s="19"/>
      <c r="BM281" s="129"/>
      <c r="BN281" s="19"/>
      <c r="BO281" s="19"/>
      <c r="BP281" s="19"/>
      <c r="BQ281" s="19"/>
      <c r="BR281" s="19"/>
      <c r="BS281" s="19"/>
      <c r="BT281" s="130"/>
      <c r="BU281" s="19"/>
      <c r="BV281" s="19"/>
      <c r="BW281" s="116"/>
      <c r="BX281" s="19"/>
      <c r="BY281" s="19"/>
      <c r="BZ281" s="19"/>
      <c r="CA281" s="19"/>
      <c r="CB281" s="19"/>
      <c r="CC281" s="19"/>
      <c r="CD281" s="19"/>
      <c r="CE281" s="19"/>
      <c r="CF281" s="19"/>
      <c r="CG281" s="19"/>
      <c r="CH281" s="19"/>
      <c r="CI281" s="19"/>
      <c r="CJ281" s="19"/>
      <c r="CK281" s="19"/>
      <c r="CL281" s="19"/>
      <c r="CM281" s="19" t="str">
        <f>$K281</f>
        <v>2026 Lucid USA Inc. Gravity Dream w/21F22R wheels (3R)</v>
      </c>
      <c r="CN281" s="19"/>
      <c r="CO281" s="19"/>
      <c r="CP281" s="19"/>
      <c r="CQ281" s="19"/>
      <c r="CR281" s="19"/>
      <c r="CS281" s="19"/>
      <c r="CT281" s="19"/>
      <c r="CU281" s="19"/>
      <c r="CV281" s="19"/>
      <c r="CW281" s="19"/>
      <c r="CX281" s="19"/>
      <c r="CY281" s="19"/>
      <c r="CZ281" s="19"/>
      <c r="DA281" s="19"/>
      <c r="DB281" s="19"/>
      <c r="DC281" s="19"/>
      <c r="DD281" s="19" t="str">
        <f>$K281</f>
        <v>2026 Lucid USA Inc. Gravity Dream w/21F22R wheels (3R)</v>
      </c>
      <c r="DE281" s="19"/>
      <c r="DF281" s="19"/>
      <c r="DG281" s="19"/>
      <c r="DH281" s="19"/>
      <c r="DI281" s="19"/>
      <c r="DJ281" s="19"/>
      <c r="DK281" s="19"/>
      <c r="DL281" s="19"/>
      <c r="DM281" s="19"/>
      <c r="DN281" s="19"/>
      <c r="DO281" s="19"/>
      <c r="DP281" s="19"/>
      <c r="DQ281" s="19"/>
      <c r="DR281" s="19"/>
      <c r="DS281" s="19"/>
      <c r="DT281" s="19"/>
      <c r="DU281" s="19" t="str">
        <f>$K281</f>
        <v>2026 Lucid USA Inc. Gravity Dream w/21F22R wheels (3R)</v>
      </c>
      <c r="DV281" s="19"/>
      <c r="DW281" s="19"/>
      <c r="DX281" s="19"/>
      <c r="DY281" s="19"/>
      <c r="DZ281" s="19"/>
      <c r="EA281" s="117"/>
      <c r="EB281" s="19"/>
      <c r="EC281" s="19"/>
      <c r="ED281" s="19"/>
      <c r="EE281" s="19"/>
      <c r="EF281" s="19"/>
      <c r="EG281"/>
      <c r="EH281"/>
      <c r="EI281"/>
      <c r="EJ281"/>
      <c r="EK281"/>
      <c r="EL281"/>
      <c r="EM281"/>
      <c r="EN281"/>
      <c r="EO281"/>
      <c r="EP281"/>
      <c r="EQ281"/>
      <c r="ER281"/>
      <c r="ES281"/>
      <c r="ET281"/>
      <c r="EU281"/>
      <c r="EV281"/>
      <c r="EW281"/>
      <c r="EX281" s="19" t="s">
        <v>2012</v>
      </c>
      <c r="EY281"/>
      <c r="EZ281"/>
      <c r="FA281"/>
      <c r="FB281"/>
      <c r="FC281"/>
      <c r="FD281"/>
      <c r="FE281"/>
      <c r="FF281"/>
      <c r="FG281"/>
      <c r="FH281"/>
      <c r="FI281"/>
    </row>
    <row r="282" spans="1:165" s="66" customFormat="1" x14ac:dyDescent="0.35">
      <c r="A282">
        <v>2026</v>
      </c>
      <c r="B282" t="s">
        <v>1510</v>
      </c>
      <c r="C282" s="112" t="s">
        <v>1511</v>
      </c>
      <c r="D282" t="s">
        <v>1521</v>
      </c>
      <c r="E282" t="s">
        <v>1513</v>
      </c>
      <c r="F282">
        <v>34</v>
      </c>
      <c r="G282" s="113">
        <v>0</v>
      </c>
      <c r="H282"/>
      <c r="I282" t="s">
        <v>1391</v>
      </c>
      <c r="J282">
        <v>91</v>
      </c>
      <c r="K282">
        <v>87</v>
      </c>
      <c r="L282">
        <v>90</v>
      </c>
      <c r="M282">
        <v>127.8</v>
      </c>
      <c r="N282">
        <v>122.2</v>
      </c>
      <c r="O282">
        <v>125.2178</v>
      </c>
      <c r="P282">
        <v>91.389799999999994</v>
      </c>
      <c r="Q282">
        <v>87.385199999999998</v>
      </c>
      <c r="R282">
        <v>89.543199999999999</v>
      </c>
      <c r="S282"/>
      <c r="T282"/>
      <c r="U282"/>
      <c r="V282" t="s">
        <v>170</v>
      </c>
      <c r="W282" t="s">
        <v>171</v>
      </c>
      <c r="X282"/>
      <c r="Y282">
        <v>1</v>
      </c>
      <c r="Z282" t="s">
        <v>173</v>
      </c>
      <c r="AA282" t="s">
        <v>173</v>
      </c>
      <c r="AB282" t="s">
        <v>170</v>
      </c>
      <c r="AC282" t="s">
        <v>232</v>
      </c>
      <c r="AD282"/>
      <c r="AE282"/>
      <c r="AF282">
        <v>378</v>
      </c>
      <c r="AG282" t="s">
        <v>1392</v>
      </c>
      <c r="AH282" t="s">
        <v>1393</v>
      </c>
      <c r="AI282" t="s">
        <v>178</v>
      </c>
      <c r="AJ282" t="s">
        <v>179</v>
      </c>
      <c r="AK282">
        <v>4</v>
      </c>
      <c r="AL282" t="s">
        <v>1394</v>
      </c>
      <c r="AM282"/>
      <c r="AN282"/>
      <c r="AO282"/>
      <c r="AP282"/>
      <c r="AQ282"/>
      <c r="AR282"/>
      <c r="AS282">
        <v>950</v>
      </c>
      <c r="AT282">
        <v>950</v>
      </c>
      <c r="AU282"/>
      <c r="AV282"/>
      <c r="AW282"/>
      <c r="AX282"/>
      <c r="AY282"/>
      <c r="AZ282"/>
      <c r="BA282"/>
      <c r="BB282"/>
      <c r="BC282"/>
      <c r="BD282"/>
      <c r="BE282"/>
      <c r="BF282"/>
      <c r="BG282"/>
      <c r="BH282"/>
      <c r="BI282"/>
      <c r="BJ282"/>
      <c r="BK282"/>
      <c r="BL282"/>
      <c r="BM282"/>
      <c r="BN282" s="114"/>
      <c r="BO282"/>
      <c r="BP282"/>
      <c r="BQ282">
        <v>33</v>
      </c>
      <c r="BR282" t="s">
        <v>1062</v>
      </c>
      <c r="BS282"/>
      <c r="BT282" t="s">
        <v>1402</v>
      </c>
      <c r="BU282" s="115">
        <v>45786</v>
      </c>
      <c r="BV282">
        <v>36939</v>
      </c>
      <c r="BW282" s="116"/>
      <c r="BX282" t="s">
        <v>172</v>
      </c>
      <c r="BY282" t="s">
        <v>173</v>
      </c>
      <c r="BZ282"/>
      <c r="CA282"/>
      <c r="CB282" t="s">
        <v>173</v>
      </c>
      <c r="CC282" t="s">
        <v>173</v>
      </c>
      <c r="CD282"/>
      <c r="CE282"/>
      <c r="CF282"/>
      <c r="CG282"/>
      <c r="CH282"/>
      <c r="CI282"/>
      <c r="CJ282"/>
      <c r="CK282" t="s">
        <v>259</v>
      </c>
      <c r="CL282"/>
      <c r="CM282">
        <v>1</v>
      </c>
      <c r="CN282" t="s">
        <v>260</v>
      </c>
      <c r="CO282"/>
      <c r="CP282">
        <v>810</v>
      </c>
      <c r="CQ282">
        <v>151</v>
      </c>
      <c r="CR282">
        <v>179</v>
      </c>
      <c r="CS282" t="s">
        <v>1437</v>
      </c>
      <c r="CT282"/>
      <c r="CU282"/>
      <c r="CV282" t="s">
        <v>262</v>
      </c>
      <c r="CW282"/>
      <c r="CX282" t="s">
        <v>263</v>
      </c>
      <c r="CY282" t="s">
        <v>172</v>
      </c>
      <c r="CZ282"/>
      <c r="DA282"/>
      <c r="DB282"/>
      <c r="DC282"/>
      <c r="DD282">
        <v>2</v>
      </c>
      <c r="DE282" t="s">
        <v>307</v>
      </c>
      <c r="DF282" t="s">
        <v>1514</v>
      </c>
      <c r="DG282">
        <v>399</v>
      </c>
      <c r="DH282"/>
      <c r="DI282"/>
      <c r="DJ282"/>
      <c r="DK282"/>
      <c r="DL282" t="s">
        <v>173</v>
      </c>
      <c r="DM282" t="s">
        <v>172</v>
      </c>
      <c r="DN282"/>
      <c r="DO282"/>
      <c r="DP282" t="s">
        <v>173</v>
      </c>
      <c r="DQ282" t="s">
        <v>189</v>
      </c>
      <c r="DR282"/>
      <c r="DS282"/>
      <c r="DT282"/>
      <c r="DU282"/>
      <c r="DV282"/>
      <c r="DW282"/>
      <c r="DX282"/>
      <c r="DY282"/>
      <c r="DZ282"/>
      <c r="EA282" s="117"/>
      <c r="EB282">
        <v>9</v>
      </c>
      <c r="EC282">
        <v>10</v>
      </c>
      <c r="ED282"/>
      <c r="EE282" t="s">
        <v>1515</v>
      </c>
      <c r="EF282">
        <v>10</v>
      </c>
      <c r="EG282"/>
      <c r="EH282"/>
      <c r="EI282"/>
      <c r="EJ282"/>
      <c r="EK282"/>
      <c r="EL282"/>
      <c r="EM282"/>
      <c r="EN282"/>
      <c r="EO282"/>
      <c r="EP282"/>
      <c r="EQ282"/>
      <c r="ER282"/>
      <c r="ES282"/>
      <c r="ET282"/>
      <c r="EU282">
        <v>3750</v>
      </c>
      <c r="EV282"/>
      <c r="EW282">
        <v>0</v>
      </c>
      <c r="EX282">
        <v>0</v>
      </c>
      <c r="EY282">
        <v>0</v>
      </c>
      <c r="EZ282"/>
      <c r="FA282">
        <v>9.5</v>
      </c>
      <c r="FB282"/>
      <c r="FC282"/>
      <c r="FD282"/>
      <c r="FE282"/>
      <c r="FF282"/>
      <c r="FG282" s="94">
        <v>386</v>
      </c>
      <c r="FH282" s="94">
        <v>369</v>
      </c>
      <c r="FI282" s="94">
        <v>378</v>
      </c>
    </row>
    <row r="283" spans="1:165" s="66" customFormat="1" x14ac:dyDescent="0.35">
      <c r="A283">
        <v>2026</v>
      </c>
      <c r="B283" t="s">
        <v>1510</v>
      </c>
      <c r="C283" s="112" t="s">
        <v>1511</v>
      </c>
      <c r="D283" t="s">
        <v>1521</v>
      </c>
      <c r="E283" t="s">
        <v>1513</v>
      </c>
      <c r="F283">
        <v>34</v>
      </c>
      <c r="G283" s="113">
        <v>0</v>
      </c>
      <c r="H283"/>
      <c r="I283" t="s">
        <v>1391</v>
      </c>
      <c r="J283">
        <v>37</v>
      </c>
      <c r="K283">
        <v>39</v>
      </c>
      <c r="L283">
        <v>38</v>
      </c>
      <c r="M283">
        <v>26.381599999999999</v>
      </c>
      <c r="N283">
        <v>27.584599999999998</v>
      </c>
      <c r="O283">
        <v>26.922999999999998</v>
      </c>
      <c r="P283">
        <v>36.880499999999998</v>
      </c>
      <c r="Q283">
        <v>38.570599999999999</v>
      </c>
      <c r="R283">
        <v>37.640999999999998</v>
      </c>
      <c r="S283"/>
      <c r="T283"/>
      <c r="U283"/>
      <c r="V283" t="s">
        <v>170</v>
      </c>
      <c r="W283" t="s">
        <v>171</v>
      </c>
      <c r="X283"/>
      <c r="Y283">
        <v>1</v>
      </c>
      <c r="Z283" t="s">
        <v>173</v>
      </c>
      <c r="AA283" t="s">
        <v>173</v>
      </c>
      <c r="AB283" t="s">
        <v>170</v>
      </c>
      <c r="AC283" t="s">
        <v>232</v>
      </c>
      <c r="AD283"/>
      <c r="AE283"/>
      <c r="AF283">
        <v>378</v>
      </c>
      <c r="AG283" t="s">
        <v>1392</v>
      </c>
      <c r="AH283" t="s">
        <v>1393</v>
      </c>
      <c r="AI283" t="s">
        <v>1399</v>
      </c>
      <c r="AJ283" t="s">
        <v>1400</v>
      </c>
      <c r="AK283">
        <v>4</v>
      </c>
      <c r="AL283" t="s">
        <v>1394</v>
      </c>
      <c r="AM283"/>
      <c r="AN283"/>
      <c r="AO283"/>
      <c r="AP283"/>
      <c r="AQ283"/>
      <c r="AR283"/>
      <c r="AS283">
        <v>950</v>
      </c>
      <c r="AT283">
        <v>950</v>
      </c>
      <c r="AU283"/>
      <c r="AV283"/>
      <c r="AW283"/>
      <c r="AX283"/>
      <c r="AY283"/>
      <c r="AZ283"/>
      <c r="BA283"/>
      <c r="BB283"/>
      <c r="BC283"/>
      <c r="BD283"/>
      <c r="BE283"/>
      <c r="BF283"/>
      <c r="BG283"/>
      <c r="BH283"/>
      <c r="BI283"/>
      <c r="BJ283"/>
      <c r="BK283"/>
      <c r="BL283"/>
      <c r="BM283"/>
      <c r="BN283" s="114"/>
      <c r="BO283"/>
      <c r="BP283"/>
      <c r="BQ283">
        <v>33</v>
      </c>
      <c r="BR283" t="s">
        <v>1062</v>
      </c>
      <c r="BS283"/>
      <c r="BT283" t="s">
        <v>1402</v>
      </c>
      <c r="BU283" s="115">
        <v>45786</v>
      </c>
      <c r="BV283">
        <v>36939</v>
      </c>
      <c r="BW283" s="116"/>
      <c r="BX283" t="s">
        <v>172</v>
      </c>
      <c r="BY283" t="s">
        <v>173</v>
      </c>
      <c r="BZ283"/>
      <c r="CA283"/>
      <c r="CB283" t="s">
        <v>173</v>
      </c>
      <c r="CC283" t="s">
        <v>173</v>
      </c>
      <c r="CD283"/>
      <c r="CE283"/>
      <c r="CF283"/>
      <c r="CG283"/>
      <c r="CH283"/>
      <c r="CI283"/>
      <c r="CJ283"/>
      <c r="CK283" t="s">
        <v>259</v>
      </c>
      <c r="CL283"/>
      <c r="CM283">
        <v>1</v>
      </c>
      <c r="CN283" t="s">
        <v>260</v>
      </c>
      <c r="CO283"/>
      <c r="CP283">
        <v>810</v>
      </c>
      <c r="CQ283">
        <v>151</v>
      </c>
      <c r="CR283">
        <v>179</v>
      </c>
      <c r="CS283" t="s">
        <v>1437</v>
      </c>
      <c r="CT283"/>
      <c r="CU283"/>
      <c r="CV283" t="s">
        <v>262</v>
      </c>
      <c r="CW283"/>
      <c r="CX283" t="s">
        <v>263</v>
      </c>
      <c r="CY283" t="s">
        <v>172</v>
      </c>
      <c r="CZ283"/>
      <c r="DA283"/>
      <c r="DB283"/>
      <c r="DC283"/>
      <c r="DD283">
        <v>2</v>
      </c>
      <c r="DE283" t="s">
        <v>307</v>
      </c>
      <c r="DF283" t="s">
        <v>1514</v>
      </c>
      <c r="DG283">
        <v>399</v>
      </c>
      <c r="DH283"/>
      <c r="DI283"/>
      <c r="DJ283"/>
      <c r="DK283"/>
      <c r="DL283" t="s">
        <v>173</v>
      </c>
      <c r="DM283" t="s">
        <v>172</v>
      </c>
      <c r="DN283"/>
      <c r="DO283"/>
      <c r="DP283" t="s">
        <v>173</v>
      </c>
      <c r="DQ283" t="s">
        <v>189</v>
      </c>
      <c r="DR283"/>
      <c r="DS283"/>
      <c r="DT283"/>
      <c r="DU283"/>
      <c r="DV283"/>
      <c r="DW283"/>
      <c r="DX283"/>
      <c r="DY283"/>
      <c r="DZ283"/>
      <c r="EA283" s="117"/>
      <c r="EB283">
        <v>9</v>
      </c>
      <c r="EC283">
        <v>10</v>
      </c>
      <c r="ED283"/>
      <c r="EE283" t="s">
        <v>1515</v>
      </c>
      <c r="EF283">
        <v>10</v>
      </c>
      <c r="EG283"/>
      <c r="EH283"/>
      <c r="EI283"/>
      <c r="EJ283"/>
      <c r="EK283"/>
      <c r="EL283"/>
      <c r="EM283"/>
      <c r="EN283"/>
      <c r="EO283"/>
      <c r="EP283"/>
      <c r="EQ283"/>
      <c r="ER283"/>
      <c r="ES283"/>
      <c r="ET283"/>
      <c r="EU283">
        <v>3750</v>
      </c>
      <c r="EV283"/>
      <c r="EW283">
        <v>0</v>
      </c>
      <c r="EX283">
        <v>0</v>
      </c>
      <c r="EY283">
        <v>0</v>
      </c>
      <c r="EZ283"/>
      <c r="FA283">
        <v>9.5</v>
      </c>
      <c r="FB283"/>
      <c r="FC283"/>
      <c r="FD283"/>
      <c r="FE283"/>
      <c r="FF283"/>
      <c r="FG283" s="94">
        <v>386</v>
      </c>
      <c r="FH283" s="94">
        <v>369</v>
      </c>
      <c r="FI283" s="94">
        <v>378</v>
      </c>
    </row>
    <row r="284" spans="1:165" s="66" customFormat="1" x14ac:dyDescent="0.35">
      <c r="A284" s="19"/>
      <c r="B284" s="19"/>
      <c r="C284" s="19"/>
      <c r="D284" s="19"/>
      <c r="E284" s="19"/>
      <c r="F284" s="128"/>
      <c r="G284" s="19"/>
      <c r="H284" s="19"/>
      <c r="I284" s="19"/>
      <c r="J284" s="19"/>
      <c r="K284" s="19" t="str">
        <f>_xlfn.CONCAT(A285," ",C285," ",D285)</f>
        <v>2026 Lucid USA Inc. Gravity Dream w/22F23R wheels (3R)</v>
      </c>
      <c r="L284" s="19"/>
      <c r="M284" s="19"/>
      <c r="N284" s="19"/>
      <c r="O284" s="19"/>
      <c r="P284" s="19"/>
      <c r="Q284" s="19"/>
      <c r="R284" s="19"/>
      <c r="S284" s="19"/>
      <c r="T284" s="19"/>
      <c r="U284" s="19"/>
      <c r="V284" s="19"/>
      <c r="W284" s="19"/>
      <c r="X284" s="19"/>
      <c r="Y284" s="19"/>
      <c r="Z284" s="19"/>
      <c r="AA284" s="19"/>
      <c r="AB284" s="19" t="str">
        <f>$K284</f>
        <v>2026 Lucid USA Inc. Gravity Dream w/22F23R wheels (3R)</v>
      </c>
      <c r="AC284" s="19"/>
      <c r="AD284" s="19"/>
      <c r="AE284" s="19"/>
      <c r="AF284" s="19"/>
      <c r="AG284" s="19"/>
      <c r="AH284" s="19"/>
      <c r="AI284" s="19"/>
      <c r="AJ284" s="19"/>
      <c r="AK284" s="19"/>
      <c r="AL284" s="19"/>
      <c r="AM284" s="19"/>
      <c r="AN284" s="19"/>
      <c r="AO284" s="19"/>
      <c r="AP284" s="19"/>
      <c r="AQ284" s="19"/>
      <c r="AR284" s="19" t="str">
        <f>$K284</f>
        <v>2026 Lucid USA Inc. Gravity Dream w/22F23R wheels (3R)</v>
      </c>
      <c r="AS284" s="19"/>
      <c r="AT284" s="19"/>
      <c r="AU284" s="19"/>
      <c r="AV284" s="19"/>
      <c r="AW284" s="19"/>
      <c r="AX284" s="19"/>
      <c r="AY284" s="19"/>
      <c r="AZ284" s="19"/>
      <c r="BA284" s="19"/>
      <c r="BB284" s="19"/>
      <c r="BC284" s="19"/>
      <c r="BD284" s="19"/>
      <c r="BE284" s="19"/>
      <c r="BF284" s="19"/>
      <c r="BG284" s="19" t="str">
        <f>$K284</f>
        <v>2026 Lucid USA Inc. Gravity Dream w/22F23R wheels (3R)</v>
      </c>
      <c r="BH284" s="19"/>
      <c r="BI284" s="19"/>
      <c r="BJ284" s="19"/>
      <c r="BK284" s="19"/>
      <c r="BL284" s="19"/>
      <c r="BM284" s="129"/>
      <c r="BN284" s="19"/>
      <c r="BO284" s="19"/>
      <c r="BP284" s="19"/>
      <c r="BQ284" s="19"/>
      <c r="BR284" s="19"/>
      <c r="BS284" s="19"/>
      <c r="BT284" s="130"/>
      <c r="BU284" s="19"/>
      <c r="BV284" s="19"/>
      <c r="BW284" s="116"/>
      <c r="BX284" s="19"/>
      <c r="BY284" s="19"/>
      <c r="BZ284" s="19"/>
      <c r="CA284" s="19"/>
      <c r="CB284" s="19"/>
      <c r="CC284" s="19"/>
      <c r="CD284" s="19"/>
      <c r="CE284" s="19"/>
      <c r="CF284" s="19"/>
      <c r="CG284" s="19"/>
      <c r="CH284" s="19"/>
      <c r="CI284" s="19"/>
      <c r="CJ284" s="19"/>
      <c r="CK284" s="19"/>
      <c r="CL284" s="19"/>
      <c r="CM284" s="19" t="str">
        <f>$K284</f>
        <v>2026 Lucid USA Inc. Gravity Dream w/22F23R wheels (3R)</v>
      </c>
      <c r="CN284" s="19"/>
      <c r="CO284" s="19"/>
      <c r="CP284" s="19"/>
      <c r="CQ284" s="19"/>
      <c r="CR284" s="19"/>
      <c r="CS284" s="19"/>
      <c r="CT284" s="19"/>
      <c r="CU284" s="19"/>
      <c r="CV284" s="19"/>
      <c r="CW284" s="19"/>
      <c r="CX284" s="19"/>
      <c r="CY284" s="19"/>
      <c r="CZ284" s="19"/>
      <c r="DA284" s="19"/>
      <c r="DB284" s="19"/>
      <c r="DC284" s="19"/>
      <c r="DD284" s="19" t="str">
        <f>$K284</f>
        <v>2026 Lucid USA Inc. Gravity Dream w/22F23R wheels (3R)</v>
      </c>
      <c r="DE284" s="19"/>
      <c r="DF284" s="19"/>
      <c r="DG284" s="19"/>
      <c r="DH284" s="19"/>
      <c r="DI284" s="19"/>
      <c r="DJ284" s="19"/>
      <c r="DK284" s="19"/>
      <c r="DL284" s="19"/>
      <c r="DM284" s="19"/>
      <c r="DN284" s="19"/>
      <c r="DO284" s="19"/>
      <c r="DP284" s="19"/>
      <c r="DQ284" s="19"/>
      <c r="DR284" s="19"/>
      <c r="DS284" s="19"/>
      <c r="DT284" s="19"/>
      <c r="DU284" s="19" t="str">
        <f>$K284</f>
        <v>2026 Lucid USA Inc. Gravity Dream w/22F23R wheels (3R)</v>
      </c>
      <c r="DV284" s="19"/>
      <c r="DW284" s="19"/>
      <c r="DX284" s="19"/>
      <c r="DY284" s="19"/>
      <c r="DZ284" s="19"/>
      <c r="EA284" s="117"/>
      <c r="EB284" s="19"/>
      <c r="EC284" s="19"/>
      <c r="ED284" s="19"/>
      <c r="EE284" s="19"/>
      <c r="EF284" s="19"/>
      <c r="EG284"/>
      <c r="EH284"/>
      <c r="EI284"/>
      <c r="EJ284"/>
      <c r="EK284"/>
      <c r="EL284"/>
      <c r="EM284"/>
      <c r="EN284"/>
      <c r="EO284"/>
      <c r="EP284"/>
      <c r="EQ284"/>
      <c r="ER284"/>
      <c r="ES284"/>
      <c r="ET284"/>
      <c r="EU284"/>
      <c r="EV284"/>
      <c r="EW284"/>
      <c r="EX284" s="19" t="s">
        <v>2013</v>
      </c>
      <c r="EY284"/>
      <c r="EZ284"/>
      <c r="FA284"/>
      <c r="FB284"/>
      <c r="FC284"/>
      <c r="FD284"/>
      <c r="FE284"/>
      <c r="FF284"/>
      <c r="FG284"/>
      <c r="FH284"/>
      <c r="FI284"/>
    </row>
    <row r="285" spans="1:165" s="66" customFormat="1" x14ac:dyDescent="0.35">
      <c r="A285">
        <v>2026</v>
      </c>
      <c r="B285" t="s">
        <v>1510</v>
      </c>
      <c r="C285" s="112" t="s">
        <v>1511</v>
      </c>
      <c r="D285" t="s">
        <v>1522</v>
      </c>
      <c r="E285" t="s">
        <v>1513</v>
      </c>
      <c r="F285">
        <v>35</v>
      </c>
      <c r="G285" s="113">
        <v>0</v>
      </c>
      <c r="H285"/>
      <c r="I285" t="s">
        <v>1391</v>
      </c>
      <c r="J285">
        <v>91</v>
      </c>
      <c r="K285">
        <v>87</v>
      </c>
      <c r="L285">
        <v>90</v>
      </c>
      <c r="M285">
        <v>127.8</v>
      </c>
      <c r="N285">
        <v>122.2</v>
      </c>
      <c r="O285">
        <v>125.2178</v>
      </c>
      <c r="P285">
        <v>91.389799999999994</v>
      </c>
      <c r="Q285">
        <v>87.385199999999998</v>
      </c>
      <c r="R285">
        <v>89.543199999999999</v>
      </c>
      <c r="S285"/>
      <c r="T285"/>
      <c r="U285"/>
      <c r="V285" t="s">
        <v>170</v>
      </c>
      <c r="W285" t="s">
        <v>171</v>
      </c>
      <c r="X285"/>
      <c r="Y285">
        <v>1</v>
      </c>
      <c r="Z285" t="s">
        <v>173</v>
      </c>
      <c r="AA285" t="s">
        <v>173</v>
      </c>
      <c r="AB285" t="s">
        <v>170</v>
      </c>
      <c r="AC285" t="s">
        <v>232</v>
      </c>
      <c r="AD285"/>
      <c r="AE285"/>
      <c r="AF285">
        <v>378</v>
      </c>
      <c r="AG285" t="s">
        <v>1392</v>
      </c>
      <c r="AH285" t="s">
        <v>1393</v>
      </c>
      <c r="AI285" t="s">
        <v>178</v>
      </c>
      <c r="AJ285" t="s">
        <v>179</v>
      </c>
      <c r="AK285">
        <v>4</v>
      </c>
      <c r="AL285" t="s">
        <v>1394</v>
      </c>
      <c r="AM285"/>
      <c r="AN285"/>
      <c r="AO285"/>
      <c r="AP285"/>
      <c r="AQ285"/>
      <c r="AR285"/>
      <c r="AS285">
        <v>950</v>
      </c>
      <c r="AT285">
        <v>950</v>
      </c>
      <c r="AU285"/>
      <c r="AV285"/>
      <c r="AW285"/>
      <c r="AX285"/>
      <c r="AY285"/>
      <c r="AZ285"/>
      <c r="BA285"/>
      <c r="BB285"/>
      <c r="BC285"/>
      <c r="BD285"/>
      <c r="BE285"/>
      <c r="BF285"/>
      <c r="BG285"/>
      <c r="BH285"/>
      <c r="BI285"/>
      <c r="BJ285"/>
      <c r="BK285"/>
      <c r="BL285"/>
      <c r="BM285"/>
      <c r="BN285" s="114"/>
      <c r="BO285"/>
      <c r="BP285"/>
      <c r="BQ285">
        <v>33</v>
      </c>
      <c r="BR285" t="s">
        <v>1062</v>
      </c>
      <c r="BS285"/>
      <c r="BT285" t="s">
        <v>1402</v>
      </c>
      <c r="BU285" s="115">
        <v>45786</v>
      </c>
      <c r="BV285">
        <v>36938</v>
      </c>
      <c r="BW285" s="116"/>
      <c r="BX285" t="s">
        <v>172</v>
      </c>
      <c r="BY285" t="s">
        <v>173</v>
      </c>
      <c r="BZ285"/>
      <c r="CA285"/>
      <c r="CB285" t="s">
        <v>173</v>
      </c>
      <c r="CC285" t="s">
        <v>173</v>
      </c>
      <c r="CD285"/>
      <c r="CE285"/>
      <c r="CF285"/>
      <c r="CG285"/>
      <c r="CH285"/>
      <c r="CI285"/>
      <c r="CJ285"/>
      <c r="CK285" t="s">
        <v>259</v>
      </c>
      <c r="CL285"/>
      <c r="CM285">
        <v>1</v>
      </c>
      <c r="CN285" t="s">
        <v>260</v>
      </c>
      <c r="CO285"/>
      <c r="CP285">
        <v>810</v>
      </c>
      <c r="CQ285">
        <v>151</v>
      </c>
      <c r="CR285">
        <v>179</v>
      </c>
      <c r="CS285" t="s">
        <v>1437</v>
      </c>
      <c r="CT285"/>
      <c r="CU285"/>
      <c r="CV285" t="s">
        <v>262</v>
      </c>
      <c r="CW285"/>
      <c r="CX285" t="s">
        <v>263</v>
      </c>
      <c r="CY285" t="s">
        <v>172</v>
      </c>
      <c r="CZ285"/>
      <c r="DA285"/>
      <c r="DB285"/>
      <c r="DC285"/>
      <c r="DD285">
        <v>2</v>
      </c>
      <c r="DE285" t="s">
        <v>307</v>
      </c>
      <c r="DF285" t="s">
        <v>1514</v>
      </c>
      <c r="DG285">
        <v>399</v>
      </c>
      <c r="DH285"/>
      <c r="DI285"/>
      <c r="DJ285"/>
      <c r="DK285"/>
      <c r="DL285" t="s">
        <v>173</v>
      </c>
      <c r="DM285" t="s">
        <v>172</v>
      </c>
      <c r="DN285"/>
      <c r="DO285"/>
      <c r="DP285" t="s">
        <v>173</v>
      </c>
      <c r="DQ285" t="s">
        <v>189</v>
      </c>
      <c r="DR285"/>
      <c r="DS285"/>
      <c r="DT285"/>
      <c r="DU285"/>
      <c r="DV285"/>
      <c r="DW285"/>
      <c r="DX285"/>
      <c r="DY285"/>
      <c r="DZ285"/>
      <c r="EA285" s="117"/>
      <c r="EB285">
        <v>9</v>
      </c>
      <c r="EC285">
        <v>10</v>
      </c>
      <c r="ED285"/>
      <c r="EE285" t="s">
        <v>1515</v>
      </c>
      <c r="EF285">
        <v>10</v>
      </c>
      <c r="EG285"/>
      <c r="EH285"/>
      <c r="EI285"/>
      <c r="EJ285"/>
      <c r="EK285"/>
      <c r="EL285"/>
      <c r="EM285"/>
      <c r="EN285"/>
      <c r="EO285"/>
      <c r="EP285"/>
      <c r="EQ285"/>
      <c r="ER285"/>
      <c r="ES285"/>
      <c r="ET285"/>
      <c r="EU285">
        <v>3750</v>
      </c>
      <c r="EV285"/>
      <c r="EW285">
        <v>0</v>
      </c>
      <c r="EX285">
        <v>0</v>
      </c>
      <c r="EY285">
        <v>0</v>
      </c>
      <c r="EZ285"/>
      <c r="FA285">
        <v>9.5</v>
      </c>
      <c r="FB285"/>
      <c r="FC285"/>
      <c r="FD285"/>
      <c r="FE285"/>
      <c r="FF285"/>
      <c r="FG285" s="94">
        <v>386</v>
      </c>
      <c r="FH285" s="94">
        <v>369</v>
      </c>
      <c r="FI285" s="94">
        <v>378</v>
      </c>
    </row>
    <row r="286" spans="1:165" s="66" customFormat="1" x14ac:dyDescent="0.35">
      <c r="A286">
        <v>2026</v>
      </c>
      <c r="B286" t="s">
        <v>1510</v>
      </c>
      <c r="C286" s="112" t="s">
        <v>1511</v>
      </c>
      <c r="D286" t="s">
        <v>1522</v>
      </c>
      <c r="E286" t="s">
        <v>1513</v>
      </c>
      <c r="F286">
        <v>35</v>
      </c>
      <c r="G286" s="113">
        <v>0</v>
      </c>
      <c r="H286"/>
      <c r="I286" t="s">
        <v>1391</v>
      </c>
      <c r="J286">
        <v>37</v>
      </c>
      <c r="K286">
        <v>39</v>
      </c>
      <c r="L286">
        <v>38</v>
      </c>
      <c r="M286">
        <v>26.381599999999999</v>
      </c>
      <c r="N286">
        <v>27.584599999999998</v>
      </c>
      <c r="O286">
        <v>26.922999999999998</v>
      </c>
      <c r="P286">
        <v>36.880499999999998</v>
      </c>
      <c r="Q286">
        <v>38.570599999999999</v>
      </c>
      <c r="R286">
        <v>37.640999999999998</v>
      </c>
      <c r="S286"/>
      <c r="T286"/>
      <c r="U286"/>
      <c r="V286" t="s">
        <v>170</v>
      </c>
      <c r="W286" t="s">
        <v>171</v>
      </c>
      <c r="X286"/>
      <c r="Y286">
        <v>1</v>
      </c>
      <c r="Z286" t="s">
        <v>173</v>
      </c>
      <c r="AA286" t="s">
        <v>173</v>
      </c>
      <c r="AB286" t="s">
        <v>170</v>
      </c>
      <c r="AC286" t="s">
        <v>232</v>
      </c>
      <c r="AD286"/>
      <c r="AE286"/>
      <c r="AF286">
        <v>378</v>
      </c>
      <c r="AG286" t="s">
        <v>1392</v>
      </c>
      <c r="AH286" t="s">
        <v>1393</v>
      </c>
      <c r="AI286" t="s">
        <v>1399</v>
      </c>
      <c r="AJ286" t="s">
        <v>1400</v>
      </c>
      <c r="AK286">
        <v>4</v>
      </c>
      <c r="AL286" t="s">
        <v>1394</v>
      </c>
      <c r="AM286"/>
      <c r="AN286"/>
      <c r="AO286"/>
      <c r="AP286"/>
      <c r="AQ286"/>
      <c r="AR286"/>
      <c r="AS286">
        <v>950</v>
      </c>
      <c r="AT286">
        <v>950</v>
      </c>
      <c r="AU286"/>
      <c r="AV286"/>
      <c r="AW286"/>
      <c r="AX286"/>
      <c r="AY286"/>
      <c r="AZ286"/>
      <c r="BA286"/>
      <c r="BB286"/>
      <c r="BC286"/>
      <c r="BD286"/>
      <c r="BE286"/>
      <c r="BF286"/>
      <c r="BG286"/>
      <c r="BH286"/>
      <c r="BI286"/>
      <c r="BJ286"/>
      <c r="BK286"/>
      <c r="BL286"/>
      <c r="BM286"/>
      <c r="BN286" s="114"/>
      <c r="BO286"/>
      <c r="BP286"/>
      <c r="BQ286">
        <v>33</v>
      </c>
      <c r="BR286" t="s">
        <v>1062</v>
      </c>
      <c r="BS286"/>
      <c r="BT286" t="s">
        <v>1402</v>
      </c>
      <c r="BU286" s="115">
        <v>45786</v>
      </c>
      <c r="BV286">
        <v>36938</v>
      </c>
      <c r="BW286" s="116"/>
      <c r="BX286" t="s">
        <v>172</v>
      </c>
      <c r="BY286" t="s">
        <v>173</v>
      </c>
      <c r="BZ286"/>
      <c r="CA286"/>
      <c r="CB286" t="s">
        <v>173</v>
      </c>
      <c r="CC286" t="s">
        <v>173</v>
      </c>
      <c r="CD286"/>
      <c r="CE286"/>
      <c r="CF286"/>
      <c r="CG286"/>
      <c r="CH286"/>
      <c r="CI286"/>
      <c r="CJ286"/>
      <c r="CK286" t="s">
        <v>259</v>
      </c>
      <c r="CL286"/>
      <c r="CM286">
        <v>1</v>
      </c>
      <c r="CN286" t="s">
        <v>260</v>
      </c>
      <c r="CO286"/>
      <c r="CP286">
        <v>810</v>
      </c>
      <c r="CQ286">
        <v>151</v>
      </c>
      <c r="CR286">
        <v>179</v>
      </c>
      <c r="CS286" t="s">
        <v>1437</v>
      </c>
      <c r="CT286"/>
      <c r="CU286"/>
      <c r="CV286" t="s">
        <v>262</v>
      </c>
      <c r="CW286"/>
      <c r="CX286" t="s">
        <v>263</v>
      </c>
      <c r="CY286" t="s">
        <v>172</v>
      </c>
      <c r="CZ286"/>
      <c r="DA286"/>
      <c r="DB286"/>
      <c r="DC286"/>
      <c r="DD286">
        <v>2</v>
      </c>
      <c r="DE286" t="s">
        <v>307</v>
      </c>
      <c r="DF286" t="s">
        <v>1514</v>
      </c>
      <c r="DG286">
        <v>399</v>
      </c>
      <c r="DH286"/>
      <c r="DI286"/>
      <c r="DJ286"/>
      <c r="DK286"/>
      <c r="DL286" t="s">
        <v>173</v>
      </c>
      <c r="DM286" t="s">
        <v>172</v>
      </c>
      <c r="DN286"/>
      <c r="DO286"/>
      <c r="DP286" t="s">
        <v>173</v>
      </c>
      <c r="DQ286" t="s">
        <v>189</v>
      </c>
      <c r="DR286"/>
      <c r="DS286"/>
      <c r="DT286"/>
      <c r="DU286"/>
      <c r="DV286"/>
      <c r="DW286"/>
      <c r="DX286"/>
      <c r="DY286"/>
      <c r="DZ286"/>
      <c r="EA286" s="117"/>
      <c r="EB286">
        <v>9</v>
      </c>
      <c r="EC286">
        <v>10</v>
      </c>
      <c r="ED286"/>
      <c r="EE286" t="s">
        <v>1515</v>
      </c>
      <c r="EF286">
        <v>10</v>
      </c>
      <c r="EG286"/>
      <c r="EH286"/>
      <c r="EI286"/>
      <c r="EJ286"/>
      <c r="EK286"/>
      <c r="EL286"/>
      <c r="EM286"/>
      <c r="EN286"/>
      <c r="EO286"/>
      <c r="EP286"/>
      <c r="EQ286"/>
      <c r="ER286"/>
      <c r="ES286"/>
      <c r="ET286"/>
      <c r="EU286">
        <v>3750</v>
      </c>
      <c r="EV286"/>
      <c r="EW286">
        <v>0</v>
      </c>
      <c r="EX286">
        <v>0</v>
      </c>
      <c r="EY286">
        <v>0</v>
      </c>
      <c r="EZ286"/>
      <c r="FA286">
        <v>9.5</v>
      </c>
      <c r="FB286"/>
      <c r="FC286"/>
      <c r="FD286"/>
      <c r="FE286"/>
      <c r="FF286"/>
      <c r="FG286" s="94">
        <v>386</v>
      </c>
      <c r="FH286" s="94">
        <v>369</v>
      </c>
      <c r="FI286" s="94">
        <v>378</v>
      </c>
    </row>
    <row r="287" spans="1:165" s="66" customFormat="1" x14ac:dyDescent="0.35">
      <c r="A287" s="19"/>
      <c r="B287" s="19"/>
      <c r="C287" s="19"/>
      <c r="D287" s="19"/>
      <c r="E287" s="19"/>
      <c r="F287" s="128"/>
      <c r="G287" s="19"/>
      <c r="H287" s="19"/>
      <c r="I287" s="19"/>
      <c r="J287" s="19"/>
      <c r="K287" s="19" t="str">
        <f>_xlfn.CONCAT(A288," ",C288," ",D288)</f>
        <v>2026 Lucid USA Inc. Gravity GT w/20F21R wheels (2R)</v>
      </c>
      <c r="L287" s="19"/>
      <c r="M287" s="19"/>
      <c r="N287" s="19"/>
      <c r="O287" s="19"/>
      <c r="P287" s="19"/>
      <c r="Q287" s="19"/>
      <c r="R287" s="19"/>
      <c r="S287" s="19"/>
      <c r="T287" s="19"/>
      <c r="U287" s="19"/>
      <c r="V287" s="19"/>
      <c r="W287" s="19"/>
      <c r="X287" s="19"/>
      <c r="Y287" s="19"/>
      <c r="Z287" s="19"/>
      <c r="AA287" s="19"/>
      <c r="AB287" s="19" t="str">
        <f>$K287</f>
        <v>2026 Lucid USA Inc. Gravity GT w/20F21R wheels (2R)</v>
      </c>
      <c r="AC287" s="19"/>
      <c r="AD287" s="19"/>
      <c r="AE287" s="19"/>
      <c r="AF287" s="19"/>
      <c r="AG287" s="19"/>
      <c r="AH287" s="19"/>
      <c r="AI287" s="19"/>
      <c r="AJ287" s="19"/>
      <c r="AK287" s="19"/>
      <c r="AL287" s="19"/>
      <c r="AM287" s="19"/>
      <c r="AN287" s="19"/>
      <c r="AO287" s="19"/>
      <c r="AP287" s="19"/>
      <c r="AQ287" s="19"/>
      <c r="AR287" s="19" t="str">
        <f>$K287</f>
        <v>2026 Lucid USA Inc. Gravity GT w/20F21R wheels (2R)</v>
      </c>
      <c r="AS287" s="19"/>
      <c r="AT287" s="19"/>
      <c r="AU287" s="19"/>
      <c r="AV287" s="19"/>
      <c r="AW287" s="19"/>
      <c r="AX287" s="19"/>
      <c r="AY287" s="19"/>
      <c r="AZ287" s="19"/>
      <c r="BA287" s="19"/>
      <c r="BB287" s="19"/>
      <c r="BC287" s="19"/>
      <c r="BD287" s="19"/>
      <c r="BE287" s="19"/>
      <c r="BF287" s="19"/>
      <c r="BG287" s="19" t="str">
        <f>$K287</f>
        <v>2026 Lucid USA Inc. Gravity GT w/20F21R wheels (2R)</v>
      </c>
      <c r="BH287" s="19"/>
      <c r="BI287" s="19"/>
      <c r="BJ287" s="19"/>
      <c r="BK287" s="19"/>
      <c r="BL287" s="19"/>
      <c r="BM287" s="129"/>
      <c r="BN287" s="19"/>
      <c r="BO287" s="19"/>
      <c r="BP287" s="19"/>
      <c r="BQ287" s="19"/>
      <c r="BR287" s="19"/>
      <c r="BS287" s="19"/>
      <c r="BT287" s="130"/>
      <c r="BU287" s="19"/>
      <c r="BV287" s="19"/>
      <c r="BW287" s="116"/>
      <c r="BX287" s="19"/>
      <c r="BY287" s="19"/>
      <c r="BZ287" s="19"/>
      <c r="CA287" s="19"/>
      <c r="CB287" s="19"/>
      <c r="CC287" s="19"/>
      <c r="CD287" s="19"/>
      <c r="CE287" s="19"/>
      <c r="CF287" s="19"/>
      <c r="CG287" s="19"/>
      <c r="CH287" s="19"/>
      <c r="CI287" s="19"/>
      <c r="CJ287" s="19"/>
      <c r="CK287" s="19"/>
      <c r="CL287" s="19"/>
      <c r="CM287" s="19" t="str">
        <f>$K287</f>
        <v>2026 Lucid USA Inc. Gravity GT w/20F21R wheels (2R)</v>
      </c>
      <c r="CN287" s="19"/>
      <c r="CO287" s="19"/>
      <c r="CP287" s="19"/>
      <c r="CQ287" s="19"/>
      <c r="CR287" s="19"/>
      <c r="CS287" s="19"/>
      <c r="CT287" s="19"/>
      <c r="CU287" s="19"/>
      <c r="CV287" s="19"/>
      <c r="CW287" s="19"/>
      <c r="CX287" s="19"/>
      <c r="CY287" s="19"/>
      <c r="CZ287" s="19"/>
      <c r="DA287" s="19"/>
      <c r="DB287" s="19"/>
      <c r="DC287" s="19"/>
      <c r="DD287" s="19" t="str">
        <f>$K287</f>
        <v>2026 Lucid USA Inc. Gravity GT w/20F21R wheels (2R)</v>
      </c>
      <c r="DE287" s="19"/>
      <c r="DF287" s="19"/>
      <c r="DG287" s="19"/>
      <c r="DH287" s="19"/>
      <c r="DI287" s="19"/>
      <c r="DJ287" s="19"/>
      <c r="DK287" s="19"/>
      <c r="DL287" s="19"/>
      <c r="DM287" s="19"/>
      <c r="DN287" s="19"/>
      <c r="DO287" s="19"/>
      <c r="DP287" s="19"/>
      <c r="DQ287" s="19"/>
      <c r="DR287" s="19"/>
      <c r="DS287" s="19"/>
      <c r="DT287" s="19"/>
      <c r="DU287" s="19" t="str">
        <f>$K287</f>
        <v>2026 Lucid USA Inc. Gravity GT w/20F21R wheels (2R)</v>
      </c>
      <c r="DV287" s="19"/>
      <c r="DW287" s="19"/>
      <c r="DX287" s="19"/>
      <c r="DY287" s="19"/>
      <c r="DZ287" s="19"/>
      <c r="EA287" s="117"/>
      <c r="EB287" s="19"/>
      <c r="EC287" s="19"/>
      <c r="ED287" s="19"/>
      <c r="EE287" s="19"/>
      <c r="EF287" s="19"/>
      <c r="EG287"/>
      <c r="EH287"/>
      <c r="EI287"/>
      <c r="EJ287"/>
      <c r="EK287"/>
      <c r="EL287"/>
      <c r="EM287"/>
      <c r="EN287"/>
      <c r="EO287"/>
      <c r="EP287"/>
      <c r="EQ287"/>
      <c r="ER287"/>
      <c r="ES287"/>
      <c r="ET287"/>
      <c r="EU287"/>
      <c r="EV287"/>
      <c r="EW287"/>
      <c r="EX287" s="19" t="s">
        <v>2014</v>
      </c>
      <c r="EY287"/>
      <c r="EZ287"/>
      <c r="FA287"/>
      <c r="FB287"/>
      <c r="FC287"/>
      <c r="FD287"/>
      <c r="FE287"/>
      <c r="FF287"/>
      <c r="FG287"/>
      <c r="FH287"/>
      <c r="FI287"/>
    </row>
    <row r="288" spans="1:165" s="66" customFormat="1" x14ac:dyDescent="0.35">
      <c r="A288">
        <v>2026</v>
      </c>
      <c r="B288" t="s">
        <v>1510</v>
      </c>
      <c r="C288" s="112" t="s">
        <v>1511</v>
      </c>
      <c r="D288" t="s">
        <v>1512</v>
      </c>
      <c r="E288" t="s">
        <v>1513</v>
      </c>
      <c r="F288">
        <v>27</v>
      </c>
      <c r="G288" s="113">
        <v>0</v>
      </c>
      <c r="H288"/>
      <c r="I288" t="s">
        <v>1391</v>
      </c>
      <c r="J288">
        <v>113</v>
      </c>
      <c r="K288">
        <v>103</v>
      </c>
      <c r="L288">
        <v>108</v>
      </c>
      <c r="M288">
        <v>158.5</v>
      </c>
      <c r="N288">
        <v>143.9</v>
      </c>
      <c r="O288">
        <v>151.57939999999999</v>
      </c>
      <c r="P288">
        <v>113.3434</v>
      </c>
      <c r="Q288">
        <v>102.9029</v>
      </c>
      <c r="R288">
        <v>108.3944</v>
      </c>
      <c r="S288"/>
      <c r="T288"/>
      <c r="U288"/>
      <c r="V288" t="s">
        <v>170</v>
      </c>
      <c r="W288" t="s">
        <v>171</v>
      </c>
      <c r="X288"/>
      <c r="Y288">
        <v>1</v>
      </c>
      <c r="Z288" t="s">
        <v>173</v>
      </c>
      <c r="AA288" t="s">
        <v>173</v>
      </c>
      <c r="AB288" t="s">
        <v>170</v>
      </c>
      <c r="AC288" t="s">
        <v>232</v>
      </c>
      <c r="AD288"/>
      <c r="AE288"/>
      <c r="AF288">
        <v>450</v>
      </c>
      <c r="AG288" t="s">
        <v>1392</v>
      </c>
      <c r="AH288" t="s">
        <v>1393</v>
      </c>
      <c r="AI288" t="s">
        <v>178</v>
      </c>
      <c r="AJ288" t="s">
        <v>179</v>
      </c>
      <c r="AK288">
        <v>4</v>
      </c>
      <c r="AL288" t="s">
        <v>1394</v>
      </c>
      <c r="AM288"/>
      <c r="AN288"/>
      <c r="AO288"/>
      <c r="AP288"/>
      <c r="AQ288"/>
      <c r="AR288"/>
      <c r="AS288">
        <v>800</v>
      </c>
      <c r="AT288">
        <v>800</v>
      </c>
      <c r="AU288"/>
      <c r="AV288"/>
      <c r="AW288"/>
      <c r="AX288"/>
      <c r="AY288"/>
      <c r="AZ288"/>
      <c r="BA288"/>
      <c r="BB288"/>
      <c r="BC288"/>
      <c r="BD288"/>
      <c r="BE288"/>
      <c r="BF288"/>
      <c r="BG288"/>
      <c r="BH288"/>
      <c r="BI288"/>
      <c r="BJ288"/>
      <c r="BK288"/>
      <c r="BL288"/>
      <c r="BM288"/>
      <c r="BN288" s="114"/>
      <c r="BO288"/>
      <c r="BP288"/>
      <c r="BQ288">
        <v>33</v>
      </c>
      <c r="BR288" t="s">
        <v>1062</v>
      </c>
      <c r="BS288"/>
      <c r="BT288" t="s">
        <v>1402</v>
      </c>
      <c r="BU288" s="115">
        <v>45786</v>
      </c>
      <c r="BV288">
        <v>36799</v>
      </c>
      <c r="BW288" s="116"/>
      <c r="BX288" t="s">
        <v>172</v>
      </c>
      <c r="BY288" t="s">
        <v>173</v>
      </c>
      <c r="BZ288"/>
      <c r="CA288"/>
      <c r="CB288" t="s">
        <v>173</v>
      </c>
      <c r="CC288" t="s">
        <v>173</v>
      </c>
      <c r="CD288"/>
      <c r="CE288"/>
      <c r="CF288"/>
      <c r="CG288"/>
      <c r="CH288"/>
      <c r="CI288"/>
      <c r="CJ288"/>
      <c r="CK288" t="s">
        <v>259</v>
      </c>
      <c r="CL288"/>
      <c r="CM288">
        <v>1</v>
      </c>
      <c r="CN288" t="s">
        <v>260</v>
      </c>
      <c r="CO288"/>
      <c r="CP288">
        <v>810</v>
      </c>
      <c r="CQ288">
        <v>151</v>
      </c>
      <c r="CR288">
        <v>179</v>
      </c>
      <c r="CS288" t="s">
        <v>1437</v>
      </c>
      <c r="CT288"/>
      <c r="CU288"/>
      <c r="CV288" t="s">
        <v>262</v>
      </c>
      <c r="CW288"/>
      <c r="CX288" t="s">
        <v>263</v>
      </c>
      <c r="CY288" t="s">
        <v>172</v>
      </c>
      <c r="CZ288"/>
      <c r="DA288"/>
      <c r="DB288"/>
      <c r="DC288"/>
      <c r="DD288">
        <v>2</v>
      </c>
      <c r="DE288" t="s">
        <v>307</v>
      </c>
      <c r="DF288" t="s">
        <v>1514</v>
      </c>
      <c r="DG288">
        <v>399</v>
      </c>
      <c r="DH288"/>
      <c r="DI288"/>
      <c r="DJ288"/>
      <c r="DK288"/>
      <c r="DL288" t="s">
        <v>173</v>
      </c>
      <c r="DM288" t="s">
        <v>172</v>
      </c>
      <c r="DN288"/>
      <c r="DO288"/>
      <c r="DP288" t="s">
        <v>173</v>
      </c>
      <c r="DQ288" t="s">
        <v>189</v>
      </c>
      <c r="DR288"/>
      <c r="DS288"/>
      <c r="DT288"/>
      <c r="DU288"/>
      <c r="DV288"/>
      <c r="DW288"/>
      <c r="DX288"/>
      <c r="DY288"/>
      <c r="DZ288"/>
      <c r="EA288" s="117"/>
      <c r="EB288">
        <v>9</v>
      </c>
      <c r="EC288">
        <v>10</v>
      </c>
      <c r="ED288"/>
      <c r="EE288" t="s">
        <v>1515</v>
      </c>
      <c r="EF288">
        <v>10</v>
      </c>
      <c r="EG288"/>
      <c r="EH288"/>
      <c r="EI288"/>
      <c r="EJ288"/>
      <c r="EK288"/>
      <c r="EL288"/>
      <c r="EM288"/>
      <c r="EN288"/>
      <c r="EO288"/>
      <c r="EP288"/>
      <c r="EQ288"/>
      <c r="ER288"/>
      <c r="ES288"/>
      <c r="ET288"/>
      <c r="EU288">
        <v>4500</v>
      </c>
      <c r="EV288"/>
      <c r="EW288">
        <v>0</v>
      </c>
      <c r="EX288">
        <v>0</v>
      </c>
      <c r="EY288">
        <v>0</v>
      </c>
      <c r="EZ288"/>
      <c r="FA288">
        <v>9.5</v>
      </c>
      <c r="FB288"/>
      <c r="FC288"/>
      <c r="FD288"/>
      <c r="FE288"/>
      <c r="FF288"/>
      <c r="FG288" s="94">
        <v>469</v>
      </c>
      <c r="FH288" s="94">
        <v>426</v>
      </c>
      <c r="FI288" s="94">
        <v>450</v>
      </c>
    </row>
    <row r="289" spans="1:165" s="66" customFormat="1" x14ac:dyDescent="0.35">
      <c r="A289">
        <v>2026</v>
      </c>
      <c r="B289" t="s">
        <v>1510</v>
      </c>
      <c r="C289" s="112" t="s">
        <v>1511</v>
      </c>
      <c r="D289" t="s">
        <v>1512</v>
      </c>
      <c r="E289" t="s">
        <v>1513</v>
      </c>
      <c r="F289">
        <v>27</v>
      </c>
      <c r="G289" s="113">
        <v>0</v>
      </c>
      <c r="H289"/>
      <c r="I289" t="s">
        <v>1391</v>
      </c>
      <c r="J289">
        <v>30</v>
      </c>
      <c r="K289">
        <v>33</v>
      </c>
      <c r="L289">
        <v>31</v>
      </c>
      <c r="M289">
        <v>21.264099999999999</v>
      </c>
      <c r="N289">
        <v>23.414999999999999</v>
      </c>
      <c r="O289">
        <v>22.23</v>
      </c>
      <c r="P289">
        <v>29.737100000000002</v>
      </c>
      <c r="Q289">
        <v>32.754199999999997</v>
      </c>
      <c r="R289">
        <v>31.094799999999999</v>
      </c>
      <c r="S289"/>
      <c r="T289"/>
      <c r="U289"/>
      <c r="V289" t="s">
        <v>170</v>
      </c>
      <c r="W289" t="s">
        <v>171</v>
      </c>
      <c r="X289"/>
      <c r="Y289">
        <v>1</v>
      </c>
      <c r="Z289" t="s">
        <v>173</v>
      </c>
      <c r="AA289" t="s">
        <v>173</v>
      </c>
      <c r="AB289" t="s">
        <v>170</v>
      </c>
      <c r="AC289" t="s">
        <v>232</v>
      </c>
      <c r="AD289"/>
      <c r="AE289"/>
      <c r="AF289">
        <v>450</v>
      </c>
      <c r="AG289" t="s">
        <v>1392</v>
      </c>
      <c r="AH289" t="s">
        <v>1393</v>
      </c>
      <c r="AI289" t="s">
        <v>1399</v>
      </c>
      <c r="AJ289" t="s">
        <v>1400</v>
      </c>
      <c r="AK289">
        <v>4</v>
      </c>
      <c r="AL289" t="s">
        <v>1394</v>
      </c>
      <c r="AM289"/>
      <c r="AN289"/>
      <c r="AO289"/>
      <c r="AP289"/>
      <c r="AQ289"/>
      <c r="AR289"/>
      <c r="AS289">
        <v>800</v>
      </c>
      <c r="AT289">
        <v>800</v>
      </c>
      <c r="AU289"/>
      <c r="AV289"/>
      <c r="AW289"/>
      <c r="AX289"/>
      <c r="AY289"/>
      <c r="AZ289"/>
      <c r="BA289"/>
      <c r="BB289"/>
      <c r="BC289"/>
      <c r="BD289"/>
      <c r="BE289"/>
      <c r="BF289"/>
      <c r="BG289"/>
      <c r="BH289"/>
      <c r="BI289"/>
      <c r="BJ289"/>
      <c r="BK289"/>
      <c r="BL289"/>
      <c r="BM289"/>
      <c r="BN289" s="114"/>
      <c r="BO289"/>
      <c r="BP289"/>
      <c r="BQ289">
        <v>33</v>
      </c>
      <c r="BR289" t="s">
        <v>1062</v>
      </c>
      <c r="BS289"/>
      <c r="BT289" t="s">
        <v>1402</v>
      </c>
      <c r="BU289" s="115">
        <v>45786</v>
      </c>
      <c r="BV289">
        <v>36799</v>
      </c>
      <c r="BW289" s="116"/>
      <c r="BX289" t="s">
        <v>172</v>
      </c>
      <c r="BY289" t="s">
        <v>173</v>
      </c>
      <c r="BZ289"/>
      <c r="CA289"/>
      <c r="CB289" t="s">
        <v>173</v>
      </c>
      <c r="CC289" t="s">
        <v>173</v>
      </c>
      <c r="CD289"/>
      <c r="CE289"/>
      <c r="CF289"/>
      <c r="CG289"/>
      <c r="CH289"/>
      <c r="CI289"/>
      <c r="CJ289"/>
      <c r="CK289" t="s">
        <v>259</v>
      </c>
      <c r="CL289"/>
      <c r="CM289">
        <v>1</v>
      </c>
      <c r="CN289" t="s">
        <v>260</v>
      </c>
      <c r="CO289"/>
      <c r="CP289">
        <v>810</v>
      </c>
      <c r="CQ289">
        <v>151</v>
      </c>
      <c r="CR289">
        <v>179</v>
      </c>
      <c r="CS289" t="s">
        <v>1437</v>
      </c>
      <c r="CT289"/>
      <c r="CU289"/>
      <c r="CV289" t="s">
        <v>262</v>
      </c>
      <c r="CW289"/>
      <c r="CX289" t="s">
        <v>263</v>
      </c>
      <c r="CY289" t="s">
        <v>172</v>
      </c>
      <c r="CZ289"/>
      <c r="DA289"/>
      <c r="DB289"/>
      <c r="DC289"/>
      <c r="DD289">
        <v>2</v>
      </c>
      <c r="DE289" t="s">
        <v>307</v>
      </c>
      <c r="DF289" t="s">
        <v>1514</v>
      </c>
      <c r="DG289">
        <v>399</v>
      </c>
      <c r="DH289"/>
      <c r="DI289"/>
      <c r="DJ289"/>
      <c r="DK289"/>
      <c r="DL289" t="s">
        <v>173</v>
      </c>
      <c r="DM289" t="s">
        <v>172</v>
      </c>
      <c r="DN289"/>
      <c r="DO289"/>
      <c r="DP289" t="s">
        <v>173</v>
      </c>
      <c r="DQ289" t="s">
        <v>189</v>
      </c>
      <c r="DR289"/>
      <c r="DS289"/>
      <c r="DT289"/>
      <c r="DU289"/>
      <c r="DV289"/>
      <c r="DW289"/>
      <c r="DX289"/>
      <c r="DY289"/>
      <c r="DZ289"/>
      <c r="EA289" s="117"/>
      <c r="EB289">
        <v>9</v>
      </c>
      <c r="EC289">
        <v>10</v>
      </c>
      <c r="ED289"/>
      <c r="EE289" t="s">
        <v>1515</v>
      </c>
      <c r="EF289">
        <v>10</v>
      </c>
      <c r="EG289"/>
      <c r="EH289"/>
      <c r="EI289"/>
      <c r="EJ289"/>
      <c r="EK289"/>
      <c r="EL289"/>
      <c r="EM289"/>
      <c r="EN289"/>
      <c r="EO289"/>
      <c r="EP289"/>
      <c r="EQ289"/>
      <c r="ER289"/>
      <c r="ES289"/>
      <c r="ET289"/>
      <c r="EU289">
        <v>4500</v>
      </c>
      <c r="EV289"/>
      <c r="EW289">
        <v>0</v>
      </c>
      <c r="EX289">
        <v>0</v>
      </c>
      <c r="EY289">
        <v>0</v>
      </c>
      <c r="EZ289"/>
      <c r="FA289">
        <v>9.5</v>
      </c>
      <c r="FB289"/>
      <c r="FC289"/>
      <c r="FD289"/>
      <c r="FE289"/>
      <c r="FF289"/>
      <c r="FG289" s="94">
        <v>469</v>
      </c>
      <c r="FH289" s="94">
        <v>426</v>
      </c>
      <c r="FI289" s="94">
        <v>450</v>
      </c>
    </row>
    <row r="290" spans="1:165" s="66" customFormat="1" x14ac:dyDescent="0.35">
      <c r="A290" s="19"/>
      <c r="B290" s="19"/>
      <c r="C290" s="19"/>
      <c r="D290" s="19"/>
      <c r="E290" s="19"/>
      <c r="F290" s="128"/>
      <c r="G290" s="19"/>
      <c r="H290" s="19"/>
      <c r="I290" s="19"/>
      <c r="J290" s="19"/>
      <c r="K290" s="19" t="str">
        <f>_xlfn.CONCAT(A291," ",C291," ",D291)</f>
        <v>2026 Lucid USA Inc. Gravity GT w/21F22R wheels (2R)</v>
      </c>
      <c r="L290" s="19"/>
      <c r="M290" s="19"/>
      <c r="N290" s="19"/>
      <c r="O290" s="19"/>
      <c r="P290" s="19"/>
      <c r="Q290" s="19"/>
      <c r="R290" s="19"/>
      <c r="S290" s="19"/>
      <c r="T290" s="19"/>
      <c r="U290" s="19"/>
      <c r="V290" s="19"/>
      <c r="W290" s="19"/>
      <c r="X290" s="19"/>
      <c r="Y290" s="19"/>
      <c r="Z290" s="19"/>
      <c r="AA290" s="19"/>
      <c r="AB290" s="19" t="str">
        <f>$K290</f>
        <v>2026 Lucid USA Inc. Gravity GT w/21F22R wheels (2R)</v>
      </c>
      <c r="AC290" s="19"/>
      <c r="AD290" s="19"/>
      <c r="AE290" s="19"/>
      <c r="AF290" s="19"/>
      <c r="AG290" s="19"/>
      <c r="AH290" s="19"/>
      <c r="AI290" s="19"/>
      <c r="AJ290" s="19"/>
      <c r="AK290" s="19"/>
      <c r="AL290" s="19"/>
      <c r="AM290" s="19"/>
      <c r="AN290" s="19"/>
      <c r="AO290" s="19"/>
      <c r="AP290" s="19"/>
      <c r="AQ290" s="19"/>
      <c r="AR290" s="19" t="str">
        <f>$K290</f>
        <v>2026 Lucid USA Inc. Gravity GT w/21F22R wheels (2R)</v>
      </c>
      <c r="AS290" s="19"/>
      <c r="AT290" s="19"/>
      <c r="AU290" s="19"/>
      <c r="AV290" s="19"/>
      <c r="AW290" s="19"/>
      <c r="AX290" s="19"/>
      <c r="AY290" s="19"/>
      <c r="AZ290" s="19"/>
      <c r="BA290" s="19"/>
      <c r="BB290" s="19"/>
      <c r="BC290" s="19"/>
      <c r="BD290" s="19"/>
      <c r="BE290" s="19"/>
      <c r="BF290" s="19"/>
      <c r="BG290" s="19" t="str">
        <f>$K290</f>
        <v>2026 Lucid USA Inc. Gravity GT w/21F22R wheels (2R)</v>
      </c>
      <c r="BH290" s="19"/>
      <c r="BI290" s="19"/>
      <c r="BJ290" s="19"/>
      <c r="BK290" s="19"/>
      <c r="BL290" s="19"/>
      <c r="BM290" s="129"/>
      <c r="BN290" s="19"/>
      <c r="BO290" s="19"/>
      <c r="BP290" s="19"/>
      <c r="BQ290" s="19"/>
      <c r="BR290" s="19"/>
      <c r="BS290" s="19"/>
      <c r="BT290" s="130"/>
      <c r="BU290" s="19"/>
      <c r="BV290" s="19"/>
      <c r="BW290" s="116"/>
      <c r="BX290" s="19"/>
      <c r="BY290" s="19"/>
      <c r="BZ290" s="19"/>
      <c r="CA290" s="19"/>
      <c r="CB290" s="19"/>
      <c r="CC290" s="19"/>
      <c r="CD290" s="19"/>
      <c r="CE290" s="19"/>
      <c r="CF290" s="19"/>
      <c r="CG290" s="19"/>
      <c r="CH290" s="19"/>
      <c r="CI290" s="19"/>
      <c r="CJ290" s="19"/>
      <c r="CK290" s="19"/>
      <c r="CL290" s="19"/>
      <c r="CM290" s="19" t="str">
        <f>$K290</f>
        <v>2026 Lucid USA Inc. Gravity GT w/21F22R wheels (2R)</v>
      </c>
      <c r="CN290" s="19"/>
      <c r="CO290" s="19"/>
      <c r="CP290" s="19"/>
      <c r="CQ290" s="19"/>
      <c r="CR290" s="19"/>
      <c r="CS290" s="19"/>
      <c r="CT290" s="19"/>
      <c r="CU290" s="19"/>
      <c r="CV290" s="19"/>
      <c r="CW290" s="19"/>
      <c r="CX290" s="19"/>
      <c r="CY290" s="19"/>
      <c r="CZ290" s="19"/>
      <c r="DA290" s="19"/>
      <c r="DB290" s="19"/>
      <c r="DC290" s="19"/>
      <c r="DD290" s="19" t="str">
        <f>$K290</f>
        <v>2026 Lucid USA Inc. Gravity GT w/21F22R wheels (2R)</v>
      </c>
      <c r="DE290" s="19"/>
      <c r="DF290" s="19"/>
      <c r="DG290" s="19"/>
      <c r="DH290" s="19"/>
      <c r="DI290" s="19"/>
      <c r="DJ290" s="19"/>
      <c r="DK290" s="19"/>
      <c r="DL290" s="19"/>
      <c r="DM290" s="19"/>
      <c r="DN290" s="19"/>
      <c r="DO290" s="19"/>
      <c r="DP290" s="19"/>
      <c r="DQ290" s="19"/>
      <c r="DR290" s="19"/>
      <c r="DS290" s="19"/>
      <c r="DT290" s="19"/>
      <c r="DU290" s="19" t="str">
        <f>$K290</f>
        <v>2026 Lucid USA Inc. Gravity GT w/21F22R wheels (2R)</v>
      </c>
      <c r="DV290" s="19"/>
      <c r="DW290" s="19"/>
      <c r="DX290" s="19"/>
      <c r="DY290" s="19"/>
      <c r="DZ290" s="19"/>
      <c r="EA290" s="117"/>
      <c r="EB290" s="19"/>
      <c r="EC290" s="19"/>
      <c r="ED290" s="19"/>
      <c r="EE290" s="19"/>
      <c r="EF290" s="19"/>
      <c r="EG290"/>
      <c r="EH290"/>
      <c r="EI290"/>
      <c r="EJ290"/>
      <c r="EK290"/>
      <c r="EL290"/>
      <c r="EM290"/>
      <c r="EN290"/>
      <c r="EO290"/>
      <c r="EP290"/>
      <c r="EQ290"/>
      <c r="ER290"/>
      <c r="ES290"/>
      <c r="ET290"/>
      <c r="EU290"/>
      <c r="EV290"/>
      <c r="EW290"/>
      <c r="EX290" s="19" t="s">
        <v>2015</v>
      </c>
      <c r="EY290"/>
      <c r="EZ290"/>
      <c r="FA290"/>
      <c r="FB290"/>
      <c r="FC290"/>
      <c r="FD290"/>
      <c r="FE290"/>
      <c r="FF290"/>
      <c r="FG290"/>
      <c r="FH290"/>
      <c r="FI290"/>
    </row>
    <row r="291" spans="1:165" s="66" customFormat="1" x14ac:dyDescent="0.35">
      <c r="A291">
        <v>2026</v>
      </c>
      <c r="B291" t="s">
        <v>1510</v>
      </c>
      <c r="C291" s="112" t="s">
        <v>1511</v>
      </c>
      <c r="D291" t="s">
        <v>1516</v>
      </c>
      <c r="E291" t="s">
        <v>1513</v>
      </c>
      <c r="F291">
        <v>28</v>
      </c>
      <c r="G291" s="113">
        <v>0</v>
      </c>
      <c r="H291"/>
      <c r="I291" t="s">
        <v>1391</v>
      </c>
      <c r="J291">
        <v>102</v>
      </c>
      <c r="K291">
        <v>94</v>
      </c>
      <c r="L291">
        <v>98</v>
      </c>
      <c r="M291">
        <v>142.5</v>
      </c>
      <c r="N291">
        <v>131.4</v>
      </c>
      <c r="O291">
        <v>137.28139999999999</v>
      </c>
      <c r="P291">
        <v>101.90179999999999</v>
      </c>
      <c r="Q291">
        <v>93.964100000000002</v>
      </c>
      <c r="R291">
        <v>98.169899999999998</v>
      </c>
      <c r="S291"/>
      <c r="T291"/>
      <c r="U291"/>
      <c r="V291" t="s">
        <v>170</v>
      </c>
      <c r="W291" t="s">
        <v>171</v>
      </c>
      <c r="X291"/>
      <c r="Y291">
        <v>1</v>
      </c>
      <c r="Z291" t="s">
        <v>173</v>
      </c>
      <c r="AA291" t="s">
        <v>173</v>
      </c>
      <c r="AB291" t="s">
        <v>170</v>
      </c>
      <c r="AC291" t="s">
        <v>232</v>
      </c>
      <c r="AD291"/>
      <c r="AE291"/>
      <c r="AF291">
        <v>407</v>
      </c>
      <c r="AG291" t="s">
        <v>1392</v>
      </c>
      <c r="AH291" t="s">
        <v>1393</v>
      </c>
      <c r="AI291" t="s">
        <v>178</v>
      </c>
      <c r="AJ291" t="s">
        <v>179</v>
      </c>
      <c r="AK291">
        <v>4</v>
      </c>
      <c r="AL291" t="s">
        <v>1394</v>
      </c>
      <c r="AM291"/>
      <c r="AN291"/>
      <c r="AO291"/>
      <c r="AP291"/>
      <c r="AQ291"/>
      <c r="AR291"/>
      <c r="AS291">
        <v>850</v>
      </c>
      <c r="AT291">
        <v>850</v>
      </c>
      <c r="AU291"/>
      <c r="AV291"/>
      <c r="AW291"/>
      <c r="AX291"/>
      <c r="AY291"/>
      <c r="AZ291"/>
      <c r="BA291"/>
      <c r="BB291"/>
      <c r="BC291"/>
      <c r="BD291"/>
      <c r="BE291"/>
      <c r="BF291"/>
      <c r="BG291"/>
      <c r="BH291"/>
      <c r="BI291"/>
      <c r="BJ291"/>
      <c r="BK291"/>
      <c r="BL291"/>
      <c r="BM291"/>
      <c r="BN291" s="114"/>
      <c r="BO291"/>
      <c r="BP291"/>
      <c r="BQ291">
        <v>33</v>
      </c>
      <c r="BR291" t="s">
        <v>1062</v>
      </c>
      <c r="BS291"/>
      <c r="BT291" t="s">
        <v>1402</v>
      </c>
      <c r="BU291" s="115">
        <v>45786</v>
      </c>
      <c r="BV291">
        <v>36800</v>
      </c>
      <c r="BW291" s="116"/>
      <c r="BX291" t="s">
        <v>172</v>
      </c>
      <c r="BY291" t="s">
        <v>173</v>
      </c>
      <c r="BZ291"/>
      <c r="CA291"/>
      <c r="CB291" t="s">
        <v>173</v>
      </c>
      <c r="CC291" t="s">
        <v>173</v>
      </c>
      <c r="CD291"/>
      <c r="CE291"/>
      <c r="CF291"/>
      <c r="CG291"/>
      <c r="CH291"/>
      <c r="CI291"/>
      <c r="CJ291"/>
      <c r="CK291" t="s">
        <v>259</v>
      </c>
      <c r="CL291"/>
      <c r="CM291">
        <v>1</v>
      </c>
      <c r="CN291" t="s">
        <v>260</v>
      </c>
      <c r="CO291"/>
      <c r="CP291">
        <v>810</v>
      </c>
      <c r="CQ291">
        <v>151</v>
      </c>
      <c r="CR291">
        <v>179</v>
      </c>
      <c r="CS291" t="s">
        <v>1437</v>
      </c>
      <c r="CT291"/>
      <c r="CU291"/>
      <c r="CV291" t="s">
        <v>262</v>
      </c>
      <c r="CW291"/>
      <c r="CX291" t="s">
        <v>263</v>
      </c>
      <c r="CY291" t="s">
        <v>172</v>
      </c>
      <c r="CZ291"/>
      <c r="DA291"/>
      <c r="DB291"/>
      <c r="DC291"/>
      <c r="DD291">
        <v>2</v>
      </c>
      <c r="DE291" t="s">
        <v>307</v>
      </c>
      <c r="DF291" t="s">
        <v>1514</v>
      </c>
      <c r="DG291">
        <v>399</v>
      </c>
      <c r="DH291"/>
      <c r="DI291"/>
      <c r="DJ291"/>
      <c r="DK291"/>
      <c r="DL291" t="s">
        <v>173</v>
      </c>
      <c r="DM291" t="s">
        <v>172</v>
      </c>
      <c r="DN291"/>
      <c r="DO291"/>
      <c r="DP291" t="s">
        <v>173</v>
      </c>
      <c r="DQ291" t="s">
        <v>189</v>
      </c>
      <c r="DR291"/>
      <c r="DS291"/>
      <c r="DT291"/>
      <c r="DU291"/>
      <c r="DV291"/>
      <c r="DW291"/>
      <c r="DX291"/>
      <c r="DY291"/>
      <c r="DZ291"/>
      <c r="EA291" s="117"/>
      <c r="EB291">
        <v>9</v>
      </c>
      <c r="EC291">
        <v>10</v>
      </c>
      <c r="ED291"/>
      <c r="EE291" t="s">
        <v>1515</v>
      </c>
      <c r="EF291">
        <v>10</v>
      </c>
      <c r="EG291"/>
      <c r="EH291"/>
      <c r="EI291"/>
      <c r="EJ291"/>
      <c r="EK291"/>
      <c r="EL291"/>
      <c r="EM291"/>
      <c r="EN291"/>
      <c r="EO291"/>
      <c r="EP291"/>
      <c r="EQ291"/>
      <c r="ER291"/>
      <c r="ES291"/>
      <c r="ET291"/>
      <c r="EU291">
        <v>4250</v>
      </c>
      <c r="EV291"/>
      <c r="EW291">
        <v>0</v>
      </c>
      <c r="EX291">
        <v>0</v>
      </c>
      <c r="EY291">
        <v>0</v>
      </c>
      <c r="EZ291"/>
      <c r="FA291">
        <v>9.5</v>
      </c>
      <c r="FB291"/>
      <c r="FC291"/>
      <c r="FD291"/>
      <c r="FE291"/>
      <c r="FF291"/>
      <c r="FG291" s="94">
        <v>422</v>
      </c>
      <c r="FH291" s="94">
        <v>389</v>
      </c>
      <c r="FI291" s="94">
        <v>407</v>
      </c>
    </row>
    <row r="292" spans="1:165" s="66" customFormat="1" x14ac:dyDescent="0.35">
      <c r="A292">
        <v>2026</v>
      </c>
      <c r="B292" t="s">
        <v>1510</v>
      </c>
      <c r="C292" s="112" t="s">
        <v>1511</v>
      </c>
      <c r="D292" t="s">
        <v>1516</v>
      </c>
      <c r="E292" t="s">
        <v>1513</v>
      </c>
      <c r="F292">
        <v>28</v>
      </c>
      <c r="G292" s="113">
        <v>0</v>
      </c>
      <c r="H292"/>
      <c r="I292" t="s">
        <v>1391</v>
      </c>
      <c r="J292">
        <v>33</v>
      </c>
      <c r="K292">
        <v>36</v>
      </c>
      <c r="L292">
        <v>34</v>
      </c>
      <c r="M292">
        <v>23.652100000000001</v>
      </c>
      <c r="N292">
        <v>25.648299999999999</v>
      </c>
      <c r="O292">
        <v>24.5504</v>
      </c>
      <c r="P292">
        <v>33.076000000000001</v>
      </c>
      <c r="Q292">
        <v>35.870100000000001</v>
      </c>
      <c r="R292">
        <v>34.333300000000001</v>
      </c>
      <c r="S292"/>
      <c r="T292"/>
      <c r="U292"/>
      <c r="V292" t="s">
        <v>170</v>
      </c>
      <c r="W292" t="s">
        <v>171</v>
      </c>
      <c r="X292"/>
      <c r="Y292">
        <v>1</v>
      </c>
      <c r="Z292" t="s">
        <v>173</v>
      </c>
      <c r="AA292" t="s">
        <v>173</v>
      </c>
      <c r="AB292" t="s">
        <v>170</v>
      </c>
      <c r="AC292" t="s">
        <v>232</v>
      </c>
      <c r="AD292"/>
      <c r="AE292"/>
      <c r="AF292">
        <v>407</v>
      </c>
      <c r="AG292" t="s">
        <v>1392</v>
      </c>
      <c r="AH292" t="s">
        <v>1393</v>
      </c>
      <c r="AI292" t="s">
        <v>1399</v>
      </c>
      <c r="AJ292" t="s">
        <v>1400</v>
      </c>
      <c r="AK292">
        <v>4</v>
      </c>
      <c r="AL292" t="s">
        <v>1394</v>
      </c>
      <c r="AM292"/>
      <c r="AN292"/>
      <c r="AO292"/>
      <c r="AP292"/>
      <c r="AQ292"/>
      <c r="AR292"/>
      <c r="AS292">
        <v>850</v>
      </c>
      <c r="AT292">
        <v>850</v>
      </c>
      <c r="AU292"/>
      <c r="AV292"/>
      <c r="AW292"/>
      <c r="AX292"/>
      <c r="AY292"/>
      <c r="AZ292"/>
      <c r="BA292"/>
      <c r="BB292"/>
      <c r="BC292"/>
      <c r="BD292"/>
      <c r="BE292"/>
      <c r="BF292"/>
      <c r="BG292"/>
      <c r="BH292"/>
      <c r="BI292"/>
      <c r="BJ292"/>
      <c r="BK292"/>
      <c r="BL292"/>
      <c r="BM292"/>
      <c r="BN292" s="114"/>
      <c r="BO292"/>
      <c r="BP292"/>
      <c r="BQ292">
        <v>33</v>
      </c>
      <c r="BR292" t="s">
        <v>1062</v>
      </c>
      <c r="BS292"/>
      <c r="BT292" t="s">
        <v>1402</v>
      </c>
      <c r="BU292" s="115">
        <v>45786</v>
      </c>
      <c r="BV292">
        <v>36800</v>
      </c>
      <c r="BW292" s="116"/>
      <c r="BX292" t="s">
        <v>172</v>
      </c>
      <c r="BY292" t="s">
        <v>173</v>
      </c>
      <c r="BZ292"/>
      <c r="CA292"/>
      <c r="CB292" t="s">
        <v>173</v>
      </c>
      <c r="CC292" t="s">
        <v>173</v>
      </c>
      <c r="CD292"/>
      <c r="CE292"/>
      <c r="CF292"/>
      <c r="CG292"/>
      <c r="CH292"/>
      <c r="CI292"/>
      <c r="CJ292"/>
      <c r="CK292" t="s">
        <v>259</v>
      </c>
      <c r="CL292"/>
      <c r="CM292">
        <v>1</v>
      </c>
      <c r="CN292" t="s">
        <v>260</v>
      </c>
      <c r="CO292"/>
      <c r="CP292">
        <v>810</v>
      </c>
      <c r="CQ292">
        <v>151</v>
      </c>
      <c r="CR292">
        <v>179</v>
      </c>
      <c r="CS292" t="s">
        <v>1437</v>
      </c>
      <c r="CT292"/>
      <c r="CU292"/>
      <c r="CV292" t="s">
        <v>262</v>
      </c>
      <c r="CW292"/>
      <c r="CX292" t="s">
        <v>263</v>
      </c>
      <c r="CY292" t="s">
        <v>172</v>
      </c>
      <c r="CZ292"/>
      <c r="DA292"/>
      <c r="DB292"/>
      <c r="DC292"/>
      <c r="DD292">
        <v>2</v>
      </c>
      <c r="DE292" t="s">
        <v>307</v>
      </c>
      <c r="DF292" t="s">
        <v>1514</v>
      </c>
      <c r="DG292">
        <v>399</v>
      </c>
      <c r="DH292"/>
      <c r="DI292"/>
      <c r="DJ292"/>
      <c r="DK292"/>
      <c r="DL292" t="s">
        <v>173</v>
      </c>
      <c r="DM292" t="s">
        <v>172</v>
      </c>
      <c r="DN292"/>
      <c r="DO292"/>
      <c r="DP292" t="s">
        <v>173</v>
      </c>
      <c r="DQ292" t="s">
        <v>189</v>
      </c>
      <c r="DR292"/>
      <c r="DS292"/>
      <c r="DT292"/>
      <c r="DU292"/>
      <c r="DV292"/>
      <c r="DW292"/>
      <c r="DX292"/>
      <c r="DY292"/>
      <c r="DZ292"/>
      <c r="EA292" s="117"/>
      <c r="EB292">
        <v>9</v>
      </c>
      <c r="EC292">
        <v>10</v>
      </c>
      <c r="ED292"/>
      <c r="EE292" t="s">
        <v>1515</v>
      </c>
      <c r="EF292">
        <v>10</v>
      </c>
      <c r="EG292"/>
      <c r="EH292"/>
      <c r="EI292"/>
      <c r="EJ292"/>
      <c r="EK292"/>
      <c r="EL292"/>
      <c r="EM292"/>
      <c r="EN292"/>
      <c r="EO292"/>
      <c r="EP292"/>
      <c r="EQ292"/>
      <c r="ER292"/>
      <c r="ES292"/>
      <c r="ET292"/>
      <c r="EU292">
        <v>4250</v>
      </c>
      <c r="EV292"/>
      <c r="EW292">
        <v>0</v>
      </c>
      <c r="EX292">
        <v>0</v>
      </c>
      <c r="EY292">
        <v>0</v>
      </c>
      <c r="EZ292"/>
      <c r="FA292">
        <v>9.5</v>
      </c>
      <c r="FB292"/>
      <c r="FC292"/>
      <c r="FD292"/>
      <c r="FE292"/>
      <c r="FF292"/>
      <c r="FG292" s="94">
        <v>422</v>
      </c>
      <c r="FH292" s="94">
        <v>389</v>
      </c>
      <c r="FI292" s="94">
        <v>407</v>
      </c>
    </row>
    <row r="293" spans="1:165" s="66" customFormat="1" x14ac:dyDescent="0.35">
      <c r="A293" s="19"/>
      <c r="B293" s="19"/>
      <c r="C293" s="19"/>
      <c r="D293" s="19"/>
      <c r="E293" s="19"/>
      <c r="F293" s="128"/>
      <c r="G293" s="19"/>
      <c r="H293" s="19"/>
      <c r="I293" s="19"/>
      <c r="J293" s="19"/>
      <c r="K293" s="19" t="str">
        <f>_xlfn.CONCAT(A294," ",C294," ",D294)</f>
        <v>2026 Lucid USA Inc. Gravity GT w/21F22R wheels (3R)</v>
      </c>
      <c r="L293" s="19"/>
      <c r="M293" s="19"/>
      <c r="N293" s="19"/>
      <c r="O293" s="19"/>
      <c r="P293" s="19"/>
      <c r="Q293" s="19"/>
      <c r="R293" s="19"/>
      <c r="S293" s="19"/>
      <c r="T293" s="19"/>
      <c r="U293" s="19"/>
      <c r="V293" s="19"/>
      <c r="W293" s="19"/>
      <c r="X293" s="19"/>
      <c r="Y293" s="19"/>
      <c r="Z293" s="19"/>
      <c r="AA293" s="19"/>
      <c r="AB293" s="19" t="str">
        <f>$K293</f>
        <v>2026 Lucid USA Inc. Gravity GT w/21F22R wheels (3R)</v>
      </c>
      <c r="AC293" s="19"/>
      <c r="AD293" s="19"/>
      <c r="AE293" s="19"/>
      <c r="AF293" s="19"/>
      <c r="AG293" s="19"/>
      <c r="AH293" s="19"/>
      <c r="AI293" s="19"/>
      <c r="AJ293" s="19"/>
      <c r="AK293" s="19"/>
      <c r="AL293" s="19"/>
      <c r="AM293" s="19"/>
      <c r="AN293" s="19"/>
      <c r="AO293" s="19"/>
      <c r="AP293" s="19"/>
      <c r="AQ293" s="19"/>
      <c r="AR293" s="19" t="str">
        <f>$K293</f>
        <v>2026 Lucid USA Inc. Gravity GT w/21F22R wheels (3R)</v>
      </c>
      <c r="AS293" s="19"/>
      <c r="AT293" s="19"/>
      <c r="AU293" s="19"/>
      <c r="AV293" s="19"/>
      <c r="AW293" s="19"/>
      <c r="AX293" s="19"/>
      <c r="AY293" s="19"/>
      <c r="AZ293" s="19"/>
      <c r="BA293" s="19"/>
      <c r="BB293" s="19"/>
      <c r="BC293" s="19"/>
      <c r="BD293" s="19"/>
      <c r="BE293" s="19"/>
      <c r="BF293" s="19"/>
      <c r="BG293" s="19" t="str">
        <f>$K293</f>
        <v>2026 Lucid USA Inc. Gravity GT w/21F22R wheels (3R)</v>
      </c>
      <c r="BH293" s="19"/>
      <c r="BI293" s="19"/>
      <c r="BJ293" s="19"/>
      <c r="BK293" s="19"/>
      <c r="BL293" s="19"/>
      <c r="BM293" s="129"/>
      <c r="BN293" s="19"/>
      <c r="BO293" s="19"/>
      <c r="BP293" s="19"/>
      <c r="BQ293" s="19"/>
      <c r="BR293" s="19"/>
      <c r="BS293" s="19"/>
      <c r="BT293" s="130"/>
      <c r="BU293" s="19"/>
      <c r="BV293" s="19"/>
      <c r="BW293" s="116"/>
      <c r="BX293" s="19"/>
      <c r="BY293" s="19"/>
      <c r="BZ293" s="19"/>
      <c r="CA293" s="19"/>
      <c r="CB293" s="19"/>
      <c r="CC293" s="19"/>
      <c r="CD293" s="19"/>
      <c r="CE293" s="19"/>
      <c r="CF293" s="19"/>
      <c r="CG293" s="19"/>
      <c r="CH293" s="19"/>
      <c r="CI293" s="19"/>
      <c r="CJ293" s="19"/>
      <c r="CK293" s="19"/>
      <c r="CL293" s="19"/>
      <c r="CM293" s="19" t="str">
        <f>$K293</f>
        <v>2026 Lucid USA Inc. Gravity GT w/21F22R wheels (3R)</v>
      </c>
      <c r="CN293" s="19"/>
      <c r="CO293" s="19"/>
      <c r="CP293" s="19"/>
      <c r="CQ293" s="19"/>
      <c r="CR293" s="19"/>
      <c r="CS293" s="19"/>
      <c r="CT293" s="19"/>
      <c r="CU293" s="19"/>
      <c r="CV293" s="19"/>
      <c r="CW293" s="19"/>
      <c r="CX293" s="19"/>
      <c r="CY293" s="19"/>
      <c r="CZ293" s="19"/>
      <c r="DA293" s="19"/>
      <c r="DB293" s="19"/>
      <c r="DC293" s="19"/>
      <c r="DD293" s="19" t="str">
        <f>$K293</f>
        <v>2026 Lucid USA Inc. Gravity GT w/21F22R wheels (3R)</v>
      </c>
      <c r="DE293" s="19"/>
      <c r="DF293" s="19"/>
      <c r="DG293" s="19"/>
      <c r="DH293" s="19"/>
      <c r="DI293" s="19"/>
      <c r="DJ293" s="19"/>
      <c r="DK293" s="19"/>
      <c r="DL293" s="19"/>
      <c r="DM293" s="19"/>
      <c r="DN293" s="19"/>
      <c r="DO293" s="19"/>
      <c r="DP293" s="19"/>
      <c r="DQ293" s="19"/>
      <c r="DR293" s="19"/>
      <c r="DS293" s="19"/>
      <c r="DT293" s="19"/>
      <c r="DU293" s="19" t="str">
        <f>$K293</f>
        <v>2026 Lucid USA Inc. Gravity GT w/21F22R wheels (3R)</v>
      </c>
      <c r="DV293" s="19"/>
      <c r="DW293" s="19"/>
      <c r="DX293" s="19"/>
      <c r="DY293" s="19"/>
      <c r="DZ293" s="19"/>
      <c r="EA293" s="117"/>
      <c r="EB293" s="19"/>
      <c r="EC293" s="19"/>
      <c r="ED293" s="19"/>
      <c r="EE293" s="19"/>
      <c r="EF293" s="19"/>
      <c r="EG293"/>
      <c r="EH293"/>
      <c r="EI293"/>
      <c r="EJ293"/>
      <c r="EK293"/>
      <c r="EL293"/>
      <c r="EM293"/>
      <c r="EN293"/>
      <c r="EO293"/>
      <c r="EP293"/>
      <c r="EQ293"/>
      <c r="ER293"/>
      <c r="ES293"/>
      <c r="ET293"/>
      <c r="EU293"/>
      <c r="EV293"/>
      <c r="EW293"/>
      <c r="EX293" s="19" t="s">
        <v>2016</v>
      </c>
      <c r="EY293"/>
      <c r="EZ293"/>
      <c r="FA293"/>
      <c r="FB293"/>
      <c r="FC293"/>
      <c r="FD293"/>
      <c r="FE293"/>
      <c r="FF293"/>
      <c r="FG293"/>
      <c r="FH293"/>
      <c r="FI293"/>
    </row>
    <row r="294" spans="1:165" s="66" customFormat="1" x14ac:dyDescent="0.35">
      <c r="A294">
        <v>2026</v>
      </c>
      <c r="B294" t="s">
        <v>1510</v>
      </c>
      <c r="C294" s="112" t="s">
        <v>1511</v>
      </c>
      <c r="D294" t="s">
        <v>1518</v>
      </c>
      <c r="E294" t="s">
        <v>1513</v>
      </c>
      <c r="F294">
        <v>31</v>
      </c>
      <c r="G294" s="113">
        <v>0</v>
      </c>
      <c r="H294"/>
      <c r="I294" t="s">
        <v>1391</v>
      </c>
      <c r="J294">
        <v>96</v>
      </c>
      <c r="K294">
        <v>89</v>
      </c>
      <c r="L294">
        <v>92</v>
      </c>
      <c r="M294">
        <v>133.9</v>
      </c>
      <c r="N294">
        <v>124.1</v>
      </c>
      <c r="O294">
        <v>129.30500000000001</v>
      </c>
      <c r="P294">
        <v>95.751900000000006</v>
      </c>
      <c r="Q294">
        <v>88.743899999999996</v>
      </c>
      <c r="R294">
        <v>92.465999999999994</v>
      </c>
      <c r="S294"/>
      <c r="T294"/>
      <c r="U294"/>
      <c r="V294" t="s">
        <v>170</v>
      </c>
      <c r="W294" t="s">
        <v>171</v>
      </c>
      <c r="X294"/>
      <c r="Y294">
        <v>1</v>
      </c>
      <c r="Z294" t="s">
        <v>173</v>
      </c>
      <c r="AA294" t="s">
        <v>173</v>
      </c>
      <c r="AB294" t="s">
        <v>170</v>
      </c>
      <c r="AC294" t="s">
        <v>232</v>
      </c>
      <c r="AD294"/>
      <c r="AE294"/>
      <c r="AF294">
        <v>386</v>
      </c>
      <c r="AG294" t="s">
        <v>1392</v>
      </c>
      <c r="AH294" t="s">
        <v>1393</v>
      </c>
      <c r="AI294" t="s">
        <v>178</v>
      </c>
      <c r="AJ294" t="s">
        <v>179</v>
      </c>
      <c r="AK294">
        <v>4</v>
      </c>
      <c r="AL294" t="s">
        <v>1394</v>
      </c>
      <c r="AM294"/>
      <c r="AN294"/>
      <c r="AO294"/>
      <c r="AP294"/>
      <c r="AQ294"/>
      <c r="AR294"/>
      <c r="AS294">
        <v>950</v>
      </c>
      <c r="AT294">
        <v>950</v>
      </c>
      <c r="AU294"/>
      <c r="AV294"/>
      <c r="AW294"/>
      <c r="AX294"/>
      <c r="AY294"/>
      <c r="AZ294"/>
      <c r="BA294"/>
      <c r="BB294"/>
      <c r="BC294"/>
      <c r="BD294"/>
      <c r="BE294"/>
      <c r="BF294"/>
      <c r="BG294"/>
      <c r="BH294"/>
      <c r="BI294"/>
      <c r="BJ294"/>
      <c r="BK294"/>
      <c r="BL294"/>
      <c r="BM294"/>
      <c r="BN294" s="114"/>
      <c r="BO294"/>
      <c r="BP294"/>
      <c r="BQ294">
        <v>33</v>
      </c>
      <c r="BR294" t="s">
        <v>1062</v>
      </c>
      <c r="BS294"/>
      <c r="BT294" t="s">
        <v>1402</v>
      </c>
      <c r="BU294" s="115">
        <v>45786</v>
      </c>
      <c r="BV294">
        <v>36803</v>
      </c>
      <c r="BW294" s="116"/>
      <c r="BX294" t="s">
        <v>172</v>
      </c>
      <c r="BY294" t="s">
        <v>173</v>
      </c>
      <c r="BZ294"/>
      <c r="CA294"/>
      <c r="CB294" t="s">
        <v>173</v>
      </c>
      <c r="CC294" t="s">
        <v>173</v>
      </c>
      <c r="CD294"/>
      <c r="CE294"/>
      <c r="CF294"/>
      <c r="CG294"/>
      <c r="CH294"/>
      <c r="CI294"/>
      <c r="CJ294"/>
      <c r="CK294" t="s">
        <v>259</v>
      </c>
      <c r="CL294"/>
      <c r="CM294">
        <v>1</v>
      </c>
      <c r="CN294" t="s">
        <v>260</v>
      </c>
      <c r="CO294"/>
      <c r="CP294">
        <v>810</v>
      </c>
      <c r="CQ294">
        <v>151</v>
      </c>
      <c r="CR294">
        <v>179</v>
      </c>
      <c r="CS294" t="s">
        <v>1437</v>
      </c>
      <c r="CT294"/>
      <c r="CU294"/>
      <c r="CV294" t="s">
        <v>262</v>
      </c>
      <c r="CW294"/>
      <c r="CX294" t="s">
        <v>263</v>
      </c>
      <c r="CY294" t="s">
        <v>172</v>
      </c>
      <c r="CZ294"/>
      <c r="DA294"/>
      <c r="DB294"/>
      <c r="DC294"/>
      <c r="DD294">
        <v>2</v>
      </c>
      <c r="DE294" t="s">
        <v>307</v>
      </c>
      <c r="DF294" t="s">
        <v>1514</v>
      </c>
      <c r="DG294">
        <v>399</v>
      </c>
      <c r="DH294"/>
      <c r="DI294"/>
      <c r="DJ294"/>
      <c r="DK294"/>
      <c r="DL294" t="s">
        <v>173</v>
      </c>
      <c r="DM294" t="s">
        <v>172</v>
      </c>
      <c r="DN294"/>
      <c r="DO294"/>
      <c r="DP294" t="s">
        <v>173</v>
      </c>
      <c r="DQ294" t="s">
        <v>189</v>
      </c>
      <c r="DR294"/>
      <c r="DS294"/>
      <c r="DT294"/>
      <c r="DU294"/>
      <c r="DV294"/>
      <c r="DW294"/>
      <c r="DX294"/>
      <c r="DY294"/>
      <c r="DZ294"/>
      <c r="EA294" s="117"/>
      <c r="EB294">
        <v>9</v>
      </c>
      <c r="EC294">
        <v>10</v>
      </c>
      <c r="ED294"/>
      <c r="EE294" t="s">
        <v>1515</v>
      </c>
      <c r="EF294">
        <v>10</v>
      </c>
      <c r="EG294"/>
      <c r="EH294"/>
      <c r="EI294"/>
      <c r="EJ294"/>
      <c r="EK294"/>
      <c r="EL294"/>
      <c r="EM294"/>
      <c r="EN294"/>
      <c r="EO294"/>
      <c r="EP294"/>
      <c r="EQ294"/>
      <c r="ER294"/>
      <c r="ES294"/>
      <c r="ET294"/>
      <c r="EU294">
        <v>3750</v>
      </c>
      <c r="EV294"/>
      <c r="EW294">
        <v>0</v>
      </c>
      <c r="EX294">
        <v>0</v>
      </c>
      <c r="EY294">
        <v>0</v>
      </c>
      <c r="EZ294"/>
      <c r="FA294">
        <v>9.5</v>
      </c>
      <c r="FB294"/>
      <c r="FC294"/>
      <c r="FD294"/>
      <c r="FE294"/>
      <c r="FF294"/>
      <c r="FG294" s="94">
        <v>399</v>
      </c>
      <c r="FH294" s="94">
        <v>370</v>
      </c>
      <c r="FI294" s="94">
        <v>386</v>
      </c>
    </row>
    <row r="295" spans="1:165" s="66" customFormat="1" x14ac:dyDescent="0.35">
      <c r="A295">
        <v>2026</v>
      </c>
      <c r="B295" t="s">
        <v>1510</v>
      </c>
      <c r="C295" s="112" t="s">
        <v>1511</v>
      </c>
      <c r="D295" t="s">
        <v>1518</v>
      </c>
      <c r="E295" t="s">
        <v>1513</v>
      </c>
      <c r="F295">
        <v>31</v>
      </c>
      <c r="G295" s="113">
        <v>0</v>
      </c>
      <c r="H295"/>
      <c r="I295" t="s">
        <v>1391</v>
      </c>
      <c r="J295">
        <v>35</v>
      </c>
      <c r="K295">
        <v>38</v>
      </c>
      <c r="L295">
        <v>36</v>
      </c>
      <c r="M295">
        <v>25.179400000000001</v>
      </c>
      <c r="N295">
        <v>27.1691</v>
      </c>
      <c r="O295">
        <v>26.0749</v>
      </c>
      <c r="P295">
        <v>35.200299999999999</v>
      </c>
      <c r="Q295">
        <v>37.9801</v>
      </c>
      <c r="R295">
        <v>36.4512</v>
      </c>
      <c r="S295"/>
      <c r="T295"/>
      <c r="U295"/>
      <c r="V295" t="s">
        <v>170</v>
      </c>
      <c r="W295" t="s">
        <v>171</v>
      </c>
      <c r="X295"/>
      <c r="Y295">
        <v>1</v>
      </c>
      <c r="Z295" t="s">
        <v>173</v>
      </c>
      <c r="AA295" t="s">
        <v>173</v>
      </c>
      <c r="AB295" t="s">
        <v>170</v>
      </c>
      <c r="AC295" t="s">
        <v>232</v>
      </c>
      <c r="AD295"/>
      <c r="AE295"/>
      <c r="AF295">
        <v>386</v>
      </c>
      <c r="AG295" t="s">
        <v>1392</v>
      </c>
      <c r="AH295" t="s">
        <v>1393</v>
      </c>
      <c r="AI295" t="s">
        <v>1399</v>
      </c>
      <c r="AJ295" t="s">
        <v>1400</v>
      </c>
      <c r="AK295">
        <v>4</v>
      </c>
      <c r="AL295" t="s">
        <v>1394</v>
      </c>
      <c r="AM295"/>
      <c r="AN295"/>
      <c r="AO295"/>
      <c r="AP295"/>
      <c r="AQ295"/>
      <c r="AR295"/>
      <c r="AS295">
        <v>950</v>
      </c>
      <c r="AT295">
        <v>950</v>
      </c>
      <c r="AU295"/>
      <c r="AV295"/>
      <c r="AW295"/>
      <c r="AX295"/>
      <c r="AY295"/>
      <c r="AZ295"/>
      <c r="BA295"/>
      <c r="BB295"/>
      <c r="BC295"/>
      <c r="BD295"/>
      <c r="BE295"/>
      <c r="BF295"/>
      <c r="BG295"/>
      <c r="BH295"/>
      <c r="BI295"/>
      <c r="BJ295"/>
      <c r="BK295"/>
      <c r="BL295"/>
      <c r="BM295"/>
      <c r="BN295" s="114"/>
      <c r="BO295"/>
      <c r="BP295"/>
      <c r="BQ295">
        <v>33</v>
      </c>
      <c r="BR295" t="s">
        <v>1062</v>
      </c>
      <c r="BS295"/>
      <c r="BT295" t="s">
        <v>1402</v>
      </c>
      <c r="BU295" s="115">
        <v>45786</v>
      </c>
      <c r="BV295">
        <v>36803</v>
      </c>
      <c r="BW295" s="116"/>
      <c r="BX295" t="s">
        <v>172</v>
      </c>
      <c r="BY295" t="s">
        <v>173</v>
      </c>
      <c r="BZ295"/>
      <c r="CA295"/>
      <c r="CB295" t="s">
        <v>173</v>
      </c>
      <c r="CC295" t="s">
        <v>173</v>
      </c>
      <c r="CD295"/>
      <c r="CE295"/>
      <c r="CF295"/>
      <c r="CG295"/>
      <c r="CH295"/>
      <c r="CI295"/>
      <c r="CJ295"/>
      <c r="CK295" t="s">
        <v>259</v>
      </c>
      <c r="CL295"/>
      <c r="CM295">
        <v>1</v>
      </c>
      <c r="CN295" t="s">
        <v>260</v>
      </c>
      <c r="CO295"/>
      <c r="CP295">
        <v>810</v>
      </c>
      <c r="CQ295">
        <v>151</v>
      </c>
      <c r="CR295">
        <v>179</v>
      </c>
      <c r="CS295" t="s">
        <v>1437</v>
      </c>
      <c r="CT295"/>
      <c r="CU295"/>
      <c r="CV295" t="s">
        <v>262</v>
      </c>
      <c r="CW295"/>
      <c r="CX295" t="s">
        <v>263</v>
      </c>
      <c r="CY295" t="s">
        <v>172</v>
      </c>
      <c r="CZ295"/>
      <c r="DA295"/>
      <c r="DB295"/>
      <c r="DC295"/>
      <c r="DD295">
        <v>2</v>
      </c>
      <c r="DE295" t="s">
        <v>307</v>
      </c>
      <c r="DF295" t="s">
        <v>1514</v>
      </c>
      <c r="DG295">
        <v>399</v>
      </c>
      <c r="DH295"/>
      <c r="DI295"/>
      <c r="DJ295"/>
      <c r="DK295"/>
      <c r="DL295" t="s">
        <v>173</v>
      </c>
      <c r="DM295" t="s">
        <v>172</v>
      </c>
      <c r="DN295"/>
      <c r="DO295"/>
      <c r="DP295" t="s">
        <v>173</v>
      </c>
      <c r="DQ295" t="s">
        <v>189</v>
      </c>
      <c r="DR295"/>
      <c r="DS295"/>
      <c r="DT295"/>
      <c r="DU295"/>
      <c r="DV295"/>
      <c r="DW295"/>
      <c r="DX295"/>
      <c r="DY295"/>
      <c r="DZ295"/>
      <c r="EA295" s="117"/>
      <c r="EB295">
        <v>9</v>
      </c>
      <c r="EC295">
        <v>10</v>
      </c>
      <c r="ED295"/>
      <c r="EE295" t="s">
        <v>1515</v>
      </c>
      <c r="EF295">
        <v>10</v>
      </c>
      <c r="EG295"/>
      <c r="EH295"/>
      <c r="EI295"/>
      <c r="EJ295"/>
      <c r="EK295"/>
      <c r="EL295"/>
      <c r="EM295"/>
      <c r="EN295"/>
      <c r="EO295"/>
      <c r="EP295"/>
      <c r="EQ295"/>
      <c r="ER295"/>
      <c r="ES295"/>
      <c r="ET295"/>
      <c r="EU295">
        <v>3750</v>
      </c>
      <c r="EV295"/>
      <c r="EW295">
        <v>0</v>
      </c>
      <c r="EX295">
        <v>0</v>
      </c>
      <c r="EY295">
        <v>0</v>
      </c>
      <c r="EZ295"/>
      <c r="FA295">
        <v>9.5</v>
      </c>
      <c r="FB295"/>
      <c r="FC295"/>
      <c r="FD295"/>
      <c r="FE295"/>
      <c r="FF295"/>
      <c r="FG295" s="94">
        <v>399</v>
      </c>
      <c r="FH295" s="94">
        <v>370</v>
      </c>
      <c r="FI295" s="94">
        <v>386</v>
      </c>
    </row>
    <row r="296" spans="1:165" s="66" customFormat="1" x14ac:dyDescent="0.35">
      <c r="A296" s="19"/>
      <c r="B296" s="19"/>
      <c r="C296" s="19"/>
      <c r="D296" s="19"/>
      <c r="E296" s="19"/>
      <c r="F296" s="128"/>
      <c r="G296" s="19"/>
      <c r="H296" s="19"/>
      <c r="I296" s="19"/>
      <c r="J296" s="19"/>
      <c r="K296" s="19" t="str">
        <f>_xlfn.CONCAT(A297," ",C297," ",D297)</f>
        <v>2026 Lucid USA Inc. Gravity GT w/22F23R wheels (2R)</v>
      </c>
      <c r="L296" s="19"/>
      <c r="M296" s="19"/>
      <c r="N296" s="19"/>
      <c r="O296" s="19"/>
      <c r="P296" s="19"/>
      <c r="Q296" s="19"/>
      <c r="R296" s="19"/>
      <c r="S296" s="19"/>
      <c r="T296" s="19"/>
      <c r="U296" s="19"/>
      <c r="V296" s="19"/>
      <c r="W296" s="19"/>
      <c r="X296" s="19"/>
      <c r="Y296" s="19"/>
      <c r="Z296" s="19"/>
      <c r="AA296" s="19"/>
      <c r="AB296" s="19" t="str">
        <f>$K296</f>
        <v>2026 Lucid USA Inc. Gravity GT w/22F23R wheels (2R)</v>
      </c>
      <c r="AC296" s="19"/>
      <c r="AD296" s="19"/>
      <c r="AE296" s="19"/>
      <c r="AF296" s="19"/>
      <c r="AG296" s="19"/>
      <c r="AH296" s="19"/>
      <c r="AI296" s="19"/>
      <c r="AJ296" s="19"/>
      <c r="AK296" s="19"/>
      <c r="AL296" s="19"/>
      <c r="AM296" s="19"/>
      <c r="AN296" s="19"/>
      <c r="AO296" s="19"/>
      <c r="AP296" s="19"/>
      <c r="AQ296" s="19"/>
      <c r="AR296" s="19" t="str">
        <f>$K296</f>
        <v>2026 Lucid USA Inc. Gravity GT w/22F23R wheels (2R)</v>
      </c>
      <c r="AS296" s="19"/>
      <c r="AT296" s="19"/>
      <c r="AU296" s="19"/>
      <c r="AV296" s="19"/>
      <c r="AW296" s="19"/>
      <c r="AX296" s="19"/>
      <c r="AY296" s="19"/>
      <c r="AZ296" s="19"/>
      <c r="BA296" s="19"/>
      <c r="BB296" s="19"/>
      <c r="BC296" s="19"/>
      <c r="BD296" s="19"/>
      <c r="BE296" s="19"/>
      <c r="BF296" s="19"/>
      <c r="BG296" s="19" t="str">
        <f>$K296</f>
        <v>2026 Lucid USA Inc. Gravity GT w/22F23R wheels (2R)</v>
      </c>
      <c r="BH296" s="19"/>
      <c r="BI296" s="19"/>
      <c r="BJ296" s="19"/>
      <c r="BK296" s="19"/>
      <c r="BL296" s="19"/>
      <c r="BM296" s="129"/>
      <c r="BN296" s="19"/>
      <c r="BO296" s="19"/>
      <c r="BP296" s="19"/>
      <c r="BQ296" s="19"/>
      <c r="BR296" s="19"/>
      <c r="BS296" s="19"/>
      <c r="BT296" s="130"/>
      <c r="BU296" s="19"/>
      <c r="BV296" s="19"/>
      <c r="BW296" s="116"/>
      <c r="BX296" s="19"/>
      <c r="BY296" s="19"/>
      <c r="BZ296" s="19"/>
      <c r="CA296" s="19"/>
      <c r="CB296" s="19"/>
      <c r="CC296" s="19"/>
      <c r="CD296" s="19"/>
      <c r="CE296" s="19"/>
      <c r="CF296" s="19"/>
      <c r="CG296" s="19"/>
      <c r="CH296" s="19"/>
      <c r="CI296" s="19"/>
      <c r="CJ296" s="19"/>
      <c r="CK296" s="19"/>
      <c r="CL296" s="19"/>
      <c r="CM296" s="19" t="str">
        <f>$K296</f>
        <v>2026 Lucid USA Inc. Gravity GT w/22F23R wheels (2R)</v>
      </c>
      <c r="CN296" s="19"/>
      <c r="CO296" s="19"/>
      <c r="CP296" s="19"/>
      <c r="CQ296" s="19"/>
      <c r="CR296" s="19"/>
      <c r="CS296" s="19"/>
      <c r="CT296" s="19"/>
      <c r="CU296" s="19"/>
      <c r="CV296" s="19"/>
      <c r="CW296" s="19"/>
      <c r="CX296" s="19"/>
      <c r="CY296" s="19"/>
      <c r="CZ296" s="19"/>
      <c r="DA296" s="19"/>
      <c r="DB296" s="19"/>
      <c r="DC296" s="19"/>
      <c r="DD296" s="19" t="str">
        <f>$K296</f>
        <v>2026 Lucid USA Inc. Gravity GT w/22F23R wheels (2R)</v>
      </c>
      <c r="DE296" s="19"/>
      <c r="DF296" s="19"/>
      <c r="DG296" s="19"/>
      <c r="DH296" s="19"/>
      <c r="DI296" s="19"/>
      <c r="DJ296" s="19"/>
      <c r="DK296" s="19"/>
      <c r="DL296" s="19"/>
      <c r="DM296" s="19"/>
      <c r="DN296" s="19"/>
      <c r="DO296" s="19"/>
      <c r="DP296" s="19"/>
      <c r="DQ296" s="19"/>
      <c r="DR296" s="19"/>
      <c r="DS296" s="19"/>
      <c r="DT296" s="19"/>
      <c r="DU296" s="19" t="str">
        <f>$K296</f>
        <v>2026 Lucid USA Inc. Gravity GT w/22F23R wheels (2R)</v>
      </c>
      <c r="DV296" s="19"/>
      <c r="DW296" s="19"/>
      <c r="DX296" s="19"/>
      <c r="DY296" s="19"/>
      <c r="DZ296" s="19"/>
      <c r="EA296" s="117"/>
      <c r="EB296" s="19"/>
      <c r="EC296" s="19"/>
      <c r="ED296" s="19"/>
      <c r="EE296" s="19"/>
      <c r="EF296" s="19"/>
      <c r="EG296"/>
      <c r="EH296"/>
      <c r="EI296"/>
      <c r="EJ296"/>
      <c r="EK296"/>
      <c r="EL296"/>
      <c r="EM296"/>
      <c r="EN296"/>
      <c r="EO296"/>
      <c r="EP296"/>
      <c r="EQ296"/>
      <c r="ER296"/>
      <c r="ES296"/>
      <c r="ET296"/>
      <c r="EU296"/>
      <c r="EV296"/>
      <c r="EW296"/>
      <c r="EX296" s="19" t="s">
        <v>2017</v>
      </c>
      <c r="EY296"/>
      <c r="EZ296"/>
      <c r="FA296"/>
      <c r="FB296"/>
      <c r="FC296"/>
      <c r="FD296"/>
      <c r="FE296"/>
      <c r="FF296"/>
      <c r="FG296"/>
      <c r="FH296"/>
      <c r="FI296"/>
    </row>
    <row r="297" spans="1:165" s="66" customFormat="1" x14ac:dyDescent="0.35">
      <c r="A297">
        <v>2026</v>
      </c>
      <c r="B297" t="s">
        <v>1510</v>
      </c>
      <c r="C297" s="112" t="s">
        <v>1511</v>
      </c>
      <c r="D297" t="s">
        <v>1517</v>
      </c>
      <c r="E297" t="s">
        <v>1513</v>
      </c>
      <c r="F297">
        <v>29</v>
      </c>
      <c r="G297" s="113">
        <v>0</v>
      </c>
      <c r="H297"/>
      <c r="I297" t="s">
        <v>1391</v>
      </c>
      <c r="J297">
        <v>102</v>
      </c>
      <c r="K297">
        <v>94</v>
      </c>
      <c r="L297">
        <v>98</v>
      </c>
      <c r="M297">
        <v>142.5</v>
      </c>
      <c r="N297">
        <v>131.4</v>
      </c>
      <c r="O297">
        <v>137.28139999999999</v>
      </c>
      <c r="P297">
        <v>101.90179999999999</v>
      </c>
      <c r="Q297">
        <v>93.964100000000002</v>
      </c>
      <c r="R297">
        <v>98.169899999999998</v>
      </c>
      <c r="S297"/>
      <c r="T297"/>
      <c r="U297"/>
      <c r="V297" t="s">
        <v>170</v>
      </c>
      <c r="W297" t="s">
        <v>171</v>
      </c>
      <c r="X297"/>
      <c r="Y297">
        <v>1</v>
      </c>
      <c r="Z297" t="s">
        <v>173</v>
      </c>
      <c r="AA297" t="s">
        <v>173</v>
      </c>
      <c r="AB297" t="s">
        <v>170</v>
      </c>
      <c r="AC297" t="s">
        <v>232</v>
      </c>
      <c r="AD297"/>
      <c r="AE297"/>
      <c r="AF297">
        <v>407</v>
      </c>
      <c r="AG297" t="s">
        <v>1392</v>
      </c>
      <c r="AH297" t="s">
        <v>1393</v>
      </c>
      <c r="AI297" t="s">
        <v>178</v>
      </c>
      <c r="AJ297" t="s">
        <v>179</v>
      </c>
      <c r="AK297">
        <v>4</v>
      </c>
      <c r="AL297" t="s">
        <v>1394</v>
      </c>
      <c r="AM297"/>
      <c r="AN297"/>
      <c r="AO297"/>
      <c r="AP297"/>
      <c r="AQ297"/>
      <c r="AR297"/>
      <c r="AS297">
        <v>850</v>
      </c>
      <c r="AT297">
        <v>850</v>
      </c>
      <c r="AU297"/>
      <c r="AV297"/>
      <c r="AW297"/>
      <c r="AX297"/>
      <c r="AY297"/>
      <c r="AZ297"/>
      <c r="BA297"/>
      <c r="BB297"/>
      <c r="BC297"/>
      <c r="BD297"/>
      <c r="BE297"/>
      <c r="BF297"/>
      <c r="BG297"/>
      <c r="BH297"/>
      <c r="BI297"/>
      <c r="BJ297"/>
      <c r="BK297"/>
      <c r="BL297"/>
      <c r="BM297"/>
      <c r="BN297" s="114"/>
      <c r="BO297"/>
      <c r="BP297"/>
      <c r="BQ297">
        <v>33</v>
      </c>
      <c r="BR297" t="s">
        <v>1062</v>
      </c>
      <c r="BS297"/>
      <c r="BT297" t="s">
        <v>1402</v>
      </c>
      <c r="BU297" s="115">
        <v>45786</v>
      </c>
      <c r="BV297">
        <v>36801</v>
      </c>
      <c r="BW297" s="116"/>
      <c r="BX297" t="s">
        <v>172</v>
      </c>
      <c r="BY297" t="s">
        <v>173</v>
      </c>
      <c r="BZ297"/>
      <c r="CA297"/>
      <c r="CB297" t="s">
        <v>173</v>
      </c>
      <c r="CC297" t="s">
        <v>173</v>
      </c>
      <c r="CD297"/>
      <c r="CE297"/>
      <c r="CF297"/>
      <c r="CG297"/>
      <c r="CH297"/>
      <c r="CI297"/>
      <c r="CJ297"/>
      <c r="CK297" t="s">
        <v>259</v>
      </c>
      <c r="CL297"/>
      <c r="CM297">
        <v>1</v>
      </c>
      <c r="CN297" t="s">
        <v>260</v>
      </c>
      <c r="CO297"/>
      <c r="CP297">
        <v>810</v>
      </c>
      <c r="CQ297">
        <v>151</v>
      </c>
      <c r="CR297">
        <v>179</v>
      </c>
      <c r="CS297" t="s">
        <v>1437</v>
      </c>
      <c r="CT297"/>
      <c r="CU297"/>
      <c r="CV297" t="s">
        <v>262</v>
      </c>
      <c r="CW297"/>
      <c r="CX297" t="s">
        <v>263</v>
      </c>
      <c r="CY297" t="s">
        <v>172</v>
      </c>
      <c r="CZ297"/>
      <c r="DA297"/>
      <c r="DB297"/>
      <c r="DC297"/>
      <c r="DD297">
        <v>2</v>
      </c>
      <c r="DE297" t="s">
        <v>307</v>
      </c>
      <c r="DF297" t="s">
        <v>1514</v>
      </c>
      <c r="DG297">
        <v>399</v>
      </c>
      <c r="DH297"/>
      <c r="DI297"/>
      <c r="DJ297"/>
      <c r="DK297"/>
      <c r="DL297" t="s">
        <v>173</v>
      </c>
      <c r="DM297" t="s">
        <v>172</v>
      </c>
      <c r="DN297"/>
      <c r="DO297"/>
      <c r="DP297" t="s">
        <v>173</v>
      </c>
      <c r="DQ297" t="s">
        <v>189</v>
      </c>
      <c r="DR297"/>
      <c r="DS297"/>
      <c r="DT297"/>
      <c r="DU297"/>
      <c r="DV297"/>
      <c r="DW297"/>
      <c r="DX297"/>
      <c r="DY297"/>
      <c r="DZ297"/>
      <c r="EA297" s="117"/>
      <c r="EB297">
        <v>9</v>
      </c>
      <c r="EC297">
        <v>10</v>
      </c>
      <c r="ED297"/>
      <c r="EE297" t="s">
        <v>1515</v>
      </c>
      <c r="EF297">
        <v>10</v>
      </c>
      <c r="EG297"/>
      <c r="EH297"/>
      <c r="EI297"/>
      <c r="EJ297"/>
      <c r="EK297"/>
      <c r="EL297"/>
      <c r="EM297"/>
      <c r="EN297"/>
      <c r="EO297"/>
      <c r="EP297"/>
      <c r="EQ297"/>
      <c r="ER297"/>
      <c r="ES297"/>
      <c r="ET297"/>
      <c r="EU297">
        <v>4250</v>
      </c>
      <c r="EV297"/>
      <c r="EW297">
        <v>0</v>
      </c>
      <c r="EX297">
        <v>0</v>
      </c>
      <c r="EY297">
        <v>0</v>
      </c>
      <c r="EZ297"/>
      <c r="FA297">
        <v>9.5</v>
      </c>
      <c r="FB297"/>
      <c r="FC297"/>
      <c r="FD297"/>
      <c r="FE297"/>
      <c r="FF297"/>
      <c r="FG297" s="94">
        <v>422</v>
      </c>
      <c r="FH297" s="94">
        <v>389</v>
      </c>
      <c r="FI297" s="94">
        <v>407</v>
      </c>
    </row>
    <row r="298" spans="1:165" s="66" customFormat="1" x14ac:dyDescent="0.35">
      <c r="A298">
        <v>2026</v>
      </c>
      <c r="B298" t="s">
        <v>1510</v>
      </c>
      <c r="C298" s="112" t="s">
        <v>1511</v>
      </c>
      <c r="D298" t="s">
        <v>1517</v>
      </c>
      <c r="E298" t="s">
        <v>1513</v>
      </c>
      <c r="F298">
        <v>29</v>
      </c>
      <c r="G298" s="113">
        <v>0</v>
      </c>
      <c r="H298"/>
      <c r="I298" t="s">
        <v>1391</v>
      </c>
      <c r="J298">
        <v>33</v>
      </c>
      <c r="K298">
        <v>36</v>
      </c>
      <c r="L298">
        <v>34</v>
      </c>
      <c r="M298">
        <v>23.652100000000001</v>
      </c>
      <c r="N298">
        <v>25.648299999999999</v>
      </c>
      <c r="O298">
        <v>24.5504</v>
      </c>
      <c r="P298">
        <v>33.076000000000001</v>
      </c>
      <c r="Q298">
        <v>35.870100000000001</v>
      </c>
      <c r="R298">
        <v>34.333300000000001</v>
      </c>
      <c r="S298"/>
      <c r="T298"/>
      <c r="U298"/>
      <c r="V298" t="s">
        <v>170</v>
      </c>
      <c r="W298" t="s">
        <v>171</v>
      </c>
      <c r="X298"/>
      <c r="Y298">
        <v>1</v>
      </c>
      <c r="Z298" t="s">
        <v>173</v>
      </c>
      <c r="AA298" t="s">
        <v>173</v>
      </c>
      <c r="AB298" t="s">
        <v>170</v>
      </c>
      <c r="AC298" t="s">
        <v>232</v>
      </c>
      <c r="AD298"/>
      <c r="AE298"/>
      <c r="AF298">
        <v>407</v>
      </c>
      <c r="AG298" t="s">
        <v>1392</v>
      </c>
      <c r="AH298" t="s">
        <v>1393</v>
      </c>
      <c r="AI298" t="s">
        <v>1399</v>
      </c>
      <c r="AJ298" t="s">
        <v>1400</v>
      </c>
      <c r="AK298">
        <v>4</v>
      </c>
      <c r="AL298" t="s">
        <v>1394</v>
      </c>
      <c r="AM298"/>
      <c r="AN298"/>
      <c r="AO298"/>
      <c r="AP298"/>
      <c r="AQ298"/>
      <c r="AR298"/>
      <c r="AS298">
        <v>850</v>
      </c>
      <c r="AT298">
        <v>850</v>
      </c>
      <c r="AU298"/>
      <c r="AV298"/>
      <c r="AW298"/>
      <c r="AX298"/>
      <c r="AY298"/>
      <c r="AZ298"/>
      <c r="BA298"/>
      <c r="BB298"/>
      <c r="BC298"/>
      <c r="BD298"/>
      <c r="BE298"/>
      <c r="BF298"/>
      <c r="BG298"/>
      <c r="BH298"/>
      <c r="BI298"/>
      <c r="BJ298"/>
      <c r="BK298"/>
      <c r="BL298"/>
      <c r="BM298"/>
      <c r="BN298" s="114"/>
      <c r="BO298"/>
      <c r="BP298"/>
      <c r="BQ298">
        <v>33</v>
      </c>
      <c r="BR298" t="s">
        <v>1062</v>
      </c>
      <c r="BS298"/>
      <c r="BT298" t="s">
        <v>1402</v>
      </c>
      <c r="BU298" s="115">
        <v>45786</v>
      </c>
      <c r="BV298">
        <v>36801</v>
      </c>
      <c r="BW298" s="116"/>
      <c r="BX298" t="s">
        <v>172</v>
      </c>
      <c r="BY298" t="s">
        <v>173</v>
      </c>
      <c r="BZ298"/>
      <c r="CA298"/>
      <c r="CB298" t="s">
        <v>173</v>
      </c>
      <c r="CC298" t="s">
        <v>173</v>
      </c>
      <c r="CD298"/>
      <c r="CE298"/>
      <c r="CF298"/>
      <c r="CG298"/>
      <c r="CH298"/>
      <c r="CI298"/>
      <c r="CJ298"/>
      <c r="CK298" t="s">
        <v>259</v>
      </c>
      <c r="CL298"/>
      <c r="CM298">
        <v>1</v>
      </c>
      <c r="CN298" t="s">
        <v>260</v>
      </c>
      <c r="CO298"/>
      <c r="CP298">
        <v>810</v>
      </c>
      <c r="CQ298">
        <v>151</v>
      </c>
      <c r="CR298">
        <v>179</v>
      </c>
      <c r="CS298" t="s">
        <v>1437</v>
      </c>
      <c r="CT298"/>
      <c r="CU298"/>
      <c r="CV298" t="s">
        <v>262</v>
      </c>
      <c r="CW298"/>
      <c r="CX298" t="s">
        <v>263</v>
      </c>
      <c r="CY298" t="s">
        <v>172</v>
      </c>
      <c r="CZ298"/>
      <c r="DA298"/>
      <c r="DB298"/>
      <c r="DC298"/>
      <c r="DD298">
        <v>2</v>
      </c>
      <c r="DE298" t="s">
        <v>307</v>
      </c>
      <c r="DF298" t="s">
        <v>1514</v>
      </c>
      <c r="DG298">
        <v>399</v>
      </c>
      <c r="DH298"/>
      <c r="DI298"/>
      <c r="DJ298"/>
      <c r="DK298"/>
      <c r="DL298" t="s">
        <v>173</v>
      </c>
      <c r="DM298" t="s">
        <v>172</v>
      </c>
      <c r="DN298"/>
      <c r="DO298"/>
      <c r="DP298" t="s">
        <v>173</v>
      </c>
      <c r="DQ298" t="s">
        <v>189</v>
      </c>
      <c r="DR298"/>
      <c r="DS298"/>
      <c r="DT298"/>
      <c r="DU298"/>
      <c r="DV298"/>
      <c r="DW298"/>
      <c r="DX298"/>
      <c r="DY298"/>
      <c r="DZ298"/>
      <c r="EA298" s="117"/>
      <c r="EB298">
        <v>9</v>
      </c>
      <c r="EC298">
        <v>10</v>
      </c>
      <c r="ED298"/>
      <c r="EE298" t="s">
        <v>1515</v>
      </c>
      <c r="EF298">
        <v>10</v>
      </c>
      <c r="EG298"/>
      <c r="EH298"/>
      <c r="EI298"/>
      <c r="EJ298"/>
      <c r="EK298"/>
      <c r="EL298"/>
      <c r="EM298"/>
      <c r="EN298"/>
      <c r="EO298"/>
      <c r="EP298"/>
      <c r="EQ298"/>
      <c r="ER298"/>
      <c r="ES298"/>
      <c r="ET298"/>
      <c r="EU298">
        <v>4250</v>
      </c>
      <c r="EV298"/>
      <c r="EW298">
        <v>0</v>
      </c>
      <c r="EX298">
        <v>0</v>
      </c>
      <c r="EY298">
        <v>0</v>
      </c>
      <c r="EZ298"/>
      <c r="FA298">
        <v>9.5</v>
      </c>
      <c r="FB298"/>
      <c r="FC298"/>
      <c r="FD298"/>
      <c r="FE298"/>
      <c r="FF298"/>
      <c r="FG298" s="94">
        <v>422</v>
      </c>
      <c r="FH298" s="94">
        <v>389</v>
      </c>
      <c r="FI298" s="94">
        <v>407</v>
      </c>
    </row>
    <row r="299" spans="1:165" s="66" customFormat="1" x14ac:dyDescent="0.35">
      <c r="A299" s="19"/>
      <c r="B299" s="19"/>
      <c r="C299" s="19"/>
      <c r="D299" s="19"/>
      <c r="E299" s="19"/>
      <c r="F299" s="128"/>
      <c r="G299" s="19"/>
      <c r="H299" s="19"/>
      <c r="I299" s="19"/>
      <c r="J299" s="19"/>
      <c r="K299" s="19" t="str">
        <f>_xlfn.CONCAT(A300," ",C300," ",D300)</f>
        <v>2026 Lucid USA Inc. Gravity GT w/22F23R wheels (3R)</v>
      </c>
      <c r="L299" s="19"/>
      <c r="M299" s="19"/>
      <c r="N299" s="19"/>
      <c r="O299" s="19"/>
      <c r="P299" s="19"/>
      <c r="Q299" s="19"/>
      <c r="R299" s="19"/>
      <c r="S299" s="19"/>
      <c r="T299" s="19"/>
      <c r="U299" s="19"/>
      <c r="V299" s="19"/>
      <c r="W299" s="19"/>
      <c r="X299" s="19"/>
      <c r="Y299" s="19"/>
      <c r="Z299" s="19"/>
      <c r="AA299" s="19"/>
      <c r="AB299" s="19" t="str">
        <f>$K299</f>
        <v>2026 Lucid USA Inc. Gravity GT w/22F23R wheels (3R)</v>
      </c>
      <c r="AC299" s="19"/>
      <c r="AD299" s="19"/>
      <c r="AE299" s="19"/>
      <c r="AF299" s="19"/>
      <c r="AG299" s="19"/>
      <c r="AH299" s="19"/>
      <c r="AI299" s="19"/>
      <c r="AJ299" s="19"/>
      <c r="AK299" s="19"/>
      <c r="AL299" s="19"/>
      <c r="AM299" s="19"/>
      <c r="AN299" s="19"/>
      <c r="AO299" s="19"/>
      <c r="AP299" s="19"/>
      <c r="AQ299" s="19"/>
      <c r="AR299" s="19" t="str">
        <f>$K299</f>
        <v>2026 Lucid USA Inc. Gravity GT w/22F23R wheels (3R)</v>
      </c>
      <c r="AS299" s="19"/>
      <c r="AT299" s="19"/>
      <c r="AU299" s="19"/>
      <c r="AV299" s="19"/>
      <c r="AW299" s="19"/>
      <c r="AX299" s="19"/>
      <c r="AY299" s="19"/>
      <c r="AZ299" s="19"/>
      <c r="BA299" s="19"/>
      <c r="BB299" s="19"/>
      <c r="BC299" s="19"/>
      <c r="BD299" s="19"/>
      <c r="BE299" s="19"/>
      <c r="BF299" s="19"/>
      <c r="BG299" s="19" t="str">
        <f>$K299</f>
        <v>2026 Lucid USA Inc. Gravity GT w/22F23R wheels (3R)</v>
      </c>
      <c r="BH299" s="19"/>
      <c r="BI299" s="19"/>
      <c r="BJ299" s="19"/>
      <c r="BK299" s="19"/>
      <c r="BL299" s="19"/>
      <c r="BM299" s="129"/>
      <c r="BN299" s="19"/>
      <c r="BO299" s="19"/>
      <c r="BP299" s="19"/>
      <c r="BQ299" s="19"/>
      <c r="BR299" s="19"/>
      <c r="BS299" s="19"/>
      <c r="BT299" s="130"/>
      <c r="BU299" s="19"/>
      <c r="BV299" s="19"/>
      <c r="BW299" s="116"/>
      <c r="BX299" s="19"/>
      <c r="BY299" s="19"/>
      <c r="BZ299" s="19"/>
      <c r="CA299" s="19"/>
      <c r="CB299" s="19"/>
      <c r="CC299" s="19"/>
      <c r="CD299" s="19"/>
      <c r="CE299" s="19"/>
      <c r="CF299" s="19"/>
      <c r="CG299" s="19"/>
      <c r="CH299" s="19"/>
      <c r="CI299" s="19"/>
      <c r="CJ299" s="19"/>
      <c r="CK299" s="19"/>
      <c r="CL299" s="19"/>
      <c r="CM299" s="19" t="str">
        <f>$K299</f>
        <v>2026 Lucid USA Inc. Gravity GT w/22F23R wheels (3R)</v>
      </c>
      <c r="CN299" s="19"/>
      <c r="CO299" s="19"/>
      <c r="CP299" s="19"/>
      <c r="CQ299" s="19"/>
      <c r="CR299" s="19"/>
      <c r="CS299" s="19"/>
      <c r="CT299" s="19"/>
      <c r="CU299" s="19"/>
      <c r="CV299" s="19"/>
      <c r="CW299" s="19"/>
      <c r="CX299" s="19"/>
      <c r="CY299" s="19"/>
      <c r="CZ299" s="19"/>
      <c r="DA299" s="19"/>
      <c r="DB299" s="19"/>
      <c r="DC299" s="19"/>
      <c r="DD299" s="19" t="str">
        <f>$K299</f>
        <v>2026 Lucid USA Inc. Gravity GT w/22F23R wheels (3R)</v>
      </c>
      <c r="DE299" s="19"/>
      <c r="DF299" s="19"/>
      <c r="DG299" s="19"/>
      <c r="DH299" s="19"/>
      <c r="DI299" s="19"/>
      <c r="DJ299" s="19"/>
      <c r="DK299" s="19"/>
      <c r="DL299" s="19"/>
      <c r="DM299" s="19"/>
      <c r="DN299" s="19"/>
      <c r="DO299" s="19"/>
      <c r="DP299" s="19"/>
      <c r="DQ299" s="19"/>
      <c r="DR299" s="19"/>
      <c r="DS299" s="19"/>
      <c r="DT299" s="19"/>
      <c r="DU299" s="19" t="str">
        <f>$K299</f>
        <v>2026 Lucid USA Inc. Gravity GT w/22F23R wheels (3R)</v>
      </c>
      <c r="DV299" s="19"/>
      <c r="DW299" s="19"/>
      <c r="DX299" s="19"/>
      <c r="DY299" s="19"/>
      <c r="DZ299" s="19"/>
      <c r="EA299" s="117"/>
      <c r="EB299" s="19"/>
      <c r="EC299" s="19"/>
      <c r="ED299" s="19"/>
      <c r="EE299" s="19"/>
      <c r="EF299" s="19"/>
      <c r="EG299"/>
      <c r="EH299"/>
      <c r="EI299"/>
      <c r="EJ299"/>
      <c r="EK299"/>
      <c r="EL299"/>
      <c r="EM299"/>
      <c r="EN299"/>
      <c r="EO299"/>
      <c r="EP299"/>
      <c r="EQ299"/>
      <c r="ER299"/>
      <c r="ES299"/>
      <c r="ET299"/>
      <c r="EU299"/>
      <c r="EV299"/>
      <c r="EW299"/>
      <c r="EX299" s="19" t="s">
        <v>2018</v>
      </c>
      <c r="EY299"/>
      <c r="EZ299"/>
      <c r="FA299"/>
      <c r="FB299"/>
      <c r="FC299"/>
      <c r="FD299"/>
      <c r="FE299"/>
      <c r="FF299"/>
      <c r="FG299"/>
      <c r="FH299"/>
      <c r="FI299"/>
    </row>
    <row r="300" spans="1:165" s="66" customFormat="1" x14ac:dyDescent="0.35">
      <c r="A300">
        <v>2026</v>
      </c>
      <c r="B300" t="s">
        <v>1510</v>
      </c>
      <c r="C300" s="112" t="s">
        <v>1511</v>
      </c>
      <c r="D300" t="s">
        <v>1519</v>
      </c>
      <c r="E300" t="s">
        <v>1513</v>
      </c>
      <c r="F300">
        <v>32</v>
      </c>
      <c r="G300" s="113">
        <v>0</v>
      </c>
      <c r="H300"/>
      <c r="I300" t="s">
        <v>1391</v>
      </c>
      <c r="J300">
        <v>96</v>
      </c>
      <c r="K300">
        <v>89</v>
      </c>
      <c r="L300">
        <v>92</v>
      </c>
      <c r="M300">
        <v>133.9</v>
      </c>
      <c r="N300">
        <v>124.1</v>
      </c>
      <c r="O300">
        <v>129.30500000000001</v>
      </c>
      <c r="P300">
        <v>95.751900000000006</v>
      </c>
      <c r="Q300">
        <v>88.743899999999996</v>
      </c>
      <c r="R300">
        <v>92.465999999999994</v>
      </c>
      <c r="S300"/>
      <c r="T300"/>
      <c r="U300"/>
      <c r="V300" t="s">
        <v>170</v>
      </c>
      <c r="W300" t="s">
        <v>171</v>
      </c>
      <c r="X300"/>
      <c r="Y300">
        <v>1</v>
      </c>
      <c r="Z300" t="s">
        <v>173</v>
      </c>
      <c r="AA300" t="s">
        <v>173</v>
      </c>
      <c r="AB300" t="s">
        <v>170</v>
      </c>
      <c r="AC300" t="s">
        <v>232</v>
      </c>
      <c r="AD300"/>
      <c r="AE300"/>
      <c r="AF300">
        <v>386</v>
      </c>
      <c r="AG300" t="s">
        <v>1392</v>
      </c>
      <c r="AH300" t="s">
        <v>1393</v>
      </c>
      <c r="AI300" t="s">
        <v>178</v>
      </c>
      <c r="AJ300" t="s">
        <v>179</v>
      </c>
      <c r="AK300">
        <v>4</v>
      </c>
      <c r="AL300" t="s">
        <v>1394</v>
      </c>
      <c r="AM300"/>
      <c r="AN300"/>
      <c r="AO300"/>
      <c r="AP300"/>
      <c r="AQ300"/>
      <c r="AR300"/>
      <c r="AS300">
        <v>950</v>
      </c>
      <c r="AT300">
        <v>950</v>
      </c>
      <c r="AU300"/>
      <c r="AV300"/>
      <c r="AW300"/>
      <c r="AX300"/>
      <c r="AY300"/>
      <c r="AZ300"/>
      <c r="BA300"/>
      <c r="BB300"/>
      <c r="BC300"/>
      <c r="BD300"/>
      <c r="BE300"/>
      <c r="BF300"/>
      <c r="BG300"/>
      <c r="BH300"/>
      <c r="BI300"/>
      <c r="BJ300"/>
      <c r="BK300"/>
      <c r="BL300"/>
      <c r="BM300"/>
      <c r="BN300" s="114"/>
      <c r="BO300"/>
      <c r="BP300"/>
      <c r="BQ300">
        <v>33</v>
      </c>
      <c r="BR300" t="s">
        <v>1062</v>
      </c>
      <c r="BS300"/>
      <c r="BT300" t="s">
        <v>1402</v>
      </c>
      <c r="BU300" s="115">
        <v>45786</v>
      </c>
      <c r="BV300">
        <v>36804</v>
      </c>
      <c r="BW300" s="116"/>
      <c r="BX300" t="s">
        <v>172</v>
      </c>
      <c r="BY300" t="s">
        <v>173</v>
      </c>
      <c r="BZ300"/>
      <c r="CA300"/>
      <c r="CB300" t="s">
        <v>173</v>
      </c>
      <c r="CC300" t="s">
        <v>173</v>
      </c>
      <c r="CD300"/>
      <c r="CE300"/>
      <c r="CF300"/>
      <c r="CG300"/>
      <c r="CH300"/>
      <c r="CI300"/>
      <c r="CJ300"/>
      <c r="CK300" t="s">
        <v>259</v>
      </c>
      <c r="CL300"/>
      <c r="CM300">
        <v>1</v>
      </c>
      <c r="CN300" t="s">
        <v>260</v>
      </c>
      <c r="CO300"/>
      <c r="CP300">
        <v>810</v>
      </c>
      <c r="CQ300">
        <v>151</v>
      </c>
      <c r="CR300">
        <v>179</v>
      </c>
      <c r="CS300" t="s">
        <v>1437</v>
      </c>
      <c r="CT300"/>
      <c r="CU300"/>
      <c r="CV300" t="s">
        <v>262</v>
      </c>
      <c r="CW300"/>
      <c r="CX300" t="s">
        <v>263</v>
      </c>
      <c r="CY300" t="s">
        <v>172</v>
      </c>
      <c r="CZ300"/>
      <c r="DA300"/>
      <c r="DB300"/>
      <c r="DC300"/>
      <c r="DD300">
        <v>2</v>
      </c>
      <c r="DE300" t="s">
        <v>307</v>
      </c>
      <c r="DF300" t="s">
        <v>1514</v>
      </c>
      <c r="DG300">
        <v>399</v>
      </c>
      <c r="DH300"/>
      <c r="DI300"/>
      <c r="DJ300"/>
      <c r="DK300"/>
      <c r="DL300" t="s">
        <v>173</v>
      </c>
      <c r="DM300" t="s">
        <v>172</v>
      </c>
      <c r="DN300"/>
      <c r="DO300"/>
      <c r="DP300" t="s">
        <v>173</v>
      </c>
      <c r="DQ300" t="s">
        <v>189</v>
      </c>
      <c r="DR300"/>
      <c r="DS300"/>
      <c r="DT300"/>
      <c r="DU300"/>
      <c r="DV300"/>
      <c r="DW300"/>
      <c r="DX300"/>
      <c r="DY300"/>
      <c r="DZ300"/>
      <c r="EA300" s="117"/>
      <c r="EB300">
        <v>9</v>
      </c>
      <c r="EC300">
        <v>10</v>
      </c>
      <c r="ED300"/>
      <c r="EE300" t="s">
        <v>1515</v>
      </c>
      <c r="EF300">
        <v>10</v>
      </c>
      <c r="EG300"/>
      <c r="EH300"/>
      <c r="EI300"/>
      <c r="EJ300"/>
      <c r="EK300"/>
      <c r="EL300"/>
      <c r="EM300"/>
      <c r="EN300"/>
      <c r="EO300"/>
      <c r="EP300"/>
      <c r="EQ300"/>
      <c r="ER300"/>
      <c r="ES300"/>
      <c r="ET300"/>
      <c r="EU300">
        <v>3750</v>
      </c>
      <c r="EV300"/>
      <c r="EW300">
        <v>0</v>
      </c>
      <c r="EX300">
        <v>0</v>
      </c>
      <c r="EY300">
        <v>0</v>
      </c>
      <c r="EZ300"/>
      <c r="FA300">
        <v>9.5</v>
      </c>
      <c r="FB300"/>
      <c r="FC300"/>
      <c r="FD300"/>
      <c r="FE300"/>
      <c r="FF300"/>
      <c r="FG300" s="94">
        <v>399</v>
      </c>
      <c r="FH300" s="94">
        <v>370</v>
      </c>
      <c r="FI300" s="94">
        <v>386</v>
      </c>
    </row>
    <row r="301" spans="1:165" s="66" customFormat="1" x14ac:dyDescent="0.35">
      <c r="A301">
        <v>2026</v>
      </c>
      <c r="B301" t="s">
        <v>1510</v>
      </c>
      <c r="C301" s="112" t="s">
        <v>1511</v>
      </c>
      <c r="D301" t="s">
        <v>1519</v>
      </c>
      <c r="E301" t="s">
        <v>1513</v>
      </c>
      <c r="F301">
        <v>32</v>
      </c>
      <c r="G301" s="113">
        <v>0</v>
      </c>
      <c r="H301"/>
      <c r="I301" t="s">
        <v>1391</v>
      </c>
      <c r="J301">
        <v>35</v>
      </c>
      <c r="K301">
        <v>38</v>
      </c>
      <c r="L301">
        <v>36</v>
      </c>
      <c r="M301">
        <v>25.179400000000001</v>
      </c>
      <c r="N301">
        <v>27.1691</v>
      </c>
      <c r="O301">
        <v>26.0749</v>
      </c>
      <c r="P301">
        <v>35.200299999999999</v>
      </c>
      <c r="Q301">
        <v>37.9801</v>
      </c>
      <c r="R301">
        <v>36.4512</v>
      </c>
      <c r="S301"/>
      <c r="T301"/>
      <c r="U301"/>
      <c r="V301" t="s">
        <v>170</v>
      </c>
      <c r="W301" t="s">
        <v>171</v>
      </c>
      <c r="X301"/>
      <c r="Y301">
        <v>1</v>
      </c>
      <c r="Z301" t="s">
        <v>173</v>
      </c>
      <c r="AA301" t="s">
        <v>173</v>
      </c>
      <c r="AB301" t="s">
        <v>170</v>
      </c>
      <c r="AC301" t="s">
        <v>232</v>
      </c>
      <c r="AD301"/>
      <c r="AE301"/>
      <c r="AF301">
        <v>386</v>
      </c>
      <c r="AG301" t="s">
        <v>1392</v>
      </c>
      <c r="AH301" t="s">
        <v>1393</v>
      </c>
      <c r="AI301" t="s">
        <v>1399</v>
      </c>
      <c r="AJ301" t="s">
        <v>1400</v>
      </c>
      <c r="AK301">
        <v>4</v>
      </c>
      <c r="AL301" t="s">
        <v>1394</v>
      </c>
      <c r="AM301"/>
      <c r="AN301"/>
      <c r="AO301"/>
      <c r="AP301"/>
      <c r="AQ301"/>
      <c r="AR301"/>
      <c r="AS301">
        <v>950</v>
      </c>
      <c r="AT301">
        <v>950</v>
      </c>
      <c r="AU301"/>
      <c r="AV301"/>
      <c r="AW301"/>
      <c r="AX301"/>
      <c r="AY301"/>
      <c r="AZ301"/>
      <c r="BA301"/>
      <c r="BB301"/>
      <c r="BC301"/>
      <c r="BD301"/>
      <c r="BE301"/>
      <c r="BF301"/>
      <c r="BG301"/>
      <c r="BH301"/>
      <c r="BI301"/>
      <c r="BJ301"/>
      <c r="BK301"/>
      <c r="BL301"/>
      <c r="BM301"/>
      <c r="BN301" s="114"/>
      <c r="BO301"/>
      <c r="BP301"/>
      <c r="BQ301">
        <v>33</v>
      </c>
      <c r="BR301" t="s">
        <v>1062</v>
      </c>
      <c r="BS301"/>
      <c r="BT301" t="s">
        <v>1402</v>
      </c>
      <c r="BU301" s="115">
        <v>45786</v>
      </c>
      <c r="BV301">
        <v>36804</v>
      </c>
      <c r="BW301" s="116"/>
      <c r="BX301" t="s">
        <v>172</v>
      </c>
      <c r="BY301" t="s">
        <v>173</v>
      </c>
      <c r="BZ301"/>
      <c r="CA301"/>
      <c r="CB301" t="s">
        <v>173</v>
      </c>
      <c r="CC301" t="s">
        <v>173</v>
      </c>
      <c r="CD301"/>
      <c r="CE301"/>
      <c r="CF301"/>
      <c r="CG301"/>
      <c r="CH301"/>
      <c r="CI301"/>
      <c r="CJ301"/>
      <c r="CK301" t="s">
        <v>259</v>
      </c>
      <c r="CL301"/>
      <c r="CM301">
        <v>1</v>
      </c>
      <c r="CN301" t="s">
        <v>260</v>
      </c>
      <c r="CO301"/>
      <c r="CP301">
        <v>810</v>
      </c>
      <c r="CQ301">
        <v>151</v>
      </c>
      <c r="CR301">
        <v>179</v>
      </c>
      <c r="CS301" t="s">
        <v>1437</v>
      </c>
      <c r="CT301"/>
      <c r="CU301"/>
      <c r="CV301" t="s">
        <v>262</v>
      </c>
      <c r="CW301"/>
      <c r="CX301" t="s">
        <v>263</v>
      </c>
      <c r="CY301" t="s">
        <v>172</v>
      </c>
      <c r="CZ301"/>
      <c r="DA301"/>
      <c r="DB301"/>
      <c r="DC301"/>
      <c r="DD301">
        <v>2</v>
      </c>
      <c r="DE301" t="s">
        <v>307</v>
      </c>
      <c r="DF301" t="s">
        <v>1514</v>
      </c>
      <c r="DG301">
        <v>399</v>
      </c>
      <c r="DH301"/>
      <c r="DI301"/>
      <c r="DJ301"/>
      <c r="DK301"/>
      <c r="DL301" t="s">
        <v>173</v>
      </c>
      <c r="DM301" t="s">
        <v>172</v>
      </c>
      <c r="DN301"/>
      <c r="DO301"/>
      <c r="DP301" t="s">
        <v>173</v>
      </c>
      <c r="DQ301" t="s">
        <v>189</v>
      </c>
      <c r="DR301"/>
      <c r="DS301"/>
      <c r="DT301"/>
      <c r="DU301"/>
      <c r="DV301"/>
      <c r="DW301"/>
      <c r="DX301"/>
      <c r="DY301"/>
      <c r="DZ301"/>
      <c r="EA301" s="117"/>
      <c r="EB301">
        <v>9</v>
      </c>
      <c r="EC301">
        <v>10</v>
      </c>
      <c r="ED301"/>
      <c r="EE301" t="s">
        <v>1515</v>
      </c>
      <c r="EF301">
        <v>10</v>
      </c>
      <c r="EG301"/>
      <c r="EH301"/>
      <c r="EI301"/>
      <c r="EJ301"/>
      <c r="EK301"/>
      <c r="EL301"/>
      <c r="EM301"/>
      <c r="EN301"/>
      <c r="EO301"/>
      <c r="EP301"/>
      <c r="EQ301"/>
      <c r="ER301"/>
      <c r="ES301"/>
      <c r="ET301"/>
      <c r="EU301">
        <v>3750</v>
      </c>
      <c r="EV301"/>
      <c r="EW301">
        <v>0</v>
      </c>
      <c r="EX301">
        <v>0</v>
      </c>
      <c r="EY301">
        <v>0</v>
      </c>
      <c r="EZ301"/>
      <c r="FA301">
        <v>9.5</v>
      </c>
      <c r="FB301"/>
      <c r="FC301"/>
      <c r="FD301"/>
      <c r="FE301"/>
      <c r="FF301"/>
      <c r="FG301" s="94">
        <v>399</v>
      </c>
      <c r="FH301" s="94">
        <v>370</v>
      </c>
      <c r="FI301" s="94">
        <v>386</v>
      </c>
    </row>
    <row r="302" spans="1:165" s="66" customFormat="1" x14ac:dyDescent="0.35">
      <c r="A302" s="19"/>
      <c r="B302" s="19"/>
      <c r="C302" s="19"/>
      <c r="D302" s="19"/>
      <c r="E302" s="19"/>
      <c r="F302" s="128"/>
      <c r="G302" s="19"/>
      <c r="H302" s="19"/>
      <c r="I302" s="19"/>
      <c r="J302" s="19"/>
      <c r="K302" s="19" t="str">
        <f>_xlfn.CONCAT(A303," ",C303," ",D303)</f>
        <v>2026 Mercedes-Benz AMG EQE 4MATIC+</v>
      </c>
      <c r="L302" s="19"/>
      <c r="M302" s="19"/>
      <c r="N302" s="19"/>
      <c r="O302" s="19"/>
      <c r="P302" s="19"/>
      <c r="Q302" s="19"/>
      <c r="R302" s="19"/>
      <c r="S302" s="19"/>
      <c r="T302" s="19"/>
      <c r="U302" s="19"/>
      <c r="V302" s="19"/>
      <c r="W302" s="19"/>
      <c r="X302" s="19"/>
      <c r="Y302" s="19"/>
      <c r="Z302" s="19"/>
      <c r="AA302" s="19"/>
      <c r="AB302" s="19" t="str">
        <f>$K302</f>
        <v>2026 Mercedes-Benz AMG EQE 4MATIC+</v>
      </c>
      <c r="AC302" s="19"/>
      <c r="AD302" s="19"/>
      <c r="AE302" s="19"/>
      <c r="AF302" s="19"/>
      <c r="AG302" s="19"/>
      <c r="AH302" s="19"/>
      <c r="AI302" s="19"/>
      <c r="AJ302" s="19"/>
      <c r="AK302" s="19"/>
      <c r="AL302" s="19"/>
      <c r="AM302" s="19"/>
      <c r="AN302" s="19"/>
      <c r="AO302" s="19"/>
      <c r="AP302" s="19"/>
      <c r="AQ302" s="19"/>
      <c r="AR302" s="19" t="str">
        <f>$K302</f>
        <v>2026 Mercedes-Benz AMG EQE 4MATIC+</v>
      </c>
      <c r="AS302" s="19"/>
      <c r="AT302" s="19"/>
      <c r="AU302" s="19"/>
      <c r="AV302" s="19"/>
      <c r="AW302" s="19"/>
      <c r="AX302" s="19"/>
      <c r="AY302" s="19"/>
      <c r="AZ302" s="19"/>
      <c r="BA302" s="19"/>
      <c r="BB302" s="19"/>
      <c r="BC302" s="19"/>
      <c r="BD302" s="19"/>
      <c r="BE302" s="19"/>
      <c r="BF302" s="19"/>
      <c r="BG302" s="19" t="str">
        <f>$K302</f>
        <v>2026 Mercedes-Benz AMG EQE 4MATIC+</v>
      </c>
      <c r="BH302" s="19"/>
      <c r="BI302" s="19"/>
      <c r="BJ302" s="19"/>
      <c r="BK302" s="19"/>
      <c r="BL302" s="19"/>
      <c r="BM302" s="129"/>
      <c r="BN302" s="19"/>
      <c r="BO302" s="19"/>
      <c r="BP302" s="19"/>
      <c r="BQ302" s="19"/>
      <c r="BR302" s="19"/>
      <c r="BS302" s="19"/>
      <c r="BT302" s="130"/>
      <c r="BU302" s="19"/>
      <c r="BV302" s="19"/>
      <c r="BW302" s="116"/>
      <c r="BX302" s="19"/>
      <c r="BY302" s="19"/>
      <c r="BZ302" s="19"/>
      <c r="CA302" s="19"/>
      <c r="CB302" s="19"/>
      <c r="CC302" s="19"/>
      <c r="CD302" s="19"/>
      <c r="CE302" s="19"/>
      <c r="CF302" s="19"/>
      <c r="CG302" s="19"/>
      <c r="CH302" s="19"/>
      <c r="CI302" s="19"/>
      <c r="CJ302" s="19"/>
      <c r="CK302" s="19"/>
      <c r="CL302" s="19"/>
      <c r="CM302" s="19" t="str">
        <f>$K302</f>
        <v>2026 Mercedes-Benz AMG EQE 4MATIC+</v>
      </c>
      <c r="CN302" s="19"/>
      <c r="CO302" s="19"/>
      <c r="CP302" s="19"/>
      <c r="CQ302" s="19"/>
      <c r="CR302" s="19"/>
      <c r="CS302" s="19"/>
      <c r="CT302" s="19"/>
      <c r="CU302" s="19"/>
      <c r="CV302" s="19"/>
      <c r="CW302" s="19"/>
      <c r="CX302" s="19"/>
      <c r="CY302" s="19"/>
      <c r="CZ302" s="19"/>
      <c r="DA302" s="19"/>
      <c r="DB302" s="19"/>
      <c r="DC302" s="19"/>
      <c r="DD302" s="19" t="str">
        <f>$K302</f>
        <v>2026 Mercedes-Benz AMG EQE 4MATIC+</v>
      </c>
      <c r="DE302" s="19"/>
      <c r="DF302" s="19"/>
      <c r="DG302" s="19"/>
      <c r="DH302" s="19"/>
      <c r="DI302" s="19"/>
      <c r="DJ302" s="19"/>
      <c r="DK302" s="19"/>
      <c r="DL302" s="19"/>
      <c r="DM302" s="19"/>
      <c r="DN302" s="19"/>
      <c r="DO302" s="19"/>
      <c r="DP302" s="19"/>
      <c r="DQ302" s="19"/>
      <c r="DR302" s="19"/>
      <c r="DS302" s="19"/>
      <c r="DT302" s="19"/>
      <c r="DU302" s="19" t="str">
        <f>$K302</f>
        <v>2026 Mercedes-Benz AMG EQE 4MATIC+</v>
      </c>
      <c r="DV302" s="19"/>
      <c r="DW302" s="19"/>
      <c r="DX302" s="19"/>
      <c r="DY302" s="19"/>
      <c r="DZ302" s="19"/>
      <c r="EA302" s="117"/>
      <c r="EB302" s="19"/>
      <c r="EC302" s="19"/>
      <c r="ED302" s="19"/>
      <c r="EE302" s="19"/>
      <c r="EF302" s="19"/>
      <c r="EG302"/>
      <c r="EH302"/>
      <c r="EI302"/>
      <c r="EJ302"/>
      <c r="EK302"/>
      <c r="EL302"/>
      <c r="EM302"/>
      <c r="EN302"/>
      <c r="EO302"/>
      <c r="EP302"/>
      <c r="EQ302"/>
      <c r="ER302"/>
      <c r="ES302"/>
      <c r="ET302"/>
      <c r="EU302"/>
      <c r="EV302"/>
      <c r="EW302"/>
      <c r="EX302" s="19" t="s">
        <v>2019</v>
      </c>
      <c r="EY302"/>
      <c r="EZ302"/>
      <c r="FA302"/>
      <c r="FB302"/>
      <c r="FC302"/>
      <c r="FD302"/>
      <c r="FE302"/>
      <c r="FF302"/>
      <c r="FG302"/>
      <c r="FH302"/>
      <c r="FI302"/>
    </row>
    <row r="303" spans="1:165" s="66" customFormat="1" x14ac:dyDescent="0.35">
      <c r="A303">
        <v>2026</v>
      </c>
      <c r="B303" t="s">
        <v>228</v>
      </c>
      <c r="C303" s="112" t="s">
        <v>228</v>
      </c>
      <c r="D303" t="s">
        <v>1523</v>
      </c>
      <c r="E303" t="s">
        <v>230</v>
      </c>
      <c r="F303">
        <v>909</v>
      </c>
      <c r="G303" s="113">
        <v>0</v>
      </c>
      <c r="H303"/>
      <c r="I303" t="s">
        <v>1391</v>
      </c>
      <c r="J303">
        <v>69</v>
      </c>
      <c r="K303">
        <v>71</v>
      </c>
      <c r="L303">
        <v>70</v>
      </c>
      <c r="M303">
        <v>100.8</v>
      </c>
      <c r="N303">
        <v>102.7</v>
      </c>
      <c r="O303">
        <v>101.64619999999999</v>
      </c>
      <c r="P303">
        <v>69</v>
      </c>
      <c r="Q303">
        <v>71</v>
      </c>
      <c r="R303">
        <v>70</v>
      </c>
      <c r="S303"/>
      <c r="T303"/>
      <c r="U303"/>
      <c r="V303" t="s">
        <v>170</v>
      </c>
      <c r="W303" t="s">
        <v>171</v>
      </c>
      <c r="X303"/>
      <c r="Y303">
        <v>1</v>
      </c>
      <c r="Z303" t="s">
        <v>173</v>
      </c>
      <c r="AA303" t="s">
        <v>173</v>
      </c>
      <c r="AB303" t="s">
        <v>170</v>
      </c>
      <c r="AC303" t="s">
        <v>232</v>
      </c>
      <c r="AD303"/>
      <c r="AE303"/>
      <c r="AF303">
        <v>220</v>
      </c>
      <c r="AG303" t="s">
        <v>1392</v>
      </c>
      <c r="AH303" t="s">
        <v>1393</v>
      </c>
      <c r="AI303" t="s">
        <v>178</v>
      </c>
      <c r="AJ303" t="s">
        <v>179</v>
      </c>
      <c r="AK303">
        <v>4</v>
      </c>
      <c r="AL303" t="s">
        <v>1394</v>
      </c>
      <c r="AM303"/>
      <c r="AN303"/>
      <c r="AO303">
        <v>101</v>
      </c>
      <c r="AP303">
        <v>11</v>
      </c>
      <c r="AQ303"/>
      <c r="AR303"/>
      <c r="AS303">
        <v>1200</v>
      </c>
      <c r="AT303">
        <v>1200</v>
      </c>
      <c r="AU303"/>
      <c r="AV303"/>
      <c r="AW303"/>
      <c r="AX303"/>
      <c r="AY303"/>
      <c r="AZ303"/>
      <c r="BA303"/>
      <c r="BB303"/>
      <c r="BC303"/>
      <c r="BD303"/>
      <c r="BE303"/>
      <c r="BF303"/>
      <c r="BG303"/>
      <c r="BH303"/>
      <c r="BI303"/>
      <c r="BJ303"/>
      <c r="BK303"/>
      <c r="BL303"/>
      <c r="BM303"/>
      <c r="BN303" s="114"/>
      <c r="BO303"/>
      <c r="BP303"/>
      <c r="BQ303">
        <v>5</v>
      </c>
      <c r="BR303" t="s">
        <v>460</v>
      </c>
      <c r="BS303" t="s">
        <v>182</v>
      </c>
      <c r="BT303" t="s">
        <v>1395</v>
      </c>
      <c r="BU303" s="115">
        <v>45825</v>
      </c>
      <c r="BV303">
        <v>36813</v>
      </c>
      <c r="BW303" s="116"/>
      <c r="BX303"/>
      <c r="BY303" t="s">
        <v>173</v>
      </c>
      <c r="BZ303"/>
      <c r="CA303"/>
      <c r="CB303" t="s">
        <v>173</v>
      </c>
      <c r="CC303" t="s">
        <v>173</v>
      </c>
      <c r="CD303"/>
      <c r="CE303"/>
      <c r="CF303"/>
      <c r="CG303"/>
      <c r="CH303"/>
      <c r="CI303"/>
      <c r="CJ303"/>
      <c r="CK303" t="s">
        <v>259</v>
      </c>
      <c r="CL303"/>
      <c r="CM303">
        <v>10</v>
      </c>
      <c r="CN303" t="s">
        <v>260</v>
      </c>
      <c r="CO303"/>
      <c r="CP303">
        <v>328</v>
      </c>
      <c r="CQ303">
        <v>292</v>
      </c>
      <c r="CR303">
        <v>172.5</v>
      </c>
      <c r="CS303" t="s">
        <v>261</v>
      </c>
      <c r="CT303"/>
      <c r="CU303"/>
      <c r="CV303" t="s">
        <v>262</v>
      </c>
      <c r="CW303"/>
      <c r="CX303" t="s">
        <v>263</v>
      </c>
      <c r="CY303" t="s">
        <v>172</v>
      </c>
      <c r="CZ303"/>
      <c r="DA303"/>
      <c r="DB303"/>
      <c r="DC303"/>
      <c r="DD303">
        <v>2</v>
      </c>
      <c r="DE303" t="s">
        <v>307</v>
      </c>
      <c r="DF303" t="s">
        <v>1524</v>
      </c>
      <c r="DG303" t="s">
        <v>1525</v>
      </c>
      <c r="DH303"/>
      <c r="DI303"/>
      <c r="DJ303"/>
      <c r="DK303"/>
      <c r="DL303" t="s">
        <v>173</v>
      </c>
      <c r="DM303" t="s">
        <v>172</v>
      </c>
      <c r="DN303"/>
      <c r="DO303"/>
      <c r="DP303" t="s">
        <v>172</v>
      </c>
      <c r="DQ303" t="s">
        <v>204</v>
      </c>
      <c r="DR303" t="s">
        <v>1523</v>
      </c>
      <c r="DS303"/>
      <c r="DT303"/>
      <c r="DU303"/>
      <c r="DV303"/>
      <c r="DW303"/>
      <c r="DX303"/>
      <c r="DY303"/>
      <c r="DZ303"/>
      <c r="EA303" s="117"/>
      <c r="EB303">
        <v>9</v>
      </c>
      <c r="EC303">
        <v>10</v>
      </c>
      <c r="ED303"/>
      <c r="EE303" t="s">
        <v>1526</v>
      </c>
      <c r="EF303">
        <v>10</v>
      </c>
      <c r="EG303"/>
      <c r="EH303"/>
      <c r="EI303"/>
      <c r="EJ303"/>
      <c r="EK303"/>
      <c r="EL303"/>
      <c r="EM303"/>
      <c r="EN303"/>
      <c r="EO303"/>
      <c r="EP303"/>
      <c r="EQ303"/>
      <c r="ER303"/>
      <c r="ES303"/>
      <c r="ET303"/>
      <c r="EU303">
        <v>2500</v>
      </c>
      <c r="EV303"/>
      <c r="EW303">
        <v>0</v>
      </c>
      <c r="EX303">
        <v>0</v>
      </c>
      <c r="EY303">
        <v>0</v>
      </c>
      <c r="EZ303"/>
      <c r="FA303">
        <v>10.75</v>
      </c>
      <c r="FB303"/>
      <c r="FC303"/>
      <c r="FD303"/>
      <c r="FE303"/>
      <c r="FF303"/>
      <c r="FG303" s="94">
        <v>218</v>
      </c>
      <c r="FH303" s="94">
        <v>222</v>
      </c>
      <c r="FI303" s="94">
        <v>220</v>
      </c>
    </row>
    <row r="304" spans="1:165" s="66" customFormat="1" x14ac:dyDescent="0.35">
      <c r="A304">
        <v>2026</v>
      </c>
      <c r="B304" t="s">
        <v>228</v>
      </c>
      <c r="C304" s="112" t="s">
        <v>228</v>
      </c>
      <c r="D304" t="s">
        <v>1523</v>
      </c>
      <c r="E304" t="s">
        <v>230</v>
      </c>
      <c r="F304">
        <v>909</v>
      </c>
      <c r="G304" s="113">
        <v>0</v>
      </c>
      <c r="H304"/>
      <c r="I304" t="s">
        <v>1391</v>
      </c>
      <c r="J304">
        <v>49</v>
      </c>
      <c r="K304">
        <v>48</v>
      </c>
      <c r="L304">
        <v>48</v>
      </c>
      <c r="M304">
        <v>33.422699999999999</v>
      </c>
      <c r="N304">
        <v>32.816099999999999</v>
      </c>
      <c r="O304">
        <v>33.149700000000003</v>
      </c>
      <c r="P304">
        <v>49</v>
      </c>
      <c r="Q304">
        <v>48</v>
      </c>
      <c r="R304">
        <v>48</v>
      </c>
      <c r="S304"/>
      <c r="T304"/>
      <c r="U304"/>
      <c r="V304" t="s">
        <v>170</v>
      </c>
      <c r="W304" t="s">
        <v>171</v>
      </c>
      <c r="X304"/>
      <c r="Y304">
        <v>1</v>
      </c>
      <c r="Z304" t="s">
        <v>173</v>
      </c>
      <c r="AA304" t="s">
        <v>173</v>
      </c>
      <c r="AB304" t="s">
        <v>170</v>
      </c>
      <c r="AC304" t="s">
        <v>232</v>
      </c>
      <c r="AD304"/>
      <c r="AE304"/>
      <c r="AF304">
        <v>220</v>
      </c>
      <c r="AG304" t="s">
        <v>1392</v>
      </c>
      <c r="AH304" t="s">
        <v>1393</v>
      </c>
      <c r="AI304" t="s">
        <v>1399</v>
      </c>
      <c r="AJ304" t="s">
        <v>1400</v>
      </c>
      <c r="AK304">
        <v>4</v>
      </c>
      <c r="AL304" t="s">
        <v>1394</v>
      </c>
      <c r="AM304"/>
      <c r="AN304"/>
      <c r="AO304">
        <v>101</v>
      </c>
      <c r="AP304">
        <v>11</v>
      </c>
      <c r="AQ304"/>
      <c r="AR304"/>
      <c r="AS304">
        <v>1200</v>
      </c>
      <c r="AT304">
        <v>1200</v>
      </c>
      <c r="AU304"/>
      <c r="AV304"/>
      <c r="AW304"/>
      <c r="AX304"/>
      <c r="AY304"/>
      <c r="AZ304"/>
      <c r="BA304"/>
      <c r="BB304"/>
      <c r="BC304"/>
      <c r="BD304"/>
      <c r="BE304"/>
      <c r="BF304"/>
      <c r="BG304"/>
      <c r="BH304"/>
      <c r="BI304"/>
      <c r="BJ304"/>
      <c r="BK304"/>
      <c r="BL304"/>
      <c r="BM304"/>
      <c r="BN304" s="114"/>
      <c r="BO304"/>
      <c r="BP304"/>
      <c r="BQ304">
        <v>5</v>
      </c>
      <c r="BR304" t="s">
        <v>460</v>
      </c>
      <c r="BS304" t="s">
        <v>182</v>
      </c>
      <c r="BT304" t="s">
        <v>1395</v>
      </c>
      <c r="BU304" s="115">
        <v>45825</v>
      </c>
      <c r="BV304">
        <v>36813</v>
      </c>
      <c r="BW304" s="116"/>
      <c r="BX304"/>
      <c r="BY304" t="s">
        <v>173</v>
      </c>
      <c r="BZ304"/>
      <c r="CA304"/>
      <c r="CB304" t="s">
        <v>173</v>
      </c>
      <c r="CC304" t="s">
        <v>173</v>
      </c>
      <c r="CD304"/>
      <c r="CE304"/>
      <c r="CF304"/>
      <c r="CG304"/>
      <c r="CH304"/>
      <c r="CI304"/>
      <c r="CJ304"/>
      <c r="CK304" t="s">
        <v>259</v>
      </c>
      <c r="CL304"/>
      <c r="CM304">
        <v>10</v>
      </c>
      <c r="CN304" t="s">
        <v>260</v>
      </c>
      <c r="CO304"/>
      <c r="CP304">
        <v>328</v>
      </c>
      <c r="CQ304">
        <v>292</v>
      </c>
      <c r="CR304">
        <v>172.5</v>
      </c>
      <c r="CS304" t="s">
        <v>261</v>
      </c>
      <c r="CT304"/>
      <c r="CU304"/>
      <c r="CV304" t="s">
        <v>262</v>
      </c>
      <c r="CW304"/>
      <c r="CX304" t="s">
        <v>263</v>
      </c>
      <c r="CY304" t="s">
        <v>172</v>
      </c>
      <c r="CZ304"/>
      <c r="DA304"/>
      <c r="DB304"/>
      <c r="DC304"/>
      <c r="DD304">
        <v>2</v>
      </c>
      <c r="DE304" t="s">
        <v>307</v>
      </c>
      <c r="DF304" t="s">
        <v>1527</v>
      </c>
      <c r="DG304" t="s">
        <v>1525</v>
      </c>
      <c r="DH304"/>
      <c r="DI304"/>
      <c r="DJ304"/>
      <c r="DK304"/>
      <c r="DL304" t="s">
        <v>173</v>
      </c>
      <c r="DM304" t="s">
        <v>172</v>
      </c>
      <c r="DN304"/>
      <c r="DO304"/>
      <c r="DP304" t="s">
        <v>172</v>
      </c>
      <c r="DQ304" t="s">
        <v>204</v>
      </c>
      <c r="DR304" t="s">
        <v>1523</v>
      </c>
      <c r="DS304"/>
      <c r="DT304"/>
      <c r="DU304"/>
      <c r="DV304"/>
      <c r="DW304"/>
      <c r="DX304"/>
      <c r="DY304"/>
      <c r="DZ304"/>
      <c r="EA304" s="117"/>
      <c r="EB304">
        <v>9</v>
      </c>
      <c r="EC304">
        <v>10</v>
      </c>
      <c r="ED304"/>
      <c r="EE304" t="s">
        <v>1526</v>
      </c>
      <c r="EF304">
        <v>10</v>
      </c>
      <c r="EG304"/>
      <c r="EH304"/>
      <c r="EI304"/>
      <c r="EJ304"/>
      <c r="EK304"/>
      <c r="EL304"/>
      <c r="EM304"/>
      <c r="EN304"/>
      <c r="EO304"/>
      <c r="EP304"/>
      <c r="EQ304"/>
      <c r="ER304"/>
      <c r="ES304"/>
      <c r="ET304"/>
      <c r="EU304">
        <v>2500</v>
      </c>
      <c r="EV304"/>
      <c r="EW304">
        <v>0</v>
      </c>
      <c r="EX304">
        <v>0</v>
      </c>
      <c r="EY304">
        <v>0</v>
      </c>
      <c r="EZ304"/>
      <c r="FA304">
        <v>10.75</v>
      </c>
      <c r="FB304"/>
      <c r="FC304"/>
      <c r="FD304"/>
      <c r="FE304"/>
      <c r="FF304"/>
      <c r="FG304" s="94">
        <v>218</v>
      </c>
      <c r="FH304" s="94">
        <v>222</v>
      </c>
      <c r="FI304" s="94">
        <v>220</v>
      </c>
    </row>
    <row r="305" spans="1:165" s="66" customFormat="1" x14ac:dyDescent="0.35">
      <c r="A305" s="19"/>
      <c r="B305" s="19"/>
      <c r="C305" s="19"/>
      <c r="D305" s="19"/>
      <c r="E305" s="19"/>
      <c r="F305" s="128"/>
      <c r="G305" s="19"/>
      <c r="H305" s="19"/>
      <c r="I305" s="19"/>
      <c r="J305" s="19"/>
      <c r="K305" s="19" t="str">
        <f>_xlfn.CONCAT(A306," ",C306," ",D306)</f>
        <v>2026 Mercedes-Benz EQE 320 4MATIC</v>
      </c>
      <c r="L305" s="19"/>
      <c r="M305" s="19"/>
      <c r="N305" s="19"/>
      <c r="O305" s="19"/>
      <c r="P305" s="19"/>
      <c r="Q305" s="19"/>
      <c r="R305" s="19"/>
      <c r="S305" s="19"/>
      <c r="T305" s="19"/>
      <c r="U305" s="19"/>
      <c r="V305" s="19"/>
      <c r="W305" s="19"/>
      <c r="X305" s="19"/>
      <c r="Y305" s="19"/>
      <c r="Z305" s="19"/>
      <c r="AA305" s="19"/>
      <c r="AB305" s="19" t="str">
        <f>$K305</f>
        <v>2026 Mercedes-Benz EQE 320 4MATIC</v>
      </c>
      <c r="AC305" s="19"/>
      <c r="AD305" s="19"/>
      <c r="AE305" s="19"/>
      <c r="AF305" s="19"/>
      <c r="AG305" s="19"/>
      <c r="AH305" s="19"/>
      <c r="AI305" s="19"/>
      <c r="AJ305" s="19"/>
      <c r="AK305" s="19"/>
      <c r="AL305" s="19"/>
      <c r="AM305" s="19"/>
      <c r="AN305" s="19"/>
      <c r="AO305" s="19"/>
      <c r="AP305" s="19"/>
      <c r="AQ305" s="19"/>
      <c r="AR305" s="19" t="str">
        <f>$K305</f>
        <v>2026 Mercedes-Benz EQE 320 4MATIC</v>
      </c>
      <c r="AS305" s="19"/>
      <c r="AT305" s="19"/>
      <c r="AU305" s="19"/>
      <c r="AV305" s="19"/>
      <c r="AW305" s="19"/>
      <c r="AX305" s="19"/>
      <c r="AY305" s="19"/>
      <c r="AZ305" s="19"/>
      <c r="BA305" s="19"/>
      <c r="BB305" s="19"/>
      <c r="BC305" s="19"/>
      <c r="BD305" s="19"/>
      <c r="BE305" s="19"/>
      <c r="BF305" s="19"/>
      <c r="BG305" s="19" t="str">
        <f>$K305</f>
        <v>2026 Mercedes-Benz EQE 320 4MATIC</v>
      </c>
      <c r="BH305" s="19"/>
      <c r="BI305" s="19"/>
      <c r="BJ305" s="19"/>
      <c r="BK305" s="19"/>
      <c r="BL305" s="19"/>
      <c r="BM305" s="129"/>
      <c r="BN305" s="19"/>
      <c r="BO305" s="19"/>
      <c r="BP305" s="19"/>
      <c r="BQ305" s="19"/>
      <c r="BR305" s="19"/>
      <c r="BS305" s="19"/>
      <c r="BT305" s="130"/>
      <c r="BU305" s="19"/>
      <c r="BV305" s="19"/>
      <c r="BW305" s="116"/>
      <c r="BX305" s="19"/>
      <c r="BY305" s="19"/>
      <c r="BZ305" s="19"/>
      <c r="CA305" s="19"/>
      <c r="CB305" s="19"/>
      <c r="CC305" s="19"/>
      <c r="CD305" s="19"/>
      <c r="CE305" s="19"/>
      <c r="CF305" s="19"/>
      <c r="CG305" s="19"/>
      <c r="CH305" s="19"/>
      <c r="CI305" s="19"/>
      <c r="CJ305" s="19"/>
      <c r="CK305" s="19"/>
      <c r="CL305" s="19"/>
      <c r="CM305" s="19" t="str">
        <f>$K305</f>
        <v>2026 Mercedes-Benz EQE 320 4MATIC</v>
      </c>
      <c r="CN305" s="19"/>
      <c r="CO305" s="19"/>
      <c r="CP305" s="19"/>
      <c r="CQ305" s="19"/>
      <c r="CR305" s="19"/>
      <c r="CS305" s="19"/>
      <c r="CT305" s="19"/>
      <c r="CU305" s="19"/>
      <c r="CV305" s="19"/>
      <c r="CW305" s="19"/>
      <c r="CX305" s="19"/>
      <c r="CY305" s="19"/>
      <c r="CZ305" s="19"/>
      <c r="DA305" s="19"/>
      <c r="DB305" s="19"/>
      <c r="DC305" s="19"/>
      <c r="DD305" s="19" t="str">
        <f>$K305</f>
        <v>2026 Mercedes-Benz EQE 320 4MATIC</v>
      </c>
      <c r="DE305" s="19"/>
      <c r="DF305" s="19"/>
      <c r="DG305" s="19"/>
      <c r="DH305" s="19"/>
      <c r="DI305" s="19"/>
      <c r="DJ305" s="19"/>
      <c r="DK305" s="19"/>
      <c r="DL305" s="19"/>
      <c r="DM305" s="19"/>
      <c r="DN305" s="19"/>
      <c r="DO305" s="19"/>
      <c r="DP305" s="19"/>
      <c r="DQ305" s="19"/>
      <c r="DR305" s="19"/>
      <c r="DS305" s="19"/>
      <c r="DT305" s="19"/>
      <c r="DU305" s="19" t="str">
        <f>$K305</f>
        <v>2026 Mercedes-Benz EQE 320 4MATIC</v>
      </c>
      <c r="DV305" s="19"/>
      <c r="DW305" s="19"/>
      <c r="DX305" s="19"/>
      <c r="DY305" s="19"/>
      <c r="DZ305" s="19"/>
      <c r="EA305" s="117"/>
      <c r="EB305" s="19"/>
      <c r="EC305" s="19"/>
      <c r="ED305" s="19"/>
      <c r="EE305" s="19"/>
      <c r="EF305" s="19"/>
      <c r="EG305"/>
      <c r="EH305"/>
      <c r="EI305"/>
      <c r="EJ305"/>
      <c r="EK305"/>
      <c r="EL305"/>
      <c r="EM305"/>
      <c r="EN305"/>
      <c r="EO305"/>
      <c r="EP305"/>
      <c r="EQ305"/>
      <c r="ER305"/>
      <c r="ES305"/>
      <c r="ET305"/>
      <c r="EU305"/>
      <c r="EV305"/>
      <c r="EW305"/>
      <c r="EX305" s="19" t="s">
        <v>2020</v>
      </c>
      <c r="EY305"/>
      <c r="EZ305"/>
      <c r="FA305"/>
      <c r="FB305"/>
      <c r="FC305"/>
      <c r="FD305"/>
      <c r="FE305"/>
      <c r="FF305"/>
      <c r="FG305"/>
      <c r="FH305"/>
      <c r="FI305"/>
    </row>
    <row r="306" spans="1:165" s="66" customFormat="1" x14ac:dyDescent="0.35">
      <c r="A306">
        <v>2026</v>
      </c>
      <c r="B306" t="s">
        <v>228</v>
      </c>
      <c r="C306" s="112" t="s">
        <v>228</v>
      </c>
      <c r="D306" t="s">
        <v>1530</v>
      </c>
      <c r="E306" t="s">
        <v>230</v>
      </c>
      <c r="F306">
        <v>911</v>
      </c>
      <c r="G306" s="113">
        <v>0</v>
      </c>
      <c r="H306"/>
      <c r="I306" t="s">
        <v>1391</v>
      </c>
      <c r="J306">
        <v>87</v>
      </c>
      <c r="K306">
        <v>85</v>
      </c>
      <c r="L306">
        <v>86</v>
      </c>
      <c r="M306">
        <v>126.7</v>
      </c>
      <c r="N306">
        <v>125</v>
      </c>
      <c r="O306">
        <v>125.9293</v>
      </c>
      <c r="P306">
        <v>87</v>
      </c>
      <c r="Q306">
        <v>85</v>
      </c>
      <c r="R306">
        <v>86</v>
      </c>
      <c r="S306"/>
      <c r="T306"/>
      <c r="U306"/>
      <c r="V306" t="s">
        <v>170</v>
      </c>
      <c r="W306" t="s">
        <v>171</v>
      </c>
      <c r="X306"/>
      <c r="Y306">
        <v>1</v>
      </c>
      <c r="Z306" t="s">
        <v>173</v>
      </c>
      <c r="AA306" t="s">
        <v>173</v>
      </c>
      <c r="AB306" t="s">
        <v>170</v>
      </c>
      <c r="AC306" t="s">
        <v>232</v>
      </c>
      <c r="AD306"/>
      <c r="AE306"/>
      <c r="AF306">
        <v>267</v>
      </c>
      <c r="AG306" t="s">
        <v>1392</v>
      </c>
      <c r="AH306" t="s">
        <v>1393</v>
      </c>
      <c r="AI306" t="s">
        <v>178</v>
      </c>
      <c r="AJ306" t="s">
        <v>179</v>
      </c>
      <c r="AK306">
        <v>4</v>
      </c>
      <c r="AL306" t="s">
        <v>1394</v>
      </c>
      <c r="AM306"/>
      <c r="AN306"/>
      <c r="AO306">
        <v>101</v>
      </c>
      <c r="AP306">
        <v>11</v>
      </c>
      <c r="AQ306"/>
      <c r="AR306"/>
      <c r="AS306">
        <v>1000</v>
      </c>
      <c r="AT306">
        <v>1000</v>
      </c>
      <c r="AU306"/>
      <c r="AV306"/>
      <c r="AW306"/>
      <c r="AX306"/>
      <c r="AY306"/>
      <c r="AZ306"/>
      <c r="BA306"/>
      <c r="BB306"/>
      <c r="BC306"/>
      <c r="BD306"/>
      <c r="BE306"/>
      <c r="BF306"/>
      <c r="BG306"/>
      <c r="BH306"/>
      <c r="BI306"/>
      <c r="BJ306"/>
      <c r="BK306"/>
      <c r="BL306"/>
      <c r="BM306"/>
      <c r="BN306" s="114"/>
      <c r="BO306"/>
      <c r="BP306"/>
      <c r="BQ306">
        <v>5</v>
      </c>
      <c r="BR306" t="s">
        <v>460</v>
      </c>
      <c r="BS306" t="s">
        <v>182</v>
      </c>
      <c r="BT306" t="s">
        <v>1395</v>
      </c>
      <c r="BU306" s="115">
        <v>45814</v>
      </c>
      <c r="BV306">
        <v>36731</v>
      </c>
      <c r="BW306" s="116"/>
      <c r="BX306"/>
      <c r="BY306" t="s">
        <v>173</v>
      </c>
      <c r="BZ306"/>
      <c r="CA306"/>
      <c r="CB306" t="s">
        <v>173</v>
      </c>
      <c r="CC306" t="s">
        <v>173</v>
      </c>
      <c r="CD306"/>
      <c r="CE306"/>
      <c r="CF306"/>
      <c r="CG306"/>
      <c r="CH306"/>
      <c r="CI306"/>
      <c r="CJ306"/>
      <c r="CK306" t="s">
        <v>259</v>
      </c>
      <c r="CL306"/>
      <c r="CM306">
        <v>10</v>
      </c>
      <c r="CN306" t="s">
        <v>260</v>
      </c>
      <c r="CO306"/>
      <c r="CP306">
        <v>328</v>
      </c>
      <c r="CQ306">
        <v>292</v>
      </c>
      <c r="CR306">
        <v>172.5</v>
      </c>
      <c r="CS306" t="s">
        <v>261</v>
      </c>
      <c r="CT306"/>
      <c r="CU306"/>
      <c r="CV306" t="s">
        <v>262</v>
      </c>
      <c r="CW306"/>
      <c r="CX306" t="s">
        <v>263</v>
      </c>
      <c r="CY306" t="s">
        <v>172</v>
      </c>
      <c r="CZ306"/>
      <c r="DA306"/>
      <c r="DB306"/>
      <c r="DC306"/>
      <c r="DD306">
        <v>2</v>
      </c>
      <c r="DE306" t="s">
        <v>307</v>
      </c>
      <c r="DF306" t="s">
        <v>1524</v>
      </c>
      <c r="DG306" t="s">
        <v>1531</v>
      </c>
      <c r="DH306"/>
      <c r="DI306"/>
      <c r="DJ306"/>
      <c r="DK306"/>
      <c r="DL306" t="s">
        <v>173</v>
      </c>
      <c r="DM306" t="s">
        <v>172</v>
      </c>
      <c r="DN306"/>
      <c r="DO306"/>
      <c r="DP306" t="s">
        <v>172</v>
      </c>
      <c r="DQ306" t="s">
        <v>204</v>
      </c>
      <c r="DR306" t="s">
        <v>1530</v>
      </c>
      <c r="DS306"/>
      <c r="DT306"/>
      <c r="DU306"/>
      <c r="DV306"/>
      <c r="DW306"/>
      <c r="DX306"/>
      <c r="DY306"/>
      <c r="DZ306"/>
      <c r="EA306" s="117"/>
      <c r="EB306">
        <v>9</v>
      </c>
      <c r="EC306">
        <v>10</v>
      </c>
      <c r="ED306"/>
      <c r="EE306" t="s">
        <v>1532</v>
      </c>
      <c r="EF306">
        <v>10</v>
      </c>
      <c r="EG306"/>
      <c r="EH306"/>
      <c r="EI306"/>
      <c r="EJ306"/>
      <c r="EK306"/>
      <c r="EL306"/>
      <c r="EM306"/>
      <c r="EN306"/>
      <c r="EO306"/>
      <c r="EP306"/>
      <c r="EQ306"/>
      <c r="ER306"/>
      <c r="ES306"/>
      <c r="ET306"/>
      <c r="EU306">
        <v>3500</v>
      </c>
      <c r="EV306"/>
      <c r="EW306">
        <v>0</v>
      </c>
      <c r="EX306">
        <v>0</v>
      </c>
      <c r="EY306">
        <v>0</v>
      </c>
      <c r="EZ306"/>
      <c r="FA306">
        <v>10.75</v>
      </c>
      <c r="FB306"/>
      <c r="FC306"/>
      <c r="FD306"/>
      <c r="FE306"/>
      <c r="FF306"/>
      <c r="FG306" s="94">
        <v>266</v>
      </c>
      <c r="FH306" s="94">
        <v>269</v>
      </c>
      <c r="FI306" s="94">
        <v>267</v>
      </c>
    </row>
    <row r="307" spans="1:165" s="66" customFormat="1" x14ac:dyDescent="0.35">
      <c r="A307">
        <v>2026</v>
      </c>
      <c r="B307" t="s">
        <v>228</v>
      </c>
      <c r="C307" s="112" t="s">
        <v>228</v>
      </c>
      <c r="D307" t="s">
        <v>1530</v>
      </c>
      <c r="E307" t="s">
        <v>230</v>
      </c>
      <c r="F307">
        <v>911</v>
      </c>
      <c r="G307" s="113">
        <v>0</v>
      </c>
      <c r="H307"/>
      <c r="I307" t="s">
        <v>1391</v>
      </c>
      <c r="J307">
        <v>39</v>
      </c>
      <c r="K307">
        <v>39</v>
      </c>
      <c r="L307">
        <v>39</v>
      </c>
      <c r="M307">
        <v>26.6004</v>
      </c>
      <c r="N307">
        <v>26.957999999999998</v>
      </c>
      <c r="O307">
        <v>26.761299999999999</v>
      </c>
      <c r="P307">
        <v>39</v>
      </c>
      <c r="Q307">
        <v>38.520000000000003</v>
      </c>
      <c r="R307">
        <v>39</v>
      </c>
      <c r="S307"/>
      <c r="T307"/>
      <c r="U307"/>
      <c r="V307" t="s">
        <v>170</v>
      </c>
      <c r="W307" t="s">
        <v>171</v>
      </c>
      <c r="X307"/>
      <c r="Y307">
        <v>1</v>
      </c>
      <c r="Z307" t="s">
        <v>173</v>
      </c>
      <c r="AA307" t="s">
        <v>173</v>
      </c>
      <c r="AB307" t="s">
        <v>170</v>
      </c>
      <c r="AC307" t="s">
        <v>232</v>
      </c>
      <c r="AD307"/>
      <c r="AE307"/>
      <c r="AF307">
        <v>267</v>
      </c>
      <c r="AG307" t="s">
        <v>1392</v>
      </c>
      <c r="AH307" t="s">
        <v>1393</v>
      </c>
      <c r="AI307" t="s">
        <v>1399</v>
      </c>
      <c r="AJ307" t="s">
        <v>1400</v>
      </c>
      <c r="AK307">
        <v>4</v>
      </c>
      <c r="AL307" t="s">
        <v>1394</v>
      </c>
      <c r="AM307"/>
      <c r="AN307"/>
      <c r="AO307">
        <v>101</v>
      </c>
      <c r="AP307">
        <v>11</v>
      </c>
      <c r="AQ307"/>
      <c r="AR307"/>
      <c r="AS307">
        <v>1000</v>
      </c>
      <c r="AT307">
        <v>1000</v>
      </c>
      <c r="AU307"/>
      <c r="AV307"/>
      <c r="AW307"/>
      <c r="AX307"/>
      <c r="AY307"/>
      <c r="AZ307"/>
      <c r="BA307"/>
      <c r="BB307"/>
      <c r="BC307"/>
      <c r="BD307"/>
      <c r="BE307"/>
      <c r="BF307"/>
      <c r="BG307"/>
      <c r="BH307"/>
      <c r="BI307"/>
      <c r="BJ307"/>
      <c r="BK307"/>
      <c r="BL307"/>
      <c r="BM307"/>
      <c r="BN307" s="114"/>
      <c r="BO307"/>
      <c r="BP307"/>
      <c r="BQ307">
        <v>5</v>
      </c>
      <c r="BR307" t="s">
        <v>460</v>
      </c>
      <c r="BS307" t="s">
        <v>182</v>
      </c>
      <c r="BT307" t="s">
        <v>1395</v>
      </c>
      <c r="BU307" s="115">
        <v>45814</v>
      </c>
      <c r="BV307">
        <v>36731</v>
      </c>
      <c r="BW307" s="116"/>
      <c r="BX307"/>
      <c r="BY307" t="s">
        <v>173</v>
      </c>
      <c r="BZ307"/>
      <c r="CA307"/>
      <c r="CB307" t="s">
        <v>173</v>
      </c>
      <c r="CC307" t="s">
        <v>173</v>
      </c>
      <c r="CD307"/>
      <c r="CE307"/>
      <c r="CF307"/>
      <c r="CG307"/>
      <c r="CH307"/>
      <c r="CI307"/>
      <c r="CJ307"/>
      <c r="CK307" t="s">
        <v>259</v>
      </c>
      <c r="CL307"/>
      <c r="CM307">
        <v>10</v>
      </c>
      <c r="CN307" t="s">
        <v>260</v>
      </c>
      <c r="CO307"/>
      <c r="CP307">
        <v>328</v>
      </c>
      <c r="CQ307">
        <v>292</v>
      </c>
      <c r="CR307">
        <v>172.5</v>
      </c>
      <c r="CS307" t="s">
        <v>261</v>
      </c>
      <c r="CT307"/>
      <c r="CU307"/>
      <c r="CV307" t="s">
        <v>262</v>
      </c>
      <c r="CW307"/>
      <c r="CX307" t="s">
        <v>263</v>
      </c>
      <c r="CY307" t="s">
        <v>172</v>
      </c>
      <c r="CZ307"/>
      <c r="DA307"/>
      <c r="DB307"/>
      <c r="DC307"/>
      <c r="DD307">
        <v>2</v>
      </c>
      <c r="DE307" t="s">
        <v>307</v>
      </c>
      <c r="DF307" t="s">
        <v>1527</v>
      </c>
      <c r="DG307" t="s">
        <v>1531</v>
      </c>
      <c r="DH307"/>
      <c r="DI307"/>
      <c r="DJ307"/>
      <c r="DK307"/>
      <c r="DL307" t="s">
        <v>173</v>
      </c>
      <c r="DM307" t="s">
        <v>172</v>
      </c>
      <c r="DN307"/>
      <c r="DO307"/>
      <c r="DP307" t="s">
        <v>172</v>
      </c>
      <c r="DQ307" t="s">
        <v>204</v>
      </c>
      <c r="DR307" t="s">
        <v>1530</v>
      </c>
      <c r="DS307"/>
      <c r="DT307"/>
      <c r="DU307"/>
      <c r="DV307"/>
      <c r="DW307"/>
      <c r="DX307"/>
      <c r="DY307"/>
      <c r="DZ307"/>
      <c r="EA307" s="117"/>
      <c r="EB307">
        <v>9</v>
      </c>
      <c r="EC307">
        <v>10</v>
      </c>
      <c r="ED307"/>
      <c r="EE307" t="s">
        <v>1532</v>
      </c>
      <c r="EF307">
        <v>10</v>
      </c>
      <c r="EG307"/>
      <c r="EH307"/>
      <c r="EI307"/>
      <c r="EJ307"/>
      <c r="EK307"/>
      <c r="EL307"/>
      <c r="EM307"/>
      <c r="EN307"/>
      <c r="EO307"/>
      <c r="EP307"/>
      <c r="EQ307"/>
      <c r="ER307"/>
      <c r="ES307"/>
      <c r="ET307"/>
      <c r="EU307">
        <v>3500</v>
      </c>
      <c r="EV307"/>
      <c r="EW307">
        <v>0</v>
      </c>
      <c r="EX307">
        <v>0</v>
      </c>
      <c r="EY307">
        <v>0</v>
      </c>
      <c r="EZ307"/>
      <c r="FA307">
        <v>10.75</v>
      </c>
      <c r="FB307"/>
      <c r="FC307"/>
      <c r="FD307"/>
      <c r="FE307"/>
      <c r="FF307"/>
      <c r="FG307" s="94">
        <v>266</v>
      </c>
      <c r="FH307" s="94">
        <v>269</v>
      </c>
      <c r="FI307" s="94">
        <v>267</v>
      </c>
    </row>
    <row r="308" spans="1:165" s="66" customFormat="1" x14ac:dyDescent="0.35">
      <c r="A308" s="19"/>
      <c r="B308" s="19"/>
      <c r="C308" s="19"/>
      <c r="D308" s="19"/>
      <c r="E308" s="19"/>
      <c r="F308" s="128"/>
      <c r="G308" s="19"/>
      <c r="H308" s="19"/>
      <c r="I308" s="19"/>
      <c r="J308" s="19"/>
      <c r="K308" s="19" t="str">
        <f>_xlfn.CONCAT(A309," ",C309," ",D309)</f>
        <v>2026 Mercedes-Benz EQE 320+</v>
      </c>
      <c r="L308" s="19"/>
      <c r="M308" s="19"/>
      <c r="N308" s="19"/>
      <c r="O308" s="19"/>
      <c r="P308" s="19"/>
      <c r="Q308" s="19"/>
      <c r="R308" s="19"/>
      <c r="S308" s="19"/>
      <c r="T308" s="19"/>
      <c r="U308" s="19"/>
      <c r="V308" s="19"/>
      <c r="W308" s="19"/>
      <c r="X308" s="19"/>
      <c r="Y308" s="19"/>
      <c r="Z308" s="19"/>
      <c r="AA308" s="19"/>
      <c r="AB308" s="19" t="str">
        <f>$K308</f>
        <v>2026 Mercedes-Benz EQE 320+</v>
      </c>
      <c r="AC308" s="19"/>
      <c r="AD308" s="19"/>
      <c r="AE308" s="19"/>
      <c r="AF308" s="19"/>
      <c r="AG308" s="19"/>
      <c r="AH308" s="19"/>
      <c r="AI308" s="19"/>
      <c r="AJ308" s="19"/>
      <c r="AK308" s="19"/>
      <c r="AL308" s="19"/>
      <c r="AM308" s="19"/>
      <c r="AN308" s="19"/>
      <c r="AO308" s="19"/>
      <c r="AP308" s="19"/>
      <c r="AQ308" s="19"/>
      <c r="AR308" s="19" t="str">
        <f>$K308</f>
        <v>2026 Mercedes-Benz EQE 320+</v>
      </c>
      <c r="AS308" s="19"/>
      <c r="AT308" s="19"/>
      <c r="AU308" s="19"/>
      <c r="AV308" s="19"/>
      <c r="AW308" s="19"/>
      <c r="AX308" s="19"/>
      <c r="AY308" s="19"/>
      <c r="AZ308" s="19"/>
      <c r="BA308" s="19"/>
      <c r="BB308" s="19"/>
      <c r="BC308" s="19"/>
      <c r="BD308" s="19"/>
      <c r="BE308" s="19"/>
      <c r="BF308" s="19"/>
      <c r="BG308" s="19" t="str">
        <f>$K308</f>
        <v>2026 Mercedes-Benz EQE 320+</v>
      </c>
      <c r="BH308" s="19"/>
      <c r="BI308" s="19"/>
      <c r="BJ308" s="19"/>
      <c r="BK308" s="19"/>
      <c r="BL308" s="19"/>
      <c r="BM308" s="129"/>
      <c r="BN308" s="19"/>
      <c r="BO308" s="19"/>
      <c r="BP308" s="19"/>
      <c r="BQ308" s="19"/>
      <c r="BR308" s="19"/>
      <c r="BS308" s="19"/>
      <c r="BT308" s="130"/>
      <c r="BU308" s="19"/>
      <c r="BV308" s="19"/>
      <c r="BW308" s="116"/>
      <c r="BX308" s="19"/>
      <c r="BY308" s="19"/>
      <c r="BZ308" s="19"/>
      <c r="CA308" s="19"/>
      <c r="CB308" s="19"/>
      <c r="CC308" s="19"/>
      <c r="CD308" s="19"/>
      <c r="CE308" s="19"/>
      <c r="CF308" s="19"/>
      <c r="CG308" s="19"/>
      <c r="CH308" s="19"/>
      <c r="CI308" s="19"/>
      <c r="CJ308" s="19"/>
      <c r="CK308" s="19"/>
      <c r="CL308" s="19"/>
      <c r="CM308" s="19" t="str">
        <f>$K308</f>
        <v>2026 Mercedes-Benz EQE 320+</v>
      </c>
      <c r="CN308" s="19"/>
      <c r="CO308" s="19"/>
      <c r="CP308" s="19"/>
      <c r="CQ308" s="19"/>
      <c r="CR308" s="19"/>
      <c r="CS308" s="19"/>
      <c r="CT308" s="19"/>
      <c r="CU308" s="19"/>
      <c r="CV308" s="19"/>
      <c r="CW308" s="19"/>
      <c r="CX308" s="19"/>
      <c r="CY308" s="19"/>
      <c r="CZ308" s="19"/>
      <c r="DA308" s="19"/>
      <c r="DB308" s="19"/>
      <c r="DC308" s="19"/>
      <c r="DD308" s="19" t="str">
        <f>$K308</f>
        <v>2026 Mercedes-Benz EQE 320+</v>
      </c>
      <c r="DE308" s="19"/>
      <c r="DF308" s="19"/>
      <c r="DG308" s="19"/>
      <c r="DH308" s="19"/>
      <c r="DI308" s="19"/>
      <c r="DJ308" s="19"/>
      <c r="DK308" s="19"/>
      <c r="DL308" s="19"/>
      <c r="DM308" s="19"/>
      <c r="DN308" s="19"/>
      <c r="DO308" s="19"/>
      <c r="DP308" s="19"/>
      <c r="DQ308" s="19"/>
      <c r="DR308" s="19"/>
      <c r="DS308" s="19"/>
      <c r="DT308" s="19"/>
      <c r="DU308" s="19" t="str">
        <f>$K308</f>
        <v>2026 Mercedes-Benz EQE 320+</v>
      </c>
      <c r="DV308" s="19"/>
      <c r="DW308" s="19"/>
      <c r="DX308" s="19"/>
      <c r="DY308" s="19"/>
      <c r="DZ308" s="19"/>
      <c r="EA308" s="117"/>
      <c r="EB308" s="19"/>
      <c r="EC308" s="19"/>
      <c r="ED308" s="19"/>
      <c r="EE308" s="19"/>
      <c r="EF308" s="19"/>
      <c r="EG308"/>
      <c r="EH308"/>
      <c r="EI308"/>
      <c r="EJ308"/>
      <c r="EK308"/>
      <c r="EL308"/>
      <c r="EM308"/>
      <c r="EN308"/>
      <c r="EO308"/>
      <c r="EP308"/>
      <c r="EQ308"/>
      <c r="ER308"/>
      <c r="ES308"/>
      <c r="ET308"/>
      <c r="EU308"/>
      <c r="EV308"/>
      <c r="EW308"/>
      <c r="EX308" s="19" t="s">
        <v>2021</v>
      </c>
      <c r="EY308"/>
      <c r="EZ308"/>
      <c r="FA308"/>
      <c r="FB308"/>
      <c r="FC308"/>
      <c r="FD308"/>
      <c r="FE308"/>
      <c r="FF308"/>
      <c r="FG308"/>
      <c r="FH308"/>
      <c r="FI308"/>
    </row>
    <row r="309" spans="1:165" s="66" customFormat="1" x14ac:dyDescent="0.35">
      <c r="A309">
        <v>2026</v>
      </c>
      <c r="B309" t="s">
        <v>228</v>
      </c>
      <c r="C309" s="112" t="s">
        <v>228</v>
      </c>
      <c r="D309" t="s">
        <v>1528</v>
      </c>
      <c r="E309" t="s">
        <v>230</v>
      </c>
      <c r="F309">
        <v>910</v>
      </c>
      <c r="G309" s="113">
        <v>0</v>
      </c>
      <c r="H309"/>
      <c r="I309" t="s">
        <v>1391</v>
      </c>
      <c r="J309">
        <v>94</v>
      </c>
      <c r="K309">
        <v>94</v>
      </c>
      <c r="L309">
        <v>94</v>
      </c>
      <c r="M309">
        <v>135.19999999999999</v>
      </c>
      <c r="N309">
        <v>135.1</v>
      </c>
      <c r="O309">
        <v>135.155</v>
      </c>
      <c r="P309">
        <v>94</v>
      </c>
      <c r="Q309">
        <v>94</v>
      </c>
      <c r="R309">
        <v>94</v>
      </c>
      <c r="S309"/>
      <c r="T309"/>
      <c r="U309"/>
      <c r="V309" t="s">
        <v>170</v>
      </c>
      <c r="W309" t="s">
        <v>171</v>
      </c>
      <c r="X309"/>
      <c r="Y309">
        <v>1</v>
      </c>
      <c r="Z309" t="s">
        <v>173</v>
      </c>
      <c r="AA309" t="s">
        <v>173</v>
      </c>
      <c r="AB309" t="s">
        <v>174</v>
      </c>
      <c r="AC309" t="s">
        <v>175</v>
      </c>
      <c r="AD309"/>
      <c r="AE309"/>
      <c r="AF309">
        <v>308</v>
      </c>
      <c r="AG309" t="s">
        <v>1392</v>
      </c>
      <c r="AH309" t="s">
        <v>1393</v>
      </c>
      <c r="AI309" t="s">
        <v>178</v>
      </c>
      <c r="AJ309" t="s">
        <v>179</v>
      </c>
      <c r="AK309">
        <v>4</v>
      </c>
      <c r="AL309" t="s">
        <v>1394</v>
      </c>
      <c r="AM309"/>
      <c r="AN309"/>
      <c r="AO309">
        <v>101</v>
      </c>
      <c r="AP309">
        <v>11</v>
      </c>
      <c r="AQ309"/>
      <c r="AR309"/>
      <c r="AS309">
        <v>900</v>
      </c>
      <c r="AT309">
        <v>900</v>
      </c>
      <c r="AU309"/>
      <c r="AV309"/>
      <c r="AW309"/>
      <c r="AX309"/>
      <c r="AY309"/>
      <c r="AZ309"/>
      <c r="BA309"/>
      <c r="BB309"/>
      <c r="BC309"/>
      <c r="BD309"/>
      <c r="BE309"/>
      <c r="BF309"/>
      <c r="BG309"/>
      <c r="BH309"/>
      <c r="BI309"/>
      <c r="BJ309"/>
      <c r="BK309"/>
      <c r="BL309"/>
      <c r="BM309"/>
      <c r="BN309" s="114"/>
      <c r="BO309"/>
      <c r="BP309"/>
      <c r="BQ309">
        <v>5</v>
      </c>
      <c r="BR309" t="s">
        <v>460</v>
      </c>
      <c r="BS309" t="s">
        <v>182</v>
      </c>
      <c r="BT309" t="s">
        <v>1395</v>
      </c>
      <c r="BU309" s="115">
        <v>45827</v>
      </c>
      <c r="BV309">
        <v>36840</v>
      </c>
      <c r="BW309" s="116"/>
      <c r="BX309"/>
      <c r="BY309" t="s">
        <v>173</v>
      </c>
      <c r="BZ309"/>
      <c r="CA309"/>
      <c r="CB309" t="s">
        <v>173</v>
      </c>
      <c r="CC309" t="s">
        <v>173</v>
      </c>
      <c r="CD309"/>
      <c r="CE309"/>
      <c r="CF309"/>
      <c r="CG309"/>
      <c r="CH309"/>
      <c r="CI309"/>
      <c r="CJ309"/>
      <c r="CK309" t="s">
        <v>259</v>
      </c>
      <c r="CL309"/>
      <c r="CM309">
        <v>10</v>
      </c>
      <c r="CN309" t="s">
        <v>260</v>
      </c>
      <c r="CO309"/>
      <c r="CP309">
        <v>330</v>
      </c>
      <c r="CQ309">
        <v>308</v>
      </c>
      <c r="CR309">
        <v>168.6</v>
      </c>
      <c r="CS309" t="s">
        <v>261</v>
      </c>
      <c r="CT309"/>
      <c r="CU309"/>
      <c r="CV309" t="s">
        <v>262</v>
      </c>
      <c r="CW309"/>
      <c r="CX309" t="s">
        <v>263</v>
      </c>
      <c r="CY309" t="s">
        <v>172</v>
      </c>
      <c r="CZ309"/>
      <c r="DA309"/>
      <c r="DB309"/>
      <c r="DC309"/>
      <c r="DD309">
        <v>1</v>
      </c>
      <c r="DE309" t="s">
        <v>307</v>
      </c>
      <c r="DF309" t="s">
        <v>1524</v>
      </c>
      <c r="DG309">
        <v>235</v>
      </c>
      <c r="DH309"/>
      <c r="DI309"/>
      <c r="DJ309"/>
      <c r="DK309"/>
      <c r="DL309" t="s">
        <v>173</v>
      </c>
      <c r="DM309" t="s">
        <v>172</v>
      </c>
      <c r="DN309"/>
      <c r="DO309"/>
      <c r="DP309" t="s">
        <v>172</v>
      </c>
      <c r="DQ309" t="s">
        <v>204</v>
      </c>
      <c r="DR309" t="s">
        <v>1528</v>
      </c>
      <c r="DS309"/>
      <c r="DT309"/>
      <c r="DU309"/>
      <c r="DV309"/>
      <c r="DW309"/>
      <c r="DX309"/>
      <c r="DY309"/>
      <c r="DZ309"/>
      <c r="EA309" s="117"/>
      <c r="EB309">
        <v>9</v>
      </c>
      <c r="EC309">
        <v>10</v>
      </c>
      <c r="ED309"/>
      <c r="EE309" t="s">
        <v>1529</v>
      </c>
      <c r="EF309">
        <v>10</v>
      </c>
      <c r="EG309"/>
      <c r="EH309"/>
      <c r="EI309"/>
      <c r="EJ309"/>
      <c r="EK309"/>
      <c r="EL309"/>
      <c r="EM309"/>
      <c r="EN309"/>
      <c r="EO309"/>
      <c r="EP309"/>
      <c r="EQ309"/>
      <c r="ER309"/>
      <c r="ES309"/>
      <c r="ET309"/>
      <c r="EU309">
        <v>4000</v>
      </c>
      <c r="EV309"/>
      <c r="EW309">
        <v>0</v>
      </c>
      <c r="EX309">
        <v>0</v>
      </c>
      <c r="EY309">
        <v>0</v>
      </c>
      <c r="EZ309"/>
      <c r="FA309">
        <v>11.5</v>
      </c>
      <c r="FB309"/>
      <c r="FC309"/>
      <c r="FD309"/>
      <c r="FE309"/>
      <c r="FF309"/>
      <c r="FG309" s="94">
        <v>308</v>
      </c>
      <c r="FH309" s="94">
        <v>308</v>
      </c>
      <c r="FI309" s="94">
        <v>308</v>
      </c>
    </row>
    <row r="310" spans="1:165" s="66" customFormat="1" x14ac:dyDescent="0.35">
      <c r="A310">
        <v>2026</v>
      </c>
      <c r="B310" t="s">
        <v>228</v>
      </c>
      <c r="C310" s="112" t="s">
        <v>228</v>
      </c>
      <c r="D310" t="s">
        <v>1528</v>
      </c>
      <c r="E310" t="s">
        <v>230</v>
      </c>
      <c r="F310">
        <v>910</v>
      </c>
      <c r="G310" s="113">
        <v>0</v>
      </c>
      <c r="H310"/>
      <c r="I310" t="s">
        <v>1391</v>
      </c>
      <c r="J310">
        <v>36</v>
      </c>
      <c r="K310">
        <v>36</v>
      </c>
      <c r="L310">
        <v>36</v>
      </c>
      <c r="M310">
        <v>24.929400000000001</v>
      </c>
      <c r="N310">
        <v>24.948699999999999</v>
      </c>
      <c r="O310">
        <v>24.938099999999999</v>
      </c>
      <c r="P310">
        <v>35.613900000000001</v>
      </c>
      <c r="Q310">
        <v>35.640300000000003</v>
      </c>
      <c r="R310">
        <v>35.625799999999998</v>
      </c>
      <c r="S310"/>
      <c r="T310"/>
      <c r="U310"/>
      <c r="V310" t="s">
        <v>170</v>
      </c>
      <c r="W310" t="s">
        <v>171</v>
      </c>
      <c r="X310"/>
      <c r="Y310">
        <v>1</v>
      </c>
      <c r="Z310" t="s">
        <v>173</v>
      </c>
      <c r="AA310" t="s">
        <v>173</v>
      </c>
      <c r="AB310" t="s">
        <v>174</v>
      </c>
      <c r="AC310" t="s">
        <v>175</v>
      </c>
      <c r="AD310"/>
      <c r="AE310"/>
      <c r="AF310">
        <v>308</v>
      </c>
      <c r="AG310" t="s">
        <v>1392</v>
      </c>
      <c r="AH310" t="s">
        <v>1393</v>
      </c>
      <c r="AI310" t="s">
        <v>1399</v>
      </c>
      <c r="AJ310" t="s">
        <v>1400</v>
      </c>
      <c r="AK310">
        <v>4</v>
      </c>
      <c r="AL310" t="s">
        <v>1394</v>
      </c>
      <c r="AM310"/>
      <c r="AN310"/>
      <c r="AO310">
        <v>101</v>
      </c>
      <c r="AP310">
        <v>11</v>
      </c>
      <c r="AQ310"/>
      <c r="AR310"/>
      <c r="AS310">
        <v>900</v>
      </c>
      <c r="AT310">
        <v>900</v>
      </c>
      <c r="AU310"/>
      <c r="AV310"/>
      <c r="AW310"/>
      <c r="AX310"/>
      <c r="AY310"/>
      <c r="AZ310"/>
      <c r="BA310"/>
      <c r="BB310"/>
      <c r="BC310"/>
      <c r="BD310"/>
      <c r="BE310"/>
      <c r="BF310"/>
      <c r="BG310"/>
      <c r="BH310"/>
      <c r="BI310"/>
      <c r="BJ310"/>
      <c r="BK310"/>
      <c r="BL310"/>
      <c r="BM310"/>
      <c r="BN310" s="114"/>
      <c r="BO310"/>
      <c r="BP310"/>
      <c r="BQ310">
        <v>5</v>
      </c>
      <c r="BR310" t="s">
        <v>460</v>
      </c>
      <c r="BS310" t="s">
        <v>182</v>
      </c>
      <c r="BT310" t="s">
        <v>1395</v>
      </c>
      <c r="BU310" s="115">
        <v>45827</v>
      </c>
      <c r="BV310">
        <v>36840</v>
      </c>
      <c r="BW310" s="116"/>
      <c r="BX310"/>
      <c r="BY310" t="s">
        <v>173</v>
      </c>
      <c r="BZ310"/>
      <c r="CA310"/>
      <c r="CB310" t="s">
        <v>173</v>
      </c>
      <c r="CC310" t="s">
        <v>173</v>
      </c>
      <c r="CD310"/>
      <c r="CE310"/>
      <c r="CF310"/>
      <c r="CG310"/>
      <c r="CH310"/>
      <c r="CI310"/>
      <c r="CJ310"/>
      <c r="CK310" t="s">
        <v>259</v>
      </c>
      <c r="CL310"/>
      <c r="CM310">
        <v>10</v>
      </c>
      <c r="CN310" t="s">
        <v>260</v>
      </c>
      <c r="CO310"/>
      <c r="CP310">
        <v>330</v>
      </c>
      <c r="CQ310">
        <v>308</v>
      </c>
      <c r="CR310">
        <v>168.6</v>
      </c>
      <c r="CS310" t="s">
        <v>261</v>
      </c>
      <c r="CT310"/>
      <c r="CU310"/>
      <c r="CV310" t="s">
        <v>262</v>
      </c>
      <c r="CW310"/>
      <c r="CX310" t="s">
        <v>263</v>
      </c>
      <c r="CY310" t="s">
        <v>172</v>
      </c>
      <c r="CZ310"/>
      <c r="DA310"/>
      <c r="DB310"/>
      <c r="DC310"/>
      <c r="DD310">
        <v>1</v>
      </c>
      <c r="DE310" t="s">
        <v>307</v>
      </c>
      <c r="DF310" t="s">
        <v>1524</v>
      </c>
      <c r="DG310">
        <v>235</v>
      </c>
      <c r="DH310"/>
      <c r="DI310"/>
      <c r="DJ310"/>
      <c r="DK310"/>
      <c r="DL310" t="s">
        <v>173</v>
      </c>
      <c r="DM310" t="s">
        <v>172</v>
      </c>
      <c r="DN310"/>
      <c r="DO310"/>
      <c r="DP310" t="s">
        <v>172</v>
      </c>
      <c r="DQ310" t="s">
        <v>204</v>
      </c>
      <c r="DR310" t="s">
        <v>1528</v>
      </c>
      <c r="DS310"/>
      <c r="DT310"/>
      <c r="DU310"/>
      <c r="DV310"/>
      <c r="DW310"/>
      <c r="DX310"/>
      <c r="DY310"/>
      <c r="DZ310"/>
      <c r="EA310" s="117"/>
      <c r="EB310">
        <v>9</v>
      </c>
      <c r="EC310">
        <v>10</v>
      </c>
      <c r="ED310"/>
      <c r="EE310" t="s">
        <v>1529</v>
      </c>
      <c r="EF310">
        <v>10</v>
      </c>
      <c r="EG310"/>
      <c r="EH310"/>
      <c r="EI310"/>
      <c r="EJ310"/>
      <c r="EK310"/>
      <c r="EL310"/>
      <c r="EM310"/>
      <c r="EN310"/>
      <c r="EO310"/>
      <c r="EP310"/>
      <c r="EQ310"/>
      <c r="ER310"/>
      <c r="ES310"/>
      <c r="ET310"/>
      <c r="EU310">
        <v>4000</v>
      </c>
      <c r="EV310"/>
      <c r="EW310">
        <v>0</v>
      </c>
      <c r="EX310">
        <v>0</v>
      </c>
      <c r="EY310">
        <v>0</v>
      </c>
      <c r="EZ310"/>
      <c r="FA310">
        <v>11.5</v>
      </c>
      <c r="FB310"/>
      <c r="FC310"/>
      <c r="FD310"/>
      <c r="FE310"/>
      <c r="FF310"/>
      <c r="FG310" s="94">
        <v>308</v>
      </c>
      <c r="FH310" s="94">
        <v>308</v>
      </c>
      <c r="FI310" s="94">
        <v>308</v>
      </c>
    </row>
    <row r="311" spans="1:165" s="66" customFormat="1" x14ac:dyDescent="0.35">
      <c r="A311" s="19"/>
      <c r="B311" s="19"/>
      <c r="C311" s="19"/>
      <c r="D311" s="19"/>
      <c r="E311" s="19"/>
      <c r="F311" s="128"/>
      <c r="G311" s="19"/>
      <c r="H311" s="19"/>
      <c r="I311" s="19"/>
      <c r="J311" s="19"/>
      <c r="K311" s="19" t="str">
        <f>_xlfn.CONCAT(A312," ",C312," ",D312)</f>
        <v>2026 Mercedes-Benz EQS 450 4MATIC</v>
      </c>
      <c r="L311" s="19"/>
      <c r="M311" s="19"/>
      <c r="N311" s="19"/>
      <c r="O311" s="19"/>
      <c r="P311" s="19"/>
      <c r="Q311" s="19"/>
      <c r="R311" s="19"/>
      <c r="S311" s="19"/>
      <c r="T311" s="19"/>
      <c r="U311" s="19"/>
      <c r="V311" s="19"/>
      <c r="W311" s="19"/>
      <c r="X311" s="19"/>
      <c r="Y311" s="19"/>
      <c r="Z311" s="19"/>
      <c r="AA311" s="19"/>
      <c r="AB311" s="19" t="str">
        <f>$K311</f>
        <v>2026 Mercedes-Benz EQS 450 4MATIC</v>
      </c>
      <c r="AC311" s="19"/>
      <c r="AD311" s="19"/>
      <c r="AE311" s="19"/>
      <c r="AF311" s="19"/>
      <c r="AG311" s="19"/>
      <c r="AH311" s="19"/>
      <c r="AI311" s="19"/>
      <c r="AJ311" s="19"/>
      <c r="AK311" s="19"/>
      <c r="AL311" s="19"/>
      <c r="AM311" s="19"/>
      <c r="AN311" s="19"/>
      <c r="AO311" s="19"/>
      <c r="AP311" s="19"/>
      <c r="AQ311" s="19"/>
      <c r="AR311" s="19" t="str">
        <f>$K311</f>
        <v>2026 Mercedes-Benz EQS 450 4MATIC</v>
      </c>
      <c r="AS311" s="19"/>
      <c r="AT311" s="19"/>
      <c r="AU311" s="19"/>
      <c r="AV311" s="19"/>
      <c r="AW311" s="19"/>
      <c r="AX311" s="19"/>
      <c r="AY311" s="19"/>
      <c r="AZ311" s="19"/>
      <c r="BA311" s="19"/>
      <c r="BB311" s="19"/>
      <c r="BC311" s="19"/>
      <c r="BD311" s="19"/>
      <c r="BE311" s="19"/>
      <c r="BF311" s="19"/>
      <c r="BG311" s="19" t="str">
        <f>$K311</f>
        <v>2026 Mercedes-Benz EQS 450 4MATIC</v>
      </c>
      <c r="BH311" s="19"/>
      <c r="BI311" s="19"/>
      <c r="BJ311" s="19"/>
      <c r="BK311" s="19"/>
      <c r="BL311" s="19"/>
      <c r="BM311" s="129"/>
      <c r="BN311" s="19"/>
      <c r="BO311" s="19"/>
      <c r="BP311" s="19"/>
      <c r="BQ311" s="19"/>
      <c r="BR311" s="19"/>
      <c r="BS311" s="19"/>
      <c r="BT311" s="130"/>
      <c r="BU311" s="19"/>
      <c r="BV311" s="19"/>
      <c r="BW311" s="116"/>
      <c r="BX311" s="19"/>
      <c r="BY311" s="19"/>
      <c r="BZ311" s="19"/>
      <c r="CA311" s="19"/>
      <c r="CB311" s="19"/>
      <c r="CC311" s="19"/>
      <c r="CD311" s="19"/>
      <c r="CE311" s="19"/>
      <c r="CF311" s="19"/>
      <c r="CG311" s="19"/>
      <c r="CH311" s="19"/>
      <c r="CI311" s="19"/>
      <c r="CJ311" s="19"/>
      <c r="CK311" s="19"/>
      <c r="CL311" s="19"/>
      <c r="CM311" s="19" t="str">
        <f>$K311</f>
        <v>2026 Mercedes-Benz EQS 450 4MATIC</v>
      </c>
      <c r="CN311" s="19"/>
      <c r="CO311" s="19"/>
      <c r="CP311" s="19"/>
      <c r="CQ311" s="19"/>
      <c r="CR311" s="19"/>
      <c r="CS311" s="19"/>
      <c r="CT311" s="19"/>
      <c r="CU311" s="19"/>
      <c r="CV311" s="19"/>
      <c r="CW311" s="19"/>
      <c r="CX311" s="19"/>
      <c r="CY311" s="19"/>
      <c r="CZ311" s="19"/>
      <c r="DA311" s="19"/>
      <c r="DB311" s="19"/>
      <c r="DC311" s="19"/>
      <c r="DD311" s="19" t="str">
        <f>$K311</f>
        <v>2026 Mercedes-Benz EQS 450 4MATIC</v>
      </c>
      <c r="DE311" s="19"/>
      <c r="DF311" s="19"/>
      <c r="DG311" s="19"/>
      <c r="DH311" s="19"/>
      <c r="DI311" s="19"/>
      <c r="DJ311" s="19"/>
      <c r="DK311" s="19"/>
      <c r="DL311" s="19"/>
      <c r="DM311" s="19"/>
      <c r="DN311" s="19"/>
      <c r="DO311" s="19"/>
      <c r="DP311" s="19"/>
      <c r="DQ311" s="19"/>
      <c r="DR311" s="19"/>
      <c r="DS311" s="19"/>
      <c r="DT311" s="19"/>
      <c r="DU311" s="19" t="str">
        <f>$K311</f>
        <v>2026 Mercedes-Benz EQS 450 4MATIC</v>
      </c>
      <c r="DV311" s="19"/>
      <c r="DW311" s="19"/>
      <c r="DX311" s="19"/>
      <c r="DY311" s="19"/>
      <c r="DZ311" s="19"/>
      <c r="EA311" s="117"/>
      <c r="EB311" s="19"/>
      <c r="EC311" s="19"/>
      <c r="ED311" s="19"/>
      <c r="EE311" s="19"/>
      <c r="EF311" s="19"/>
      <c r="EG311"/>
      <c r="EH311"/>
      <c r="EI311"/>
      <c r="EJ311"/>
      <c r="EK311"/>
      <c r="EL311"/>
      <c r="EM311"/>
      <c r="EN311"/>
      <c r="EO311"/>
      <c r="EP311"/>
      <c r="EQ311"/>
      <c r="ER311"/>
      <c r="ES311"/>
      <c r="ET311"/>
      <c r="EU311"/>
      <c r="EV311"/>
      <c r="EW311"/>
      <c r="EX311" s="19" t="s">
        <v>2022</v>
      </c>
      <c r="EY311"/>
      <c r="EZ311"/>
      <c r="FA311"/>
      <c r="FB311"/>
      <c r="FC311"/>
      <c r="FD311"/>
      <c r="FE311"/>
      <c r="FF311"/>
      <c r="FG311"/>
      <c r="FH311"/>
      <c r="FI311"/>
    </row>
    <row r="312" spans="1:165" s="66" customFormat="1" x14ac:dyDescent="0.35">
      <c r="A312">
        <v>2026</v>
      </c>
      <c r="B312" t="s">
        <v>228</v>
      </c>
      <c r="C312" s="112" t="s">
        <v>228</v>
      </c>
      <c r="D312" t="s">
        <v>1539</v>
      </c>
      <c r="E312" t="s">
        <v>230</v>
      </c>
      <c r="F312">
        <v>905</v>
      </c>
      <c r="G312" s="113">
        <v>0</v>
      </c>
      <c r="H312"/>
      <c r="I312" t="s">
        <v>1391</v>
      </c>
      <c r="J312">
        <v>91</v>
      </c>
      <c r="K312">
        <v>93</v>
      </c>
      <c r="L312">
        <v>92</v>
      </c>
      <c r="M312">
        <v>132.6</v>
      </c>
      <c r="N312">
        <v>136.4</v>
      </c>
      <c r="O312">
        <v>134.2835</v>
      </c>
      <c r="P312">
        <v>91</v>
      </c>
      <c r="Q312">
        <v>93</v>
      </c>
      <c r="R312">
        <v>92</v>
      </c>
      <c r="S312"/>
      <c r="T312"/>
      <c r="U312"/>
      <c r="V312" t="s">
        <v>170</v>
      </c>
      <c r="W312" t="s">
        <v>171</v>
      </c>
      <c r="X312"/>
      <c r="Y312">
        <v>1</v>
      </c>
      <c r="Z312" t="s">
        <v>173</v>
      </c>
      <c r="AA312" t="s">
        <v>173</v>
      </c>
      <c r="AB312" t="s">
        <v>170</v>
      </c>
      <c r="AC312" t="s">
        <v>232</v>
      </c>
      <c r="AD312"/>
      <c r="AE312"/>
      <c r="AF312">
        <v>367</v>
      </c>
      <c r="AG312" t="s">
        <v>1392</v>
      </c>
      <c r="AH312" t="s">
        <v>1393</v>
      </c>
      <c r="AI312" t="s">
        <v>178</v>
      </c>
      <c r="AJ312" t="s">
        <v>179</v>
      </c>
      <c r="AK312">
        <v>4</v>
      </c>
      <c r="AL312" t="s">
        <v>1394</v>
      </c>
      <c r="AM312"/>
      <c r="AN312"/>
      <c r="AO312">
        <v>103</v>
      </c>
      <c r="AP312">
        <v>35</v>
      </c>
      <c r="AQ312"/>
      <c r="AR312"/>
      <c r="AS312">
        <v>950</v>
      </c>
      <c r="AT312">
        <v>950</v>
      </c>
      <c r="AU312"/>
      <c r="AV312"/>
      <c r="AW312"/>
      <c r="AX312"/>
      <c r="AY312"/>
      <c r="AZ312"/>
      <c r="BA312"/>
      <c r="BB312"/>
      <c r="BC312"/>
      <c r="BD312"/>
      <c r="BE312"/>
      <c r="BF312"/>
      <c r="BG312"/>
      <c r="BH312"/>
      <c r="BI312"/>
      <c r="BJ312"/>
      <c r="BK312"/>
      <c r="BL312"/>
      <c r="BM312"/>
      <c r="BN312" s="114"/>
      <c r="BO312"/>
      <c r="BP312"/>
      <c r="BQ312">
        <v>6</v>
      </c>
      <c r="BR312" t="s">
        <v>536</v>
      </c>
      <c r="BS312" t="s">
        <v>182</v>
      </c>
      <c r="BT312" t="s">
        <v>1395</v>
      </c>
      <c r="BU312" s="115">
        <v>45818</v>
      </c>
      <c r="BV312">
        <v>36742</v>
      </c>
      <c r="BW312" s="116"/>
      <c r="BX312"/>
      <c r="BY312" t="s">
        <v>173</v>
      </c>
      <c r="BZ312"/>
      <c r="CA312"/>
      <c r="CB312" t="s">
        <v>173</v>
      </c>
      <c r="CC312" t="s">
        <v>173</v>
      </c>
      <c r="CD312"/>
      <c r="CE312"/>
      <c r="CF312"/>
      <c r="CG312"/>
      <c r="CH312"/>
      <c r="CI312"/>
      <c r="CJ312"/>
      <c r="CK312" t="s">
        <v>259</v>
      </c>
      <c r="CL312"/>
      <c r="CM312">
        <v>12</v>
      </c>
      <c r="CN312" t="s">
        <v>260</v>
      </c>
      <c r="CO312"/>
      <c r="CP312">
        <v>396</v>
      </c>
      <c r="CQ312">
        <v>308</v>
      </c>
      <c r="CR312">
        <v>171.3</v>
      </c>
      <c r="CS312" t="s">
        <v>261</v>
      </c>
      <c r="CT312"/>
      <c r="CU312"/>
      <c r="CV312" t="s">
        <v>262</v>
      </c>
      <c r="CW312"/>
      <c r="CX312" t="s">
        <v>263</v>
      </c>
      <c r="CY312" t="s">
        <v>172</v>
      </c>
      <c r="CZ312"/>
      <c r="DA312"/>
      <c r="DB312"/>
      <c r="DC312" t="s">
        <v>1536</v>
      </c>
      <c r="DD312">
        <v>2</v>
      </c>
      <c r="DE312" t="s">
        <v>307</v>
      </c>
      <c r="DF312" t="s">
        <v>1524</v>
      </c>
      <c r="DG312" t="s">
        <v>1537</v>
      </c>
      <c r="DH312"/>
      <c r="DI312"/>
      <c r="DJ312"/>
      <c r="DK312"/>
      <c r="DL312" t="s">
        <v>173</v>
      </c>
      <c r="DM312" t="s">
        <v>172</v>
      </c>
      <c r="DN312"/>
      <c r="DO312"/>
      <c r="DP312" t="s">
        <v>172</v>
      </c>
      <c r="DQ312" t="s">
        <v>204</v>
      </c>
      <c r="DR312" t="s">
        <v>1539</v>
      </c>
      <c r="DS312"/>
      <c r="DT312"/>
      <c r="DU312"/>
      <c r="DV312"/>
      <c r="DW312"/>
      <c r="DX312"/>
      <c r="DY312"/>
      <c r="DZ312"/>
      <c r="EA312" s="117"/>
      <c r="EB312">
        <v>9</v>
      </c>
      <c r="EC312">
        <v>10</v>
      </c>
      <c r="ED312"/>
      <c r="EE312" t="s">
        <v>1538</v>
      </c>
      <c r="EF312">
        <v>10</v>
      </c>
      <c r="EG312"/>
      <c r="EH312"/>
      <c r="EI312"/>
      <c r="EJ312"/>
      <c r="EK312"/>
      <c r="EL312"/>
      <c r="EM312"/>
      <c r="EN312"/>
      <c r="EO312"/>
      <c r="EP312"/>
      <c r="EQ312"/>
      <c r="ER312"/>
      <c r="ES312"/>
      <c r="ET312"/>
      <c r="EU312">
        <v>3750</v>
      </c>
      <c r="EV312"/>
      <c r="EW312">
        <v>0</v>
      </c>
      <c r="EX312">
        <v>0</v>
      </c>
      <c r="EY312">
        <v>0</v>
      </c>
      <c r="EZ312"/>
      <c r="FA312">
        <v>12.75</v>
      </c>
      <c r="FB312"/>
      <c r="FC312"/>
      <c r="FD312"/>
      <c r="FE312"/>
      <c r="FF312"/>
      <c r="FG312" s="94">
        <v>362</v>
      </c>
      <c r="FH312" s="94">
        <v>373</v>
      </c>
      <c r="FI312" s="94">
        <v>367</v>
      </c>
    </row>
    <row r="313" spans="1:165" s="66" customFormat="1" x14ac:dyDescent="0.35">
      <c r="A313">
        <v>2026</v>
      </c>
      <c r="B313" t="s">
        <v>228</v>
      </c>
      <c r="C313" s="112" t="s">
        <v>228</v>
      </c>
      <c r="D313" t="s">
        <v>1539</v>
      </c>
      <c r="E313" t="s">
        <v>230</v>
      </c>
      <c r="F313">
        <v>905</v>
      </c>
      <c r="G313" s="113">
        <v>0</v>
      </c>
      <c r="H313"/>
      <c r="I313" t="s">
        <v>1391</v>
      </c>
      <c r="J313">
        <v>37</v>
      </c>
      <c r="K313">
        <v>36</v>
      </c>
      <c r="L313">
        <v>37</v>
      </c>
      <c r="M313">
        <v>25.422699999999999</v>
      </c>
      <c r="N313">
        <v>24.702000000000002</v>
      </c>
      <c r="O313">
        <v>25.098400000000002</v>
      </c>
      <c r="P313">
        <v>37</v>
      </c>
      <c r="Q313">
        <v>36</v>
      </c>
      <c r="R313">
        <v>37</v>
      </c>
      <c r="S313"/>
      <c r="T313"/>
      <c r="U313"/>
      <c r="V313" t="s">
        <v>170</v>
      </c>
      <c r="W313" t="s">
        <v>171</v>
      </c>
      <c r="X313"/>
      <c r="Y313">
        <v>1</v>
      </c>
      <c r="Z313" t="s">
        <v>173</v>
      </c>
      <c r="AA313" t="s">
        <v>173</v>
      </c>
      <c r="AB313" t="s">
        <v>170</v>
      </c>
      <c r="AC313" t="s">
        <v>232</v>
      </c>
      <c r="AD313"/>
      <c r="AE313"/>
      <c r="AF313">
        <v>367</v>
      </c>
      <c r="AG313" t="s">
        <v>1392</v>
      </c>
      <c r="AH313" t="s">
        <v>1393</v>
      </c>
      <c r="AI313" t="s">
        <v>1399</v>
      </c>
      <c r="AJ313" t="s">
        <v>1400</v>
      </c>
      <c r="AK313">
        <v>4</v>
      </c>
      <c r="AL313" t="s">
        <v>1394</v>
      </c>
      <c r="AM313"/>
      <c r="AN313"/>
      <c r="AO313">
        <v>103</v>
      </c>
      <c r="AP313">
        <v>35</v>
      </c>
      <c r="AQ313"/>
      <c r="AR313"/>
      <c r="AS313">
        <v>950</v>
      </c>
      <c r="AT313">
        <v>950</v>
      </c>
      <c r="AU313"/>
      <c r="AV313"/>
      <c r="AW313"/>
      <c r="AX313"/>
      <c r="AY313"/>
      <c r="AZ313"/>
      <c r="BA313"/>
      <c r="BB313"/>
      <c r="BC313"/>
      <c r="BD313"/>
      <c r="BE313"/>
      <c r="BF313"/>
      <c r="BG313"/>
      <c r="BH313"/>
      <c r="BI313"/>
      <c r="BJ313"/>
      <c r="BK313"/>
      <c r="BL313"/>
      <c r="BM313"/>
      <c r="BN313" s="114"/>
      <c r="BO313"/>
      <c r="BP313"/>
      <c r="BQ313">
        <v>6</v>
      </c>
      <c r="BR313" t="s">
        <v>536</v>
      </c>
      <c r="BS313" t="s">
        <v>182</v>
      </c>
      <c r="BT313" t="s">
        <v>1395</v>
      </c>
      <c r="BU313" s="115">
        <v>45818</v>
      </c>
      <c r="BV313">
        <v>36742</v>
      </c>
      <c r="BW313" s="116"/>
      <c r="BX313"/>
      <c r="BY313" t="s">
        <v>173</v>
      </c>
      <c r="BZ313"/>
      <c r="CA313"/>
      <c r="CB313" t="s">
        <v>173</v>
      </c>
      <c r="CC313" t="s">
        <v>173</v>
      </c>
      <c r="CD313"/>
      <c r="CE313"/>
      <c r="CF313"/>
      <c r="CG313"/>
      <c r="CH313"/>
      <c r="CI313"/>
      <c r="CJ313"/>
      <c r="CK313" t="s">
        <v>259</v>
      </c>
      <c r="CL313"/>
      <c r="CM313">
        <v>12</v>
      </c>
      <c r="CN313" t="s">
        <v>260</v>
      </c>
      <c r="CO313"/>
      <c r="CP313">
        <v>396</v>
      </c>
      <c r="CQ313">
        <v>308</v>
      </c>
      <c r="CR313">
        <v>171.3</v>
      </c>
      <c r="CS313" t="s">
        <v>261</v>
      </c>
      <c r="CT313"/>
      <c r="CU313"/>
      <c r="CV313" t="s">
        <v>262</v>
      </c>
      <c r="CW313"/>
      <c r="CX313" t="s">
        <v>263</v>
      </c>
      <c r="CY313" t="s">
        <v>172</v>
      </c>
      <c r="CZ313"/>
      <c r="DA313"/>
      <c r="DB313"/>
      <c r="DC313" t="s">
        <v>1536</v>
      </c>
      <c r="DD313">
        <v>2</v>
      </c>
      <c r="DE313" t="s">
        <v>307</v>
      </c>
      <c r="DF313" t="s">
        <v>1524</v>
      </c>
      <c r="DG313" t="s">
        <v>1537</v>
      </c>
      <c r="DH313"/>
      <c r="DI313"/>
      <c r="DJ313"/>
      <c r="DK313"/>
      <c r="DL313" t="s">
        <v>173</v>
      </c>
      <c r="DM313" t="s">
        <v>172</v>
      </c>
      <c r="DN313"/>
      <c r="DO313"/>
      <c r="DP313" t="s">
        <v>172</v>
      </c>
      <c r="DQ313" t="s">
        <v>204</v>
      </c>
      <c r="DR313" t="s">
        <v>1539</v>
      </c>
      <c r="DS313"/>
      <c r="DT313"/>
      <c r="DU313"/>
      <c r="DV313"/>
      <c r="DW313"/>
      <c r="DX313"/>
      <c r="DY313"/>
      <c r="DZ313"/>
      <c r="EA313" s="117"/>
      <c r="EB313">
        <v>9</v>
      </c>
      <c r="EC313">
        <v>10</v>
      </c>
      <c r="ED313"/>
      <c r="EE313" t="s">
        <v>1538</v>
      </c>
      <c r="EF313">
        <v>10</v>
      </c>
      <c r="EG313"/>
      <c r="EH313"/>
      <c r="EI313"/>
      <c r="EJ313"/>
      <c r="EK313"/>
      <c r="EL313"/>
      <c r="EM313"/>
      <c r="EN313"/>
      <c r="EO313"/>
      <c r="EP313"/>
      <c r="EQ313"/>
      <c r="ER313"/>
      <c r="ES313"/>
      <c r="ET313"/>
      <c r="EU313">
        <v>3750</v>
      </c>
      <c r="EV313"/>
      <c r="EW313">
        <v>0</v>
      </c>
      <c r="EX313">
        <v>0</v>
      </c>
      <c r="EY313">
        <v>0</v>
      </c>
      <c r="EZ313"/>
      <c r="FA313">
        <v>12.75</v>
      </c>
      <c r="FB313"/>
      <c r="FC313"/>
      <c r="FD313"/>
      <c r="FE313"/>
      <c r="FF313"/>
      <c r="FG313" s="94">
        <v>362</v>
      </c>
      <c r="FH313" s="94">
        <v>373</v>
      </c>
      <c r="FI313" s="94">
        <v>367</v>
      </c>
    </row>
    <row r="314" spans="1:165" s="66" customFormat="1" x14ac:dyDescent="0.35">
      <c r="A314" s="19"/>
      <c r="B314" s="19"/>
      <c r="C314" s="19"/>
      <c r="D314" s="19"/>
      <c r="E314" s="19"/>
      <c r="F314" s="128"/>
      <c r="G314" s="19"/>
      <c r="H314" s="19"/>
      <c r="I314" s="19"/>
      <c r="J314" s="19"/>
      <c r="K314" s="19" t="str">
        <f>_xlfn.CONCAT(A315," ",C315," ",D315)</f>
        <v>2026 Mercedes-Benz EQS 450+</v>
      </c>
      <c r="L314" s="19"/>
      <c r="M314" s="19"/>
      <c r="N314" s="19"/>
      <c r="O314" s="19"/>
      <c r="P314" s="19"/>
      <c r="Q314" s="19"/>
      <c r="R314" s="19"/>
      <c r="S314" s="19"/>
      <c r="T314" s="19"/>
      <c r="U314" s="19"/>
      <c r="V314" s="19"/>
      <c r="W314" s="19"/>
      <c r="X314" s="19"/>
      <c r="Y314" s="19"/>
      <c r="Z314" s="19"/>
      <c r="AA314" s="19"/>
      <c r="AB314" s="19" t="str">
        <f>$K314</f>
        <v>2026 Mercedes-Benz EQS 450+</v>
      </c>
      <c r="AC314" s="19"/>
      <c r="AD314" s="19"/>
      <c r="AE314" s="19"/>
      <c r="AF314" s="19"/>
      <c r="AG314" s="19"/>
      <c r="AH314" s="19"/>
      <c r="AI314" s="19"/>
      <c r="AJ314" s="19"/>
      <c r="AK314" s="19"/>
      <c r="AL314" s="19"/>
      <c r="AM314" s="19"/>
      <c r="AN314" s="19"/>
      <c r="AO314" s="19"/>
      <c r="AP314" s="19"/>
      <c r="AQ314" s="19"/>
      <c r="AR314" s="19" t="str">
        <f>$K314</f>
        <v>2026 Mercedes-Benz EQS 450+</v>
      </c>
      <c r="AS314" s="19"/>
      <c r="AT314" s="19"/>
      <c r="AU314" s="19"/>
      <c r="AV314" s="19"/>
      <c r="AW314" s="19"/>
      <c r="AX314" s="19"/>
      <c r="AY314" s="19"/>
      <c r="AZ314" s="19"/>
      <c r="BA314" s="19"/>
      <c r="BB314" s="19"/>
      <c r="BC314" s="19"/>
      <c r="BD314" s="19"/>
      <c r="BE314" s="19"/>
      <c r="BF314" s="19"/>
      <c r="BG314" s="19" t="str">
        <f>$K314</f>
        <v>2026 Mercedes-Benz EQS 450+</v>
      </c>
      <c r="BH314" s="19"/>
      <c r="BI314" s="19"/>
      <c r="BJ314" s="19"/>
      <c r="BK314" s="19"/>
      <c r="BL314" s="19"/>
      <c r="BM314" s="129"/>
      <c r="BN314" s="19"/>
      <c r="BO314" s="19"/>
      <c r="BP314" s="19"/>
      <c r="BQ314" s="19"/>
      <c r="BR314" s="19"/>
      <c r="BS314" s="19"/>
      <c r="BT314" s="130"/>
      <c r="BU314" s="19"/>
      <c r="BV314" s="19"/>
      <c r="BW314" s="116"/>
      <c r="BX314" s="19"/>
      <c r="BY314" s="19"/>
      <c r="BZ314" s="19"/>
      <c r="CA314" s="19"/>
      <c r="CB314" s="19"/>
      <c r="CC314" s="19"/>
      <c r="CD314" s="19"/>
      <c r="CE314" s="19"/>
      <c r="CF314" s="19"/>
      <c r="CG314" s="19"/>
      <c r="CH314" s="19"/>
      <c r="CI314" s="19"/>
      <c r="CJ314" s="19"/>
      <c r="CK314" s="19"/>
      <c r="CL314" s="19"/>
      <c r="CM314" s="19" t="str">
        <f>$K314</f>
        <v>2026 Mercedes-Benz EQS 450+</v>
      </c>
      <c r="CN314" s="19"/>
      <c r="CO314" s="19"/>
      <c r="CP314" s="19"/>
      <c r="CQ314" s="19"/>
      <c r="CR314" s="19"/>
      <c r="CS314" s="19"/>
      <c r="CT314" s="19"/>
      <c r="CU314" s="19"/>
      <c r="CV314" s="19"/>
      <c r="CW314" s="19"/>
      <c r="CX314" s="19"/>
      <c r="CY314" s="19"/>
      <c r="CZ314" s="19"/>
      <c r="DA314" s="19"/>
      <c r="DB314" s="19"/>
      <c r="DC314" s="19"/>
      <c r="DD314" s="19" t="str">
        <f>$K314</f>
        <v>2026 Mercedes-Benz EQS 450+</v>
      </c>
      <c r="DE314" s="19"/>
      <c r="DF314" s="19"/>
      <c r="DG314" s="19"/>
      <c r="DH314" s="19"/>
      <c r="DI314" s="19"/>
      <c r="DJ314" s="19"/>
      <c r="DK314" s="19"/>
      <c r="DL314" s="19"/>
      <c r="DM314" s="19"/>
      <c r="DN314" s="19"/>
      <c r="DO314" s="19"/>
      <c r="DP314" s="19"/>
      <c r="DQ314" s="19"/>
      <c r="DR314" s="19"/>
      <c r="DS314" s="19"/>
      <c r="DT314" s="19"/>
      <c r="DU314" s="19" t="str">
        <f>$K314</f>
        <v>2026 Mercedes-Benz EQS 450+</v>
      </c>
      <c r="DV314" s="19"/>
      <c r="DW314" s="19"/>
      <c r="DX314" s="19"/>
      <c r="DY314" s="19"/>
      <c r="DZ314" s="19"/>
      <c r="EA314" s="117"/>
      <c r="EB314" s="19"/>
      <c r="EC314" s="19"/>
      <c r="ED314" s="19"/>
      <c r="EE314" s="19"/>
      <c r="EF314" s="19"/>
      <c r="EG314"/>
      <c r="EH314"/>
      <c r="EI314"/>
      <c r="EJ314"/>
      <c r="EK314"/>
      <c r="EL314"/>
      <c r="EM314"/>
      <c r="EN314"/>
      <c r="EO314"/>
      <c r="EP314"/>
      <c r="EQ314"/>
      <c r="ER314"/>
      <c r="ES314"/>
      <c r="ET314"/>
      <c r="EU314"/>
      <c r="EV314"/>
      <c r="EW314"/>
      <c r="EX314" s="19" t="s">
        <v>2023</v>
      </c>
      <c r="EY314"/>
      <c r="EZ314"/>
      <c r="FA314"/>
      <c r="FB314"/>
      <c r="FC314"/>
      <c r="FD314"/>
      <c r="FE314"/>
      <c r="FF314"/>
      <c r="FG314"/>
      <c r="FH314"/>
      <c r="FI314"/>
    </row>
    <row r="315" spans="1:165" s="66" customFormat="1" x14ac:dyDescent="0.35">
      <c r="A315">
        <v>2026</v>
      </c>
      <c r="B315" t="s">
        <v>228</v>
      </c>
      <c r="C315" s="112" t="s">
        <v>228</v>
      </c>
      <c r="D315" t="s">
        <v>1533</v>
      </c>
      <c r="E315" t="s">
        <v>230</v>
      </c>
      <c r="F315">
        <v>901</v>
      </c>
      <c r="G315" s="113">
        <v>0</v>
      </c>
      <c r="H315"/>
      <c r="I315" t="s">
        <v>1391</v>
      </c>
      <c r="J315">
        <v>98</v>
      </c>
      <c r="K315">
        <v>98</v>
      </c>
      <c r="L315">
        <v>98</v>
      </c>
      <c r="M315">
        <v>141.69999999999999</v>
      </c>
      <c r="N315">
        <v>141.4</v>
      </c>
      <c r="O315">
        <v>141.56479999999999</v>
      </c>
      <c r="P315">
        <v>98</v>
      </c>
      <c r="Q315">
        <v>98</v>
      </c>
      <c r="R315">
        <v>98</v>
      </c>
      <c r="S315"/>
      <c r="T315"/>
      <c r="U315"/>
      <c r="V315" t="s">
        <v>170</v>
      </c>
      <c r="W315" t="s">
        <v>171</v>
      </c>
      <c r="X315"/>
      <c r="Y315">
        <v>1</v>
      </c>
      <c r="Z315" t="s">
        <v>173</v>
      </c>
      <c r="AA315" t="s">
        <v>173</v>
      </c>
      <c r="AB315" t="s">
        <v>174</v>
      </c>
      <c r="AC315" t="s">
        <v>175</v>
      </c>
      <c r="AD315"/>
      <c r="AE315"/>
      <c r="AF315">
        <v>390</v>
      </c>
      <c r="AG315" t="s">
        <v>1392</v>
      </c>
      <c r="AH315" t="s">
        <v>1393</v>
      </c>
      <c r="AI315" t="s">
        <v>178</v>
      </c>
      <c r="AJ315" t="s">
        <v>179</v>
      </c>
      <c r="AK315">
        <v>4</v>
      </c>
      <c r="AL315" t="s">
        <v>1394</v>
      </c>
      <c r="AM315"/>
      <c r="AN315"/>
      <c r="AO315">
        <v>103</v>
      </c>
      <c r="AP315">
        <v>35</v>
      </c>
      <c r="AQ315"/>
      <c r="AR315"/>
      <c r="AS315">
        <v>850</v>
      </c>
      <c r="AT315">
        <v>850</v>
      </c>
      <c r="AU315"/>
      <c r="AV315"/>
      <c r="AW315"/>
      <c r="AX315"/>
      <c r="AY315"/>
      <c r="AZ315"/>
      <c r="BA315"/>
      <c r="BB315"/>
      <c r="BC315"/>
      <c r="BD315"/>
      <c r="BE315"/>
      <c r="BF315"/>
      <c r="BG315"/>
      <c r="BH315"/>
      <c r="BI315"/>
      <c r="BJ315"/>
      <c r="BK315"/>
      <c r="BL315"/>
      <c r="BM315"/>
      <c r="BN315" s="114"/>
      <c r="BO315"/>
      <c r="BP315"/>
      <c r="BQ315">
        <v>6</v>
      </c>
      <c r="BR315" t="s">
        <v>536</v>
      </c>
      <c r="BS315" t="s">
        <v>182</v>
      </c>
      <c r="BT315" t="s">
        <v>1395</v>
      </c>
      <c r="BU315" s="115">
        <v>45812</v>
      </c>
      <c r="BV315">
        <v>36727</v>
      </c>
      <c r="BW315" s="116"/>
      <c r="BX315"/>
      <c r="BY315" t="s">
        <v>173</v>
      </c>
      <c r="BZ315"/>
      <c r="CA315"/>
      <c r="CB315" t="s">
        <v>173</v>
      </c>
      <c r="CC315" t="s">
        <v>173</v>
      </c>
      <c r="CD315"/>
      <c r="CE315"/>
      <c r="CF315"/>
      <c r="CG315"/>
      <c r="CH315"/>
      <c r="CI315"/>
      <c r="CJ315"/>
      <c r="CK315" t="s">
        <v>259</v>
      </c>
      <c r="CL315"/>
      <c r="CM315">
        <v>12</v>
      </c>
      <c r="CN315" t="s">
        <v>260</v>
      </c>
      <c r="CO315"/>
      <c r="CP315">
        <v>396</v>
      </c>
      <c r="CQ315">
        <v>308</v>
      </c>
      <c r="CR315">
        <v>171.3</v>
      </c>
      <c r="CS315" t="s">
        <v>261</v>
      </c>
      <c r="CT315"/>
      <c r="CU315"/>
      <c r="CV315" t="s">
        <v>262</v>
      </c>
      <c r="CW315"/>
      <c r="CX315" t="s">
        <v>263</v>
      </c>
      <c r="CY315" t="s">
        <v>172</v>
      </c>
      <c r="CZ315"/>
      <c r="DA315"/>
      <c r="DB315"/>
      <c r="DC315"/>
      <c r="DD315">
        <v>1</v>
      </c>
      <c r="DE315" t="s">
        <v>307</v>
      </c>
      <c r="DF315" t="s">
        <v>1524</v>
      </c>
      <c r="DG315">
        <v>265</v>
      </c>
      <c r="DH315"/>
      <c r="DI315"/>
      <c r="DJ315"/>
      <c r="DK315"/>
      <c r="DL315" t="s">
        <v>173</v>
      </c>
      <c r="DM315" t="s">
        <v>172</v>
      </c>
      <c r="DN315"/>
      <c r="DO315"/>
      <c r="DP315" t="s">
        <v>172</v>
      </c>
      <c r="DQ315" t="s">
        <v>204</v>
      </c>
      <c r="DR315" t="s">
        <v>1533</v>
      </c>
      <c r="DS315"/>
      <c r="DT315"/>
      <c r="DU315"/>
      <c r="DV315"/>
      <c r="DW315"/>
      <c r="DX315"/>
      <c r="DY315"/>
      <c r="DZ315"/>
      <c r="EA315" s="117"/>
      <c r="EB315">
        <v>9</v>
      </c>
      <c r="EC315">
        <v>10</v>
      </c>
      <c r="ED315"/>
      <c r="EE315" t="s">
        <v>1534</v>
      </c>
      <c r="EF315">
        <v>10</v>
      </c>
      <c r="EG315"/>
      <c r="EH315"/>
      <c r="EI315"/>
      <c r="EJ315"/>
      <c r="EK315"/>
      <c r="EL315"/>
      <c r="EM315"/>
      <c r="EN315"/>
      <c r="EO315"/>
      <c r="EP315"/>
      <c r="EQ315"/>
      <c r="ER315"/>
      <c r="ES315"/>
      <c r="ET315"/>
      <c r="EU315">
        <v>4250</v>
      </c>
      <c r="EV315"/>
      <c r="EW315">
        <v>0</v>
      </c>
      <c r="EX315">
        <v>0</v>
      </c>
      <c r="EY315">
        <v>0</v>
      </c>
      <c r="EZ315"/>
      <c r="FA315">
        <v>14</v>
      </c>
      <c r="FB315"/>
      <c r="FC315"/>
      <c r="FD315"/>
      <c r="FE315"/>
      <c r="FF315"/>
      <c r="FG315" s="94">
        <v>390</v>
      </c>
      <c r="FH315" s="94">
        <v>390</v>
      </c>
      <c r="FI315" s="94">
        <v>390</v>
      </c>
    </row>
    <row r="316" spans="1:165" s="66" customFormat="1" x14ac:dyDescent="0.35">
      <c r="A316">
        <v>2026</v>
      </c>
      <c r="B316" t="s">
        <v>228</v>
      </c>
      <c r="C316" s="112" t="s">
        <v>228</v>
      </c>
      <c r="D316" t="s">
        <v>1533</v>
      </c>
      <c r="E316" t="s">
        <v>230</v>
      </c>
      <c r="F316">
        <v>901</v>
      </c>
      <c r="G316" s="113">
        <v>0</v>
      </c>
      <c r="H316"/>
      <c r="I316" t="s">
        <v>1391</v>
      </c>
      <c r="J316">
        <v>34</v>
      </c>
      <c r="K316">
        <v>34</v>
      </c>
      <c r="L316">
        <v>34</v>
      </c>
      <c r="M316">
        <v>23.780899999999999</v>
      </c>
      <c r="N316">
        <v>23.834299999999999</v>
      </c>
      <c r="O316">
        <v>23.8049</v>
      </c>
      <c r="P316">
        <v>33.980200000000004</v>
      </c>
      <c r="Q316">
        <v>34.052300000000002</v>
      </c>
      <c r="R316">
        <v>34.012700000000002</v>
      </c>
      <c r="S316"/>
      <c r="T316"/>
      <c r="U316"/>
      <c r="V316" t="s">
        <v>170</v>
      </c>
      <c r="W316" t="s">
        <v>171</v>
      </c>
      <c r="X316"/>
      <c r="Y316">
        <v>1</v>
      </c>
      <c r="Z316" t="s">
        <v>173</v>
      </c>
      <c r="AA316" t="s">
        <v>173</v>
      </c>
      <c r="AB316" t="s">
        <v>174</v>
      </c>
      <c r="AC316" t="s">
        <v>175</v>
      </c>
      <c r="AD316"/>
      <c r="AE316"/>
      <c r="AF316">
        <v>390</v>
      </c>
      <c r="AG316" t="s">
        <v>1392</v>
      </c>
      <c r="AH316" t="s">
        <v>1393</v>
      </c>
      <c r="AI316" t="s">
        <v>1399</v>
      </c>
      <c r="AJ316" t="s">
        <v>1400</v>
      </c>
      <c r="AK316">
        <v>4</v>
      </c>
      <c r="AL316" t="s">
        <v>1394</v>
      </c>
      <c r="AM316"/>
      <c r="AN316"/>
      <c r="AO316">
        <v>103</v>
      </c>
      <c r="AP316">
        <v>35</v>
      </c>
      <c r="AQ316"/>
      <c r="AR316"/>
      <c r="AS316">
        <v>850</v>
      </c>
      <c r="AT316">
        <v>850</v>
      </c>
      <c r="AU316"/>
      <c r="AV316"/>
      <c r="AW316"/>
      <c r="AX316"/>
      <c r="AY316"/>
      <c r="AZ316"/>
      <c r="BA316"/>
      <c r="BB316"/>
      <c r="BC316"/>
      <c r="BD316"/>
      <c r="BE316"/>
      <c r="BF316"/>
      <c r="BG316"/>
      <c r="BH316"/>
      <c r="BI316"/>
      <c r="BJ316"/>
      <c r="BK316"/>
      <c r="BL316"/>
      <c r="BM316"/>
      <c r="BN316" s="114"/>
      <c r="BO316"/>
      <c r="BP316"/>
      <c r="BQ316">
        <v>6</v>
      </c>
      <c r="BR316" t="s">
        <v>536</v>
      </c>
      <c r="BS316" t="s">
        <v>182</v>
      </c>
      <c r="BT316" t="s">
        <v>1395</v>
      </c>
      <c r="BU316" s="115">
        <v>45812</v>
      </c>
      <c r="BV316">
        <v>36727</v>
      </c>
      <c r="BW316" s="116"/>
      <c r="BX316"/>
      <c r="BY316" t="s">
        <v>173</v>
      </c>
      <c r="BZ316"/>
      <c r="CA316"/>
      <c r="CB316" t="s">
        <v>173</v>
      </c>
      <c r="CC316" t="s">
        <v>173</v>
      </c>
      <c r="CD316"/>
      <c r="CE316"/>
      <c r="CF316"/>
      <c r="CG316"/>
      <c r="CH316"/>
      <c r="CI316"/>
      <c r="CJ316"/>
      <c r="CK316" t="s">
        <v>259</v>
      </c>
      <c r="CL316"/>
      <c r="CM316">
        <v>12</v>
      </c>
      <c r="CN316" t="s">
        <v>260</v>
      </c>
      <c r="CO316"/>
      <c r="CP316">
        <v>396</v>
      </c>
      <c r="CQ316">
        <v>308</v>
      </c>
      <c r="CR316">
        <v>171.3</v>
      </c>
      <c r="CS316" t="s">
        <v>261</v>
      </c>
      <c r="CT316"/>
      <c r="CU316"/>
      <c r="CV316" t="s">
        <v>262</v>
      </c>
      <c r="CW316"/>
      <c r="CX316" t="s">
        <v>263</v>
      </c>
      <c r="CY316" t="s">
        <v>172</v>
      </c>
      <c r="CZ316"/>
      <c r="DA316"/>
      <c r="DB316"/>
      <c r="DC316"/>
      <c r="DD316">
        <v>1</v>
      </c>
      <c r="DE316" t="s">
        <v>307</v>
      </c>
      <c r="DF316" t="s">
        <v>1524</v>
      </c>
      <c r="DG316">
        <v>265</v>
      </c>
      <c r="DH316"/>
      <c r="DI316"/>
      <c r="DJ316"/>
      <c r="DK316"/>
      <c r="DL316" t="s">
        <v>173</v>
      </c>
      <c r="DM316" t="s">
        <v>172</v>
      </c>
      <c r="DN316"/>
      <c r="DO316"/>
      <c r="DP316" t="s">
        <v>172</v>
      </c>
      <c r="DQ316" t="s">
        <v>204</v>
      </c>
      <c r="DR316" t="s">
        <v>1533</v>
      </c>
      <c r="DS316"/>
      <c r="DT316"/>
      <c r="DU316"/>
      <c r="DV316"/>
      <c r="DW316"/>
      <c r="DX316"/>
      <c r="DY316"/>
      <c r="DZ316"/>
      <c r="EA316" s="117"/>
      <c r="EB316">
        <v>9</v>
      </c>
      <c r="EC316">
        <v>10</v>
      </c>
      <c r="ED316"/>
      <c r="EE316" t="s">
        <v>1534</v>
      </c>
      <c r="EF316">
        <v>10</v>
      </c>
      <c r="EG316"/>
      <c r="EH316"/>
      <c r="EI316"/>
      <c r="EJ316"/>
      <c r="EK316"/>
      <c r="EL316"/>
      <c r="EM316"/>
      <c r="EN316"/>
      <c r="EO316"/>
      <c r="EP316"/>
      <c r="EQ316"/>
      <c r="ER316"/>
      <c r="ES316"/>
      <c r="ET316"/>
      <c r="EU316">
        <v>4250</v>
      </c>
      <c r="EV316"/>
      <c r="EW316">
        <v>0</v>
      </c>
      <c r="EX316">
        <v>0</v>
      </c>
      <c r="EY316">
        <v>0</v>
      </c>
      <c r="EZ316"/>
      <c r="FA316">
        <v>14</v>
      </c>
      <c r="FB316"/>
      <c r="FC316"/>
      <c r="FD316"/>
      <c r="FE316"/>
      <c r="FF316"/>
      <c r="FG316" s="94">
        <v>390</v>
      </c>
      <c r="FH316" s="94">
        <v>390</v>
      </c>
      <c r="FI316" s="94">
        <v>390</v>
      </c>
    </row>
    <row r="317" spans="1:165" s="66" customFormat="1" x14ac:dyDescent="0.35">
      <c r="A317" s="19"/>
      <c r="B317" s="19"/>
      <c r="C317" s="19"/>
      <c r="D317" s="19"/>
      <c r="E317" s="19"/>
      <c r="F317" s="128"/>
      <c r="G317" s="19"/>
      <c r="H317" s="19"/>
      <c r="I317" s="19"/>
      <c r="J317" s="19"/>
      <c r="K317" s="19" t="str">
        <f>_xlfn.CONCAT(A318," ",C318," ",D318)</f>
        <v>2026 Mercedes-Benz EQS 580 4MATIC</v>
      </c>
      <c r="L317" s="19"/>
      <c r="M317" s="19"/>
      <c r="N317" s="19"/>
      <c r="O317" s="19"/>
      <c r="P317" s="19"/>
      <c r="Q317" s="19"/>
      <c r="R317" s="19"/>
      <c r="S317" s="19"/>
      <c r="T317" s="19"/>
      <c r="U317" s="19"/>
      <c r="V317" s="19"/>
      <c r="W317" s="19"/>
      <c r="X317" s="19"/>
      <c r="Y317" s="19"/>
      <c r="Z317" s="19"/>
      <c r="AA317" s="19"/>
      <c r="AB317" s="19" t="str">
        <f>$K317</f>
        <v>2026 Mercedes-Benz EQS 580 4MATIC</v>
      </c>
      <c r="AC317" s="19"/>
      <c r="AD317" s="19"/>
      <c r="AE317" s="19"/>
      <c r="AF317" s="19"/>
      <c r="AG317" s="19"/>
      <c r="AH317" s="19"/>
      <c r="AI317" s="19"/>
      <c r="AJ317" s="19"/>
      <c r="AK317" s="19"/>
      <c r="AL317" s="19"/>
      <c r="AM317" s="19"/>
      <c r="AN317" s="19"/>
      <c r="AO317" s="19"/>
      <c r="AP317" s="19"/>
      <c r="AQ317" s="19"/>
      <c r="AR317" s="19" t="str">
        <f>$K317</f>
        <v>2026 Mercedes-Benz EQS 580 4MATIC</v>
      </c>
      <c r="AS317" s="19"/>
      <c r="AT317" s="19"/>
      <c r="AU317" s="19"/>
      <c r="AV317" s="19"/>
      <c r="AW317" s="19"/>
      <c r="AX317" s="19"/>
      <c r="AY317" s="19"/>
      <c r="AZ317" s="19"/>
      <c r="BA317" s="19"/>
      <c r="BB317" s="19"/>
      <c r="BC317" s="19"/>
      <c r="BD317" s="19"/>
      <c r="BE317" s="19"/>
      <c r="BF317" s="19"/>
      <c r="BG317" s="19" t="str">
        <f>$K317</f>
        <v>2026 Mercedes-Benz EQS 580 4MATIC</v>
      </c>
      <c r="BH317" s="19"/>
      <c r="BI317" s="19"/>
      <c r="BJ317" s="19"/>
      <c r="BK317" s="19"/>
      <c r="BL317" s="19"/>
      <c r="BM317" s="129"/>
      <c r="BN317" s="19"/>
      <c r="BO317" s="19"/>
      <c r="BP317" s="19"/>
      <c r="BQ317" s="19"/>
      <c r="BR317" s="19"/>
      <c r="BS317" s="19"/>
      <c r="BT317" s="130"/>
      <c r="BU317" s="19"/>
      <c r="BV317" s="19"/>
      <c r="BW317" s="116"/>
      <c r="BX317" s="19"/>
      <c r="BY317" s="19"/>
      <c r="BZ317" s="19"/>
      <c r="CA317" s="19"/>
      <c r="CB317" s="19"/>
      <c r="CC317" s="19"/>
      <c r="CD317" s="19"/>
      <c r="CE317" s="19"/>
      <c r="CF317" s="19"/>
      <c r="CG317" s="19"/>
      <c r="CH317" s="19"/>
      <c r="CI317" s="19"/>
      <c r="CJ317" s="19"/>
      <c r="CK317" s="19"/>
      <c r="CL317" s="19"/>
      <c r="CM317" s="19" t="str">
        <f>$K317</f>
        <v>2026 Mercedes-Benz EQS 580 4MATIC</v>
      </c>
      <c r="CN317" s="19"/>
      <c r="CO317" s="19"/>
      <c r="CP317" s="19"/>
      <c r="CQ317" s="19"/>
      <c r="CR317" s="19"/>
      <c r="CS317" s="19"/>
      <c r="CT317" s="19"/>
      <c r="CU317" s="19"/>
      <c r="CV317" s="19"/>
      <c r="CW317" s="19"/>
      <c r="CX317" s="19"/>
      <c r="CY317" s="19"/>
      <c r="CZ317" s="19"/>
      <c r="DA317" s="19"/>
      <c r="DB317" s="19"/>
      <c r="DC317" s="19"/>
      <c r="DD317" s="19" t="str">
        <f>$K317</f>
        <v>2026 Mercedes-Benz EQS 580 4MATIC</v>
      </c>
      <c r="DE317" s="19"/>
      <c r="DF317" s="19"/>
      <c r="DG317" s="19"/>
      <c r="DH317" s="19"/>
      <c r="DI317" s="19"/>
      <c r="DJ317" s="19"/>
      <c r="DK317" s="19"/>
      <c r="DL317" s="19"/>
      <c r="DM317" s="19"/>
      <c r="DN317" s="19"/>
      <c r="DO317" s="19"/>
      <c r="DP317" s="19"/>
      <c r="DQ317" s="19"/>
      <c r="DR317" s="19"/>
      <c r="DS317" s="19"/>
      <c r="DT317" s="19"/>
      <c r="DU317" s="19" t="str">
        <f>$K317</f>
        <v>2026 Mercedes-Benz EQS 580 4MATIC</v>
      </c>
      <c r="DV317" s="19"/>
      <c r="DW317" s="19"/>
      <c r="DX317" s="19"/>
      <c r="DY317" s="19"/>
      <c r="DZ317" s="19"/>
      <c r="EA317" s="117"/>
      <c r="EB317" s="19"/>
      <c r="EC317" s="19"/>
      <c r="ED317" s="19"/>
      <c r="EE317" s="19"/>
      <c r="EF317" s="19"/>
      <c r="EG317"/>
      <c r="EH317"/>
      <c r="EI317"/>
      <c r="EJ317"/>
      <c r="EK317"/>
      <c r="EL317"/>
      <c r="EM317"/>
      <c r="EN317"/>
      <c r="EO317"/>
      <c r="EP317"/>
      <c r="EQ317"/>
      <c r="ER317"/>
      <c r="ES317"/>
      <c r="ET317"/>
      <c r="EU317"/>
      <c r="EV317"/>
      <c r="EW317"/>
      <c r="EX317" s="19" t="s">
        <v>2024</v>
      </c>
      <c r="EY317"/>
      <c r="EZ317"/>
      <c r="FA317"/>
      <c r="FB317"/>
      <c r="FC317"/>
      <c r="FD317"/>
      <c r="FE317"/>
      <c r="FF317"/>
      <c r="FG317"/>
      <c r="FH317"/>
      <c r="FI317"/>
    </row>
    <row r="318" spans="1:165" s="66" customFormat="1" x14ac:dyDescent="0.35">
      <c r="A318">
        <v>2026</v>
      </c>
      <c r="B318" t="s">
        <v>228</v>
      </c>
      <c r="C318" s="112" t="s">
        <v>228</v>
      </c>
      <c r="D318" t="s">
        <v>1535</v>
      </c>
      <c r="E318" t="s">
        <v>230</v>
      </c>
      <c r="F318">
        <v>902</v>
      </c>
      <c r="G318" s="113">
        <v>0</v>
      </c>
      <c r="H318"/>
      <c r="I318" t="s">
        <v>1391</v>
      </c>
      <c r="J318">
        <v>93</v>
      </c>
      <c r="K318">
        <v>93</v>
      </c>
      <c r="L318">
        <v>93</v>
      </c>
      <c r="M318">
        <v>134.9</v>
      </c>
      <c r="N318">
        <v>135.5</v>
      </c>
      <c r="O318">
        <v>135.16929999999999</v>
      </c>
      <c r="P318">
        <v>93</v>
      </c>
      <c r="Q318">
        <v>93</v>
      </c>
      <c r="R318">
        <v>93</v>
      </c>
      <c r="S318"/>
      <c r="T318"/>
      <c r="U318"/>
      <c r="V318" t="s">
        <v>170</v>
      </c>
      <c r="W318" t="s">
        <v>171</v>
      </c>
      <c r="X318"/>
      <c r="Y318">
        <v>1</v>
      </c>
      <c r="Z318" t="s">
        <v>173</v>
      </c>
      <c r="AA318" t="s">
        <v>173</v>
      </c>
      <c r="AB318" t="s">
        <v>170</v>
      </c>
      <c r="AC318" t="s">
        <v>232</v>
      </c>
      <c r="AD318"/>
      <c r="AE318"/>
      <c r="AF318">
        <v>371</v>
      </c>
      <c r="AG318" t="s">
        <v>1392</v>
      </c>
      <c r="AH318" t="s">
        <v>1393</v>
      </c>
      <c r="AI318" t="s">
        <v>178</v>
      </c>
      <c r="AJ318" t="s">
        <v>179</v>
      </c>
      <c r="AK318">
        <v>4</v>
      </c>
      <c r="AL318" t="s">
        <v>1394</v>
      </c>
      <c r="AM318"/>
      <c r="AN318"/>
      <c r="AO318">
        <v>103</v>
      </c>
      <c r="AP318">
        <v>35</v>
      </c>
      <c r="AQ318"/>
      <c r="AR318"/>
      <c r="AS318">
        <v>900</v>
      </c>
      <c r="AT318">
        <v>900</v>
      </c>
      <c r="AU318"/>
      <c r="AV318"/>
      <c r="AW318"/>
      <c r="AX318"/>
      <c r="AY318"/>
      <c r="AZ318"/>
      <c r="BA318"/>
      <c r="BB318"/>
      <c r="BC318"/>
      <c r="BD318"/>
      <c r="BE318"/>
      <c r="BF318"/>
      <c r="BG318"/>
      <c r="BH318"/>
      <c r="BI318"/>
      <c r="BJ318"/>
      <c r="BK318"/>
      <c r="BL318"/>
      <c r="BM318"/>
      <c r="BN318" s="114"/>
      <c r="BO318"/>
      <c r="BP318"/>
      <c r="BQ318">
        <v>6</v>
      </c>
      <c r="BR318" t="s">
        <v>536</v>
      </c>
      <c r="BS318" t="s">
        <v>182</v>
      </c>
      <c r="BT318" t="s">
        <v>1395</v>
      </c>
      <c r="BU318" s="115">
        <v>45818</v>
      </c>
      <c r="BV318">
        <v>36745</v>
      </c>
      <c r="BW318" s="116"/>
      <c r="BX318"/>
      <c r="BY318" t="s">
        <v>173</v>
      </c>
      <c r="BZ318"/>
      <c r="CA318"/>
      <c r="CB318" t="s">
        <v>173</v>
      </c>
      <c r="CC318" t="s">
        <v>173</v>
      </c>
      <c r="CD318"/>
      <c r="CE318"/>
      <c r="CF318"/>
      <c r="CG318"/>
      <c r="CH318"/>
      <c r="CI318"/>
      <c r="CJ318"/>
      <c r="CK318" t="s">
        <v>259</v>
      </c>
      <c r="CL318"/>
      <c r="CM318">
        <v>12</v>
      </c>
      <c r="CN318" t="s">
        <v>260</v>
      </c>
      <c r="CO318"/>
      <c r="CP318">
        <v>396</v>
      </c>
      <c r="CQ318">
        <v>308</v>
      </c>
      <c r="CR318">
        <v>171.3</v>
      </c>
      <c r="CS318" t="s">
        <v>261</v>
      </c>
      <c r="CT318"/>
      <c r="CU318"/>
      <c r="CV318" t="s">
        <v>262</v>
      </c>
      <c r="CW318"/>
      <c r="CX318" t="s">
        <v>263</v>
      </c>
      <c r="CY318" t="s">
        <v>172</v>
      </c>
      <c r="CZ318"/>
      <c r="DA318"/>
      <c r="DB318"/>
      <c r="DC318" t="s">
        <v>1536</v>
      </c>
      <c r="DD318">
        <v>2</v>
      </c>
      <c r="DE318" t="s">
        <v>307</v>
      </c>
      <c r="DF318" t="s">
        <v>1527</v>
      </c>
      <c r="DG318" t="s">
        <v>1537</v>
      </c>
      <c r="DH318"/>
      <c r="DI318"/>
      <c r="DJ318"/>
      <c r="DK318"/>
      <c r="DL318" t="s">
        <v>173</v>
      </c>
      <c r="DM318" t="s">
        <v>172</v>
      </c>
      <c r="DN318"/>
      <c r="DO318"/>
      <c r="DP318" t="s">
        <v>172</v>
      </c>
      <c r="DQ318" t="s">
        <v>204</v>
      </c>
      <c r="DR318" t="s">
        <v>1535</v>
      </c>
      <c r="DS318"/>
      <c r="DT318"/>
      <c r="DU318"/>
      <c r="DV318"/>
      <c r="DW318"/>
      <c r="DX318"/>
      <c r="DY318"/>
      <c r="DZ318"/>
      <c r="EA318" s="117"/>
      <c r="EB318">
        <v>9</v>
      </c>
      <c r="EC318">
        <v>10</v>
      </c>
      <c r="ED318"/>
      <c r="EE318" t="s">
        <v>1538</v>
      </c>
      <c r="EF318">
        <v>10</v>
      </c>
      <c r="EG318"/>
      <c r="EH318"/>
      <c r="EI318"/>
      <c r="EJ318"/>
      <c r="EK318"/>
      <c r="EL318"/>
      <c r="EM318"/>
      <c r="EN318"/>
      <c r="EO318"/>
      <c r="EP318"/>
      <c r="EQ318"/>
      <c r="ER318"/>
      <c r="ES318"/>
      <c r="ET318"/>
      <c r="EU318">
        <v>4000</v>
      </c>
      <c r="EV318"/>
      <c r="EW318">
        <v>0</v>
      </c>
      <c r="EX318">
        <v>0</v>
      </c>
      <c r="EY318">
        <v>0</v>
      </c>
      <c r="EZ318"/>
      <c r="FA318">
        <v>11.5</v>
      </c>
      <c r="FB318"/>
      <c r="FC318"/>
      <c r="FD318"/>
      <c r="FE318"/>
      <c r="FF318"/>
      <c r="FG318" s="94">
        <v>370</v>
      </c>
      <c r="FH318" s="94">
        <v>372</v>
      </c>
      <c r="FI318" s="94">
        <v>371</v>
      </c>
    </row>
    <row r="319" spans="1:165" s="66" customFormat="1" x14ac:dyDescent="0.35">
      <c r="A319">
        <v>2026</v>
      </c>
      <c r="B319" t="s">
        <v>228</v>
      </c>
      <c r="C319" s="112" t="s">
        <v>228</v>
      </c>
      <c r="D319" t="s">
        <v>1535</v>
      </c>
      <c r="E319" t="s">
        <v>230</v>
      </c>
      <c r="F319">
        <v>902</v>
      </c>
      <c r="G319" s="113">
        <v>0</v>
      </c>
      <c r="H319"/>
      <c r="I319" t="s">
        <v>1391</v>
      </c>
      <c r="J319">
        <v>36</v>
      </c>
      <c r="K319">
        <v>36</v>
      </c>
      <c r="L319">
        <v>36</v>
      </c>
      <c r="M319">
        <v>24.984500000000001</v>
      </c>
      <c r="N319">
        <v>24.8796</v>
      </c>
      <c r="O319">
        <v>24.9373</v>
      </c>
      <c r="P319">
        <v>35.693100000000001</v>
      </c>
      <c r="Q319">
        <v>35.5351</v>
      </c>
      <c r="R319">
        <v>35.622</v>
      </c>
      <c r="S319"/>
      <c r="T319"/>
      <c r="U319"/>
      <c r="V319" t="s">
        <v>170</v>
      </c>
      <c r="W319" t="s">
        <v>171</v>
      </c>
      <c r="X319"/>
      <c r="Y319">
        <v>1</v>
      </c>
      <c r="Z319" t="s">
        <v>173</v>
      </c>
      <c r="AA319" t="s">
        <v>173</v>
      </c>
      <c r="AB319" t="s">
        <v>170</v>
      </c>
      <c r="AC319" t="s">
        <v>232</v>
      </c>
      <c r="AD319"/>
      <c r="AE319"/>
      <c r="AF319">
        <v>371</v>
      </c>
      <c r="AG319" t="s">
        <v>1392</v>
      </c>
      <c r="AH319" t="s">
        <v>1393</v>
      </c>
      <c r="AI319" t="s">
        <v>1399</v>
      </c>
      <c r="AJ319" t="s">
        <v>1400</v>
      </c>
      <c r="AK319">
        <v>4</v>
      </c>
      <c r="AL319" t="s">
        <v>1394</v>
      </c>
      <c r="AM319"/>
      <c r="AN319"/>
      <c r="AO319">
        <v>103</v>
      </c>
      <c r="AP319">
        <v>35</v>
      </c>
      <c r="AQ319"/>
      <c r="AR319"/>
      <c r="AS319">
        <v>900</v>
      </c>
      <c r="AT319">
        <v>900</v>
      </c>
      <c r="AU319"/>
      <c r="AV319"/>
      <c r="AW319"/>
      <c r="AX319"/>
      <c r="AY319"/>
      <c r="AZ319"/>
      <c r="BA319"/>
      <c r="BB319"/>
      <c r="BC319"/>
      <c r="BD319"/>
      <c r="BE319"/>
      <c r="BF319"/>
      <c r="BG319"/>
      <c r="BH319"/>
      <c r="BI319"/>
      <c r="BJ319"/>
      <c r="BK319"/>
      <c r="BL319"/>
      <c r="BM319"/>
      <c r="BN319" s="114"/>
      <c r="BO319"/>
      <c r="BP319"/>
      <c r="BQ319">
        <v>6</v>
      </c>
      <c r="BR319" t="s">
        <v>536</v>
      </c>
      <c r="BS319" t="s">
        <v>182</v>
      </c>
      <c r="BT319" t="s">
        <v>1395</v>
      </c>
      <c r="BU319" s="115">
        <v>45818</v>
      </c>
      <c r="BV319">
        <v>36745</v>
      </c>
      <c r="BW319" s="116"/>
      <c r="BX319"/>
      <c r="BY319" t="s">
        <v>173</v>
      </c>
      <c r="BZ319"/>
      <c r="CA319"/>
      <c r="CB319" t="s">
        <v>173</v>
      </c>
      <c r="CC319" t="s">
        <v>173</v>
      </c>
      <c r="CD319"/>
      <c r="CE319"/>
      <c r="CF319"/>
      <c r="CG319"/>
      <c r="CH319"/>
      <c r="CI319"/>
      <c r="CJ319"/>
      <c r="CK319" t="s">
        <v>259</v>
      </c>
      <c r="CL319"/>
      <c r="CM319">
        <v>12</v>
      </c>
      <c r="CN319" t="s">
        <v>260</v>
      </c>
      <c r="CO319"/>
      <c r="CP319">
        <v>396</v>
      </c>
      <c r="CQ319">
        <v>308</v>
      </c>
      <c r="CR319">
        <v>171.3</v>
      </c>
      <c r="CS319" t="s">
        <v>261</v>
      </c>
      <c r="CT319"/>
      <c r="CU319"/>
      <c r="CV319" t="s">
        <v>262</v>
      </c>
      <c r="CW319"/>
      <c r="CX319" t="s">
        <v>263</v>
      </c>
      <c r="CY319" t="s">
        <v>172</v>
      </c>
      <c r="CZ319"/>
      <c r="DA319"/>
      <c r="DB319"/>
      <c r="DC319" t="s">
        <v>1536</v>
      </c>
      <c r="DD319">
        <v>2</v>
      </c>
      <c r="DE319" t="s">
        <v>307</v>
      </c>
      <c r="DF319" t="s">
        <v>1524</v>
      </c>
      <c r="DG319" t="s">
        <v>1537</v>
      </c>
      <c r="DH319"/>
      <c r="DI319"/>
      <c r="DJ319"/>
      <c r="DK319"/>
      <c r="DL319" t="s">
        <v>173</v>
      </c>
      <c r="DM319" t="s">
        <v>172</v>
      </c>
      <c r="DN319"/>
      <c r="DO319"/>
      <c r="DP319" t="s">
        <v>172</v>
      </c>
      <c r="DQ319" t="s">
        <v>204</v>
      </c>
      <c r="DR319" t="s">
        <v>1535</v>
      </c>
      <c r="DS319"/>
      <c r="DT319"/>
      <c r="DU319"/>
      <c r="DV319"/>
      <c r="DW319"/>
      <c r="DX319"/>
      <c r="DY319"/>
      <c r="DZ319"/>
      <c r="EA319" s="117"/>
      <c r="EB319">
        <v>9</v>
      </c>
      <c r="EC319">
        <v>10</v>
      </c>
      <c r="ED319"/>
      <c r="EE319" t="s">
        <v>1538</v>
      </c>
      <c r="EF319">
        <v>10</v>
      </c>
      <c r="EG319"/>
      <c r="EH319"/>
      <c r="EI319"/>
      <c r="EJ319"/>
      <c r="EK319"/>
      <c r="EL319"/>
      <c r="EM319"/>
      <c r="EN319"/>
      <c r="EO319"/>
      <c r="EP319"/>
      <c r="EQ319"/>
      <c r="ER319"/>
      <c r="ES319"/>
      <c r="ET319"/>
      <c r="EU319">
        <v>4000</v>
      </c>
      <c r="EV319"/>
      <c r="EW319">
        <v>0</v>
      </c>
      <c r="EX319">
        <v>0</v>
      </c>
      <c r="EY319">
        <v>0</v>
      </c>
      <c r="EZ319"/>
      <c r="FA319">
        <v>11.5</v>
      </c>
      <c r="FB319"/>
      <c r="FC319"/>
      <c r="FD319"/>
      <c r="FE319"/>
      <c r="FF319"/>
      <c r="FG319" s="94">
        <v>370</v>
      </c>
      <c r="FH319" s="94">
        <v>372</v>
      </c>
      <c r="FI319" s="94">
        <v>371</v>
      </c>
    </row>
    <row r="320" spans="1:165" s="66" customFormat="1" x14ac:dyDescent="0.35">
      <c r="A320" s="19"/>
      <c r="B320" s="19"/>
      <c r="C320" s="19"/>
      <c r="D320" s="19"/>
      <c r="E320" s="19"/>
      <c r="F320" s="128"/>
      <c r="G320" s="19"/>
      <c r="H320" s="19"/>
      <c r="I320" s="19"/>
      <c r="J320" s="19"/>
      <c r="K320" s="19" t="str">
        <f>_xlfn.CONCAT(A321," ",C321," ",D321)</f>
        <v>2026 Mercedes-Benz AMG EQE 4MATIC+ (SUV)</v>
      </c>
      <c r="L320" s="19"/>
      <c r="M320" s="19"/>
      <c r="N320" s="19"/>
      <c r="O320" s="19"/>
      <c r="P320" s="19"/>
      <c r="Q320" s="19"/>
      <c r="R320" s="19"/>
      <c r="S320" s="19"/>
      <c r="T320" s="19"/>
      <c r="U320" s="19"/>
      <c r="V320" s="19"/>
      <c r="W320" s="19"/>
      <c r="X320" s="19"/>
      <c r="Y320" s="19"/>
      <c r="Z320" s="19"/>
      <c r="AA320" s="19"/>
      <c r="AB320" s="19" t="str">
        <f>$K320</f>
        <v>2026 Mercedes-Benz AMG EQE 4MATIC+ (SUV)</v>
      </c>
      <c r="AC320" s="19"/>
      <c r="AD320" s="19"/>
      <c r="AE320" s="19"/>
      <c r="AF320" s="19"/>
      <c r="AG320" s="19"/>
      <c r="AH320" s="19"/>
      <c r="AI320" s="19"/>
      <c r="AJ320" s="19"/>
      <c r="AK320" s="19"/>
      <c r="AL320" s="19"/>
      <c r="AM320" s="19"/>
      <c r="AN320" s="19"/>
      <c r="AO320" s="19"/>
      <c r="AP320" s="19"/>
      <c r="AQ320" s="19"/>
      <c r="AR320" s="19" t="str">
        <f>$K320</f>
        <v>2026 Mercedes-Benz AMG EQE 4MATIC+ (SUV)</v>
      </c>
      <c r="AS320" s="19"/>
      <c r="AT320" s="19"/>
      <c r="AU320" s="19"/>
      <c r="AV320" s="19"/>
      <c r="AW320" s="19"/>
      <c r="AX320" s="19"/>
      <c r="AY320" s="19"/>
      <c r="AZ320" s="19"/>
      <c r="BA320" s="19"/>
      <c r="BB320" s="19"/>
      <c r="BC320" s="19"/>
      <c r="BD320" s="19"/>
      <c r="BE320" s="19"/>
      <c r="BF320" s="19"/>
      <c r="BG320" s="19" t="str">
        <f>$K320</f>
        <v>2026 Mercedes-Benz AMG EQE 4MATIC+ (SUV)</v>
      </c>
      <c r="BH320" s="19"/>
      <c r="BI320" s="19"/>
      <c r="BJ320" s="19"/>
      <c r="BK320" s="19"/>
      <c r="BL320" s="19"/>
      <c r="BM320" s="129"/>
      <c r="BN320" s="19"/>
      <c r="BO320" s="19"/>
      <c r="BP320" s="19"/>
      <c r="BQ320" s="19"/>
      <c r="BR320" s="19"/>
      <c r="BS320" s="19"/>
      <c r="BT320" s="130"/>
      <c r="BU320" s="19"/>
      <c r="BV320" s="19"/>
      <c r="BW320" s="116"/>
      <c r="BX320" s="19"/>
      <c r="BY320" s="19"/>
      <c r="BZ320" s="19"/>
      <c r="CA320" s="19"/>
      <c r="CB320" s="19"/>
      <c r="CC320" s="19"/>
      <c r="CD320" s="19"/>
      <c r="CE320" s="19"/>
      <c r="CF320" s="19"/>
      <c r="CG320" s="19"/>
      <c r="CH320" s="19"/>
      <c r="CI320" s="19"/>
      <c r="CJ320" s="19"/>
      <c r="CK320" s="19"/>
      <c r="CL320" s="19"/>
      <c r="CM320" s="19" t="str">
        <f>$K320</f>
        <v>2026 Mercedes-Benz AMG EQE 4MATIC+ (SUV)</v>
      </c>
      <c r="CN320" s="19"/>
      <c r="CO320" s="19"/>
      <c r="CP320" s="19"/>
      <c r="CQ320" s="19"/>
      <c r="CR320" s="19"/>
      <c r="CS320" s="19"/>
      <c r="CT320" s="19"/>
      <c r="CU320" s="19"/>
      <c r="CV320" s="19"/>
      <c r="CW320" s="19"/>
      <c r="CX320" s="19"/>
      <c r="CY320" s="19"/>
      <c r="CZ320" s="19"/>
      <c r="DA320" s="19"/>
      <c r="DB320" s="19"/>
      <c r="DC320" s="19"/>
      <c r="DD320" s="19" t="str">
        <f>$K320</f>
        <v>2026 Mercedes-Benz AMG EQE 4MATIC+ (SUV)</v>
      </c>
      <c r="DE320" s="19"/>
      <c r="DF320" s="19"/>
      <c r="DG320" s="19"/>
      <c r="DH320" s="19"/>
      <c r="DI320" s="19"/>
      <c r="DJ320" s="19"/>
      <c r="DK320" s="19"/>
      <c r="DL320" s="19"/>
      <c r="DM320" s="19"/>
      <c r="DN320" s="19"/>
      <c r="DO320" s="19"/>
      <c r="DP320" s="19"/>
      <c r="DQ320" s="19"/>
      <c r="DR320" s="19"/>
      <c r="DS320" s="19"/>
      <c r="DT320" s="19"/>
      <c r="DU320" s="19" t="str">
        <f>$K320</f>
        <v>2026 Mercedes-Benz AMG EQE 4MATIC+ (SUV)</v>
      </c>
      <c r="DV320" s="19"/>
      <c r="DW320" s="19"/>
      <c r="DX320" s="19"/>
      <c r="DY320" s="19"/>
      <c r="DZ320" s="19"/>
      <c r="EA320" s="117"/>
      <c r="EB320" s="19"/>
      <c r="EC320" s="19"/>
      <c r="ED320" s="19"/>
      <c r="EE320" s="19"/>
      <c r="EF320" s="19"/>
      <c r="EG320"/>
      <c r="EH320"/>
      <c r="EI320"/>
      <c r="EJ320"/>
      <c r="EK320"/>
      <c r="EL320"/>
      <c r="EM320"/>
      <c r="EN320"/>
      <c r="EO320"/>
      <c r="EP320"/>
      <c r="EQ320"/>
      <c r="ER320"/>
      <c r="ES320"/>
      <c r="ET320"/>
      <c r="EU320"/>
      <c r="EV320"/>
      <c r="EW320"/>
      <c r="EX320" s="19" t="s">
        <v>2025</v>
      </c>
      <c r="EY320"/>
      <c r="EZ320"/>
      <c r="FA320"/>
      <c r="FB320"/>
      <c r="FC320"/>
      <c r="FD320"/>
      <c r="FE320"/>
      <c r="FF320"/>
      <c r="FG320"/>
      <c r="FH320"/>
      <c r="FI320"/>
    </row>
    <row r="321" spans="1:165" s="66" customFormat="1" x14ac:dyDescent="0.35">
      <c r="A321">
        <v>2026</v>
      </c>
      <c r="B321" t="s">
        <v>228</v>
      </c>
      <c r="C321" s="112" t="s">
        <v>228</v>
      </c>
      <c r="D321" t="s">
        <v>1543</v>
      </c>
      <c r="E321" t="s">
        <v>230</v>
      </c>
      <c r="F321">
        <v>922</v>
      </c>
      <c r="G321" s="113">
        <v>0</v>
      </c>
      <c r="H321"/>
      <c r="I321" t="s">
        <v>1391</v>
      </c>
      <c r="J321">
        <v>76</v>
      </c>
      <c r="K321">
        <v>72</v>
      </c>
      <c r="L321">
        <v>74</v>
      </c>
      <c r="M321">
        <v>108.4</v>
      </c>
      <c r="N321">
        <v>102.7</v>
      </c>
      <c r="O321">
        <v>105.7586</v>
      </c>
      <c r="P321">
        <v>75.88</v>
      </c>
      <c r="Q321">
        <v>71.89</v>
      </c>
      <c r="R321">
        <v>74.031000000000006</v>
      </c>
      <c r="S321"/>
      <c r="T321"/>
      <c r="U321"/>
      <c r="V321" t="s">
        <v>170</v>
      </c>
      <c r="W321" t="s">
        <v>171</v>
      </c>
      <c r="X321"/>
      <c r="Y321">
        <v>1</v>
      </c>
      <c r="Z321" t="s">
        <v>173</v>
      </c>
      <c r="AA321" t="s">
        <v>173</v>
      </c>
      <c r="AB321" t="s">
        <v>170</v>
      </c>
      <c r="AC321" t="s">
        <v>232</v>
      </c>
      <c r="AD321"/>
      <c r="AE321"/>
      <c r="AF321">
        <v>230</v>
      </c>
      <c r="AG321" t="s">
        <v>1392</v>
      </c>
      <c r="AH321" t="s">
        <v>1393</v>
      </c>
      <c r="AI321" t="s">
        <v>178</v>
      </c>
      <c r="AJ321" t="s">
        <v>179</v>
      </c>
      <c r="AK321">
        <v>4</v>
      </c>
      <c r="AL321" t="s">
        <v>1394</v>
      </c>
      <c r="AM321"/>
      <c r="AN321"/>
      <c r="AO321">
        <v>107</v>
      </c>
      <c r="AP321">
        <v>23</v>
      </c>
      <c r="AQ321"/>
      <c r="AR321"/>
      <c r="AS321">
        <v>1150</v>
      </c>
      <c r="AT321">
        <v>1150</v>
      </c>
      <c r="AU321"/>
      <c r="AV321"/>
      <c r="AW321"/>
      <c r="AX321"/>
      <c r="AY321"/>
      <c r="AZ321"/>
      <c r="BA321"/>
      <c r="BB321"/>
      <c r="BC321"/>
      <c r="BD321"/>
      <c r="BE321"/>
      <c r="BF321"/>
      <c r="BG321"/>
      <c r="BH321"/>
      <c r="BI321"/>
      <c r="BJ321"/>
      <c r="BK321"/>
      <c r="BL321"/>
      <c r="BM321"/>
      <c r="BN321" s="114"/>
      <c r="BO321"/>
      <c r="BP321"/>
      <c r="BQ321">
        <v>8</v>
      </c>
      <c r="BR321" t="s">
        <v>651</v>
      </c>
      <c r="BS321" t="s">
        <v>182</v>
      </c>
      <c r="BT321" t="s">
        <v>1395</v>
      </c>
      <c r="BU321" s="115">
        <v>45825</v>
      </c>
      <c r="BV321">
        <v>36812</v>
      </c>
      <c r="BW321" s="116"/>
      <c r="BX321"/>
      <c r="BY321" t="s">
        <v>173</v>
      </c>
      <c r="BZ321"/>
      <c r="CA321"/>
      <c r="CB321" t="s">
        <v>173</v>
      </c>
      <c r="CC321" t="s">
        <v>173</v>
      </c>
      <c r="CD321"/>
      <c r="CE321"/>
      <c r="CF321"/>
      <c r="CG321"/>
      <c r="CH321"/>
      <c r="CI321"/>
      <c r="CJ321"/>
      <c r="CK321" t="s">
        <v>259</v>
      </c>
      <c r="CL321"/>
      <c r="CM321">
        <v>10</v>
      </c>
      <c r="CN321" t="s">
        <v>260</v>
      </c>
      <c r="CO321"/>
      <c r="CP321">
        <v>328</v>
      </c>
      <c r="CQ321">
        <v>292</v>
      </c>
      <c r="CR321">
        <v>172.5</v>
      </c>
      <c r="CS321" t="s">
        <v>261</v>
      </c>
      <c r="CT321"/>
      <c r="CU321"/>
      <c r="CV321" t="s">
        <v>262</v>
      </c>
      <c r="CW321"/>
      <c r="CX321" t="s">
        <v>263</v>
      </c>
      <c r="CY321" t="s">
        <v>172</v>
      </c>
      <c r="CZ321"/>
      <c r="DA321"/>
      <c r="DB321"/>
      <c r="DC321"/>
      <c r="DD321">
        <v>2</v>
      </c>
      <c r="DE321" t="s">
        <v>307</v>
      </c>
      <c r="DF321" t="s">
        <v>1527</v>
      </c>
      <c r="DG321" t="s">
        <v>1525</v>
      </c>
      <c r="DH321"/>
      <c r="DI321"/>
      <c r="DJ321"/>
      <c r="DK321"/>
      <c r="DL321" t="s">
        <v>173</v>
      </c>
      <c r="DM321" t="s">
        <v>172</v>
      </c>
      <c r="DN321"/>
      <c r="DO321"/>
      <c r="DP321" t="s">
        <v>172</v>
      </c>
      <c r="DQ321" t="s">
        <v>204</v>
      </c>
      <c r="DR321" t="s">
        <v>1544</v>
      </c>
      <c r="DS321"/>
      <c r="DT321"/>
      <c r="DU321"/>
      <c r="DV321"/>
      <c r="DW321"/>
      <c r="DX321"/>
      <c r="DY321"/>
      <c r="DZ321"/>
      <c r="EA321" s="117"/>
      <c r="EB321">
        <v>9</v>
      </c>
      <c r="EC321">
        <v>10</v>
      </c>
      <c r="ED321"/>
      <c r="EE321" t="s">
        <v>1526</v>
      </c>
      <c r="EF321">
        <v>10</v>
      </c>
      <c r="EG321"/>
      <c r="EH321"/>
      <c r="EI321"/>
      <c r="EJ321"/>
      <c r="EK321"/>
      <c r="EL321"/>
      <c r="EM321"/>
      <c r="EN321"/>
      <c r="EO321"/>
      <c r="EP321"/>
      <c r="EQ321"/>
      <c r="ER321"/>
      <c r="ES321"/>
      <c r="ET321"/>
      <c r="EU321">
        <v>2750</v>
      </c>
      <c r="EV321"/>
      <c r="EW321">
        <v>0</v>
      </c>
      <c r="EX321">
        <v>0</v>
      </c>
      <c r="EY321">
        <v>0</v>
      </c>
      <c r="EZ321"/>
      <c r="FA321">
        <v>10.75</v>
      </c>
      <c r="FB321"/>
      <c r="FC321"/>
      <c r="FD321"/>
      <c r="FE321"/>
      <c r="FF321"/>
      <c r="FG321" s="94">
        <v>236</v>
      </c>
      <c r="FH321" s="94">
        <v>223</v>
      </c>
      <c r="FI321" s="94">
        <v>230</v>
      </c>
    </row>
    <row r="322" spans="1:165" s="66" customFormat="1" x14ac:dyDescent="0.35">
      <c r="A322">
        <v>2026</v>
      </c>
      <c r="B322" t="s">
        <v>228</v>
      </c>
      <c r="C322" s="112" t="s">
        <v>228</v>
      </c>
      <c r="D322" t="s">
        <v>1543</v>
      </c>
      <c r="E322" t="s">
        <v>230</v>
      </c>
      <c r="F322">
        <v>922</v>
      </c>
      <c r="G322" s="113">
        <v>0</v>
      </c>
      <c r="H322"/>
      <c r="I322" t="s">
        <v>1391</v>
      </c>
      <c r="J322">
        <v>44</v>
      </c>
      <c r="K322">
        <v>47</v>
      </c>
      <c r="L322">
        <v>46</v>
      </c>
      <c r="M322">
        <v>31.0852</v>
      </c>
      <c r="N322">
        <v>32.812899999999999</v>
      </c>
      <c r="O322">
        <v>31.8627</v>
      </c>
      <c r="P322">
        <v>44.418799999999997</v>
      </c>
      <c r="Q322">
        <v>46.884099999999997</v>
      </c>
      <c r="R322">
        <v>45.528199999999998</v>
      </c>
      <c r="S322"/>
      <c r="T322"/>
      <c r="U322"/>
      <c r="V322" t="s">
        <v>170</v>
      </c>
      <c r="W322" t="s">
        <v>171</v>
      </c>
      <c r="X322"/>
      <c r="Y322">
        <v>1</v>
      </c>
      <c r="Z322" t="s">
        <v>173</v>
      </c>
      <c r="AA322" t="s">
        <v>173</v>
      </c>
      <c r="AB322" t="s">
        <v>170</v>
      </c>
      <c r="AC322" t="s">
        <v>232</v>
      </c>
      <c r="AD322"/>
      <c r="AE322"/>
      <c r="AF322">
        <v>230</v>
      </c>
      <c r="AG322" t="s">
        <v>1392</v>
      </c>
      <c r="AH322" t="s">
        <v>1393</v>
      </c>
      <c r="AI322" t="s">
        <v>1399</v>
      </c>
      <c r="AJ322" t="s">
        <v>1400</v>
      </c>
      <c r="AK322">
        <v>4</v>
      </c>
      <c r="AL322" t="s">
        <v>1394</v>
      </c>
      <c r="AM322"/>
      <c r="AN322"/>
      <c r="AO322">
        <v>107</v>
      </c>
      <c r="AP322">
        <v>23</v>
      </c>
      <c r="AQ322"/>
      <c r="AR322"/>
      <c r="AS322">
        <v>1150</v>
      </c>
      <c r="AT322">
        <v>1150</v>
      </c>
      <c r="AU322"/>
      <c r="AV322"/>
      <c r="AW322"/>
      <c r="AX322"/>
      <c r="AY322"/>
      <c r="AZ322"/>
      <c r="BA322"/>
      <c r="BB322"/>
      <c r="BC322"/>
      <c r="BD322"/>
      <c r="BE322"/>
      <c r="BF322"/>
      <c r="BG322"/>
      <c r="BH322"/>
      <c r="BI322"/>
      <c r="BJ322"/>
      <c r="BK322"/>
      <c r="BL322"/>
      <c r="BM322"/>
      <c r="BN322" s="114"/>
      <c r="BO322"/>
      <c r="BP322"/>
      <c r="BQ322">
        <v>8</v>
      </c>
      <c r="BR322" t="s">
        <v>651</v>
      </c>
      <c r="BS322" t="s">
        <v>182</v>
      </c>
      <c r="BT322" t="s">
        <v>1395</v>
      </c>
      <c r="BU322" s="115">
        <v>45825</v>
      </c>
      <c r="BV322">
        <v>36812</v>
      </c>
      <c r="BW322" s="116"/>
      <c r="BX322"/>
      <c r="BY322" t="s">
        <v>173</v>
      </c>
      <c r="BZ322"/>
      <c r="CA322"/>
      <c r="CB322" t="s">
        <v>173</v>
      </c>
      <c r="CC322" t="s">
        <v>173</v>
      </c>
      <c r="CD322"/>
      <c r="CE322"/>
      <c r="CF322"/>
      <c r="CG322"/>
      <c r="CH322"/>
      <c r="CI322"/>
      <c r="CJ322"/>
      <c r="CK322" t="s">
        <v>259</v>
      </c>
      <c r="CL322"/>
      <c r="CM322">
        <v>10</v>
      </c>
      <c r="CN322" t="s">
        <v>260</v>
      </c>
      <c r="CO322"/>
      <c r="CP322">
        <v>328</v>
      </c>
      <c r="CQ322">
        <v>292</v>
      </c>
      <c r="CR322">
        <v>172.5</v>
      </c>
      <c r="CS322" t="s">
        <v>261</v>
      </c>
      <c r="CT322"/>
      <c r="CU322"/>
      <c r="CV322" t="s">
        <v>262</v>
      </c>
      <c r="CW322"/>
      <c r="CX322" t="s">
        <v>263</v>
      </c>
      <c r="CY322" t="s">
        <v>172</v>
      </c>
      <c r="CZ322"/>
      <c r="DA322"/>
      <c r="DB322"/>
      <c r="DC322"/>
      <c r="DD322">
        <v>2</v>
      </c>
      <c r="DE322" t="s">
        <v>307</v>
      </c>
      <c r="DF322" t="s">
        <v>1524</v>
      </c>
      <c r="DG322" t="s">
        <v>1525</v>
      </c>
      <c r="DH322"/>
      <c r="DI322"/>
      <c r="DJ322"/>
      <c r="DK322"/>
      <c r="DL322" t="s">
        <v>173</v>
      </c>
      <c r="DM322" t="s">
        <v>172</v>
      </c>
      <c r="DN322"/>
      <c r="DO322"/>
      <c r="DP322" t="s">
        <v>172</v>
      </c>
      <c r="DQ322" t="s">
        <v>204</v>
      </c>
      <c r="DR322" t="s">
        <v>1544</v>
      </c>
      <c r="DS322"/>
      <c r="DT322"/>
      <c r="DU322"/>
      <c r="DV322"/>
      <c r="DW322"/>
      <c r="DX322"/>
      <c r="DY322"/>
      <c r="DZ322"/>
      <c r="EA322" s="117"/>
      <c r="EB322">
        <v>9</v>
      </c>
      <c r="EC322">
        <v>10</v>
      </c>
      <c r="ED322"/>
      <c r="EE322" t="s">
        <v>1526</v>
      </c>
      <c r="EF322">
        <v>10</v>
      </c>
      <c r="EG322"/>
      <c r="EH322"/>
      <c r="EI322"/>
      <c r="EJ322"/>
      <c r="EK322"/>
      <c r="EL322"/>
      <c r="EM322"/>
      <c r="EN322"/>
      <c r="EO322"/>
      <c r="EP322"/>
      <c r="EQ322"/>
      <c r="ER322"/>
      <c r="ES322"/>
      <c r="ET322"/>
      <c r="EU322">
        <v>2750</v>
      </c>
      <c r="EV322"/>
      <c r="EW322">
        <v>0</v>
      </c>
      <c r="EX322">
        <v>0</v>
      </c>
      <c r="EY322">
        <v>0</v>
      </c>
      <c r="EZ322"/>
      <c r="FA322">
        <v>10.75</v>
      </c>
      <c r="FB322"/>
      <c r="FC322"/>
      <c r="FD322"/>
      <c r="FE322"/>
      <c r="FF322"/>
      <c r="FG322" s="94">
        <v>236</v>
      </c>
      <c r="FH322" s="94">
        <v>223</v>
      </c>
      <c r="FI322" s="94">
        <v>230</v>
      </c>
    </row>
    <row r="323" spans="1:165" s="66" customFormat="1" x14ac:dyDescent="0.35">
      <c r="A323" s="19"/>
      <c r="B323" s="19"/>
      <c r="C323" s="19"/>
      <c r="D323" s="19"/>
      <c r="E323" s="19"/>
      <c r="F323" s="128"/>
      <c r="G323" s="19"/>
      <c r="H323" s="19"/>
      <c r="I323" s="19"/>
      <c r="J323" s="19"/>
      <c r="K323" s="19" t="str">
        <f>_xlfn.CONCAT(A324," ",C324," ",D324)</f>
        <v>2026 Mercedes-Benz EQE 320 4MATIC (SUV)</v>
      </c>
      <c r="L323" s="19"/>
      <c r="M323" s="19"/>
      <c r="N323" s="19"/>
      <c r="O323" s="19"/>
      <c r="P323" s="19"/>
      <c r="Q323" s="19"/>
      <c r="R323" s="19"/>
      <c r="S323" s="19"/>
      <c r="T323" s="19"/>
      <c r="U323" s="19"/>
      <c r="V323" s="19"/>
      <c r="W323" s="19"/>
      <c r="X323" s="19"/>
      <c r="Y323" s="19"/>
      <c r="Z323" s="19"/>
      <c r="AA323" s="19"/>
      <c r="AB323" s="19" t="str">
        <f>$K323</f>
        <v>2026 Mercedes-Benz EQE 320 4MATIC (SUV)</v>
      </c>
      <c r="AC323" s="19"/>
      <c r="AD323" s="19"/>
      <c r="AE323" s="19"/>
      <c r="AF323" s="19"/>
      <c r="AG323" s="19"/>
      <c r="AH323" s="19"/>
      <c r="AI323" s="19"/>
      <c r="AJ323" s="19"/>
      <c r="AK323" s="19"/>
      <c r="AL323" s="19"/>
      <c r="AM323" s="19"/>
      <c r="AN323" s="19"/>
      <c r="AO323" s="19"/>
      <c r="AP323" s="19"/>
      <c r="AQ323" s="19"/>
      <c r="AR323" s="19" t="str">
        <f>$K323</f>
        <v>2026 Mercedes-Benz EQE 320 4MATIC (SUV)</v>
      </c>
      <c r="AS323" s="19"/>
      <c r="AT323" s="19"/>
      <c r="AU323" s="19"/>
      <c r="AV323" s="19"/>
      <c r="AW323" s="19"/>
      <c r="AX323" s="19"/>
      <c r="AY323" s="19"/>
      <c r="AZ323" s="19"/>
      <c r="BA323" s="19"/>
      <c r="BB323" s="19"/>
      <c r="BC323" s="19"/>
      <c r="BD323" s="19"/>
      <c r="BE323" s="19"/>
      <c r="BF323" s="19"/>
      <c r="BG323" s="19" t="str">
        <f>$K323</f>
        <v>2026 Mercedes-Benz EQE 320 4MATIC (SUV)</v>
      </c>
      <c r="BH323" s="19"/>
      <c r="BI323" s="19"/>
      <c r="BJ323" s="19"/>
      <c r="BK323" s="19"/>
      <c r="BL323" s="19"/>
      <c r="BM323" s="129"/>
      <c r="BN323" s="19"/>
      <c r="BO323" s="19"/>
      <c r="BP323" s="19"/>
      <c r="BQ323" s="19"/>
      <c r="BR323" s="19"/>
      <c r="BS323" s="19"/>
      <c r="BT323" s="130"/>
      <c r="BU323" s="19"/>
      <c r="BV323" s="19"/>
      <c r="BW323" s="116"/>
      <c r="BX323" s="19"/>
      <c r="BY323" s="19"/>
      <c r="BZ323" s="19"/>
      <c r="CA323" s="19"/>
      <c r="CB323" s="19"/>
      <c r="CC323" s="19"/>
      <c r="CD323" s="19"/>
      <c r="CE323" s="19"/>
      <c r="CF323" s="19"/>
      <c r="CG323" s="19"/>
      <c r="CH323" s="19"/>
      <c r="CI323" s="19"/>
      <c r="CJ323" s="19"/>
      <c r="CK323" s="19"/>
      <c r="CL323" s="19"/>
      <c r="CM323" s="19" t="str">
        <f>$K323</f>
        <v>2026 Mercedes-Benz EQE 320 4MATIC (SUV)</v>
      </c>
      <c r="CN323" s="19"/>
      <c r="CO323" s="19"/>
      <c r="CP323" s="19"/>
      <c r="CQ323" s="19"/>
      <c r="CR323" s="19"/>
      <c r="CS323" s="19"/>
      <c r="CT323" s="19"/>
      <c r="CU323" s="19"/>
      <c r="CV323" s="19"/>
      <c r="CW323" s="19"/>
      <c r="CX323" s="19"/>
      <c r="CY323" s="19"/>
      <c r="CZ323" s="19"/>
      <c r="DA323" s="19"/>
      <c r="DB323" s="19"/>
      <c r="DC323" s="19"/>
      <c r="DD323" s="19" t="str">
        <f>$K323</f>
        <v>2026 Mercedes-Benz EQE 320 4MATIC (SUV)</v>
      </c>
      <c r="DE323" s="19"/>
      <c r="DF323" s="19"/>
      <c r="DG323" s="19"/>
      <c r="DH323" s="19"/>
      <c r="DI323" s="19"/>
      <c r="DJ323" s="19"/>
      <c r="DK323" s="19"/>
      <c r="DL323" s="19"/>
      <c r="DM323" s="19"/>
      <c r="DN323" s="19"/>
      <c r="DO323" s="19"/>
      <c r="DP323" s="19"/>
      <c r="DQ323" s="19"/>
      <c r="DR323" s="19"/>
      <c r="DS323" s="19"/>
      <c r="DT323" s="19"/>
      <c r="DU323" s="19" t="str">
        <f>$K323</f>
        <v>2026 Mercedes-Benz EQE 320 4MATIC (SUV)</v>
      </c>
      <c r="DV323" s="19"/>
      <c r="DW323" s="19"/>
      <c r="DX323" s="19"/>
      <c r="DY323" s="19"/>
      <c r="DZ323" s="19"/>
      <c r="EA323" s="117"/>
      <c r="EB323" s="19"/>
      <c r="EC323" s="19"/>
      <c r="ED323" s="19"/>
      <c r="EE323" s="19"/>
      <c r="EF323" s="19"/>
      <c r="EG323"/>
      <c r="EH323"/>
      <c r="EI323"/>
      <c r="EJ323"/>
      <c r="EK323"/>
      <c r="EL323"/>
      <c r="EM323"/>
      <c r="EN323"/>
      <c r="EO323"/>
      <c r="EP323"/>
      <c r="EQ323"/>
      <c r="ER323"/>
      <c r="ES323"/>
      <c r="ET323"/>
      <c r="EU323"/>
      <c r="EV323"/>
      <c r="EW323"/>
      <c r="EX323" s="19" t="s">
        <v>2026</v>
      </c>
      <c r="EY323"/>
      <c r="EZ323"/>
      <c r="FA323"/>
      <c r="FB323"/>
      <c r="FC323"/>
      <c r="FD323"/>
      <c r="FE323"/>
      <c r="FF323"/>
      <c r="FG323"/>
      <c r="FH323"/>
      <c r="FI323"/>
    </row>
    <row r="324" spans="1:165" s="66" customFormat="1" x14ac:dyDescent="0.35">
      <c r="A324">
        <v>2026</v>
      </c>
      <c r="B324" t="s">
        <v>228</v>
      </c>
      <c r="C324" s="112" t="s">
        <v>228</v>
      </c>
      <c r="D324" t="s">
        <v>1541</v>
      </c>
      <c r="E324" t="s">
        <v>230</v>
      </c>
      <c r="F324">
        <v>916</v>
      </c>
      <c r="G324" s="113">
        <v>0</v>
      </c>
      <c r="H324"/>
      <c r="I324" t="s">
        <v>1391</v>
      </c>
      <c r="J324">
        <v>84</v>
      </c>
      <c r="K324">
        <v>78</v>
      </c>
      <c r="L324">
        <v>81</v>
      </c>
      <c r="M324">
        <v>123.2</v>
      </c>
      <c r="N324">
        <v>114.5</v>
      </c>
      <c r="O324">
        <v>119.1268</v>
      </c>
      <c r="P324">
        <v>84</v>
      </c>
      <c r="Q324">
        <v>78</v>
      </c>
      <c r="R324">
        <v>81</v>
      </c>
      <c r="S324"/>
      <c r="T324"/>
      <c r="U324"/>
      <c r="V324" t="s">
        <v>170</v>
      </c>
      <c r="W324" t="s">
        <v>171</v>
      </c>
      <c r="X324"/>
      <c r="Y324">
        <v>1</v>
      </c>
      <c r="Z324" t="s">
        <v>173</v>
      </c>
      <c r="AA324" t="s">
        <v>173</v>
      </c>
      <c r="AB324" t="s">
        <v>170</v>
      </c>
      <c r="AC324" t="s">
        <v>232</v>
      </c>
      <c r="AD324"/>
      <c r="AE324"/>
      <c r="AF324">
        <v>253</v>
      </c>
      <c r="AG324" t="s">
        <v>1392</v>
      </c>
      <c r="AH324" t="s">
        <v>1393</v>
      </c>
      <c r="AI324" t="s">
        <v>178</v>
      </c>
      <c r="AJ324" t="s">
        <v>179</v>
      </c>
      <c r="AK324">
        <v>4</v>
      </c>
      <c r="AL324" t="s">
        <v>1394</v>
      </c>
      <c r="AM324"/>
      <c r="AN324"/>
      <c r="AO324">
        <v>107</v>
      </c>
      <c r="AP324">
        <v>23</v>
      </c>
      <c r="AQ324"/>
      <c r="AR324"/>
      <c r="AS324">
        <v>1050</v>
      </c>
      <c r="AT324">
        <v>1050</v>
      </c>
      <c r="AU324"/>
      <c r="AV324"/>
      <c r="AW324"/>
      <c r="AX324"/>
      <c r="AY324"/>
      <c r="AZ324"/>
      <c r="BA324"/>
      <c r="BB324"/>
      <c r="BC324"/>
      <c r="BD324"/>
      <c r="BE324"/>
      <c r="BF324"/>
      <c r="BG324"/>
      <c r="BH324"/>
      <c r="BI324"/>
      <c r="BJ324"/>
      <c r="BK324"/>
      <c r="BL324"/>
      <c r="BM324"/>
      <c r="BN324" s="114"/>
      <c r="BO324"/>
      <c r="BP324"/>
      <c r="BQ324">
        <v>8</v>
      </c>
      <c r="BR324" t="s">
        <v>651</v>
      </c>
      <c r="BS324" t="s">
        <v>182</v>
      </c>
      <c r="BT324" t="s">
        <v>1395</v>
      </c>
      <c r="BU324" s="115">
        <v>45814</v>
      </c>
      <c r="BV324">
        <v>36733</v>
      </c>
      <c r="BW324" s="116"/>
      <c r="BX324"/>
      <c r="BY324" t="s">
        <v>173</v>
      </c>
      <c r="BZ324"/>
      <c r="CA324"/>
      <c r="CB324" t="s">
        <v>173</v>
      </c>
      <c r="CC324" t="s">
        <v>173</v>
      </c>
      <c r="CD324"/>
      <c r="CE324"/>
      <c r="CF324"/>
      <c r="CG324"/>
      <c r="CH324"/>
      <c r="CI324"/>
      <c r="CJ324"/>
      <c r="CK324" t="s">
        <v>259</v>
      </c>
      <c r="CL324"/>
      <c r="CM324">
        <v>10</v>
      </c>
      <c r="CN324" t="s">
        <v>260</v>
      </c>
      <c r="CO324"/>
      <c r="CP324">
        <v>328</v>
      </c>
      <c r="CQ324">
        <v>292</v>
      </c>
      <c r="CR324">
        <v>172.5</v>
      </c>
      <c r="CS324" t="s">
        <v>261</v>
      </c>
      <c r="CT324"/>
      <c r="CU324"/>
      <c r="CV324" t="s">
        <v>262</v>
      </c>
      <c r="CW324"/>
      <c r="CX324" t="s">
        <v>263</v>
      </c>
      <c r="CY324" t="s">
        <v>172</v>
      </c>
      <c r="CZ324"/>
      <c r="DA324"/>
      <c r="DB324"/>
      <c r="DC324"/>
      <c r="DD324">
        <v>2</v>
      </c>
      <c r="DE324" t="s">
        <v>307</v>
      </c>
      <c r="DF324" t="s">
        <v>1524</v>
      </c>
      <c r="DG324" t="s">
        <v>1531</v>
      </c>
      <c r="DH324"/>
      <c r="DI324"/>
      <c r="DJ324"/>
      <c r="DK324"/>
      <c r="DL324" t="s">
        <v>173</v>
      </c>
      <c r="DM324" t="s">
        <v>172</v>
      </c>
      <c r="DN324"/>
      <c r="DO324"/>
      <c r="DP324" t="s">
        <v>172</v>
      </c>
      <c r="DQ324" t="s">
        <v>204</v>
      </c>
      <c r="DR324" t="s">
        <v>1541</v>
      </c>
      <c r="DS324"/>
      <c r="DT324"/>
      <c r="DU324"/>
      <c r="DV324"/>
      <c r="DW324"/>
      <c r="DX324"/>
      <c r="DY324"/>
      <c r="DZ324"/>
      <c r="EA324" s="117"/>
      <c r="EB324">
        <v>9</v>
      </c>
      <c r="EC324">
        <v>10</v>
      </c>
      <c r="ED324"/>
      <c r="EE324" t="s">
        <v>1532</v>
      </c>
      <c r="EF324">
        <v>10</v>
      </c>
      <c r="EG324"/>
      <c r="EH324"/>
      <c r="EI324"/>
      <c r="EJ324"/>
      <c r="EK324"/>
      <c r="EL324"/>
      <c r="EM324"/>
      <c r="EN324"/>
      <c r="EO324"/>
      <c r="EP324"/>
      <c r="EQ324"/>
      <c r="ER324"/>
      <c r="ES324"/>
      <c r="ET324"/>
      <c r="EU324">
        <v>3250</v>
      </c>
      <c r="EV324"/>
      <c r="EW324">
        <v>0</v>
      </c>
      <c r="EX324">
        <v>0</v>
      </c>
      <c r="EY324">
        <v>0</v>
      </c>
      <c r="EZ324"/>
      <c r="FA324">
        <v>10.75</v>
      </c>
      <c r="FB324"/>
      <c r="FC324"/>
      <c r="FD324"/>
      <c r="FE324"/>
      <c r="FF324"/>
      <c r="FG324" s="94">
        <v>261</v>
      </c>
      <c r="FH324" s="94">
        <v>243</v>
      </c>
      <c r="FI324" s="94">
        <v>253</v>
      </c>
    </row>
    <row r="325" spans="1:165" s="66" customFormat="1" x14ac:dyDescent="0.35">
      <c r="A325">
        <v>2026</v>
      </c>
      <c r="B325" t="s">
        <v>228</v>
      </c>
      <c r="C325" s="112" t="s">
        <v>228</v>
      </c>
      <c r="D325" t="s">
        <v>1541</v>
      </c>
      <c r="E325" t="s">
        <v>230</v>
      </c>
      <c r="F325">
        <v>916</v>
      </c>
      <c r="G325" s="113">
        <v>0</v>
      </c>
      <c r="H325"/>
      <c r="I325" t="s">
        <v>1391</v>
      </c>
      <c r="J325">
        <v>40</v>
      </c>
      <c r="K325">
        <v>43</v>
      </c>
      <c r="L325">
        <v>42</v>
      </c>
      <c r="M325">
        <v>27.357700000000001</v>
      </c>
      <c r="N325">
        <v>29.4358</v>
      </c>
      <c r="O325">
        <v>28.292999999999999</v>
      </c>
      <c r="P325">
        <v>40</v>
      </c>
      <c r="Q325">
        <v>43</v>
      </c>
      <c r="R325">
        <v>42</v>
      </c>
      <c r="S325"/>
      <c r="T325"/>
      <c r="U325"/>
      <c r="V325" t="s">
        <v>170</v>
      </c>
      <c r="W325" t="s">
        <v>171</v>
      </c>
      <c r="X325"/>
      <c r="Y325">
        <v>1</v>
      </c>
      <c r="Z325" t="s">
        <v>173</v>
      </c>
      <c r="AA325" t="s">
        <v>173</v>
      </c>
      <c r="AB325" t="s">
        <v>170</v>
      </c>
      <c r="AC325" t="s">
        <v>232</v>
      </c>
      <c r="AD325"/>
      <c r="AE325"/>
      <c r="AF325">
        <v>253</v>
      </c>
      <c r="AG325" t="s">
        <v>1392</v>
      </c>
      <c r="AH325" t="s">
        <v>1393</v>
      </c>
      <c r="AI325" t="s">
        <v>1399</v>
      </c>
      <c r="AJ325" t="s">
        <v>1400</v>
      </c>
      <c r="AK325">
        <v>4</v>
      </c>
      <c r="AL325" t="s">
        <v>1394</v>
      </c>
      <c r="AM325"/>
      <c r="AN325"/>
      <c r="AO325">
        <v>107</v>
      </c>
      <c r="AP325">
        <v>23</v>
      </c>
      <c r="AQ325"/>
      <c r="AR325"/>
      <c r="AS325">
        <v>1050</v>
      </c>
      <c r="AT325">
        <v>1050</v>
      </c>
      <c r="AU325"/>
      <c r="AV325"/>
      <c r="AW325"/>
      <c r="AX325"/>
      <c r="AY325"/>
      <c r="AZ325"/>
      <c r="BA325"/>
      <c r="BB325"/>
      <c r="BC325"/>
      <c r="BD325"/>
      <c r="BE325"/>
      <c r="BF325"/>
      <c r="BG325"/>
      <c r="BH325"/>
      <c r="BI325"/>
      <c r="BJ325"/>
      <c r="BK325"/>
      <c r="BL325"/>
      <c r="BM325"/>
      <c r="BN325" s="114"/>
      <c r="BO325"/>
      <c r="BP325"/>
      <c r="BQ325">
        <v>8</v>
      </c>
      <c r="BR325" t="s">
        <v>651</v>
      </c>
      <c r="BS325" t="s">
        <v>182</v>
      </c>
      <c r="BT325" t="s">
        <v>1395</v>
      </c>
      <c r="BU325" s="115">
        <v>45814</v>
      </c>
      <c r="BV325">
        <v>36733</v>
      </c>
      <c r="BW325" s="116"/>
      <c r="BX325"/>
      <c r="BY325" t="s">
        <v>173</v>
      </c>
      <c r="BZ325"/>
      <c r="CA325"/>
      <c r="CB325" t="s">
        <v>173</v>
      </c>
      <c r="CC325" t="s">
        <v>173</v>
      </c>
      <c r="CD325"/>
      <c r="CE325"/>
      <c r="CF325"/>
      <c r="CG325"/>
      <c r="CH325"/>
      <c r="CI325"/>
      <c r="CJ325"/>
      <c r="CK325" t="s">
        <v>259</v>
      </c>
      <c r="CL325"/>
      <c r="CM325">
        <v>10</v>
      </c>
      <c r="CN325" t="s">
        <v>260</v>
      </c>
      <c r="CO325"/>
      <c r="CP325">
        <v>328</v>
      </c>
      <c r="CQ325">
        <v>292</v>
      </c>
      <c r="CR325">
        <v>172.5</v>
      </c>
      <c r="CS325" t="s">
        <v>261</v>
      </c>
      <c r="CT325"/>
      <c r="CU325"/>
      <c r="CV325" t="s">
        <v>262</v>
      </c>
      <c r="CW325"/>
      <c r="CX325" t="s">
        <v>263</v>
      </c>
      <c r="CY325" t="s">
        <v>172</v>
      </c>
      <c r="CZ325"/>
      <c r="DA325"/>
      <c r="DB325"/>
      <c r="DC325"/>
      <c r="DD325">
        <v>2</v>
      </c>
      <c r="DE325" t="s">
        <v>307</v>
      </c>
      <c r="DF325" t="s">
        <v>1527</v>
      </c>
      <c r="DG325" t="s">
        <v>1531</v>
      </c>
      <c r="DH325"/>
      <c r="DI325"/>
      <c r="DJ325"/>
      <c r="DK325"/>
      <c r="DL325" t="s">
        <v>173</v>
      </c>
      <c r="DM325" t="s">
        <v>172</v>
      </c>
      <c r="DN325"/>
      <c r="DO325"/>
      <c r="DP325" t="s">
        <v>172</v>
      </c>
      <c r="DQ325" t="s">
        <v>204</v>
      </c>
      <c r="DR325" t="s">
        <v>1541</v>
      </c>
      <c r="DS325"/>
      <c r="DT325"/>
      <c r="DU325"/>
      <c r="DV325"/>
      <c r="DW325"/>
      <c r="DX325"/>
      <c r="DY325"/>
      <c r="DZ325"/>
      <c r="EA325" s="117"/>
      <c r="EB325">
        <v>9</v>
      </c>
      <c r="EC325">
        <v>10</v>
      </c>
      <c r="ED325"/>
      <c r="EE325" t="s">
        <v>1532</v>
      </c>
      <c r="EF325">
        <v>10</v>
      </c>
      <c r="EG325"/>
      <c r="EH325"/>
      <c r="EI325"/>
      <c r="EJ325"/>
      <c r="EK325"/>
      <c r="EL325"/>
      <c r="EM325"/>
      <c r="EN325"/>
      <c r="EO325"/>
      <c r="EP325"/>
      <c r="EQ325"/>
      <c r="ER325"/>
      <c r="ES325"/>
      <c r="ET325"/>
      <c r="EU325">
        <v>3250</v>
      </c>
      <c r="EV325"/>
      <c r="EW325">
        <v>0</v>
      </c>
      <c r="EX325">
        <v>0</v>
      </c>
      <c r="EY325">
        <v>0</v>
      </c>
      <c r="EZ325"/>
      <c r="FA325">
        <v>10.75</v>
      </c>
      <c r="FB325"/>
      <c r="FC325"/>
      <c r="FD325"/>
      <c r="FE325"/>
      <c r="FF325"/>
      <c r="FG325" s="94">
        <v>261</v>
      </c>
      <c r="FH325" s="94">
        <v>243</v>
      </c>
      <c r="FI325" s="94">
        <v>253</v>
      </c>
    </row>
    <row r="326" spans="1:165" s="66" customFormat="1" x14ac:dyDescent="0.35">
      <c r="A326" s="19"/>
      <c r="B326" s="19"/>
      <c r="C326" s="19"/>
      <c r="D326" s="19"/>
      <c r="E326" s="19"/>
      <c r="F326" s="128"/>
      <c r="G326" s="19"/>
      <c r="H326" s="19"/>
      <c r="I326" s="19"/>
      <c r="J326" s="19"/>
      <c r="K326" s="19" t="str">
        <f>_xlfn.CONCAT(A327," ",C327," ",D327)</f>
        <v>2026 Mercedes-Benz EQE 320+ (SUV)</v>
      </c>
      <c r="L326" s="19"/>
      <c r="M326" s="19"/>
      <c r="N326" s="19"/>
      <c r="O326" s="19"/>
      <c r="P326" s="19"/>
      <c r="Q326" s="19"/>
      <c r="R326" s="19"/>
      <c r="S326" s="19"/>
      <c r="T326" s="19"/>
      <c r="U326" s="19"/>
      <c r="V326" s="19"/>
      <c r="W326" s="19"/>
      <c r="X326" s="19"/>
      <c r="Y326" s="19"/>
      <c r="Z326" s="19"/>
      <c r="AA326" s="19"/>
      <c r="AB326" s="19" t="str">
        <f>$K326</f>
        <v>2026 Mercedes-Benz EQE 320+ (SUV)</v>
      </c>
      <c r="AC326" s="19"/>
      <c r="AD326" s="19"/>
      <c r="AE326" s="19"/>
      <c r="AF326" s="19"/>
      <c r="AG326" s="19"/>
      <c r="AH326" s="19"/>
      <c r="AI326" s="19"/>
      <c r="AJ326" s="19"/>
      <c r="AK326" s="19"/>
      <c r="AL326" s="19"/>
      <c r="AM326" s="19"/>
      <c r="AN326" s="19"/>
      <c r="AO326" s="19"/>
      <c r="AP326" s="19"/>
      <c r="AQ326" s="19"/>
      <c r="AR326" s="19" t="str">
        <f>$K326</f>
        <v>2026 Mercedes-Benz EQE 320+ (SUV)</v>
      </c>
      <c r="AS326" s="19"/>
      <c r="AT326" s="19"/>
      <c r="AU326" s="19"/>
      <c r="AV326" s="19"/>
      <c r="AW326" s="19"/>
      <c r="AX326" s="19"/>
      <c r="AY326" s="19"/>
      <c r="AZ326" s="19"/>
      <c r="BA326" s="19"/>
      <c r="BB326" s="19"/>
      <c r="BC326" s="19"/>
      <c r="BD326" s="19"/>
      <c r="BE326" s="19"/>
      <c r="BF326" s="19"/>
      <c r="BG326" s="19" t="str">
        <f>$K326</f>
        <v>2026 Mercedes-Benz EQE 320+ (SUV)</v>
      </c>
      <c r="BH326" s="19"/>
      <c r="BI326" s="19"/>
      <c r="BJ326" s="19"/>
      <c r="BK326" s="19"/>
      <c r="BL326" s="19"/>
      <c r="BM326" s="129"/>
      <c r="BN326" s="19"/>
      <c r="BO326" s="19"/>
      <c r="BP326" s="19"/>
      <c r="BQ326" s="19"/>
      <c r="BR326" s="19"/>
      <c r="BS326" s="19"/>
      <c r="BT326" s="130"/>
      <c r="BU326" s="19"/>
      <c r="BV326" s="19"/>
      <c r="BW326" s="116"/>
      <c r="BX326" s="19"/>
      <c r="BY326" s="19"/>
      <c r="BZ326" s="19"/>
      <c r="CA326" s="19"/>
      <c r="CB326" s="19"/>
      <c r="CC326" s="19"/>
      <c r="CD326" s="19"/>
      <c r="CE326" s="19"/>
      <c r="CF326" s="19"/>
      <c r="CG326" s="19"/>
      <c r="CH326" s="19"/>
      <c r="CI326" s="19"/>
      <c r="CJ326" s="19"/>
      <c r="CK326" s="19"/>
      <c r="CL326" s="19"/>
      <c r="CM326" s="19" t="str">
        <f>$K326</f>
        <v>2026 Mercedes-Benz EQE 320+ (SUV)</v>
      </c>
      <c r="CN326" s="19"/>
      <c r="CO326" s="19"/>
      <c r="CP326" s="19"/>
      <c r="CQ326" s="19"/>
      <c r="CR326" s="19"/>
      <c r="CS326" s="19"/>
      <c r="CT326" s="19"/>
      <c r="CU326" s="19"/>
      <c r="CV326" s="19"/>
      <c r="CW326" s="19"/>
      <c r="CX326" s="19"/>
      <c r="CY326" s="19"/>
      <c r="CZ326" s="19"/>
      <c r="DA326" s="19"/>
      <c r="DB326" s="19"/>
      <c r="DC326" s="19"/>
      <c r="DD326" s="19" t="str">
        <f>$K326</f>
        <v>2026 Mercedes-Benz EQE 320+ (SUV)</v>
      </c>
      <c r="DE326" s="19"/>
      <c r="DF326" s="19"/>
      <c r="DG326" s="19"/>
      <c r="DH326" s="19"/>
      <c r="DI326" s="19"/>
      <c r="DJ326" s="19"/>
      <c r="DK326" s="19"/>
      <c r="DL326" s="19"/>
      <c r="DM326" s="19"/>
      <c r="DN326" s="19"/>
      <c r="DO326" s="19"/>
      <c r="DP326" s="19"/>
      <c r="DQ326" s="19"/>
      <c r="DR326" s="19"/>
      <c r="DS326" s="19"/>
      <c r="DT326" s="19"/>
      <c r="DU326" s="19" t="str">
        <f>$K326</f>
        <v>2026 Mercedes-Benz EQE 320+ (SUV)</v>
      </c>
      <c r="DV326" s="19"/>
      <c r="DW326" s="19"/>
      <c r="DX326" s="19"/>
      <c r="DY326" s="19"/>
      <c r="DZ326" s="19"/>
      <c r="EA326" s="117"/>
      <c r="EB326" s="19"/>
      <c r="EC326" s="19"/>
      <c r="ED326" s="19"/>
      <c r="EE326" s="19"/>
      <c r="EF326" s="19"/>
      <c r="EG326"/>
      <c r="EH326"/>
      <c r="EI326"/>
      <c r="EJ326"/>
      <c r="EK326"/>
      <c r="EL326"/>
      <c r="EM326"/>
      <c r="EN326"/>
      <c r="EO326"/>
      <c r="EP326"/>
      <c r="EQ326"/>
      <c r="ER326"/>
      <c r="ES326"/>
      <c r="ET326"/>
      <c r="EU326"/>
      <c r="EV326"/>
      <c r="EW326"/>
      <c r="EX326" s="19" t="s">
        <v>2027</v>
      </c>
      <c r="EY326"/>
      <c r="EZ326"/>
      <c r="FA326"/>
      <c r="FB326"/>
      <c r="FC326"/>
      <c r="FD326"/>
      <c r="FE326"/>
      <c r="FF326"/>
      <c r="FG326"/>
      <c r="FH326"/>
      <c r="FI326"/>
    </row>
    <row r="327" spans="1:165" s="66" customFormat="1" x14ac:dyDescent="0.35">
      <c r="A327">
        <v>2026</v>
      </c>
      <c r="B327" t="s">
        <v>228</v>
      </c>
      <c r="C327" s="112" t="s">
        <v>228</v>
      </c>
      <c r="D327" t="s">
        <v>1540</v>
      </c>
      <c r="E327" t="s">
        <v>230</v>
      </c>
      <c r="F327">
        <v>915</v>
      </c>
      <c r="G327" s="113">
        <v>0</v>
      </c>
      <c r="H327"/>
      <c r="I327" t="s">
        <v>1391</v>
      </c>
      <c r="J327">
        <v>98</v>
      </c>
      <c r="K327">
        <v>87</v>
      </c>
      <c r="L327">
        <v>93</v>
      </c>
      <c r="M327">
        <v>141.19999999999999</v>
      </c>
      <c r="N327">
        <v>125.1</v>
      </c>
      <c r="O327">
        <v>133.47020000000001</v>
      </c>
      <c r="P327">
        <v>98</v>
      </c>
      <c r="Q327">
        <v>87</v>
      </c>
      <c r="R327">
        <v>93.429100000000005</v>
      </c>
      <c r="S327"/>
      <c r="T327"/>
      <c r="U327"/>
      <c r="V327" t="s">
        <v>170</v>
      </c>
      <c r="W327" t="s">
        <v>171</v>
      </c>
      <c r="X327"/>
      <c r="Y327">
        <v>1</v>
      </c>
      <c r="Z327" t="s">
        <v>173</v>
      </c>
      <c r="AA327" t="s">
        <v>173</v>
      </c>
      <c r="AB327" t="s">
        <v>174</v>
      </c>
      <c r="AC327" t="s">
        <v>175</v>
      </c>
      <c r="AD327"/>
      <c r="AE327"/>
      <c r="AF327">
        <v>302</v>
      </c>
      <c r="AG327" t="s">
        <v>1392</v>
      </c>
      <c r="AH327" t="s">
        <v>1393</v>
      </c>
      <c r="AI327" t="s">
        <v>178</v>
      </c>
      <c r="AJ327" t="s">
        <v>179</v>
      </c>
      <c r="AK327">
        <v>4</v>
      </c>
      <c r="AL327" t="s">
        <v>1394</v>
      </c>
      <c r="AM327"/>
      <c r="AN327"/>
      <c r="AO327">
        <v>107</v>
      </c>
      <c r="AP327">
        <v>23</v>
      </c>
      <c r="AQ327"/>
      <c r="AR327"/>
      <c r="AS327">
        <v>900</v>
      </c>
      <c r="AT327">
        <v>900</v>
      </c>
      <c r="AU327"/>
      <c r="AV327"/>
      <c r="AW327"/>
      <c r="AX327"/>
      <c r="AY327"/>
      <c r="AZ327"/>
      <c r="BA327"/>
      <c r="BB327"/>
      <c r="BC327"/>
      <c r="BD327"/>
      <c r="BE327"/>
      <c r="BF327"/>
      <c r="BG327"/>
      <c r="BH327"/>
      <c r="BI327"/>
      <c r="BJ327"/>
      <c r="BK327"/>
      <c r="BL327"/>
      <c r="BM327"/>
      <c r="BN327" s="114"/>
      <c r="BO327"/>
      <c r="BP327"/>
      <c r="BQ327">
        <v>8</v>
      </c>
      <c r="BR327" t="s">
        <v>651</v>
      </c>
      <c r="BS327" t="s">
        <v>182</v>
      </c>
      <c r="BT327" t="s">
        <v>1395</v>
      </c>
      <c r="BU327" s="115">
        <v>45834</v>
      </c>
      <c r="BV327">
        <v>36902</v>
      </c>
      <c r="BW327" s="116"/>
      <c r="BX327"/>
      <c r="BY327" t="s">
        <v>173</v>
      </c>
      <c r="BZ327"/>
      <c r="CA327"/>
      <c r="CB327" t="s">
        <v>173</v>
      </c>
      <c r="CC327" t="s">
        <v>173</v>
      </c>
      <c r="CD327"/>
      <c r="CE327"/>
      <c r="CF327"/>
      <c r="CG327"/>
      <c r="CH327"/>
      <c r="CI327"/>
      <c r="CJ327"/>
      <c r="CK327" t="s">
        <v>259</v>
      </c>
      <c r="CL327"/>
      <c r="CM327">
        <v>10</v>
      </c>
      <c r="CN327" t="s">
        <v>260</v>
      </c>
      <c r="CO327"/>
      <c r="CP327">
        <v>330</v>
      </c>
      <c r="CQ327">
        <v>308</v>
      </c>
      <c r="CR327">
        <v>168.6</v>
      </c>
      <c r="CS327" t="s">
        <v>261</v>
      </c>
      <c r="CT327"/>
      <c r="CU327"/>
      <c r="CV327" t="s">
        <v>262</v>
      </c>
      <c r="CW327"/>
      <c r="CX327" t="s">
        <v>263</v>
      </c>
      <c r="CY327" t="s">
        <v>172</v>
      </c>
      <c r="CZ327"/>
      <c r="DA327"/>
      <c r="DB327"/>
      <c r="DC327"/>
      <c r="DD327">
        <v>1</v>
      </c>
      <c r="DE327" t="s">
        <v>307</v>
      </c>
      <c r="DF327" t="s">
        <v>1524</v>
      </c>
      <c r="DG327">
        <v>235</v>
      </c>
      <c r="DH327"/>
      <c r="DI327"/>
      <c r="DJ327"/>
      <c r="DK327"/>
      <c r="DL327" t="s">
        <v>173</v>
      </c>
      <c r="DM327" t="s">
        <v>172</v>
      </c>
      <c r="DN327"/>
      <c r="DO327"/>
      <c r="DP327" t="s">
        <v>172</v>
      </c>
      <c r="DQ327" t="s">
        <v>204</v>
      </c>
      <c r="DR327" t="s">
        <v>1540</v>
      </c>
      <c r="DS327"/>
      <c r="DT327"/>
      <c r="DU327"/>
      <c r="DV327"/>
      <c r="DW327"/>
      <c r="DX327"/>
      <c r="DY327"/>
      <c r="DZ327"/>
      <c r="EA327" s="117"/>
      <c r="EB327">
        <v>9</v>
      </c>
      <c r="EC327">
        <v>10</v>
      </c>
      <c r="ED327"/>
      <c r="EE327" t="s">
        <v>1529</v>
      </c>
      <c r="EF327">
        <v>10</v>
      </c>
      <c r="EG327"/>
      <c r="EH327"/>
      <c r="EI327"/>
      <c r="EJ327"/>
      <c r="EK327"/>
      <c r="EL327"/>
      <c r="EM327"/>
      <c r="EN327"/>
      <c r="EO327"/>
      <c r="EP327"/>
      <c r="EQ327"/>
      <c r="ER327"/>
      <c r="ES327"/>
      <c r="ET327"/>
      <c r="EU327">
        <v>4000</v>
      </c>
      <c r="EV327"/>
      <c r="EW327">
        <v>0</v>
      </c>
      <c r="EX327">
        <v>0</v>
      </c>
      <c r="EY327">
        <v>0</v>
      </c>
      <c r="EZ327"/>
      <c r="FA327">
        <v>11.5</v>
      </c>
      <c r="FB327"/>
      <c r="FC327"/>
      <c r="FD327"/>
      <c r="FE327"/>
      <c r="FF327"/>
      <c r="FG327" s="94">
        <v>320</v>
      </c>
      <c r="FH327" s="94">
        <v>280</v>
      </c>
      <c r="FI327" s="94">
        <v>302</v>
      </c>
    </row>
    <row r="328" spans="1:165" s="66" customFormat="1" x14ac:dyDescent="0.35">
      <c r="A328">
        <v>2026</v>
      </c>
      <c r="B328" t="s">
        <v>228</v>
      </c>
      <c r="C328" s="112" t="s">
        <v>228</v>
      </c>
      <c r="D328" t="s">
        <v>1540</v>
      </c>
      <c r="E328" t="s">
        <v>230</v>
      </c>
      <c r="F328">
        <v>915</v>
      </c>
      <c r="G328" s="113">
        <v>0</v>
      </c>
      <c r="H328"/>
      <c r="I328" t="s">
        <v>1391</v>
      </c>
      <c r="J328">
        <v>34</v>
      </c>
      <c r="K328">
        <v>39</v>
      </c>
      <c r="L328">
        <v>36</v>
      </c>
      <c r="M328">
        <v>23.876899999999999</v>
      </c>
      <c r="N328">
        <v>26.947700000000001</v>
      </c>
      <c r="O328">
        <v>25.258700000000001</v>
      </c>
      <c r="P328">
        <v>34.1006</v>
      </c>
      <c r="Q328">
        <v>39</v>
      </c>
      <c r="R328">
        <v>36.075499999999998</v>
      </c>
      <c r="S328"/>
      <c r="T328"/>
      <c r="U328"/>
      <c r="V328" t="s">
        <v>170</v>
      </c>
      <c r="W328" t="s">
        <v>171</v>
      </c>
      <c r="X328"/>
      <c r="Y328">
        <v>1</v>
      </c>
      <c r="Z328" t="s">
        <v>173</v>
      </c>
      <c r="AA328" t="s">
        <v>173</v>
      </c>
      <c r="AB328" t="s">
        <v>174</v>
      </c>
      <c r="AC328" t="s">
        <v>175</v>
      </c>
      <c r="AD328"/>
      <c r="AE328"/>
      <c r="AF328">
        <v>302</v>
      </c>
      <c r="AG328" t="s">
        <v>1392</v>
      </c>
      <c r="AH328" t="s">
        <v>1393</v>
      </c>
      <c r="AI328" t="s">
        <v>1399</v>
      </c>
      <c r="AJ328" t="s">
        <v>1400</v>
      </c>
      <c r="AK328">
        <v>4</v>
      </c>
      <c r="AL328" t="s">
        <v>1394</v>
      </c>
      <c r="AM328"/>
      <c r="AN328"/>
      <c r="AO328">
        <v>107</v>
      </c>
      <c r="AP328">
        <v>23</v>
      </c>
      <c r="AQ328"/>
      <c r="AR328"/>
      <c r="AS328">
        <v>900</v>
      </c>
      <c r="AT328">
        <v>900</v>
      </c>
      <c r="AU328"/>
      <c r="AV328"/>
      <c r="AW328"/>
      <c r="AX328"/>
      <c r="AY328"/>
      <c r="AZ328"/>
      <c r="BA328"/>
      <c r="BB328"/>
      <c r="BC328"/>
      <c r="BD328"/>
      <c r="BE328"/>
      <c r="BF328"/>
      <c r="BG328"/>
      <c r="BH328"/>
      <c r="BI328"/>
      <c r="BJ328"/>
      <c r="BK328"/>
      <c r="BL328"/>
      <c r="BM328"/>
      <c r="BN328" s="114"/>
      <c r="BO328"/>
      <c r="BP328"/>
      <c r="BQ328">
        <v>8</v>
      </c>
      <c r="BR328" t="s">
        <v>651</v>
      </c>
      <c r="BS328" t="s">
        <v>182</v>
      </c>
      <c r="BT328" t="s">
        <v>1395</v>
      </c>
      <c r="BU328" s="115">
        <v>45834</v>
      </c>
      <c r="BV328">
        <v>36902</v>
      </c>
      <c r="BW328" s="116"/>
      <c r="BX328"/>
      <c r="BY328" t="s">
        <v>173</v>
      </c>
      <c r="BZ328"/>
      <c r="CA328"/>
      <c r="CB328" t="s">
        <v>173</v>
      </c>
      <c r="CC328" t="s">
        <v>173</v>
      </c>
      <c r="CD328"/>
      <c r="CE328"/>
      <c r="CF328"/>
      <c r="CG328"/>
      <c r="CH328"/>
      <c r="CI328"/>
      <c r="CJ328"/>
      <c r="CK328" t="s">
        <v>259</v>
      </c>
      <c r="CL328"/>
      <c r="CM328">
        <v>10</v>
      </c>
      <c r="CN328" t="s">
        <v>260</v>
      </c>
      <c r="CO328"/>
      <c r="CP328">
        <v>330</v>
      </c>
      <c r="CQ328">
        <v>308</v>
      </c>
      <c r="CR328">
        <v>168.6</v>
      </c>
      <c r="CS328" t="s">
        <v>261</v>
      </c>
      <c r="CT328"/>
      <c r="CU328"/>
      <c r="CV328" t="s">
        <v>262</v>
      </c>
      <c r="CW328"/>
      <c r="CX328" t="s">
        <v>263</v>
      </c>
      <c r="CY328" t="s">
        <v>172</v>
      </c>
      <c r="CZ328"/>
      <c r="DA328"/>
      <c r="DB328"/>
      <c r="DC328"/>
      <c r="DD328">
        <v>1</v>
      </c>
      <c r="DE328" t="s">
        <v>307</v>
      </c>
      <c r="DF328" t="s">
        <v>1524</v>
      </c>
      <c r="DG328">
        <v>235</v>
      </c>
      <c r="DH328"/>
      <c r="DI328"/>
      <c r="DJ328"/>
      <c r="DK328"/>
      <c r="DL328" t="s">
        <v>173</v>
      </c>
      <c r="DM328" t="s">
        <v>172</v>
      </c>
      <c r="DN328"/>
      <c r="DO328"/>
      <c r="DP328" t="s">
        <v>172</v>
      </c>
      <c r="DQ328" t="s">
        <v>204</v>
      </c>
      <c r="DR328" t="s">
        <v>1540</v>
      </c>
      <c r="DS328"/>
      <c r="DT328"/>
      <c r="DU328"/>
      <c r="DV328"/>
      <c r="DW328"/>
      <c r="DX328"/>
      <c r="DY328"/>
      <c r="DZ328"/>
      <c r="EA328" s="117"/>
      <c r="EB328">
        <v>9</v>
      </c>
      <c r="EC328">
        <v>10</v>
      </c>
      <c r="ED328"/>
      <c r="EE328" t="s">
        <v>1529</v>
      </c>
      <c r="EF328">
        <v>10</v>
      </c>
      <c r="EG328"/>
      <c r="EH328"/>
      <c r="EI328"/>
      <c r="EJ328"/>
      <c r="EK328"/>
      <c r="EL328"/>
      <c r="EM328"/>
      <c r="EN328"/>
      <c r="EO328"/>
      <c r="EP328"/>
      <c r="EQ328"/>
      <c r="ER328"/>
      <c r="ES328"/>
      <c r="ET328"/>
      <c r="EU328">
        <v>4000</v>
      </c>
      <c r="EV328"/>
      <c r="EW328">
        <v>0</v>
      </c>
      <c r="EX328">
        <v>0</v>
      </c>
      <c r="EY328">
        <v>0</v>
      </c>
      <c r="EZ328"/>
      <c r="FA328">
        <v>11.5</v>
      </c>
      <c r="FB328"/>
      <c r="FC328"/>
      <c r="FD328"/>
      <c r="FE328"/>
      <c r="FF328"/>
      <c r="FG328" s="94">
        <v>320</v>
      </c>
      <c r="FH328" s="94">
        <v>280</v>
      </c>
      <c r="FI328" s="94">
        <v>302</v>
      </c>
    </row>
    <row r="329" spans="1:165" s="66" customFormat="1" x14ac:dyDescent="0.35">
      <c r="A329" s="19"/>
      <c r="B329" s="19"/>
      <c r="C329" s="19"/>
      <c r="D329" s="19"/>
      <c r="E329" s="19"/>
      <c r="F329" s="128"/>
      <c r="G329" s="19"/>
      <c r="H329" s="19"/>
      <c r="I329" s="19"/>
      <c r="J329" s="19"/>
      <c r="K329" s="19" t="str">
        <f>_xlfn.CONCAT(A330," ",C330," ",D330)</f>
        <v>2026 Mercedes-Benz EQS 400 4MATIC (SUV)</v>
      </c>
      <c r="L329" s="19"/>
      <c r="M329" s="19"/>
      <c r="N329" s="19"/>
      <c r="O329" s="19"/>
      <c r="P329" s="19"/>
      <c r="Q329" s="19"/>
      <c r="R329" s="19"/>
      <c r="S329" s="19"/>
      <c r="T329" s="19"/>
      <c r="U329" s="19"/>
      <c r="V329" s="19"/>
      <c r="W329" s="19"/>
      <c r="X329" s="19"/>
      <c r="Y329" s="19"/>
      <c r="Z329" s="19"/>
      <c r="AA329" s="19"/>
      <c r="AB329" s="19" t="str">
        <f>$K329</f>
        <v>2026 Mercedes-Benz EQS 400 4MATIC (SUV)</v>
      </c>
      <c r="AC329" s="19"/>
      <c r="AD329" s="19"/>
      <c r="AE329" s="19"/>
      <c r="AF329" s="19"/>
      <c r="AG329" s="19"/>
      <c r="AH329" s="19"/>
      <c r="AI329" s="19"/>
      <c r="AJ329" s="19"/>
      <c r="AK329" s="19"/>
      <c r="AL329" s="19"/>
      <c r="AM329" s="19"/>
      <c r="AN329" s="19"/>
      <c r="AO329" s="19"/>
      <c r="AP329" s="19"/>
      <c r="AQ329" s="19"/>
      <c r="AR329" s="19" t="str">
        <f>$K329</f>
        <v>2026 Mercedes-Benz EQS 400 4MATIC (SUV)</v>
      </c>
      <c r="AS329" s="19"/>
      <c r="AT329" s="19"/>
      <c r="AU329" s="19"/>
      <c r="AV329" s="19"/>
      <c r="AW329" s="19"/>
      <c r="AX329" s="19"/>
      <c r="AY329" s="19"/>
      <c r="AZ329" s="19"/>
      <c r="BA329" s="19"/>
      <c r="BB329" s="19"/>
      <c r="BC329" s="19"/>
      <c r="BD329" s="19"/>
      <c r="BE329" s="19"/>
      <c r="BF329" s="19"/>
      <c r="BG329" s="19" t="str">
        <f>$K329</f>
        <v>2026 Mercedes-Benz EQS 400 4MATIC (SUV)</v>
      </c>
      <c r="BH329" s="19"/>
      <c r="BI329" s="19"/>
      <c r="BJ329" s="19"/>
      <c r="BK329" s="19"/>
      <c r="BL329" s="19"/>
      <c r="BM329" s="129"/>
      <c r="BN329" s="19"/>
      <c r="BO329" s="19"/>
      <c r="BP329" s="19"/>
      <c r="BQ329" s="19"/>
      <c r="BR329" s="19"/>
      <c r="BS329" s="19"/>
      <c r="BT329" s="130"/>
      <c r="BU329" s="19"/>
      <c r="BV329" s="19"/>
      <c r="BW329" s="116"/>
      <c r="BX329" s="19"/>
      <c r="BY329" s="19"/>
      <c r="BZ329" s="19"/>
      <c r="CA329" s="19"/>
      <c r="CB329" s="19"/>
      <c r="CC329" s="19"/>
      <c r="CD329" s="19"/>
      <c r="CE329" s="19"/>
      <c r="CF329" s="19"/>
      <c r="CG329" s="19"/>
      <c r="CH329" s="19"/>
      <c r="CI329" s="19"/>
      <c r="CJ329" s="19"/>
      <c r="CK329" s="19"/>
      <c r="CL329" s="19"/>
      <c r="CM329" s="19" t="str">
        <f>$K329</f>
        <v>2026 Mercedes-Benz EQS 400 4MATIC (SUV)</v>
      </c>
      <c r="CN329" s="19"/>
      <c r="CO329" s="19"/>
      <c r="CP329" s="19"/>
      <c r="CQ329" s="19"/>
      <c r="CR329" s="19"/>
      <c r="CS329" s="19"/>
      <c r="CT329" s="19"/>
      <c r="CU329" s="19"/>
      <c r="CV329" s="19"/>
      <c r="CW329" s="19"/>
      <c r="CX329" s="19"/>
      <c r="CY329" s="19"/>
      <c r="CZ329" s="19"/>
      <c r="DA329" s="19"/>
      <c r="DB329" s="19"/>
      <c r="DC329" s="19"/>
      <c r="DD329" s="19" t="str">
        <f>$K329</f>
        <v>2026 Mercedes-Benz EQS 400 4MATIC (SUV)</v>
      </c>
      <c r="DE329" s="19"/>
      <c r="DF329" s="19"/>
      <c r="DG329" s="19"/>
      <c r="DH329" s="19"/>
      <c r="DI329" s="19"/>
      <c r="DJ329" s="19"/>
      <c r="DK329" s="19"/>
      <c r="DL329" s="19"/>
      <c r="DM329" s="19"/>
      <c r="DN329" s="19"/>
      <c r="DO329" s="19"/>
      <c r="DP329" s="19"/>
      <c r="DQ329" s="19"/>
      <c r="DR329" s="19"/>
      <c r="DS329" s="19"/>
      <c r="DT329" s="19"/>
      <c r="DU329" s="19" t="str">
        <f>$K329</f>
        <v>2026 Mercedes-Benz EQS 400 4MATIC (SUV)</v>
      </c>
      <c r="DV329" s="19"/>
      <c r="DW329" s="19"/>
      <c r="DX329" s="19"/>
      <c r="DY329" s="19"/>
      <c r="DZ329" s="19"/>
      <c r="EA329" s="117"/>
      <c r="EB329" s="19"/>
      <c r="EC329" s="19"/>
      <c r="ED329" s="19"/>
      <c r="EE329" s="19"/>
      <c r="EF329" s="19"/>
      <c r="EG329"/>
      <c r="EH329"/>
      <c r="EI329"/>
      <c r="EJ329"/>
      <c r="EK329"/>
      <c r="EL329"/>
      <c r="EM329"/>
      <c r="EN329"/>
      <c r="EO329"/>
      <c r="EP329"/>
      <c r="EQ329"/>
      <c r="ER329"/>
      <c r="ES329"/>
      <c r="ET329"/>
      <c r="EU329"/>
      <c r="EV329"/>
      <c r="EW329"/>
      <c r="EX329" s="19" t="s">
        <v>2028</v>
      </c>
      <c r="EY329"/>
      <c r="EZ329"/>
      <c r="FA329"/>
      <c r="FB329"/>
      <c r="FC329"/>
      <c r="FD329"/>
      <c r="FE329"/>
      <c r="FF329"/>
      <c r="FG329"/>
      <c r="FH329"/>
      <c r="FI329"/>
    </row>
    <row r="330" spans="1:165" s="66" customFormat="1" x14ac:dyDescent="0.35">
      <c r="A330">
        <v>2026</v>
      </c>
      <c r="B330" t="s">
        <v>228</v>
      </c>
      <c r="C330" s="112" t="s">
        <v>228</v>
      </c>
      <c r="D330" t="s">
        <v>1548</v>
      </c>
      <c r="E330" t="s">
        <v>230</v>
      </c>
      <c r="F330">
        <v>917</v>
      </c>
      <c r="G330" s="113">
        <v>0</v>
      </c>
      <c r="H330"/>
      <c r="I330" t="s">
        <v>1391</v>
      </c>
      <c r="J330">
        <v>80</v>
      </c>
      <c r="K330">
        <v>78</v>
      </c>
      <c r="L330">
        <v>79</v>
      </c>
      <c r="M330">
        <v>115.6</v>
      </c>
      <c r="N330">
        <v>112</v>
      </c>
      <c r="O330">
        <v>113.95180000000001</v>
      </c>
      <c r="P330">
        <v>80</v>
      </c>
      <c r="Q330">
        <v>78.400000000000006</v>
      </c>
      <c r="R330">
        <v>79</v>
      </c>
      <c r="S330"/>
      <c r="T330"/>
      <c r="U330"/>
      <c r="V330" t="s">
        <v>170</v>
      </c>
      <c r="W330" t="s">
        <v>171</v>
      </c>
      <c r="X330"/>
      <c r="Y330">
        <v>1</v>
      </c>
      <c r="Z330" t="s">
        <v>173</v>
      </c>
      <c r="AA330" t="s">
        <v>173</v>
      </c>
      <c r="AB330" t="s">
        <v>170</v>
      </c>
      <c r="AC330" t="s">
        <v>232</v>
      </c>
      <c r="AD330"/>
      <c r="AE330"/>
      <c r="AF330">
        <v>312</v>
      </c>
      <c r="AG330" t="s">
        <v>1392</v>
      </c>
      <c r="AH330" t="s">
        <v>1393</v>
      </c>
      <c r="AI330" t="s">
        <v>178</v>
      </c>
      <c r="AJ330" t="s">
        <v>179</v>
      </c>
      <c r="AK330">
        <v>4</v>
      </c>
      <c r="AL330" t="s">
        <v>1394</v>
      </c>
      <c r="AM330"/>
      <c r="AN330"/>
      <c r="AO330"/>
      <c r="AP330"/>
      <c r="AQ330"/>
      <c r="AR330"/>
      <c r="AS330">
        <v>1100</v>
      </c>
      <c r="AT330">
        <v>1100</v>
      </c>
      <c r="AU330"/>
      <c r="AV330"/>
      <c r="AW330"/>
      <c r="AX330"/>
      <c r="AY330"/>
      <c r="AZ330"/>
      <c r="BA330"/>
      <c r="BB330"/>
      <c r="BC330"/>
      <c r="BD330"/>
      <c r="BE330"/>
      <c r="BF330"/>
      <c r="BG330"/>
      <c r="BH330"/>
      <c r="BI330"/>
      <c r="BJ330"/>
      <c r="BK330"/>
      <c r="BL330"/>
      <c r="BM330"/>
      <c r="BN330" s="114"/>
      <c r="BO330"/>
      <c r="BP330"/>
      <c r="BQ330">
        <v>33</v>
      </c>
      <c r="BR330" t="s">
        <v>1062</v>
      </c>
      <c r="BS330"/>
      <c r="BT330" t="s">
        <v>1395</v>
      </c>
      <c r="BU330" s="115">
        <v>45818</v>
      </c>
      <c r="BV330">
        <v>36743</v>
      </c>
      <c r="BW330" s="116"/>
      <c r="BX330"/>
      <c r="BY330" t="s">
        <v>173</v>
      </c>
      <c r="BZ330"/>
      <c r="CA330"/>
      <c r="CB330" t="s">
        <v>173</v>
      </c>
      <c r="CC330" t="s">
        <v>173</v>
      </c>
      <c r="CD330"/>
      <c r="CE330"/>
      <c r="CF330"/>
      <c r="CG330"/>
      <c r="CH330"/>
      <c r="CI330"/>
      <c r="CJ330"/>
      <c r="CK330" t="s">
        <v>259</v>
      </c>
      <c r="CL330"/>
      <c r="CM330">
        <v>12</v>
      </c>
      <c r="CN330" t="s">
        <v>260</v>
      </c>
      <c r="CO330"/>
      <c r="CP330">
        <v>396</v>
      </c>
      <c r="CQ330">
        <v>308</v>
      </c>
      <c r="CR330">
        <v>171.3</v>
      </c>
      <c r="CS330" t="s">
        <v>261</v>
      </c>
      <c r="CT330"/>
      <c r="CU330"/>
      <c r="CV330" t="s">
        <v>262</v>
      </c>
      <c r="CW330"/>
      <c r="CX330" t="s">
        <v>263</v>
      </c>
      <c r="CY330" t="s">
        <v>172</v>
      </c>
      <c r="CZ330"/>
      <c r="DA330"/>
      <c r="DB330"/>
      <c r="DC330" t="s">
        <v>1536</v>
      </c>
      <c r="DD330">
        <v>2</v>
      </c>
      <c r="DE330" t="s">
        <v>307</v>
      </c>
      <c r="DF330" t="s">
        <v>1524</v>
      </c>
      <c r="DG330" t="s">
        <v>1537</v>
      </c>
      <c r="DH330"/>
      <c r="DI330"/>
      <c r="DJ330"/>
      <c r="DK330"/>
      <c r="DL330" t="s">
        <v>173</v>
      </c>
      <c r="DM330" t="s">
        <v>172</v>
      </c>
      <c r="DN330"/>
      <c r="DO330"/>
      <c r="DP330" t="s">
        <v>172</v>
      </c>
      <c r="DQ330" t="s">
        <v>204</v>
      </c>
      <c r="DR330" t="s">
        <v>1548</v>
      </c>
      <c r="DS330"/>
      <c r="DT330"/>
      <c r="DU330"/>
      <c r="DV330"/>
      <c r="DW330"/>
      <c r="DX330"/>
      <c r="DY330"/>
      <c r="DZ330"/>
      <c r="EA330" s="117"/>
      <c r="EB330">
        <v>9</v>
      </c>
      <c r="EC330">
        <v>10</v>
      </c>
      <c r="ED330"/>
      <c r="EE330" t="s">
        <v>1538</v>
      </c>
      <c r="EF330">
        <v>10</v>
      </c>
      <c r="EG330"/>
      <c r="EH330"/>
      <c r="EI330"/>
      <c r="EJ330"/>
      <c r="EK330"/>
      <c r="EL330"/>
      <c r="EM330"/>
      <c r="EN330"/>
      <c r="EO330"/>
      <c r="EP330"/>
      <c r="EQ330"/>
      <c r="ER330"/>
      <c r="ES330"/>
      <c r="ET330"/>
      <c r="EU330">
        <v>3000</v>
      </c>
      <c r="EV330"/>
      <c r="EW330">
        <v>0</v>
      </c>
      <c r="EX330">
        <v>0</v>
      </c>
      <c r="EY330">
        <v>0</v>
      </c>
      <c r="EZ330"/>
      <c r="FA330">
        <v>14</v>
      </c>
      <c r="FB330"/>
      <c r="FC330"/>
      <c r="FD330"/>
      <c r="FE330"/>
      <c r="FF330"/>
      <c r="FG330" s="94">
        <v>316</v>
      </c>
      <c r="FH330" s="94">
        <v>307</v>
      </c>
      <c r="FI330" s="94">
        <v>312</v>
      </c>
    </row>
    <row r="331" spans="1:165" s="66" customFormat="1" x14ac:dyDescent="0.35">
      <c r="A331">
        <v>2026</v>
      </c>
      <c r="B331" t="s">
        <v>228</v>
      </c>
      <c r="C331" s="112" t="s">
        <v>228</v>
      </c>
      <c r="D331" t="s">
        <v>1548</v>
      </c>
      <c r="E331" t="s">
        <v>230</v>
      </c>
      <c r="F331">
        <v>917</v>
      </c>
      <c r="G331" s="113">
        <v>0</v>
      </c>
      <c r="H331"/>
      <c r="I331" t="s">
        <v>1391</v>
      </c>
      <c r="J331">
        <v>42</v>
      </c>
      <c r="K331">
        <v>43</v>
      </c>
      <c r="L331">
        <v>43</v>
      </c>
      <c r="M331">
        <v>29.157800000000002</v>
      </c>
      <c r="N331">
        <v>30.102900000000002</v>
      </c>
      <c r="O331">
        <v>29.583100000000002</v>
      </c>
      <c r="P331">
        <v>41.652200000000001</v>
      </c>
      <c r="Q331">
        <v>42.991100000000003</v>
      </c>
      <c r="R331">
        <v>43</v>
      </c>
      <c r="S331"/>
      <c r="T331"/>
      <c r="U331"/>
      <c r="V331" t="s">
        <v>170</v>
      </c>
      <c r="W331" t="s">
        <v>171</v>
      </c>
      <c r="X331"/>
      <c r="Y331">
        <v>1</v>
      </c>
      <c r="Z331" t="s">
        <v>173</v>
      </c>
      <c r="AA331" t="s">
        <v>173</v>
      </c>
      <c r="AB331" t="s">
        <v>170</v>
      </c>
      <c r="AC331" t="s">
        <v>232</v>
      </c>
      <c r="AD331"/>
      <c r="AE331"/>
      <c r="AF331">
        <v>312</v>
      </c>
      <c r="AG331" t="s">
        <v>1392</v>
      </c>
      <c r="AH331" t="s">
        <v>1393</v>
      </c>
      <c r="AI331" t="s">
        <v>1399</v>
      </c>
      <c r="AJ331" t="s">
        <v>1400</v>
      </c>
      <c r="AK331">
        <v>4</v>
      </c>
      <c r="AL331" t="s">
        <v>1394</v>
      </c>
      <c r="AM331"/>
      <c r="AN331"/>
      <c r="AO331"/>
      <c r="AP331"/>
      <c r="AQ331"/>
      <c r="AR331"/>
      <c r="AS331">
        <v>1100</v>
      </c>
      <c r="AT331">
        <v>1100</v>
      </c>
      <c r="AU331"/>
      <c r="AV331"/>
      <c r="AW331"/>
      <c r="AX331"/>
      <c r="AY331"/>
      <c r="AZ331"/>
      <c r="BA331"/>
      <c r="BB331"/>
      <c r="BC331"/>
      <c r="BD331"/>
      <c r="BE331"/>
      <c r="BF331"/>
      <c r="BG331"/>
      <c r="BH331"/>
      <c r="BI331"/>
      <c r="BJ331"/>
      <c r="BK331"/>
      <c r="BL331"/>
      <c r="BM331"/>
      <c r="BN331" s="114"/>
      <c r="BO331"/>
      <c r="BP331"/>
      <c r="BQ331">
        <v>33</v>
      </c>
      <c r="BR331" t="s">
        <v>1062</v>
      </c>
      <c r="BS331"/>
      <c r="BT331" t="s">
        <v>1395</v>
      </c>
      <c r="BU331" s="115">
        <v>45818</v>
      </c>
      <c r="BV331">
        <v>36743</v>
      </c>
      <c r="BW331" s="116"/>
      <c r="BX331"/>
      <c r="BY331" t="s">
        <v>173</v>
      </c>
      <c r="BZ331"/>
      <c r="CA331"/>
      <c r="CB331" t="s">
        <v>173</v>
      </c>
      <c r="CC331" t="s">
        <v>173</v>
      </c>
      <c r="CD331"/>
      <c r="CE331"/>
      <c r="CF331"/>
      <c r="CG331"/>
      <c r="CH331"/>
      <c r="CI331"/>
      <c r="CJ331"/>
      <c r="CK331" t="s">
        <v>259</v>
      </c>
      <c r="CL331"/>
      <c r="CM331">
        <v>12</v>
      </c>
      <c r="CN331" t="s">
        <v>260</v>
      </c>
      <c r="CO331"/>
      <c r="CP331">
        <v>396</v>
      </c>
      <c r="CQ331">
        <v>308</v>
      </c>
      <c r="CR331">
        <v>171.3</v>
      </c>
      <c r="CS331" t="s">
        <v>261</v>
      </c>
      <c r="CT331"/>
      <c r="CU331"/>
      <c r="CV331" t="s">
        <v>262</v>
      </c>
      <c r="CW331"/>
      <c r="CX331" t="s">
        <v>263</v>
      </c>
      <c r="CY331" t="s">
        <v>172</v>
      </c>
      <c r="CZ331"/>
      <c r="DA331"/>
      <c r="DB331"/>
      <c r="DC331" t="s">
        <v>1536</v>
      </c>
      <c r="DD331">
        <v>2</v>
      </c>
      <c r="DE331" t="s">
        <v>307</v>
      </c>
      <c r="DF331" t="s">
        <v>1527</v>
      </c>
      <c r="DG331" t="s">
        <v>1537</v>
      </c>
      <c r="DH331"/>
      <c r="DI331"/>
      <c r="DJ331"/>
      <c r="DK331"/>
      <c r="DL331" t="s">
        <v>173</v>
      </c>
      <c r="DM331" t="s">
        <v>172</v>
      </c>
      <c r="DN331"/>
      <c r="DO331"/>
      <c r="DP331" t="s">
        <v>172</v>
      </c>
      <c r="DQ331" t="s">
        <v>204</v>
      </c>
      <c r="DR331" t="s">
        <v>1548</v>
      </c>
      <c r="DS331"/>
      <c r="DT331"/>
      <c r="DU331"/>
      <c r="DV331"/>
      <c r="DW331"/>
      <c r="DX331"/>
      <c r="DY331"/>
      <c r="DZ331"/>
      <c r="EA331" s="117"/>
      <c r="EB331">
        <v>9</v>
      </c>
      <c r="EC331">
        <v>10</v>
      </c>
      <c r="ED331"/>
      <c r="EE331" t="s">
        <v>1538</v>
      </c>
      <c r="EF331">
        <v>10</v>
      </c>
      <c r="EG331"/>
      <c r="EH331"/>
      <c r="EI331"/>
      <c r="EJ331"/>
      <c r="EK331"/>
      <c r="EL331"/>
      <c r="EM331"/>
      <c r="EN331"/>
      <c r="EO331"/>
      <c r="EP331"/>
      <c r="EQ331"/>
      <c r="ER331"/>
      <c r="ES331"/>
      <c r="ET331"/>
      <c r="EU331">
        <v>3000</v>
      </c>
      <c r="EV331"/>
      <c r="EW331">
        <v>0</v>
      </c>
      <c r="EX331">
        <v>0</v>
      </c>
      <c r="EY331">
        <v>0</v>
      </c>
      <c r="EZ331"/>
      <c r="FA331">
        <v>14</v>
      </c>
      <c r="FB331"/>
      <c r="FC331"/>
      <c r="FD331"/>
      <c r="FE331"/>
      <c r="FF331"/>
      <c r="FG331" s="94">
        <v>316</v>
      </c>
      <c r="FH331" s="94">
        <v>307</v>
      </c>
      <c r="FI331" s="94">
        <v>312</v>
      </c>
    </row>
    <row r="332" spans="1:165" s="66" customFormat="1" x14ac:dyDescent="0.35">
      <c r="A332" s="19"/>
      <c r="B332" s="19"/>
      <c r="C332" s="19"/>
      <c r="D332" s="19"/>
      <c r="E332" s="19"/>
      <c r="F332" s="128"/>
      <c r="G332" s="19"/>
      <c r="H332" s="19"/>
      <c r="I332" s="19"/>
      <c r="J332" s="19"/>
      <c r="K332" s="19" t="str">
        <f>_xlfn.CONCAT(A333," ",C333," ",D333)</f>
        <v>2026 Mercedes-Benz EQS 550 4MATIC (SUV)</v>
      </c>
      <c r="L332" s="19"/>
      <c r="M332" s="19"/>
      <c r="N332" s="19"/>
      <c r="O332" s="19"/>
      <c r="P332" s="19"/>
      <c r="Q332" s="19"/>
      <c r="R332" s="19"/>
      <c r="S332" s="19"/>
      <c r="T332" s="19"/>
      <c r="U332" s="19"/>
      <c r="V332" s="19"/>
      <c r="W332" s="19"/>
      <c r="X332" s="19"/>
      <c r="Y332" s="19"/>
      <c r="Z332" s="19"/>
      <c r="AA332" s="19"/>
      <c r="AB332" s="19" t="str">
        <f>$K332</f>
        <v>2026 Mercedes-Benz EQS 550 4MATIC (SUV)</v>
      </c>
      <c r="AC332" s="19"/>
      <c r="AD332" s="19"/>
      <c r="AE332" s="19"/>
      <c r="AF332" s="19"/>
      <c r="AG332" s="19"/>
      <c r="AH332" s="19"/>
      <c r="AI332" s="19"/>
      <c r="AJ332" s="19"/>
      <c r="AK332" s="19"/>
      <c r="AL332" s="19"/>
      <c r="AM332" s="19"/>
      <c r="AN332" s="19"/>
      <c r="AO332" s="19"/>
      <c r="AP332" s="19"/>
      <c r="AQ332" s="19"/>
      <c r="AR332" s="19" t="str">
        <f>$K332</f>
        <v>2026 Mercedes-Benz EQS 550 4MATIC (SUV)</v>
      </c>
      <c r="AS332" s="19"/>
      <c r="AT332" s="19"/>
      <c r="AU332" s="19"/>
      <c r="AV332" s="19"/>
      <c r="AW332" s="19"/>
      <c r="AX332" s="19"/>
      <c r="AY332" s="19"/>
      <c r="AZ332" s="19"/>
      <c r="BA332" s="19"/>
      <c r="BB332" s="19"/>
      <c r="BC332" s="19"/>
      <c r="BD332" s="19"/>
      <c r="BE332" s="19"/>
      <c r="BF332" s="19"/>
      <c r="BG332" s="19" t="str">
        <f>$K332</f>
        <v>2026 Mercedes-Benz EQS 550 4MATIC (SUV)</v>
      </c>
      <c r="BH332" s="19"/>
      <c r="BI332" s="19"/>
      <c r="BJ332" s="19"/>
      <c r="BK332" s="19"/>
      <c r="BL332" s="19"/>
      <c r="BM332" s="129"/>
      <c r="BN332" s="19"/>
      <c r="BO332" s="19"/>
      <c r="BP332" s="19"/>
      <c r="BQ332" s="19"/>
      <c r="BR332" s="19"/>
      <c r="BS332" s="19"/>
      <c r="BT332" s="130"/>
      <c r="BU332" s="19"/>
      <c r="BV332" s="19"/>
      <c r="BW332" s="116"/>
      <c r="BX332" s="19"/>
      <c r="BY332" s="19"/>
      <c r="BZ332" s="19"/>
      <c r="CA332" s="19"/>
      <c r="CB332" s="19"/>
      <c r="CC332" s="19"/>
      <c r="CD332" s="19"/>
      <c r="CE332" s="19"/>
      <c r="CF332" s="19"/>
      <c r="CG332" s="19"/>
      <c r="CH332" s="19"/>
      <c r="CI332" s="19"/>
      <c r="CJ332" s="19"/>
      <c r="CK332" s="19"/>
      <c r="CL332" s="19"/>
      <c r="CM332" s="19" t="str">
        <f>$K332</f>
        <v>2026 Mercedes-Benz EQS 550 4MATIC (SUV)</v>
      </c>
      <c r="CN332" s="19"/>
      <c r="CO332" s="19"/>
      <c r="CP332" s="19"/>
      <c r="CQ332" s="19"/>
      <c r="CR332" s="19"/>
      <c r="CS332" s="19"/>
      <c r="CT332" s="19"/>
      <c r="CU332" s="19"/>
      <c r="CV332" s="19"/>
      <c r="CW332" s="19"/>
      <c r="CX332" s="19"/>
      <c r="CY332" s="19"/>
      <c r="CZ332" s="19"/>
      <c r="DA332" s="19"/>
      <c r="DB332" s="19"/>
      <c r="DC332" s="19"/>
      <c r="DD332" s="19" t="str">
        <f>$K332</f>
        <v>2026 Mercedes-Benz EQS 550 4MATIC (SUV)</v>
      </c>
      <c r="DE332" s="19"/>
      <c r="DF332" s="19"/>
      <c r="DG332" s="19"/>
      <c r="DH332" s="19"/>
      <c r="DI332" s="19"/>
      <c r="DJ332" s="19"/>
      <c r="DK332" s="19"/>
      <c r="DL332" s="19"/>
      <c r="DM332" s="19"/>
      <c r="DN332" s="19"/>
      <c r="DO332" s="19"/>
      <c r="DP332" s="19"/>
      <c r="DQ332" s="19"/>
      <c r="DR332" s="19"/>
      <c r="DS332" s="19"/>
      <c r="DT332" s="19"/>
      <c r="DU332" s="19" t="str">
        <f>$K332</f>
        <v>2026 Mercedes-Benz EQS 550 4MATIC (SUV)</v>
      </c>
      <c r="DV332" s="19"/>
      <c r="DW332" s="19"/>
      <c r="DX332" s="19"/>
      <c r="DY332" s="19"/>
      <c r="DZ332" s="19"/>
      <c r="EA332" s="117"/>
      <c r="EB332" s="19"/>
      <c r="EC332" s="19"/>
      <c r="ED332" s="19"/>
      <c r="EE332" s="19"/>
      <c r="EF332" s="19"/>
      <c r="EG332"/>
      <c r="EH332"/>
      <c r="EI332"/>
      <c r="EJ332"/>
      <c r="EK332"/>
      <c r="EL332"/>
      <c r="EM332"/>
      <c r="EN332"/>
      <c r="EO332"/>
      <c r="EP332"/>
      <c r="EQ332"/>
      <c r="ER332"/>
      <c r="ES332"/>
      <c r="ET332"/>
      <c r="EU332"/>
      <c r="EV332"/>
      <c r="EW332"/>
      <c r="EX332" s="19" t="s">
        <v>2029</v>
      </c>
      <c r="EY332"/>
      <c r="EZ332"/>
      <c r="FA332"/>
      <c r="FB332"/>
      <c r="FC332"/>
      <c r="FD332"/>
      <c r="FE332"/>
      <c r="FF332"/>
      <c r="FG332"/>
      <c r="FH332"/>
      <c r="FI332"/>
    </row>
    <row r="333" spans="1:165" s="66" customFormat="1" x14ac:dyDescent="0.35">
      <c r="A333">
        <v>2026</v>
      </c>
      <c r="B333" t="s">
        <v>228</v>
      </c>
      <c r="C333" s="112" t="s">
        <v>228</v>
      </c>
      <c r="D333" t="s">
        <v>1549</v>
      </c>
      <c r="E333" t="s">
        <v>230</v>
      </c>
      <c r="F333">
        <v>918</v>
      </c>
      <c r="G333" s="113">
        <v>0</v>
      </c>
      <c r="H333"/>
      <c r="I333" t="s">
        <v>1391</v>
      </c>
      <c r="J333">
        <v>82</v>
      </c>
      <c r="K333">
        <v>78</v>
      </c>
      <c r="L333">
        <v>80</v>
      </c>
      <c r="M333">
        <v>118.9</v>
      </c>
      <c r="N333">
        <v>113.3</v>
      </c>
      <c r="O333">
        <v>116.313</v>
      </c>
      <c r="P333">
        <v>82</v>
      </c>
      <c r="Q333">
        <v>78</v>
      </c>
      <c r="R333">
        <v>80</v>
      </c>
      <c r="S333"/>
      <c r="T333"/>
      <c r="U333"/>
      <c r="V333" t="s">
        <v>170</v>
      </c>
      <c r="W333" t="s">
        <v>171</v>
      </c>
      <c r="X333"/>
      <c r="Y333">
        <v>1</v>
      </c>
      <c r="Z333" t="s">
        <v>173</v>
      </c>
      <c r="AA333" t="s">
        <v>173</v>
      </c>
      <c r="AB333" t="s">
        <v>170</v>
      </c>
      <c r="AC333" t="s">
        <v>232</v>
      </c>
      <c r="AD333"/>
      <c r="AE333"/>
      <c r="AF333">
        <v>317</v>
      </c>
      <c r="AG333" t="s">
        <v>1392</v>
      </c>
      <c r="AH333" t="s">
        <v>1393</v>
      </c>
      <c r="AI333" t="s">
        <v>178</v>
      </c>
      <c r="AJ333" t="s">
        <v>179</v>
      </c>
      <c r="AK333">
        <v>4</v>
      </c>
      <c r="AL333" t="s">
        <v>1394</v>
      </c>
      <c r="AM333"/>
      <c r="AN333"/>
      <c r="AO333"/>
      <c r="AP333"/>
      <c r="AQ333"/>
      <c r="AR333"/>
      <c r="AS333">
        <v>1050</v>
      </c>
      <c r="AT333">
        <v>1050</v>
      </c>
      <c r="AU333"/>
      <c r="AV333"/>
      <c r="AW333"/>
      <c r="AX333"/>
      <c r="AY333"/>
      <c r="AZ333"/>
      <c r="BA333"/>
      <c r="BB333"/>
      <c r="BC333"/>
      <c r="BD333"/>
      <c r="BE333"/>
      <c r="BF333"/>
      <c r="BG333"/>
      <c r="BH333"/>
      <c r="BI333"/>
      <c r="BJ333"/>
      <c r="BK333"/>
      <c r="BL333"/>
      <c r="BM333"/>
      <c r="BN333" s="114"/>
      <c r="BO333"/>
      <c r="BP333"/>
      <c r="BQ333">
        <v>33</v>
      </c>
      <c r="BR333" t="s">
        <v>1062</v>
      </c>
      <c r="BS333"/>
      <c r="BT333" t="s">
        <v>1395</v>
      </c>
      <c r="BU333" s="115">
        <v>45818</v>
      </c>
      <c r="BV333">
        <v>36744</v>
      </c>
      <c r="BW333" s="116"/>
      <c r="BX333"/>
      <c r="BY333" t="s">
        <v>173</v>
      </c>
      <c r="BZ333"/>
      <c r="CA333"/>
      <c r="CB333" t="s">
        <v>173</v>
      </c>
      <c r="CC333" t="s">
        <v>173</v>
      </c>
      <c r="CD333"/>
      <c r="CE333"/>
      <c r="CF333"/>
      <c r="CG333"/>
      <c r="CH333"/>
      <c r="CI333"/>
      <c r="CJ333"/>
      <c r="CK333" t="s">
        <v>259</v>
      </c>
      <c r="CL333"/>
      <c r="CM333">
        <v>12</v>
      </c>
      <c r="CN333" t="s">
        <v>260</v>
      </c>
      <c r="CO333"/>
      <c r="CP333">
        <v>396</v>
      </c>
      <c r="CQ333">
        <v>308</v>
      </c>
      <c r="CR333">
        <v>171.3</v>
      </c>
      <c r="CS333" t="s">
        <v>261</v>
      </c>
      <c r="CT333"/>
      <c r="CU333"/>
      <c r="CV333" t="s">
        <v>262</v>
      </c>
      <c r="CW333"/>
      <c r="CX333" t="s">
        <v>263</v>
      </c>
      <c r="CY333" t="s">
        <v>172</v>
      </c>
      <c r="CZ333"/>
      <c r="DA333"/>
      <c r="DB333"/>
      <c r="DC333" t="s">
        <v>1536</v>
      </c>
      <c r="DD333">
        <v>2</v>
      </c>
      <c r="DE333" t="s">
        <v>307</v>
      </c>
      <c r="DF333" t="s">
        <v>1527</v>
      </c>
      <c r="DG333" t="s">
        <v>1537</v>
      </c>
      <c r="DH333"/>
      <c r="DI333"/>
      <c r="DJ333"/>
      <c r="DK333"/>
      <c r="DL333" t="s">
        <v>173</v>
      </c>
      <c r="DM333" t="s">
        <v>172</v>
      </c>
      <c r="DN333"/>
      <c r="DO333"/>
      <c r="DP333" t="s">
        <v>172</v>
      </c>
      <c r="DQ333" t="s">
        <v>204</v>
      </c>
      <c r="DR333" t="s">
        <v>1549</v>
      </c>
      <c r="DS333"/>
      <c r="DT333"/>
      <c r="DU333"/>
      <c r="DV333"/>
      <c r="DW333"/>
      <c r="DX333"/>
      <c r="DY333"/>
      <c r="DZ333"/>
      <c r="EA333" s="117"/>
      <c r="EB333">
        <v>9</v>
      </c>
      <c r="EC333">
        <v>10</v>
      </c>
      <c r="ED333"/>
      <c r="EE333" t="s">
        <v>1538</v>
      </c>
      <c r="EF333">
        <v>10</v>
      </c>
      <c r="EG333"/>
      <c r="EH333"/>
      <c r="EI333"/>
      <c r="EJ333"/>
      <c r="EK333"/>
      <c r="EL333"/>
      <c r="EM333"/>
      <c r="EN333"/>
      <c r="EO333"/>
      <c r="EP333"/>
      <c r="EQ333"/>
      <c r="ER333"/>
      <c r="ES333"/>
      <c r="ET333"/>
      <c r="EU333">
        <v>3250</v>
      </c>
      <c r="EV333"/>
      <c r="EW333">
        <v>0</v>
      </c>
      <c r="EX333">
        <v>0</v>
      </c>
      <c r="EY333">
        <v>0</v>
      </c>
      <c r="EZ333"/>
      <c r="FA333">
        <v>14</v>
      </c>
      <c r="FB333"/>
      <c r="FC333"/>
      <c r="FD333"/>
      <c r="FE333"/>
      <c r="FF333"/>
      <c r="FG333" s="94">
        <v>324</v>
      </c>
      <c r="FH333" s="94">
        <v>309</v>
      </c>
      <c r="FI333" s="94">
        <v>317</v>
      </c>
    </row>
    <row r="334" spans="1:165" s="66" customFormat="1" x14ac:dyDescent="0.35">
      <c r="A334">
        <v>2026</v>
      </c>
      <c r="B334" t="s">
        <v>228</v>
      </c>
      <c r="C334" s="112" t="s">
        <v>228</v>
      </c>
      <c r="D334" t="s">
        <v>1549</v>
      </c>
      <c r="E334" t="s">
        <v>230</v>
      </c>
      <c r="F334">
        <v>918</v>
      </c>
      <c r="G334" s="113">
        <v>0</v>
      </c>
      <c r="H334"/>
      <c r="I334" t="s">
        <v>1391</v>
      </c>
      <c r="J334">
        <v>41</v>
      </c>
      <c r="K334">
        <v>43</v>
      </c>
      <c r="L334">
        <v>42</v>
      </c>
      <c r="M334">
        <v>28.335599999999999</v>
      </c>
      <c r="N334">
        <v>29.7559</v>
      </c>
      <c r="O334">
        <v>28.974799999999998</v>
      </c>
      <c r="P334">
        <v>41</v>
      </c>
      <c r="Q334">
        <v>43</v>
      </c>
      <c r="R334">
        <v>42</v>
      </c>
      <c r="S334"/>
      <c r="T334"/>
      <c r="U334"/>
      <c r="V334" t="s">
        <v>170</v>
      </c>
      <c r="W334" t="s">
        <v>171</v>
      </c>
      <c r="X334"/>
      <c r="Y334">
        <v>1</v>
      </c>
      <c r="Z334" t="s">
        <v>173</v>
      </c>
      <c r="AA334" t="s">
        <v>173</v>
      </c>
      <c r="AB334" t="s">
        <v>170</v>
      </c>
      <c r="AC334" t="s">
        <v>232</v>
      </c>
      <c r="AD334"/>
      <c r="AE334"/>
      <c r="AF334">
        <v>317</v>
      </c>
      <c r="AG334" t="s">
        <v>1392</v>
      </c>
      <c r="AH334" t="s">
        <v>1393</v>
      </c>
      <c r="AI334" t="s">
        <v>1399</v>
      </c>
      <c r="AJ334" t="s">
        <v>1400</v>
      </c>
      <c r="AK334">
        <v>4</v>
      </c>
      <c r="AL334" t="s">
        <v>1394</v>
      </c>
      <c r="AM334"/>
      <c r="AN334"/>
      <c r="AO334"/>
      <c r="AP334"/>
      <c r="AQ334"/>
      <c r="AR334"/>
      <c r="AS334">
        <v>1050</v>
      </c>
      <c r="AT334">
        <v>1050</v>
      </c>
      <c r="AU334"/>
      <c r="AV334"/>
      <c r="AW334"/>
      <c r="AX334"/>
      <c r="AY334"/>
      <c r="AZ334"/>
      <c r="BA334"/>
      <c r="BB334"/>
      <c r="BC334"/>
      <c r="BD334"/>
      <c r="BE334"/>
      <c r="BF334"/>
      <c r="BG334"/>
      <c r="BH334"/>
      <c r="BI334"/>
      <c r="BJ334"/>
      <c r="BK334"/>
      <c r="BL334"/>
      <c r="BM334"/>
      <c r="BN334" s="114"/>
      <c r="BO334"/>
      <c r="BP334"/>
      <c r="BQ334">
        <v>33</v>
      </c>
      <c r="BR334" t="s">
        <v>1062</v>
      </c>
      <c r="BS334"/>
      <c r="BT334" t="s">
        <v>1395</v>
      </c>
      <c r="BU334" s="115">
        <v>45818</v>
      </c>
      <c r="BV334">
        <v>36744</v>
      </c>
      <c r="BW334" s="116"/>
      <c r="BX334"/>
      <c r="BY334" t="s">
        <v>173</v>
      </c>
      <c r="BZ334"/>
      <c r="CA334"/>
      <c r="CB334" t="s">
        <v>173</v>
      </c>
      <c r="CC334" t="s">
        <v>173</v>
      </c>
      <c r="CD334"/>
      <c r="CE334"/>
      <c r="CF334"/>
      <c r="CG334"/>
      <c r="CH334"/>
      <c r="CI334"/>
      <c r="CJ334"/>
      <c r="CK334" t="s">
        <v>259</v>
      </c>
      <c r="CL334"/>
      <c r="CM334">
        <v>12</v>
      </c>
      <c r="CN334" t="s">
        <v>260</v>
      </c>
      <c r="CO334"/>
      <c r="CP334">
        <v>396</v>
      </c>
      <c r="CQ334">
        <v>308</v>
      </c>
      <c r="CR334">
        <v>171.3</v>
      </c>
      <c r="CS334" t="s">
        <v>261</v>
      </c>
      <c r="CT334"/>
      <c r="CU334"/>
      <c r="CV334" t="s">
        <v>262</v>
      </c>
      <c r="CW334"/>
      <c r="CX334" t="s">
        <v>263</v>
      </c>
      <c r="CY334" t="s">
        <v>172</v>
      </c>
      <c r="CZ334"/>
      <c r="DA334"/>
      <c r="DB334"/>
      <c r="DC334" t="s">
        <v>1536</v>
      </c>
      <c r="DD334">
        <v>2</v>
      </c>
      <c r="DE334" t="s">
        <v>307</v>
      </c>
      <c r="DF334" t="s">
        <v>1524</v>
      </c>
      <c r="DG334" t="s">
        <v>1537</v>
      </c>
      <c r="DH334"/>
      <c r="DI334"/>
      <c r="DJ334"/>
      <c r="DK334"/>
      <c r="DL334" t="s">
        <v>173</v>
      </c>
      <c r="DM334" t="s">
        <v>172</v>
      </c>
      <c r="DN334"/>
      <c r="DO334"/>
      <c r="DP334" t="s">
        <v>172</v>
      </c>
      <c r="DQ334" t="s">
        <v>204</v>
      </c>
      <c r="DR334" t="s">
        <v>1549</v>
      </c>
      <c r="DS334"/>
      <c r="DT334"/>
      <c r="DU334"/>
      <c r="DV334"/>
      <c r="DW334"/>
      <c r="DX334"/>
      <c r="DY334"/>
      <c r="DZ334"/>
      <c r="EA334" s="117"/>
      <c r="EB334">
        <v>9</v>
      </c>
      <c r="EC334">
        <v>10</v>
      </c>
      <c r="ED334"/>
      <c r="EE334" t="s">
        <v>1538</v>
      </c>
      <c r="EF334">
        <v>10</v>
      </c>
      <c r="EG334"/>
      <c r="EH334"/>
      <c r="EI334"/>
      <c r="EJ334"/>
      <c r="EK334"/>
      <c r="EL334"/>
      <c r="EM334"/>
      <c r="EN334"/>
      <c r="EO334"/>
      <c r="EP334"/>
      <c r="EQ334"/>
      <c r="ER334"/>
      <c r="ES334"/>
      <c r="ET334"/>
      <c r="EU334">
        <v>3250</v>
      </c>
      <c r="EV334"/>
      <c r="EW334">
        <v>0</v>
      </c>
      <c r="EX334">
        <v>0</v>
      </c>
      <c r="EY334">
        <v>0</v>
      </c>
      <c r="EZ334"/>
      <c r="FA334">
        <v>14</v>
      </c>
      <c r="FB334"/>
      <c r="FC334"/>
      <c r="FD334"/>
      <c r="FE334"/>
      <c r="FF334"/>
      <c r="FG334" s="94">
        <v>324</v>
      </c>
      <c r="FH334" s="94">
        <v>309</v>
      </c>
      <c r="FI334" s="94">
        <v>317</v>
      </c>
    </row>
    <row r="335" spans="1:165" s="66" customFormat="1" x14ac:dyDescent="0.35">
      <c r="A335" s="19"/>
      <c r="B335" s="19"/>
      <c r="C335" s="19"/>
      <c r="D335" s="19"/>
      <c r="E335" s="19"/>
      <c r="F335" s="128"/>
      <c r="G335" s="19"/>
      <c r="H335" s="19"/>
      <c r="I335" s="19"/>
      <c r="J335" s="19"/>
      <c r="K335" s="19" t="str">
        <f>_xlfn.CONCAT(A336," ",C336," ",D336)</f>
        <v>2026 Mercedes-Benz EQS 680 4MATIC Maybach (SUV)</v>
      </c>
      <c r="L335" s="19"/>
      <c r="M335" s="19"/>
      <c r="N335" s="19"/>
      <c r="O335" s="19"/>
      <c r="P335" s="19"/>
      <c r="Q335" s="19"/>
      <c r="R335" s="19"/>
      <c r="S335" s="19"/>
      <c r="T335" s="19"/>
      <c r="U335" s="19"/>
      <c r="V335" s="19"/>
      <c r="W335" s="19"/>
      <c r="X335" s="19"/>
      <c r="Y335" s="19"/>
      <c r="Z335" s="19"/>
      <c r="AA335" s="19"/>
      <c r="AB335" s="19" t="str">
        <f>$K335</f>
        <v>2026 Mercedes-Benz EQS 680 4MATIC Maybach (SUV)</v>
      </c>
      <c r="AC335" s="19"/>
      <c r="AD335" s="19"/>
      <c r="AE335" s="19"/>
      <c r="AF335" s="19"/>
      <c r="AG335" s="19"/>
      <c r="AH335" s="19"/>
      <c r="AI335" s="19"/>
      <c r="AJ335" s="19"/>
      <c r="AK335" s="19"/>
      <c r="AL335" s="19"/>
      <c r="AM335" s="19"/>
      <c r="AN335" s="19"/>
      <c r="AO335" s="19"/>
      <c r="AP335" s="19"/>
      <c r="AQ335" s="19"/>
      <c r="AR335" s="19" t="str">
        <f>$K335</f>
        <v>2026 Mercedes-Benz EQS 680 4MATIC Maybach (SUV)</v>
      </c>
      <c r="AS335" s="19"/>
      <c r="AT335" s="19"/>
      <c r="AU335" s="19"/>
      <c r="AV335" s="19"/>
      <c r="AW335" s="19"/>
      <c r="AX335" s="19"/>
      <c r="AY335" s="19"/>
      <c r="AZ335" s="19"/>
      <c r="BA335" s="19"/>
      <c r="BB335" s="19"/>
      <c r="BC335" s="19"/>
      <c r="BD335" s="19"/>
      <c r="BE335" s="19"/>
      <c r="BF335" s="19"/>
      <c r="BG335" s="19" t="str">
        <f>$K335</f>
        <v>2026 Mercedes-Benz EQS 680 4MATIC Maybach (SUV)</v>
      </c>
      <c r="BH335" s="19"/>
      <c r="BI335" s="19"/>
      <c r="BJ335" s="19"/>
      <c r="BK335" s="19"/>
      <c r="BL335" s="19"/>
      <c r="BM335" s="129"/>
      <c r="BN335" s="19"/>
      <c r="BO335" s="19"/>
      <c r="BP335" s="19"/>
      <c r="BQ335" s="19"/>
      <c r="BR335" s="19"/>
      <c r="BS335" s="19"/>
      <c r="BT335" s="130"/>
      <c r="BU335" s="19"/>
      <c r="BV335" s="19"/>
      <c r="BW335" s="116"/>
      <c r="BX335" s="19"/>
      <c r="BY335" s="19"/>
      <c r="BZ335" s="19"/>
      <c r="CA335" s="19"/>
      <c r="CB335" s="19"/>
      <c r="CC335" s="19"/>
      <c r="CD335" s="19"/>
      <c r="CE335" s="19"/>
      <c r="CF335" s="19"/>
      <c r="CG335" s="19"/>
      <c r="CH335" s="19"/>
      <c r="CI335" s="19"/>
      <c r="CJ335" s="19"/>
      <c r="CK335" s="19"/>
      <c r="CL335" s="19"/>
      <c r="CM335" s="19" t="str">
        <f>$K335</f>
        <v>2026 Mercedes-Benz EQS 680 4MATIC Maybach (SUV)</v>
      </c>
      <c r="CN335" s="19"/>
      <c r="CO335" s="19"/>
      <c r="CP335" s="19"/>
      <c r="CQ335" s="19"/>
      <c r="CR335" s="19"/>
      <c r="CS335" s="19"/>
      <c r="CT335" s="19"/>
      <c r="CU335" s="19"/>
      <c r="CV335" s="19"/>
      <c r="CW335" s="19"/>
      <c r="CX335" s="19"/>
      <c r="CY335" s="19"/>
      <c r="CZ335" s="19"/>
      <c r="DA335" s="19"/>
      <c r="DB335" s="19"/>
      <c r="DC335" s="19"/>
      <c r="DD335" s="19" t="str">
        <f>$K335</f>
        <v>2026 Mercedes-Benz EQS 680 4MATIC Maybach (SUV)</v>
      </c>
      <c r="DE335" s="19"/>
      <c r="DF335" s="19"/>
      <c r="DG335" s="19"/>
      <c r="DH335" s="19"/>
      <c r="DI335" s="19"/>
      <c r="DJ335" s="19"/>
      <c r="DK335" s="19"/>
      <c r="DL335" s="19"/>
      <c r="DM335" s="19"/>
      <c r="DN335" s="19"/>
      <c r="DO335" s="19"/>
      <c r="DP335" s="19"/>
      <c r="DQ335" s="19"/>
      <c r="DR335" s="19"/>
      <c r="DS335" s="19"/>
      <c r="DT335" s="19"/>
      <c r="DU335" s="19" t="str">
        <f>$K335</f>
        <v>2026 Mercedes-Benz EQS 680 4MATIC Maybach (SUV)</v>
      </c>
      <c r="DV335" s="19"/>
      <c r="DW335" s="19"/>
      <c r="DX335" s="19"/>
      <c r="DY335" s="19"/>
      <c r="DZ335" s="19"/>
      <c r="EA335" s="117"/>
      <c r="EB335" s="19"/>
      <c r="EC335" s="19"/>
      <c r="ED335" s="19"/>
      <c r="EE335" s="19"/>
      <c r="EF335" s="19"/>
      <c r="EG335"/>
      <c r="EH335"/>
      <c r="EI335"/>
      <c r="EJ335"/>
      <c r="EK335"/>
      <c r="EL335"/>
      <c r="EM335"/>
      <c r="EN335"/>
      <c r="EO335"/>
      <c r="EP335"/>
      <c r="EQ335"/>
      <c r="ER335"/>
      <c r="ES335"/>
      <c r="ET335"/>
      <c r="EU335"/>
      <c r="EV335"/>
      <c r="EW335"/>
      <c r="EX335" s="19" t="s">
        <v>2030</v>
      </c>
      <c r="EY335"/>
      <c r="EZ335"/>
      <c r="FA335"/>
      <c r="FB335"/>
      <c r="FC335"/>
      <c r="FD335"/>
      <c r="FE335"/>
      <c r="FF335"/>
      <c r="FG335"/>
      <c r="FH335"/>
      <c r="FI335"/>
    </row>
    <row r="336" spans="1:165" s="66" customFormat="1" x14ac:dyDescent="0.35">
      <c r="A336">
        <v>2026</v>
      </c>
      <c r="B336" t="s">
        <v>228</v>
      </c>
      <c r="C336" s="112" t="s">
        <v>228</v>
      </c>
      <c r="D336" t="s">
        <v>1550</v>
      </c>
      <c r="E336" t="s">
        <v>230</v>
      </c>
      <c r="F336">
        <v>921</v>
      </c>
      <c r="G336" s="113">
        <v>0</v>
      </c>
      <c r="H336"/>
      <c r="I336" t="s">
        <v>1391</v>
      </c>
      <c r="J336">
        <v>84</v>
      </c>
      <c r="K336">
        <v>84</v>
      </c>
      <c r="L336">
        <v>84</v>
      </c>
      <c r="M336">
        <v>121</v>
      </c>
      <c r="N336">
        <v>120.8</v>
      </c>
      <c r="O336">
        <v>120.90989999999999</v>
      </c>
      <c r="P336">
        <v>84</v>
      </c>
      <c r="Q336">
        <v>84</v>
      </c>
      <c r="R336">
        <v>84</v>
      </c>
      <c r="S336"/>
      <c r="T336"/>
      <c r="U336"/>
      <c r="V336" t="s">
        <v>170</v>
      </c>
      <c r="W336" t="s">
        <v>171</v>
      </c>
      <c r="X336"/>
      <c r="Y336">
        <v>1</v>
      </c>
      <c r="Z336" t="s">
        <v>173</v>
      </c>
      <c r="AA336" t="s">
        <v>173</v>
      </c>
      <c r="AB336" t="s">
        <v>170</v>
      </c>
      <c r="AC336" t="s">
        <v>232</v>
      </c>
      <c r="AD336"/>
      <c r="AE336"/>
      <c r="AF336">
        <v>300</v>
      </c>
      <c r="AG336" t="s">
        <v>1392</v>
      </c>
      <c r="AH336" t="s">
        <v>1393</v>
      </c>
      <c r="AI336" t="s">
        <v>178</v>
      </c>
      <c r="AJ336" t="s">
        <v>179</v>
      </c>
      <c r="AK336">
        <v>4</v>
      </c>
      <c r="AL336" t="s">
        <v>1394</v>
      </c>
      <c r="AM336"/>
      <c r="AN336"/>
      <c r="AO336"/>
      <c r="AP336"/>
      <c r="AQ336"/>
      <c r="AR336"/>
      <c r="AS336">
        <v>1000</v>
      </c>
      <c r="AT336">
        <v>1000</v>
      </c>
      <c r="AU336"/>
      <c r="AV336"/>
      <c r="AW336"/>
      <c r="AX336"/>
      <c r="AY336"/>
      <c r="AZ336"/>
      <c r="BA336"/>
      <c r="BB336"/>
      <c r="BC336"/>
      <c r="BD336"/>
      <c r="BE336"/>
      <c r="BF336"/>
      <c r="BG336"/>
      <c r="BH336"/>
      <c r="BI336"/>
      <c r="BJ336"/>
      <c r="BK336"/>
      <c r="BL336"/>
      <c r="BM336"/>
      <c r="BN336" s="114"/>
      <c r="BO336"/>
      <c r="BP336"/>
      <c r="BQ336">
        <v>33</v>
      </c>
      <c r="BR336" t="s">
        <v>1062</v>
      </c>
      <c r="BS336"/>
      <c r="BT336" t="s">
        <v>1395</v>
      </c>
      <c r="BU336" s="115">
        <v>45839</v>
      </c>
      <c r="BV336">
        <v>36748</v>
      </c>
      <c r="BW336" s="116"/>
      <c r="BX336"/>
      <c r="BY336" t="s">
        <v>173</v>
      </c>
      <c r="BZ336"/>
      <c r="CA336"/>
      <c r="CB336" t="s">
        <v>173</v>
      </c>
      <c r="CC336" t="s">
        <v>173</v>
      </c>
      <c r="CD336"/>
      <c r="CE336"/>
      <c r="CF336"/>
      <c r="CG336"/>
      <c r="CH336"/>
      <c r="CI336"/>
      <c r="CJ336"/>
      <c r="CK336" t="s">
        <v>259</v>
      </c>
      <c r="CL336"/>
      <c r="CM336">
        <v>12</v>
      </c>
      <c r="CN336" t="s">
        <v>260</v>
      </c>
      <c r="CO336"/>
      <c r="CP336">
        <v>396</v>
      </c>
      <c r="CQ336">
        <v>308</v>
      </c>
      <c r="CR336">
        <v>171.3</v>
      </c>
      <c r="CS336" t="s">
        <v>261</v>
      </c>
      <c r="CT336"/>
      <c r="CU336"/>
      <c r="CV336" t="s">
        <v>262</v>
      </c>
      <c r="CW336"/>
      <c r="CX336" t="s">
        <v>263</v>
      </c>
      <c r="CY336" t="s">
        <v>172</v>
      </c>
      <c r="CZ336"/>
      <c r="DA336"/>
      <c r="DB336"/>
      <c r="DC336"/>
      <c r="DD336">
        <v>2</v>
      </c>
      <c r="DE336" t="s">
        <v>307</v>
      </c>
      <c r="DF336" t="s">
        <v>1527</v>
      </c>
      <c r="DG336" t="s">
        <v>1551</v>
      </c>
      <c r="DH336"/>
      <c r="DI336"/>
      <c r="DJ336"/>
      <c r="DK336"/>
      <c r="DL336" t="s">
        <v>173</v>
      </c>
      <c r="DM336" t="s">
        <v>172</v>
      </c>
      <c r="DN336"/>
      <c r="DO336"/>
      <c r="DP336" t="s">
        <v>172</v>
      </c>
      <c r="DQ336" t="s">
        <v>204</v>
      </c>
      <c r="DR336" t="s">
        <v>1550</v>
      </c>
      <c r="DS336"/>
      <c r="DT336"/>
      <c r="DU336"/>
      <c r="DV336"/>
      <c r="DW336"/>
      <c r="DX336"/>
      <c r="DY336"/>
      <c r="DZ336"/>
      <c r="EA336" s="117"/>
      <c r="EB336">
        <v>9</v>
      </c>
      <c r="EC336">
        <v>10</v>
      </c>
      <c r="ED336"/>
      <c r="EE336" t="s">
        <v>1552</v>
      </c>
      <c r="EF336">
        <v>10</v>
      </c>
      <c r="EG336"/>
      <c r="EH336"/>
      <c r="EI336"/>
      <c r="EJ336"/>
      <c r="EK336"/>
      <c r="EL336"/>
      <c r="EM336"/>
      <c r="EN336"/>
      <c r="EO336"/>
      <c r="EP336"/>
      <c r="EQ336"/>
      <c r="ER336"/>
      <c r="ES336"/>
      <c r="ET336"/>
      <c r="EU336">
        <v>3500</v>
      </c>
      <c r="EV336"/>
      <c r="EW336">
        <v>0</v>
      </c>
      <c r="EX336">
        <v>0</v>
      </c>
      <c r="EY336">
        <v>0</v>
      </c>
      <c r="EZ336"/>
      <c r="FA336">
        <v>14</v>
      </c>
      <c r="FB336"/>
      <c r="FC336"/>
      <c r="FD336"/>
      <c r="FE336"/>
      <c r="FF336"/>
      <c r="FG336" s="94">
        <v>300</v>
      </c>
      <c r="FH336" s="94">
        <v>300</v>
      </c>
      <c r="FI336" s="94">
        <v>300</v>
      </c>
    </row>
    <row r="337" spans="1:165" s="66" customFormat="1" x14ac:dyDescent="0.35">
      <c r="A337">
        <v>2026</v>
      </c>
      <c r="B337" t="s">
        <v>228</v>
      </c>
      <c r="C337" s="112" t="s">
        <v>228</v>
      </c>
      <c r="D337" t="s">
        <v>1550</v>
      </c>
      <c r="E337" t="s">
        <v>230</v>
      </c>
      <c r="F337">
        <v>921</v>
      </c>
      <c r="G337" s="113">
        <v>0</v>
      </c>
      <c r="H337"/>
      <c r="I337" t="s">
        <v>1391</v>
      </c>
      <c r="J337">
        <v>40</v>
      </c>
      <c r="K337">
        <v>40</v>
      </c>
      <c r="L337">
        <v>40</v>
      </c>
      <c r="M337">
        <v>27.860399999999998</v>
      </c>
      <c r="N337">
        <v>27.900400000000001</v>
      </c>
      <c r="O337">
        <v>27.878399999999999</v>
      </c>
      <c r="P337">
        <v>39.793399999999998</v>
      </c>
      <c r="Q337">
        <v>39.859299999999998</v>
      </c>
      <c r="R337">
        <v>39.823</v>
      </c>
      <c r="S337"/>
      <c r="T337"/>
      <c r="U337"/>
      <c r="V337" t="s">
        <v>170</v>
      </c>
      <c r="W337" t="s">
        <v>171</v>
      </c>
      <c r="X337"/>
      <c r="Y337">
        <v>1</v>
      </c>
      <c r="Z337" t="s">
        <v>173</v>
      </c>
      <c r="AA337" t="s">
        <v>173</v>
      </c>
      <c r="AB337" t="s">
        <v>170</v>
      </c>
      <c r="AC337" t="s">
        <v>232</v>
      </c>
      <c r="AD337"/>
      <c r="AE337"/>
      <c r="AF337">
        <v>300</v>
      </c>
      <c r="AG337" t="s">
        <v>1392</v>
      </c>
      <c r="AH337" t="s">
        <v>1393</v>
      </c>
      <c r="AI337" t="s">
        <v>1399</v>
      </c>
      <c r="AJ337" t="s">
        <v>1400</v>
      </c>
      <c r="AK337">
        <v>4</v>
      </c>
      <c r="AL337" t="s">
        <v>1394</v>
      </c>
      <c r="AM337"/>
      <c r="AN337"/>
      <c r="AO337"/>
      <c r="AP337"/>
      <c r="AQ337"/>
      <c r="AR337"/>
      <c r="AS337">
        <v>1000</v>
      </c>
      <c r="AT337">
        <v>1000</v>
      </c>
      <c r="AU337"/>
      <c r="AV337"/>
      <c r="AW337"/>
      <c r="AX337"/>
      <c r="AY337"/>
      <c r="AZ337"/>
      <c r="BA337"/>
      <c r="BB337"/>
      <c r="BC337"/>
      <c r="BD337"/>
      <c r="BE337"/>
      <c r="BF337"/>
      <c r="BG337"/>
      <c r="BH337"/>
      <c r="BI337"/>
      <c r="BJ337"/>
      <c r="BK337"/>
      <c r="BL337"/>
      <c r="BM337"/>
      <c r="BN337" s="114"/>
      <c r="BO337"/>
      <c r="BP337"/>
      <c r="BQ337">
        <v>33</v>
      </c>
      <c r="BR337" t="s">
        <v>1062</v>
      </c>
      <c r="BS337"/>
      <c r="BT337" t="s">
        <v>1395</v>
      </c>
      <c r="BU337" s="115">
        <v>45839</v>
      </c>
      <c r="BV337">
        <v>36748</v>
      </c>
      <c r="BW337" s="116"/>
      <c r="BX337"/>
      <c r="BY337" t="s">
        <v>173</v>
      </c>
      <c r="BZ337"/>
      <c r="CA337"/>
      <c r="CB337" t="s">
        <v>173</v>
      </c>
      <c r="CC337" t="s">
        <v>173</v>
      </c>
      <c r="CD337"/>
      <c r="CE337"/>
      <c r="CF337"/>
      <c r="CG337"/>
      <c r="CH337"/>
      <c r="CI337"/>
      <c r="CJ337"/>
      <c r="CK337" t="s">
        <v>259</v>
      </c>
      <c r="CL337"/>
      <c r="CM337">
        <v>12</v>
      </c>
      <c r="CN337" t="s">
        <v>260</v>
      </c>
      <c r="CO337"/>
      <c r="CP337">
        <v>396</v>
      </c>
      <c r="CQ337">
        <v>308</v>
      </c>
      <c r="CR337">
        <v>171.3</v>
      </c>
      <c r="CS337" t="s">
        <v>261</v>
      </c>
      <c r="CT337"/>
      <c r="CU337"/>
      <c r="CV337" t="s">
        <v>262</v>
      </c>
      <c r="CW337"/>
      <c r="CX337" t="s">
        <v>263</v>
      </c>
      <c r="CY337" t="s">
        <v>172</v>
      </c>
      <c r="CZ337"/>
      <c r="DA337"/>
      <c r="DB337"/>
      <c r="DC337"/>
      <c r="DD337">
        <v>2</v>
      </c>
      <c r="DE337" t="s">
        <v>307</v>
      </c>
      <c r="DF337" t="s">
        <v>1524</v>
      </c>
      <c r="DG337" t="s">
        <v>1551</v>
      </c>
      <c r="DH337"/>
      <c r="DI337"/>
      <c r="DJ337"/>
      <c r="DK337"/>
      <c r="DL337" t="s">
        <v>173</v>
      </c>
      <c r="DM337" t="s">
        <v>172</v>
      </c>
      <c r="DN337"/>
      <c r="DO337"/>
      <c r="DP337" t="s">
        <v>172</v>
      </c>
      <c r="DQ337" t="s">
        <v>204</v>
      </c>
      <c r="DR337" t="s">
        <v>1550</v>
      </c>
      <c r="DS337"/>
      <c r="DT337"/>
      <c r="DU337"/>
      <c r="DV337"/>
      <c r="DW337"/>
      <c r="DX337"/>
      <c r="DY337"/>
      <c r="DZ337"/>
      <c r="EA337" s="117"/>
      <c r="EB337">
        <v>9</v>
      </c>
      <c r="EC337">
        <v>10</v>
      </c>
      <c r="ED337"/>
      <c r="EE337" t="s">
        <v>1552</v>
      </c>
      <c r="EF337">
        <v>10</v>
      </c>
      <c r="EG337"/>
      <c r="EH337"/>
      <c r="EI337"/>
      <c r="EJ337"/>
      <c r="EK337"/>
      <c r="EL337"/>
      <c r="EM337"/>
      <c r="EN337"/>
      <c r="EO337"/>
      <c r="EP337"/>
      <c r="EQ337"/>
      <c r="ER337"/>
      <c r="ES337"/>
      <c r="ET337"/>
      <c r="EU337">
        <v>3500</v>
      </c>
      <c r="EV337"/>
      <c r="EW337">
        <v>0</v>
      </c>
      <c r="EX337">
        <v>0</v>
      </c>
      <c r="EY337">
        <v>0</v>
      </c>
      <c r="EZ337"/>
      <c r="FA337">
        <v>14</v>
      </c>
      <c r="FB337"/>
      <c r="FC337"/>
      <c r="FD337"/>
      <c r="FE337"/>
      <c r="FF337"/>
      <c r="FG337" s="94">
        <v>300</v>
      </c>
      <c r="FH337" s="94">
        <v>300</v>
      </c>
      <c r="FI337" s="94">
        <v>300</v>
      </c>
    </row>
    <row r="338" spans="1:165" s="66" customFormat="1" x14ac:dyDescent="0.35">
      <c r="A338" s="19"/>
      <c r="B338" s="19"/>
      <c r="C338" s="19"/>
      <c r="D338" s="19"/>
      <c r="E338" s="19"/>
      <c r="F338" s="128"/>
      <c r="G338" s="19"/>
      <c r="H338" s="19"/>
      <c r="I338" s="19"/>
      <c r="J338" s="19"/>
      <c r="K338" s="19" t="str">
        <f>_xlfn.CONCAT(A339," ",C339," ",D339)</f>
        <v>2026 Mercedes-Benz G 580 with EQ Technology</v>
      </c>
      <c r="L338" s="19"/>
      <c r="M338" s="19"/>
      <c r="N338" s="19"/>
      <c r="O338" s="19"/>
      <c r="P338" s="19"/>
      <c r="Q338" s="19"/>
      <c r="R338" s="19"/>
      <c r="S338" s="19"/>
      <c r="T338" s="19"/>
      <c r="U338" s="19"/>
      <c r="V338" s="19"/>
      <c r="W338" s="19"/>
      <c r="X338" s="19"/>
      <c r="Y338" s="19"/>
      <c r="Z338" s="19"/>
      <c r="AA338" s="19"/>
      <c r="AB338" s="19" t="str">
        <f>$K338</f>
        <v>2026 Mercedes-Benz G 580 with EQ Technology</v>
      </c>
      <c r="AC338" s="19"/>
      <c r="AD338" s="19"/>
      <c r="AE338" s="19"/>
      <c r="AF338" s="19"/>
      <c r="AG338" s="19"/>
      <c r="AH338" s="19"/>
      <c r="AI338" s="19"/>
      <c r="AJ338" s="19"/>
      <c r="AK338" s="19"/>
      <c r="AL338" s="19"/>
      <c r="AM338" s="19"/>
      <c r="AN338" s="19"/>
      <c r="AO338" s="19"/>
      <c r="AP338" s="19"/>
      <c r="AQ338" s="19"/>
      <c r="AR338" s="19" t="str">
        <f>$K338</f>
        <v>2026 Mercedes-Benz G 580 with EQ Technology</v>
      </c>
      <c r="AS338" s="19"/>
      <c r="AT338" s="19"/>
      <c r="AU338" s="19"/>
      <c r="AV338" s="19"/>
      <c r="AW338" s="19"/>
      <c r="AX338" s="19"/>
      <c r="AY338" s="19"/>
      <c r="AZ338" s="19"/>
      <c r="BA338" s="19"/>
      <c r="BB338" s="19"/>
      <c r="BC338" s="19"/>
      <c r="BD338" s="19"/>
      <c r="BE338" s="19"/>
      <c r="BF338" s="19"/>
      <c r="BG338" s="19" t="str">
        <f>$K338</f>
        <v>2026 Mercedes-Benz G 580 with EQ Technology</v>
      </c>
      <c r="BH338" s="19"/>
      <c r="BI338" s="19"/>
      <c r="BJ338" s="19"/>
      <c r="BK338" s="19"/>
      <c r="BL338" s="19"/>
      <c r="BM338" s="129"/>
      <c r="BN338" s="19"/>
      <c r="BO338" s="19"/>
      <c r="BP338" s="19"/>
      <c r="BQ338" s="19"/>
      <c r="BR338" s="19"/>
      <c r="BS338" s="19"/>
      <c r="BT338" s="130"/>
      <c r="BU338" s="19"/>
      <c r="BV338" s="19"/>
      <c r="BW338" s="116"/>
      <c r="BX338" s="19"/>
      <c r="BY338" s="19"/>
      <c r="BZ338" s="19"/>
      <c r="CA338" s="19"/>
      <c r="CB338" s="19"/>
      <c r="CC338" s="19"/>
      <c r="CD338" s="19"/>
      <c r="CE338" s="19"/>
      <c r="CF338" s="19"/>
      <c r="CG338" s="19"/>
      <c r="CH338" s="19"/>
      <c r="CI338" s="19"/>
      <c r="CJ338" s="19"/>
      <c r="CK338" s="19"/>
      <c r="CL338" s="19"/>
      <c r="CM338" s="19" t="str">
        <f>$K338</f>
        <v>2026 Mercedes-Benz G 580 with EQ Technology</v>
      </c>
      <c r="CN338" s="19"/>
      <c r="CO338" s="19"/>
      <c r="CP338" s="19"/>
      <c r="CQ338" s="19"/>
      <c r="CR338" s="19"/>
      <c r="CS338" s="19"/>
      <c r="CT338" s="19"/>
      <c r="CU338" s="19"/>
      <c r="CV338" s="19"/>
      <c r="CW338" s="19"/>
      <c r="CX338" s="19"/>
      <c r="CY338" s="19"/>
      <c r="CZ338" s="19"/>
      <c r="DA338" s="19"/>
      <c r="DB338" s="19"/>
      <c r="DC338" s="19"/>
      <c r="DD338" s="19" t="str">
        <f>$K338</f>
        <v>2026 Mercedes-Benz G 580 with EQ Technology</v>
      </c>
      <c r="DE338" s="19"/>
      <c r="DF338" s="19"/>
      <c r="DG338" s="19"/>
      <c r="DH338" s="19"/>
      <c r="DI338" s="19"/>
      <c r="DJ338" s="19"/>
      <c r="DK338" s="19"/>
      <c r="DL338" s="19"/>
      <c r="DM338" s="19"/>
      <c r="DN338" s="19"/>
      <c r="DO338" s="19"/>
      <c r="DP338" s="19"/>
      <c r="DQ338" s="19"/>
      <c r="DR338" s="19"/>
      <c r="DS338" s="19"/>
      <c r="DT338" s="19"/>
      <c r="DU338" s="19" t="str">
        <f>$K338</f>
        <v>2026 Mercedes-Benz G 580 with EQ Technology</v>
      </c>
      <c r="DV338" s="19"/>
      <c r="DW338" s="19"/>
      <c r="DX338" s="19"/>
      <c r="DY338" s="19"/>
      <c r="DZ338" s="19"/>
      <c r="EA338" s="117"/>
      <c r="EB338" s="19"/>
      <c r="EC338" s="19"/>
      <c r="ED338" s="19"/>
      <c r="EE338" s="19"/>
      <c r="EF338" s="19"/>
      <c r="EG338"/>
      <c r="EH338"/>
      <c r="EI338"/>
      <c r="EJ338"/>
      <c r="EK338"/>
      <c r="EL338"/>
      <c r="EM338"/>
      <c r="EN338"/>
      <c r="EO338"/>
      <c r="EP338"/>
      <c r="EQ338"/>
      <c r="ER338"/>
      <c r="ES338"/>
      <c r="ET338"/>
      <c r="EU338"/>
      <c r="EV338"/>
      <c r="EW338"/>
      <c r="EX338" s="19" t="s">
        <v>2031</v>
      </c>
      <c r="EY338"/>
      <c r="EZ338"/>
      <c r="FA338"/>
      <c r="FB338"/>
      <c r="FC338"/>
      <c r="FD338"/>
      <c r="FE338"/>
      <c r="FF338"/>
      <c r="FG338"/>
      <c r="FH338"/>
      <c r="FI338"/>
    </row>
    <row r="339" spans="1:165" s="66" customFormat="1" x14ac:dyDescent="0.35">
      <c r="A339">
        <v>2026</v>
      </c>
      <c r="B339" t="s">
        <v>228</v>
      </c>
      <c r="C339" s="112" t="s">
        <v>228</v>
      </c>
      <c r="D339" t="s">
        <v>1545</v>
      </c>
      <c r="E339" t="s">
        <v>230</v>
      </c>
      <c r="F339">
        <v>436</v>
      </c>
      <c r="G339" s="113">
        <v>0</v>
      </c>
      <c r="H339"/>
      <c r="I339" t="s">
        <v>1546</v>
      </c>
      <c r="J339">
        <v>68</v>
      </c>
      <c r="K339">
        <v>56</v>
      </c>
      <c r="L339">
        <v>62</v>
      </c>
      <c r="M339">
        <v>98.3</v>
      </c>
      <c r="N339">
        <v>81.599999999999994</v>
      </c>
      <c r="O339">
        <v>90.010400000000004</v>
      </c>
      <c r="P339">
        <v>68</v>
      </c>
      <c r="Q339">
        <v>56</v>
      </c>
      <c r="R339">
        <v>62</v>
      </c>
      <c r="S339"/>
      <c r="T339"/>
      <c r="U339"/>
      <c r="V339" t="s">
        <v>170</v>
      </c>
      <c r="W339" t="s">
        <v>171</v>
      </c>
      <c r="X339"/>
      <c r="Y339">
        <v>2</v>
      </c>
      <c r="Z339" t="s">
        <v>173</v>
      </c>
      <c r="AA339" t="s">
        <v>173</v>
      </c>
      <c r="AB339">
        <v>4</v>
      </c>
      <c r="AC339" t="s">
        <v>423</v>
      </c>
      <c r="AD339"/>
      <c r="AE339"/>
      <c r="AF339">
        <v>239</v>
      </c>
      <c r="AG339" t="s">
        <v>1392</v>
      </c>
      <c r="AH339" t="s">
        <v>1393</v>
      </c>
      <c r="AI339" t="s">
        <v>178</v>
      </c>
      <c r="AJ339" t="s">
        <v>179</v>
      </c>
      <c r="AK339">
        <v>4</v>
      </c>
      <c r="AL339" t="s">
        <v>1394</v>
      </c>
      <c r="AM339"/>
      <c r="AN339"/>
      <c r="AO339"/>
      <c r="AP339"/>
      <c r="AQ339"/>
      <c r="AR339"/>
      <c r="AS339">
        <v>1400</v>
      </c>
      <c r="AT339">
        <v>1400</v>
      </c>
      <c r="AU339"/>
      <c r="AV339"/>
      <c r="AW339"/>
      <c r="AX339"/>
      <c r="AY339"/>
      <c r="AZ339"/>
      <c r="BA339"/>
      <c r="BB339"/>
      <c r="BC339"/>
      <c r="BD339"/>
      <c r="BE339"/>
      <c r="BF339"/>
      <c r="BG339"/>
      <c r="BH339"/>
      <c r="BI339"/>
      <c r="BJ339"/>
      <c r="BK339"/>
      <c r="BL339"/>
      <c r="BM339"/>
      <c r="BN339" s="114"/>
      <c r="BO339"/>
      <c r="BP339"/>
      <c r="BQ339">
        <v>33</v>
      </c>
      <c r="BR339" t="s">
        <v>1062</v>
      </c>
      <c r="BS339"/>
      <c r="BT339" t="s">
        <v>1395</v>
      </c>
      <c r="BU339" s="115">
        <v>45870</v>
      </c>
      <c r="BV339">
        <v>37178</v>
      </c>
      <c r="BW339" s="116"/>
      <c r="BX339"/>
      <c r="BY339" t="s">
        <v>173</v>
      </c>
      <c r="BZ339"/>
      <c r="CA339"/>
      <c r="CB339" t="s">
        <v>173</v>
      </c>
      <c r="CC339" t="s">
        <v>173</v>
      </c>
      <c r="CD339"/>
      <c r="CE339"/>
      <c r="CF339"/>
      <c r="CG339"/>
      <c r="CH339"/>
      <c r="CI339"/>
      <c r="CJ339"/>
      <c r="CK339" t="s">
        <v>259</v>
      </c>
      <c r="CL339"/>
      <c r="CM339">
        <v>12</v>
      </c>
      <c r="CN339" t="s">
        <v>260</v>
      </c>
      <c r="CO339"/>
      <c r="CP339">
        <v>396</v>
      </c>
      <c r="CQ339">
        <v>308</v>
      </c>
      <c r="CR339">
        <v>167.8</v>
      </c>
      <c r="CS339" t="s">
        <v>261</v>
      </c>
      <c r="CT339"/>
      <c r="CU339"/>
      <c r="CV339" t="s">
        <v>262</v>
      </c>
      <c r="CW339"/>
      <c r="CX339" t="s">
        <v>263</v>
      </c>
      <c r="CY339" t="s">
        <v>172</v>
      </c>
      <c r="CZ339"/>
      <c r="DA339"/>
      <c r="DB339"/>
      <c r="DC339"/>
      <c r="DD339">
        <v>4</v>
      </c>
      <c r="DE339" t="s">
        <v>307</v>
      </c>
      <c r="DF339" t="s">
        <v>1527</v>
      </c>
      <c r="DG339">
        <v>108</v>
      </c>
      <c r="DH339"/>
      <c r="DI339"/>
      <c r="DJ339"/>
      <c r="DK339"/>
      <c r="DL339" t="s">
        <v>173</v>
      </c>
      <c r="DM339" t="s">
        <v>172</v>
      </c>
      <c r="DN339"/>
      <c r="DO339"/>
      <c r="DP339" t="s">
        <v>172</v>
      </c>
      <c r="DQ339" t="s">
        <v>204</v>
      </c>
      <c r="DR339" t="s">
        <v>1545</v>
      </c>
      <c r="DS339"/>
      <c r="DT339"/>
      <c r="DU339"/>
      <c r="DV339"/>
      <c r="DW339"/>
      <c r="DX339"/>
      <c r="DY339"/>
      <c r="DZ339"/>
      <c r="EA339" s="117"/>
      <c r="EB339">
        <v>8</v>
      </c>
      <c r="EC339">
        <v>10</v>
      </c>
      <c r="ED339"/>
      <c r="EE339" t="s">
        <v>1547</v>
      </c>
      <c r="EF339">
        <v>10</v>
      </c>
      <c r="EG339"/>
      <c r="EH339"/>
      <c r="EI339"/>
      <c r="EJ339"/>
      <c r="EK339"/>
      <c r="EL339"/>
      <c r="EM339"/>
      <c r="EN339"/>
      <c r="EO339"/>
      <c r="EP339"/>
      <c r="EQ339"/>
      <c r="ER339"/>
      <c r="ES339"/>
      <c r="ET339"/>
      <c r="EU339">
        <v>1500</v>
      </c>
      <c r="EV339"/>
      <c r="EW339">
        <v>0</v>
      </c>
      <c r="EX339">
        <v>0</v>
      </c>
      <c r="EY339">
        <v>0</v>
      </c>
      <c r="EZ339"/>
      <c r="FA339">
        <v>14</v>
      </c>
      <c r="FB339"/>
      <c r="FC339"/>
      <c r="FD339"/>
      <c r="FE339"/>
      <c r="FF339"/>
      <c r="FG339" s="94">
        <v>258</v>
      </c>
      <c r="FH339" s="94">
        <v>215</v>
      </c>
      <c r="FI339" s="94">
        <v>239</v>
      </c>
    </row>
    <row r="340" spans="1:165" s="66" customFormat="1" x14ac:dyDescent="0.35">
      <c r="A340">
        <v>2026</v>
      </c>
      <c r="B340" t="s">
        <v>228</v>
      </c>
      <c r="C340" s="112" t="s">
        <v>228</v>
      </c>
      <c r="D340" t="s">
        <v>1545</v>
      </c>
      <c r="E340" t="s">
        <v>230</v>
      </c>
      <c r="F340">
        <v>436</v>
      </c>
      <c r="G340" s="113">
        <v>0</v>
      </c>
      <c r="H340"/>
      <c r="I340" t="s">
        <v>1546</v>
      </c>
      <c r="J340">
        <v>50</v>
      </c>
      <c r="K340">
        <v>60</v>
      </c>
      <c r="L340">
        <v>54</v>
      </c>
      <c r="M340">
        <v>34.3005</v>
      </c>
      <c r="N340">
        <v>41.310499999999998</v>
      </c>
      <c r="O340">
        <v>37.454999999999998</v>
      </c>
      <c r="P340">
        <v>50</v>
      </c>
      <c r="Q340">
        <v>60</v>
      </c>
      <c r="R340">
        <v>54</v>
      </c>
      <c r="S340"/>
      <c r="T340"/>
      <c r="U340"/>
      <c r="V340" t="s">
        <v>170</v>
      </c>
      <c r="W340" t="s">
        <v>171</v>
      </c>
      <c r="X340"/>
      <c r="Y340">
        <v>2</v>
      </c>
      <c r="Z340" t="s">
        <v>173</v>
      </c>
      <c r="AA340" t="s">
        <v>173</v>
      </c>
      <c r="AB340">
        <v>4</v>
      </c>
      <c r="AC340" t="s">
        <v>423</v>
      </c>
      <c r="AD340"/>
      <c r="AE340"/>
      <c r="AF340">
        <v>239</v>
      </c>
      <c r="AG340" t="s">
        <v>1392</v>
      </c>
      <c r="AH340" t="s">
        <v>1393</v>
      </c>
      <c r="AI340" t="s">
        <v>1399</v>
      </c>
      <c r="AJ340" t="s">
        <v>1400</v>
      </c>
      <c r="AK340">
        <v>4</v>
      </c>
      <c r="AL340" t="s">
        <v>1394</v>
      </c>
      <c r="AM340"/>
      <c r="AN340"/>
      <c r="AO340"/>
      <c r="AP340"/>
      <c r="AQ340"/>
      <c r="AR340"/>
      <c r="AS340">
        <v>1400</v>
      </c>
      <c r="AT340">
        <v>1400</v>
      </c>
      <c r="AU340"/>
      <c r="AV340"/>
      <c r="AW340"/>
      <c r="AX340"/>
      <c r="AY340"/>
      <c r="AZ340"/>
      <c r="BA340"/>
      <c r="BB340"/>
      <c r="BC340"/>
      <c r="BD340"/>
      <c r="BE340"/>
      <c r="BF340"/>
      <c r="BG340"/>
      <c r="BH340"/>
      <c r="BI340"/>
      <c r="BJ340"/>
      <c r="BK340"/>
      <c r="BL340"/>
      <c r="BM340"/>
      <c r="BN340" s="114"/>
      <c r="BO340"/>
      <c r="BP340"/>
      <c r="BQ340">
        <v>33</v>
      </c>
      <c r="BR340" t="s">
        <v>1062</v>
      </c>
      <c r="BS340"/>
      <c r="BT340" t="s">
        <v>1395</v>
      </c>
      <c r="BU340" s="115">
        <v>45870</v>
      </c>
      <c r="BV340">
        <v>37178</v>
      </c>
      <c r="BW340" s="116"/>
      <c r="BX340"/>
      <c r="BY340" t="s">
        <v>173</v>
      </c>
      <c r="BZ340"/>
      <c r="CA340"/>
      <c r="CB340" t="s">
        <v>173</v>
      </c>
      <c r="CC340" t="s">
        <v>173</v>
      </c>
      <c r="CD340"/>
      <c r="CE340"/>
      <c r="CF340"/>
      <c r="CG340"/>
      <c r="CH340"/>
      <c r="CI340"/>
      <c r="CJ340"/>
      <c r="CK340" t="s">
        <v>259</v>
      </c>
      <c r="CL340"/>
      <c r="CM340">
        <v>12</v>
      </c>
      <c r="CN340" t="s">
        <v>260</v>
      </c>
      <c r="CO340"/>
      <c r="CP340">
        <v>396</v>
      </c>
      <c r="CQ340">
        <v>308</v>
      </c>
      <c r="CR340">
        <v>167.8</v>
      </c>
      <c r="CS340" t="s">
        <v>261</v>
      </c>
      <c r="CT340"/>
      <c r="CU340"/>
      <c r="CV340" t="s">
        <v>262</v>
      </c>
      <c r="CW340"/>
      <c r="CX340" t="s">
        <v>263</v>
      </c>
      <c r="CY340" t="s">
        <v>172</v>
      </c>
      <c r="CZ340"/>
      <c r="DA340"/>
      <c r="DB340"/>
      <c r="DC340"/>
      <c r="DD340">
        <v>4</v>
      </c>
      <c r="DE340" t="s">
        <v>307</v>
      </c>
      <c r="DF340" t="s">
        <v>1527</v>
      </c>
      <c r="DG340">
        <v>108</v>
      </c>
      <c r="DH340"/>
      <c r="DI340"/>
      <c r="DJ340"/>
      <c r="DK340"/>
      <c r="DL340" t="s">
        <v>173</v>
      </c>
      <c r="DM340" t="s">
        <v>172</v>
      </c>
      <c r="DN340"/>
      <c r="DO340"/>
      <c r="DP340" t="s">
        <v>172</v>
      </c>
      <c r="DQ340" t="s">
        <v>204</v>
      </c>
      <c r="DR340" t="s">
        <v>1545</v>
      </c>
      <c r="DS340"/>
      <c r="DT340"/>
      <c r="DU340"/>
      <c r="DV340"/>
      <c r="DW340"/>
      <c r="DX340"/>
      <c r="DY340"/>
      <c r="DZ340"/>
      <c r="EA340" s="117"/>
      <c r="EB340">
        <v>8</v>
      </c>
      <c r="EC340">
        <v>10</v>
      </c>
      <c r="ED340"/>
      <c r="EE340" t="s">
        <v>1547</v>
      </c>
      <c r="EF340">
        <v>10</v>
      </c>
      <c r="EG340"/>
      <c r="EH340"/>
      <c r="EI340"/>
      <c r="EJ340"/>
      <c r="EK340"/>
      <c r="EL340"/>
      <c r="EM340"/>
      <c r="EN340"/>
      <c r="EO340"/>
      <c r="EP340"/>
      <c r="EQ340"/>
      <c r="ER340"/>
      <c r="ES340"/>
      <c r="ET340"/>
      <c r="EU340">
        <v>1500</v>
      </c>
      <c r="EV340"/>
      <c r="EW340">
        <v>0</v>
      </c>
      <c r="EX340">
        <v>0</v>
      </c>
      <c r="EY340">
        <v>0</v>
      </c>
      <c r="EZ340"/>
      <c r="FA340">
        <v>14</v>
      </c>
      <c r="FB340"/>
      <c r="FC340"/>
      <c r="FD340"/>
      <c r="FE340"/>
      <c r="FF340"/>
      <c r="FG340" s="94">
        <v>258</v>
      </c>
      <c r="FH340" s="94">
        <v>215</v>
      </c>
      <c r="FI340" s="94">
        <v>239</v>
      </c>
    </row>
    <row r="341" spans="1:165" s="66" customFormat="1" x14ac:dyDescent="0.35">
      <c r="A341" s="19"/>
      <c r="B341" s="19"/>
      <c r="C341" s="19"/>
      <c r="D341" s="19"/>
      <c r="E341" s="19"/>
      <c r="F341" s="128"/>
      <c r="G341" s="19"/>
      <c r="H341" s="19"/>
      <c r="I341" s="19"/>
      <c r="J341" s="19"/>
      <c r="K341" s="19" t="str">
        <f>_xlfn.CONCAT(A342," ",C342," ",D342)</f>
        <v>2026 NISSAN LEAF 75kWh (18 inch alloy wheels)</v>
      </c>
      <c r="L341" s="19"/>
      <c r="M341" s="19"/>
      <c r="N341" s="19"/>
      <c r="O341" s="19"/>
      <c r="P341" s="19"/>
      <c r="Q341" s="19"/>
      <c r="R341" s="19"/>
      <c r="S341" s="19"/>
      <c r="T341" s="19"/>
      <c r="U341" s="19"/>
      <c r="V341" s="19"/>
      <c r="W341" s="19"/>
      <c r="X341" s="19"/>
      <c r="Y341" s="19"/>
      <c r="Z341" s="19"/>
      <c r="AA341" s="19"/>
      <c r="AB341" s="19" t="str">
        <f>$K341</f>
        <v>2026 NISSAN LEAF 75kWh (18 inch alloy wheels)</v>
      </c>
      <c r="AC341" s="19"/>
      <c r="AD341" s="19"/>
      <c r="AE341" s="19"/>
      <c r="AF341" s="19"/>
      <c r="AG341" s="19"/>
      <c r="AH341" s="19"/>
      <c r="AI341" s="19"/>
      <c r="AJ341" s="19"/>
      <c r="AK341" s="19"/>
      <c r="AL341" s="19"/>
      <c r="AM341" s="19"/>
      <c r="AN341" s="19"/>
      <c r="AO341" s="19"/>
      <c r="AP341" s="19"/>
      <c r="AQ341" s="19"/>
      <c r="AR341" s="19" t="str">
        <f>$K341</f>
        <v>2026 NISSAN LEAF 75kWh (18 inch alloy wheels)</v>
      </c>
      <c r="AS341" s="19"/>
      <c r="AT341" s="19"/>
      <c r="AU341" s="19"/>
      <c r="AV341" s="19"/>
      <c r="AW341" s="19"/>
      <c r="AX341" s="19"/>
      <c r="AY341" s="19"/>
      <c r="AZ341" s="19"/>
      <c r="BA341" s="19"/>
      <c r="BB341" s="19"/>
      <c r="BC341" s="19"/>
      <c r="BD341" s="19"/>
      <c r="BE341" s="19"/>
      <c r="BF341" s="19"/>
      <c r="BG341" s="19" t="str">
        <f>$K341</f>
        <v>2026 NISSAN LEAF 75kWh (18 inch alloy wheels)</v>
      </c>
      <c r="BH341" s="19"/>
      <c r="BI341" s="19"/>
      <c r="BJ341" s="19"/>
      <c r="BK341" s="19"/>
      <c r="BL341" s="19"/>
      <c r="BM341" s="129"/>
      <c r="BN341" s="19"/>
      <c r="BO341" s="19"/>
      <c r="BP341" s="19"/>
      <c r="BQ341" s="19"/>
      <c r="BR341" s="19"/>
      <c r="BS341" s="19"/>
      <c r="BT341" s="130"/>
      <c r="BU341" s="19"/>
      <c r="BV341" s="19"/>
      <c r="BW341" s="116"/>
      <c r="BX341" s="19"/>
      <c r="BY341" s="19"/>
      <c r="BZ341" s="19"/>
      <c r="CA341" s="19"/>
      <c r="CB341" s="19"/>
      <c r="CC341" s="19"/>
      <c r="CD341" s="19"/>
      <c r="CE341" s="19"/>
      <c r="CF341" s="19"/>
      <c r="CG341" s="19"/>
      <c r="CH341" s="19"/>
      <c r="CI341" s="19"/>
      <c r="CJ341" s="19"/>
      <c r="CK341" s="19"/>
      <c r="CL341" s="19"/>
      <c r="CM341" s="19" t="str">
        <f>$K341</f>
        <v>2026 NISSAN LEAF 75kWh (18 inch alloy wheels)</v>
      </c>
      <c r="CN341" s="19"/>
      <c r="CO341" s="19"/>
      <c r="CP341" s="19"/>
      <c r="CQ341" s="19"/>
      <c r="CR341" s="19"/>
      <c r="CS341" s="19"/>
      <c r="CT341" s="19"/>
      <c r="CU341" s="19"/>
      <c r="CV341" s="19"/>
      <c r="CW341" s="19"/>
      <c r="CX341" s="19"/>
      <c r="CY341" s="19"/>
      <c r="CZ341" s="19"/>
      <c r="DA341" s="19"/>
      <c r="DB341" s="19"/>
      <c r="DC341" s="19"/>
      <c r="DD341" s="19" t="str">
        <f>$K341</f>
        <v>2026 NISSAN LEAF 75kWh (18 inch alloy wheels)</v>
      </c>
      <c r="DE341" s="19"/>
      <c r="DF341" s="19"/>
      <c r="DG341" s="19"/>
      <c r="DH341" s="19"/>
      <c r="DI341" s="19"/>
      <c r="DJ341" s="19"/>
      <c r="DK341" s="19"/>
      <c r="DL341" s="19"/>
      <c r="DM341" s="19"/>
      <c r="DN341" s="19"/>
      <c r="DO341" s="19"/>
      <c r="DP341" s="19"/>
      <c r="DQ341" s="19"/>
      <c r="DR341" s="19"/>
      <c r="DS341" s="19"/>
      <c r="DT341" s="19"/>
      <c r="DU341" s="19" t="str">
        <f>$K341</f>
        <v>2026 NISSAN LEAF 75kWh (18 inch alloy wheels)</v>
      </c>
      <c r="DV341" s="19"/>
      <c r="DW341" s="19"/>
      <c r="DX341" s="19"/>
      <c r="DY341" s="19"/>
      <c r="DZ341" s="19"/>
      <c r="EA341" s="117"/>
      <c r="EB341" s="19"/>
      <c r="EC341" s="19"/>
      <c r="ED341" s="19"/>
      <c r="EE341" s="19"/>
      <c r="EF341" s="19"/>
      <c r="EG341"/>
      <c r="EH341"/>
      <c r="EI341"/>
      <c r="EJ341"/>
      <c r="EK341"/>
      <c r="EL341"/>
      <c r="EM341"/>
      <c r="EN341"/>
      <c r="EO341"/>
      <c r="EP341"/>
      <c r="EQ341"/>
      <c r="ER341"/>
      <c r="ES341"/>
      <c r="ET341"/>
      <c r="EU341"/>
      <c r="EV341"/>
      <c r="EW341"/>
      <c r="EX341" s="19" t="s">
        <v>2032</v>
      </c>
      <c r="EY341"/>
      <c r="EZ341"/>
      <c r="FA341"/>
      <c r="FB341"/>
      <c r="FC341"/>
      <c r="FD341"/>
      <c r="FE341"/>
      <c r="FF341"/>
      <c r="FG341"/>
      <c r="FH341"/>
      <c r="FI341"/>
    </row>
    <row r="342" spans="1:165" s="66" customFormat="1" x14ac:dyDescent="0.35">
      <c r="A342">
        <v>2026</v>
      </c>
      <c r="B342" t="s">
        <v>862</v>
      </c>
      <c r="C342" s="112" t="s">
        <v>863</v>
      </c>
      <c r="D342" t="s">
        <v>1736</v>
      </c>
      <c r="E342" t="s">
        <v>865</v>
      </c>
      <c r="F342">
        <v>906</v>
      </c>
      <c r="G342" s="113">
        <v>0</v>
      </c>
      <c r="H342"/>
      <c r="I342" t="s">
        <v>1391</v>
      </c>
      <c r="J342">
        <v>122</v>
      </c>
      <c r="K342">
        <v>105</v>
      </c>
      <c r="L342">
        <v>114</v>
      </c>
      <c r="M342">
        <v>176.2</v>
      </c>
      <c r="N342">
        <v>151.19999999999999</v>
      </c>
      <c r="O342">
        <v>163.99780000000001</v>
      </c>
      <c r="P342">
        <v>122</v>
      </c>
      <c r="Q342">
        <v>105</v>
      </c>
      <c r="R342">
        <v>114</v>
      </c>
      <c r="S342"/>
      <c r="T342"/>
      <c r="U342"/>
      <c r="V342" t="s">
        <v>170</v>
      </c>
      <c r="W342" t="s">
        <v>171</v>
      </c>
      <c r="X342"/>
      <c r="Y342">
        <v>1</v>
      </c>
      <c r="Z342" t="s">
        <v>172</v>
      </c>
      <c r="AA342" t="s">
        <v>173</v>
      </c>
      <c r="AB342" t="s">
        <v>277</v>
      </c>
      <c r="AC342" t="s">
        <v>278</v>
      </c>
      <c r="AD342"/>
      <c r="AE342"/>
      <c r="AF342">
        <v>288</v>
      </c>
      <c r="AG342" t="s">
        <v>1392</v>
      </c>
      <c r="AH342" t="s">
        <v>1393</v>
      </c>
      <c r="AI342" t="s">
        <v>178</v>
      </c>
      <c r="AJ342" t="s">
        <v>179</v>
      </c>
      <c r="AK342" t="s">
        <v>173</v>
      </c>
      <c r="AL342" t="s">
        <v>180</v>
      </c>
      <c r="AM342"/>
      <c r="AN342"/>
      <c r="AO342">
        <v>92</v>
      </c>
      <c r="AP342">
        <v>20</v>
      </c>
      <c r="AQ342"/>
      <c r="AR342"/>
      <c r="AS342">
        <v>750</v>
      </c>
      <c r="AT342">
        <v>750</v>
      </c>
      <c r="AU342"/>
      <c r="AV342"/>
      <c r="AW342"/>
      <c r="AX342"/>
      <c r="AY342"/>
      <c r="AZ342"/>
      <c r="BA342"/>
      <c r="BB342"/>
      <c r="BC342"/>
      <c r="BD342"/>
      <c r="BE342"/>
      <c r="BF342"/>
      <c r="BG342"/>
      <c r="BH342"/>
      <c r="BI342"/>
      <c r="BJ342"/>
      <c r="BK342"/>
      <c r="BL342"/>
      <c r="BM342"/>
      <c r="BN342" s="114"/>
      <c r="BO342"/>
      <c r="BP342"/>
      <c r="BQ342">
        <v>7</v>
      </c>
      <c r="BR342" t="s">
        <v>612</v>
      </c>
      <c r="BS342" t="s">
        <v>182</v>
      </c>
      <c r="BT342" t="s">
        <v>1395</v>
      </c>
      <c r="BU342" s="115">
        <v>45909</v>
      </c>
      <c r="BV342">
        <v>37223</v>
      </c>
      <c r="BW342" s="116"/>
      <c r="BX342" t="s">
        <v>172</v>
      </c>
      <c r="BY342"/>
      <c r="BZ342"/>
      <c r="CA342"/>
      <c r="CB342" t="s">
        <v>173</v>
      </c>
      <c r="CC342" t="s">
        <v>173</v>
      </c>
      <c r="CD342"/>
      <c r="CE342"/>
      <c r="CF342"/>
      <c r="CG342"/>
      <c r="CH342"/>
      <c r="CI342"/>
      <c r="CJ342"/>
      <c r="CK342" t="s">
        <v>259</v>
      </c>
      <c r="CL342"/>
      <c r="CM342">
        <v>1</v>
      </c>
      <c r="CN342" t="s">
        <v>260</v>
      </c>
      <c r="CO342"/>
      <c r="CP342">
        <v>353</v>
      </c>
      <c r="CQ342">
        <v>222</v>
      </c>
      <c r="CR342">
        <v>166.7</v>
      </c>
      <c r="CS342" t="s">
        <v>261</v>
      </c>
      <c r="CT342"/>
      <c r="CU342"/>
      <c r="CV342" t="s">
        <v>262</v>
      </c>
      <c r="CW342"/>
      <c r="CX342" t="s">
        <v>493</v>
      </c>
      <c r="CY342" t="s">
        <v>173</v>
      </c>
      <c r="CZ342"/>
      <c r="DA342"/>
      <c r="DB342"/>
      <c r="DC342"/>
      <c r="DD342">
        <v>1</v>
      </c>
      <c r="DE342" t="s">
        <v>307</v>
      </c>
      <c r="DF342" t="s">
        <v>1737</v>
      </c>
      <c r="DG342">
        <v>160</v>
      </c>
      <c r="DH342"/>
      <c r="DI342"/>
      <c r="DJ342"/>
      <c r="DK342"/>
      <c r="DL342" t="s">
        <v>173</v>
      </c>
      <c r="DM342" t="s">
        <v>172</v>
      </c>
      <c r="DN342"/>
      <c r="DO342"/>
      <c r="DP342" t="s">
        <v>173</v>
      </c>
      <c r="DQ342" t="s">
        <v>189</v>
      </c>
      <c r="DR342"/>
      <c r="DS342"/>
      <c r="DT342"/>
      <c r="DU342"/>
      <c r="DV342"/>
      <c r="DW342"/>
      <c r="DX342"/>
      <c r="DY342"/>
      <c r="DZ342"/>
      <c r="EA342" s="117"/>
      <c r="EB342">
        <v>9</v>
      </c>
      <c r="EC342">
        <v>10</v>
      </c>
      <c r="ED342"/>
      <c r="EE342" t="s">
        <v>1738</v>
      </c>
      <c r="EF342">
        <v>10</v>
      </c>
      <c r="EG342"/>
      <c r="EH342"/>
      <c r="EI342"/>
      <c r="EJ342"/>
      <c r="EK342"/>
      <c r="EL342"/>
      <c r="EM342"/>
      <c r="EN342"/>
      <c r="EO342"/>
      <c r="EP342"/>
      <c r="EQ342"/>
      <c r="ER342"/>
      <c r="ES342"/>
      <c r="ET342"/>
      <c r="EU342">
        <v>4750</v>
      </c>
      <c r="EV342"/>
      <c r="EW342">
        <v>0</v>
      </c>
      <c r="EX342">
        <v>0</v>
      </c>
      <c r="EY342">
        <v>0</v>
      </c>
      <c r="EZ342"/>
      <c r="FA342">
        <v>12</v>
      </c>
      <c r="FB342"/>
      <c r="FC342"/>
      <c r="FD342"/>
      <c r="FE342"/>
      <c r="FF342"/>
      <c r="FG342" s="94">
        <v>305</v>
      </c>
      <c r="FH342" s="94">
        <v>268</v>
      </c>
      <c r="FI342" s="94">
        <v>288</v>
      </c>
    </row>
    <row r="343" spans="1:165" s="66" customFormat="1" x14ac:dyDescent="0.35">
      <c r="A343">
        <v>2026</v>
      </c>
      <c r="B343" t="s">
        <v>862</v>
      </c>
      <c r="C343" s="112" t="s">
        <v>863</v>
      </c>
      <c r="D343" t="s">
        <v>1736</v>
      </c>
      <c r="E343" t="s">
        <v>865</v>
      </c>
      <c r="F343">
        <v>906</v>
      </c>
      <c r="G343" s="113">
        <v>0</v>
      </c>
      <c r="H343"/>
      <c r="I343" t="s">
        <v>1391</v>
      </c>
      <c r="J343">
        <v>28</v>
      </c>
      <c r="K343">
        <v>32</v>
      </c>
      <c r="L343">
        <v>30</v>
      </c>
      <c r="M343">
        <v>19.127700000000001</v>
      </c>
      <c r="N343">
        <v>22.2958</v>
      </c>
      <c r="O343">
        <v>20.5533</v>
      </c>
      <c r="P343">
        <v>28</v>
      </c>
      <c r="Q343">
        <v>31.845199999999998</v>
      </c>
      <c r="R343">
        <v>30</v>
      </c>
      <c r="S343"/>
      <c r="T343"/>
      <c r="U343"/>
      <c r="V343" t="s">
        <v>170</v>
      </c>
      <c r="W343" t="s">
        <v>171</v>
      </c>
      <c r="X343"/>
      <c r="Y343">
        <v>1</v>
      </c>
      <c r="Z343" t="s">
        <v>172</v>
      </c>
      <c r="AA343" t="s">
        <v>173</v>
      </c>
      <c r="AB343" t="s">
        <v>277</v>
      </c>
      <c r="AC343" t="s">
        <v>278</v>
      </c>
      <c r="AD343"/>
      <c r="AE343"/>
      <c r="AF343">
        <v>288</v>
      </c>
      <c r="AG343" t="s">
        <v>1392</v>
      </c>
      <c r="AH343" t="s">
        <v>1393</v>
      </c>
      <c r="AI343" t="s">
        <v>1399</v>
      </c>
      <c r="AJ343" t="s">
        <v>1400</v>
      </c>
      <c r="AK343" t="s">
        <v>173</v>
      </c>
      <c r="AL343" t="s">
        <v>180</v>
      </c>
      <c r="AM343"/>
      <c r="AN343"/>
      <c r="AO343">
        <v>92</v>
      </c>
      <c r="AP343">
        <v>20</v>
      </c>
      <c r="AQ343"/>
      <c r="AR343"/>
      <c r="AS343">
        <v>750</v>
      </c>
      <c r="AT343">
        <v>750</v>
      </c>
      <c r="AU343"/>
      <c r="AV343"/>
      <c r="AW343"/>
      <c r="AX343"/>
      <c r="AY343"/>
      <c r="AZ343"/>
      <c r="BA343"/>
      <c r="BB343"/>
      <c r="BC343"/>
      <c r="BD343"/>
      <c r="BE343"/>
      <c r="BF343"/>
      <c r="BG343"/>
      <c r="BH343"/>
      <c r="BI343"/>
      <c r="BJ343"/>
      <c r="BK343"/>
      <c r="BL343"/>
      <c r="BM343"/>
      <c r="BN343" s="114"/>
      <c r="BO343"/>
      <c r="BP343"/>
      <c r="BQ343">
        <v>7</v>
      </c>
      <c r="BR343" t="s">
        <v>612</v>
      </c>
      <c r="BS343" t="s">
        <v>182</v>
      </c>
      <c r="BT343" t="s">
        <v>1395</v>
      </c>
      <c r="BU343" s="115">
        <v>45909</v>
      </c>
      <c r="BV343">
        <v>37223</v>
      </c>
      <c r="BW343" s="116"/>
      <c r="BX343" t="s">
        <v>172</v>
      </c>
      <c r="BY343"/>
      <c r="BZ343"/>
      <c r="CA343"/>
      <c r="CB343" t="s">
        <v>173</v>
      </c>
      <c r="CC343" t="s">
        <v>173</v>
      </c>
      <c r="CD343"/>
      <c r="CE343"/>
      <c r="CF343"/>
      <c r="CG343"/>
      <c r="CH343"/>
      <c r="CI343"/>
      <c r="CJ343"/>
      <c r="CK343" t="s">
        <v>259</v>
      </c>
      <c r="CL343"/>
      <c r="CM343">
        <v>1</v>
      </c>
      <c r="CN343" t="s">
        <v>260</v>
      </c>
      <c r="CO343"/>
      <c r="CP343">
        <v>353</v>
      </c>
      <c r="CQ343">
        <v>222</v>
      </c>
      <c r="CR343">
        <v>166.7</v>
      </c>
      <c r="CS343" t="s">
        <v>261</v>
      </c>
      <c r="CT343"/>
      <c r="CU343"/>
      <c r="CV343" t="s">
        <v>262</v>
      </c>
      <c r="CW343"/>
      <c r="CX343" t="s">
        <v>493</v>
      </c>
      <c r="CY343" t="s">
        <v>173</v>
      </c>
      <c r="CZ343"/>
      <c r="DA343"/>
      <c r="DB343"/>
      <c r="DC343"/>
      <c r="DD343">
        <v>1</v>
      </c>
      <c r="DE343" t="s">
        <v>307</v>
      </c>
      <c r="DF343" t="s">
        <v>1737</v>
      </c>
      <c r="DG343">
        <v>160</v>
      </c>
      <c r="DH343"/>
      <c r="DI343"/>
      <c r="DJ343"/>
      <c r="DK343"/>
      <c r="DL343" t="s">
        <v>173</v>
      </c>
      <c r="DM343" t="s">
        <v>172</v>
      </c>
      <c r="DN343"/>
      <c r="DO343"/>
      <c r="DP343" t="s">
        <v>173</v>
      </c>
      <c r="DQ343" t="s">
        <v>189</v>
      </c>
      <c r="DR343"/>
      <c r="DS343"/>
      <c r="DT343"/>
      <c r="DU343"/>
      <c r="DV343"/>
      <c r="DW343"/>
      <c r="DX343"/>
      <c r="DY343"/>
      <c r="DZ343"/>
      <c r="EA343" s="117"/>
      <c r="EB343">
        <v>9</v>
      </c>
      <c r="EC343">
        <v>10</v>
      </c>
      <c r="ED343"/>
      <c r="EE343" t="s">
        <v>1738</v>
      </c>
      <c r="EF343">
        <v>10</v>
      </c>
      <c r="EG343"/>
      <c r="EH343"/>
      <c r="EI343"/>
      <c r="EJ343"/>
      <c r="EK343"/>
      <c r="EL343"/>
      <c r="EM343"/>
      <c r="EN343"/>
      <c r="EO343"/>
      <c r="EP343"/>
      <c r="EQ343"/>
      <c r="ER343"/>
      <c r="ES343"/>
      <c r="ET343"/>
      <c r="EU343">
        <v>4750</v>
      </c>
      <c r="EV343"/>
      <c r="EW343">
        <v>0</v>
      </c>
      <c r="EX343">
        <v>0</v>
      </c>
      <c r="EY343">
        <v>0</v>
      </c>
      <c r="EZ343"/>
      <c r="FA343">
        <v>12</v>
      </c>
      <c r="FB343"/>
      <c r="FC343"/>
      <c r="FD343"/>
      <c r="FE343"/>
      <c r="FF343"/>
      <c r="FG343" s="94">
        <v>305</v>
      </c>
      <c r="FH343" s="94">
        <v>268</v>
      </c>
      <c r="FI343" s="94">
        <v>288</v>
      </c>
    </row>
    <row r="344" spans="1:165" s="66" customFormat="1" x14ac:dyDescent="0.35">
      <c r="A344" s="19"/>
      <c r="B344" s="19"/>
      <c r="C344" s="19"/>
      <c r="D344" s="19"/>
      <c r="E344" s="19"/>
      <c r="F344" s="128"/>
      <c r="G344" s="19"/>
      <c r="H344" s="19"/>
      <c r="I344" s="19"/>
      <c r="J344" s="19"/>
      <c r="K344" s="19" t="str">
        <f>_xlfn.CONCAT(A345," ",C345," ",D345)</f>
        <v>2026 NISSAN LEAF 75kWh (18 inch steel wheels)</v>
      </c>
      <c r="L344" s="19"/>
      <c r="M344" s="19"/>
      <c r="N344" s="19"/>
      <c r="O344" s="19"/>
      <c r="P344" s="19"/>
      <c r="Q344" s="19"/>
      <c r="R344" s="19"/>
      <c r="S344" s="19"/>
      <c r="T344" s="19"/>
      <c r="U344" s="19"/>
      <c r="V344" s="19"/>
      <c r="W344" s="19"/>
      <c r="X344" s="19"/>
      <c r="Y344" s="19"/>
      <c r="Z344" s="19"/>
      <c r="AA344" s="19"/>
      <c r="AB344" s="19" t="str">
        <f>$K344</f>
        <v>2026 NISSAN LEAF 75kWh (18 inch steel wheels)</v>
      </c>
      <c r="AC344" s="19"/>
      <c r="AD344" s="19"/>
      <c r="AE344" s="19"/>
      <c r="AF344" s="19"/>
      <c r="AG344" s="19"/>
      <c r="AH344" s="19"/>
      <c r="AI344" s="19"/>
      <c r="AJ344" s="19"/>
      <c r="AK344" s="19"/>
      <c r="AL344" s="19"/>
      <c r="AM344" s="19"/>
      <c r="AN344" s="19"/>
      <c r="AO344" s="19"/>
      <c r="AP344" s="19"/>
      <c r="AQ344" s="19"/>
      <c r="AR344" s="19" t="str">
        <f>$K344</f>
        <v>2026 NISSAN LEAF 75kWh (18 inch steel wheels)</v>
      </c>
      <c r="AS344" s="19"/>
      <c r="AT344" s="19"/>
      <c r="AU344" s="19"/>
      <c r="AV344" s="19"/>
      <c r="AW344" s="19"/>
      <c r="AX344" s="19"/>
      <c r="AY344" s="19"/>
      <c r="AZ344" s="19"/>
      <c r="BA344" s="19"/>
      <c r="BB344" s="19"/>
      <c r="BC344" s="19"/>
      <c r="BD344" s="19"/>
      <c r="BE344" s="19"/>
      <c r="BF344" s="19"/>
      <c r="BG344" s="19" t="str">
        <f>$K344</f>
        <v>2026 NISSAN LEAF 75kWh (18 inch steel wheels)</v>
      </c>
      <c r="BH344" s="19"/>
      <c r="BI344" s="19"/>
      <c r="BJ344" s="19"/>
      <c r="BK344" s="19"/>
      <c r="BL344" s="19"/>
      <c r="BM344" s="129"/>
      <c r="BN344" s="19"/>
      <c r="BO344" s="19"/>
      <c r="BP344" s="19"/>
      <c r="BQ344" s="19"/>
      <c r="BR344" s="19"/>
      <c r="BS344" s="19"/>
      <c r="BT344" s="130"/>
      <c r="BU344" s="19"/>
      <c r="BV344" s="19"/>
      <c r="BW344" s="116"/>
      <c r="BX344" s="19"/>
      <c r="BY344" s="19"/>
      <c r="BZ344" s="19"/>
      <c r="CA344" s="19"/>
      <c r="CB344" s="19"/>
      <c r="CC344" s="19"/>
      <c r="CD344" s="19"/>
      <c r="CE344" s="19"/>
      <c r="CF344" s="19"/>
      <c r="CG344" s="19"/>
      <c r="CH344" s="19"/>
      <c r="CI344" s="19"/>
      <c r="CJ344" s="19"/>
      <c r="CK344" s="19"/>
      <c r="CL344" s="19"/>
      <c r="CM344" s="19" t="str">
        <f>$K344</f>
        <v>2026 NISSAN LEAF 75kWh (18 inch steel wheels)</v>
      </c>
      <c r="CN344" s="19"/>
      <c r="CO344" s="19"/>
      <c r="CP344" s="19"/>
      <c r="CQ344" s="19"/>
      <c r="CR344" s="19"/>
      <c r="CS344" s="19"/>
      <c r="CT344" s="19"/>
      <c r="CU344" s="19"/>
      <c r="CV344" s="19"/>
      <c r="CW344" s="19"/>
      <c r="CX344" s="19"/>
      <c r="CY344" s="19"/>
      <c r="CZ344" s="19"/>
      <c r="DA344" s="19"/>
      <c r="DB344" s="19"/>
      <c r="DC344" s="19"/>
      <c r="DD344" s="19" t="str">
        <f>$K344</f>
        <v>2026 NISSAN LEAF 75kWh (18 inch steel wheels)</v>
      </c>
      <c r="DE344" s="19"/>
      <c r="DF344" s="19"/>
      <c r="DG344" s="19"/>
      <c r="DH344" s="19"/>
      <c r="DI344" s="19"/>
      <c r="DJ344" s="19"/>
      <c r="DK344" s="19"/>
      <c r="DL344" s="19"/>
      <c r="DM344" s="19"/>
      <c r="DN344" s="19"/>
      <c r="DO344" s="19"/>
      <c r="DP344" s="19"/>
      <c r="DQ344" s="19"/>
      <c r="DR344" s="19"/>
      <c r="DS344" s="19"/>
      <c r="DT344" s="19"/>
      <c r="DU344" s="19" t="str">
        <f>$K344</f>
        <v>2026 NISSAN LEAF 75kWh (18 inch steel wheels)</v>
      </c>
      <c r="DV344" s="19"/>
      <c r="DW344" s="19"/>
      <c r="DX344" s="19"/>
      <c r="DY344" s="19"/>
      <c r="DZ344" s="19"/>
      <c r="EA344" s="117"/>
      <c r="EB344" s="19"/>
      <c r="EC344" s="19"/>
      <c r="ED344" s="19"/>
      <c r="EE344" s="19"/>
      <c r="EF344" s="19"/>
      <c r="EG344"/>
      <c r="EH344"/>
      <c r="EI344"/>
      <c r="EJ344"/>
      <c r="EK344"/>
      <c r="EL344"/>
      <c r="EM344"/>
      <c r="EN344"/>
      <c r="EO344"/>
      <c r="EP344"/>
      <c r="EQ344"/>
      <c r="ER344"/>
      <c r="ES344"/>
      <c r="ET344"/>
      <c r="EU344"/>
      <c r="EV344"/>
      <c r="EW344"/>
      <c r="EX344" s="19" t="s">
        <v>2033</v>
      </c>
      <c r="EY344"/>
      <c r="EZ344"/>
      <c r="FA344"/>
      <c r="FB344"/>
      <c r="FC344"/>
      <c r="FD344"/>
      <c r="FE344"/>
      <c r="FF344"/>
      <c r="FG344"/>
      <c r="FH344"/>
      <c r="FI344"/>
    </row>
    <row r="345" spans="1:165" s="66" customFormat="1" x14ac:dyDescent="0.35">
      <c r="A345">
        <v>2026</v>
      </c>
      <c r="B345" t="s">
        <v>862</v>
      </c>
      <c r="C345" s="112" t="s">
        <v>863</v>
      </c>
      <c r="D345" t="s">
        <v>1739</v>
      </c>
      <c r="E345" t="s">
        <v>865</v>
      </c>
      <c r="F345">
        <v>905</v>
      </c>
      <c r="G345" s="113">
        <v>0</v>
      </c>
      <c r="H345"/>
      <c r="I345" t="s">
        <v>1391</v>
      </c>
      <c r="J345">
        <v>131</v>
      </c>
      <c r="K345">
        <v>111</v>
      </c>
      <c r="L345">
        <v>121</v>
      </c>
      <c r="M345">
        <v>186.8</v>
      </c>
      <c r="N345">
        <v>158.80000000000001</v>
      </c>
      <c r="O345">
        <v>173.06790000000001</v>
      </c>
      <c r="P345">
        <v>130.76</v>
      </c>
      <c r="Q345">
        <v>111.16</v>
      </c>
      <c r="R345">
        <v>121.14749999999999</v>
      </c>
      <c r="S345"/>
      <c r="T345"/>
      <c r="U345"/>
      <c r="V345" t="s">
        <v>170</v>
      </c>
      <c r="W345" t="s">
        <v>171</v>
      </c>
      <c r="X345"/>
      <c r="Y345">
        <v>1</v>
      </c>
      <c r="Z345" t="s">
        <v>172</v>
      </c>
      <c r="AA345" t="s">
        <v>173</v>
      </c>
      <c r="AB345" t="s">
        <v>277</v>
      </c>
      <c r="AC345" t="s">
        <v>278</v>
      </c>
      <c r="AD345"/>
      <c r="AE345"/>
      <c r="AF345">
        <v>303</v>
      </c>
      <c r="AG345" t="s">
        <v>1392</v>
      </c>
      <c r="AH345" t="s">
        <v>1393</v>
      </c>
      <c r="AI345" t="s">
        <v>178</v>
      </c>
      <c r="AJ345" t="s">
        <v>179</v>
      </c>
      <c r="AK345" t="s">
        <v>173</v>
      </c>
      <c r="AL345" t="s">
        <v>180</v>
      </c>
      <c r="AM345"/>
      <c r="AN345"/>
      <c r="AO345">
        <v>92</v>
      </c>
      <c r="AP345">
        <v>20</v>
      </c>
      <c r="AQ345"/>
      <c r="AR345"/>
      <c r="AS345">
        <v>700</v>
      </c>
      <c r="AT345">
        <v>700</v>
      </c>
      <c r="AU345"/>
      <c r="AV345"/>
      <c r="AW345"/>
      <c r="AX345"/>
      <c r="AY345"/>
      <c r="AZ345"/>
      <c r="BA345"/>
      <c r="BB345"/>
      <c r="BC345"/>
      <c r="BD345"/>
      <c r="BE345"/>
      <c r="BF345"/>
      <c r="BG345"/>
      <c r="BH345"/>
      <c r="BI345"/>
      <c r="BJ345"/>
      <c r="BK345"/>
      <c r="BL345"/>
      <c r="BM345"/>
      <c r="BN345" s="114"/>
      <c r="BO345"/>
      <c r="BP345"/>
      <c r="BQ345">
        <v>7</v>
      </c>
      <c r="BR345" t="s">
        <v>612</v>
      </c>
      <c r="BS345" t="s">
        <v>182</v>
      </c>
      <c r="BT345" t="s">
        <v>1395</v>
      </c>
      <c r="BU345" s="115">
        <v>45909</v>
      </c>
      <c r="BV345">
        <v>37222</v>
      </c>
      <c r="BW345" s="116"/>
      <c r="BX345" t="s">
        <v>172</v>
      </c>
      <c r="BY345"/>
      <c r="BZ345"/>
      <c r="CA345"/>
      <c r="CB345" t="s">
        <v>173</v>
      </c>
      <c r="CC345" t="s">
        <v>173</v>
      </c>
      <c r="CD345"/>
      <c r="CE345"/>
      <c r="CF345"/>
      <c r="CG345"/>
      <c r="CH345"/>
      <c r="CI345"/>
      <c r="CJ345"/>
      <c r="CK345" t="s">
        <v>259</v>
      </c>
      <c r="CL345"/>
      <c r="CM345">
        <v>1</v>
      </c>
      <c r="CN345" t="s">
        <v>260</v>
      </c>
      <c r="CO345"/>
      <c r="CP345">
        <v>353</v>
      </c>
      <c r="CQ345">
        <v>222</v>
      </c>
      <c r="CR345">
        <v>166.7</v>
      </c>
      <c r="CS345" t="s">
        <v>261</v>
      </c>
      <c r="CT345"/>
      <c r="CU345"/>
      <c r="CV345" t="s">
        <v>262</v>
      </c>
      <c r="CW345"/>
      <c r="CX345" t="s">
        <v>493</v>
      </c>
      <c r="CY345" t="s">
        <v>173</v>
      </c>
      <c r="CZ345"/>
      <c r="DA345"/>
      <c r="DB345"/>
      <c r="DC345"/>
      <c r="DD345">
        <v>1</v>
      </c>
      <c r="DE345" t="s">
        <v>307</v>
      </c>
      <c r="DF345" t="s">
        <v>1737</v>
      </c>
      <c r="DG345">
        <v>160</v>
      </c>
      <c r="DH345"/>
      <c r="DI345"/>
      <c r="DJ345"/>
      <c r="DK345"/>
      <c r="DL345" t="s">
        <v>173</v>
      </c>
      <c r="DM345" t="s">
        <v>172</v>
      </c>
      <c r="DN345"/>
      <c r="DO345"/>
      <c r="DP345" t="s">
        <v>173</v>
      </c>
      <c r="DQ345" t="s">
        <v>189</v>
      </c>
      <c r="DR345"/>
      <c r="DS345"/>
      <c r="DT345"/>
      <c r="DU345"/>
      <c r="DV345"/>
      <c r="DW345"/>
      <c r="DX345"/>
      <c r="DY345"/>
      <c r="DZ345"/>
      <c r="EA345" s="117"/>
      <c r="EB345">
        <v>10</v>
      </c>
      <c r="EC345">
        <v>10</v>
      </c>
      <c r="ED345"/>
      <c r="EE345" t="s">
        <v>1738</v>
      </c>
      <c r="EF345">
        <v>10</v>
      </c>
      <c r="EG345"/>
      <c r="EH345"/>
      <c r="EI345"/>
      <c r="EJ345"/>
      <c r="EK345"/>
      <c r="EL345"/>
      <c r="EM345"/>
      <c r="EN345"/>
      <c r="EO345"/>
      <c r="EP345"/>
      <c r="EQ345"/>
      <c r="ER345"/>
      <c r="ES345"/>
      <c r="ET345"/>
      <c r="EU345">
        <v>5000</v>
      </c>
      <c r="EV345"/>
      <c r="EW345">
        <v>0</v>
      </c>
      <c r="EX345">
        <v>0</v>
      </c>
      <c r="EY345">
        <v>0</v>
      </c>
      <c r="EZ345"/>
      <c r="FA345">
        <v>12</v>
      </c>
      <c r="FB345"/>
      <c r="FC345"/>
      <c r="FD345"/>
      <c r="FE345"/>
      <c r="FF345"/>
      <c r="FG345" s="94">
        <v>325</v>
      </c>
      <c r="FH345" s="94">
        <v>276</v>
      </c>
      <c r="FI345" s="94">
        <v>303</v>
      </c>
    </row>
    <row r="346" spans="1:165" s="66" customFormat="1" x14ac:dyDescent="0.35">
      <c r="A346">
        <v>2026</v>
      </c>
      <c r="B346" t="s">
        <v>862</v>
      </c>
      <c r="C346" s="112" t="s">
        <v>863</v>
      </c>
      <c r="D346" t="s">
        <v>1739</v>
      </c>
      <c r="E346" t="s">
        <v>865</v>
      </c>
      <c r="F346">
        <v>905</v>
      </c>
      <c r="G346" s="113">
        <v>0</v>
      </c>
      <c r="H346"/>
      <c r="I346" t="s">
        <v>1391</v>
      </c>
      <c r="J346">
        <v>26</v>
      </c>
      <c r="K346">
        <v>30</v>
      </c>
      <c r="L346">
        <v>28</v>
      </c>
      <c r="M346">
        <v>18.0474</v>
      </c>
      <c r="N346">
        <v>21.225899999999999</v>
      </c>
      <c r="O346">
        <v>19.477699999999999</v>
      </c>
      <c r="P346">
        <v>25.776199999999999</v>
      </c>
      <c r="Q346">
        <v>30.321200000000001</v>
      </c>
      <c r="R346">
        <v>27.8215</v>
      </c>
      <c r="S346"/>
      <c r="T346"/>
      <c r="U346"/>
      <c r="V346" t="s">
        <v>170</v>
      </c>
      <c r="W346" t="s">
        <v>171</v>
      </c>
      <c r="X346"/>
      <c r="Y346">
        <v>1</v>
      </c>
      <c r="Z346" t="s">
        <v>172</v>
      </c>
      <c r="AA346" t="s">
        <v>173</v>
      </c>
      <c r="AB346" t="s">
        <v>277</v>
      </c>
      <c r="AC346" t="s">
        <v>278</v>
      </c>
      <c r="AD346"/>
      <c r="AE346"/>
      <c r="AF346">
        <v>303</v>
      </c>
      <c r="AG346" t="s">
        <v>1392</v>
      </c>
      <c r="AH346" t="s">
        <v>1393</v>
      </c>
      <c r="AI346" t="s">
        <v>1399</v>
      </c>
      <c r="AJ346" t="s">
        <v>1400</v>
      </c>
      <c r="AK346" t="s">
        <v>173</v>
      </c>
      <c r="AL346" t="s">
        <v>180</v>
      </c>
      <c r="AM346"/>
      <c r="AN346"/>
      <c r="AO346">
        <v>92</v>
      </c>
      <c r="AP346">
        <v>20</v>
      </c>
      <c r="AQ346"/>
      <c r="AR346"/>
      <c r="AS346">
        <v>700</v>
      </c>
      <c r="AT346">
        <v>700</v>
      </c>
      <c r="AU346"/>
      <c r="AV346"/>
      <c r="AW346"/>
      <c r="AX346"/>
      <c r="AY346"/>
      <c r="AZ346"/>
      <c r="BA346"/>
      <c r="BB346"/>
      <c r="BC346"/>
      <c r="BD346"/>
      <c r="BE346"/>
      <c r="BF346"/>
      <c r="BG346"/>
      <c r="BH346"/>
      <c r="BI346"/>
      <c r="BJ346"/>
      <c r="BK346"/>
      <c r="BL346"/>
      <c r="BM346"/>
      <c r="BN346" s="114"/>
      <c r="BO346"/>
      <c r="BP346"/>
      <c r="BQ346">
        <v>7</v>
      </c>
      <c r="BR346" t="s">
        <v>612</v>
      </c>
      <c r="BS346" t="s">
        <v>182</v>
      </c>
      <c r="BT346" t="s">
        <v>1395</v>
      </c>
      <c r="BU346" s="115">
        <v>45909</v>
      </c>
      <c r="BV346">
        <v>37222</v>
      </c>
      <c r="BW346" s="116"/>
      <c r="BX346" t="s">
        <v>172</v>
      </c>
      <c r="BY346"/>
      <c r="BZ346"/>
      <c r="CA346"/>
      <c r="CB346" t="s">
        <v>173</v>
      </c>
      <c r="CC346" t="s">
        <v>173</v>
      </c>
      <c r="CD346"/>
      <c r="CE346"/>
      <c r="CF346"/>
      <c r="CG346"/>
      <c r="CH346"/>
      <c r="CI346"/>
      <c r="CJ346"/>
      <c r="CK346" t="s">
        <v>259</v>
      </c>
      <c r="CL346"/>
      <c r="CM346">
        <v>1</v>
      </c>
      <c r="CN346" t="s">
        <v>260</v>
      </c>
      <c r="CO346"/>
      <c r="CP346">
        <v>353</v>
      </c>
      <c r="CQ346">
        <v>222</v>
      </c>
      <c r="CR346">
        <v>166.7</v>
      </c>
      <c r="CS346" t="s">
        <v>261</v>
      </c>
      <c r="CT346"/>
      <c r="CU346"/>
      <c r="CV346" t="s">
        <v>262</v>
      </c>
      <c r="CW346"/>
      <c r="CX346" t="s">
        <v>493</v>
      </c>
      <c r="CY346" t="s">
        <v>173</v>
      </c>
      <c r="CZ346"/>
      <c r="DA346"/>
      <c r="DB346"/>
      <c r="DC346"/>
      <c r="DD346">
        <v>1</v>
      </c>
      <c r="DE346" t="s">
        <v>307</v>
      </c>
      <c r="DF346" t="s">
        <v>1737</v>
      </c>
      <c r="DG346">
        <v>160</v>
      </c>
      <c r="DH346"/>
      <c r="DI346"/>
      <c r="DJ346"/>
      <c r="DK346"/>
      <c r="DL346" t="s">
        <v>173</v>
      </c>
      <c r="DM346" t="s">
        <v>172</v>
      </c>
      <c r="DN346"/>
      <c r="DO346"/>
      <c r="DP346" t="s">
        <v>173</v>
      </c>
      <c r="DQ346" t="s">
        <v>189</v>
      </c>
      <c r="DR346"/>
      <c r="DS346"/>
      <c r="DT346"/>
      <c r="DU346"/>
      <c r="DV346"/>
      <c r="DW346"/>
      <c r="DX346"/>
      <c r="DY346"/>
      <c r="DZ346"/>
      <c r="EA346" s="117"/>
      <c r="EB346">
        <v>10</v>
      </c>
      <c r="EC346">
        <v>10</v>
      </c>
      <c r="ED346"/>
      <c r="EE346" t="s">
        <v>1738</v>
      </c>
      <c r="EF346">
        <v>10</v>
      </c>
      <c r="EG346"/>
      <c r="EH346"/>
      <c r="EI346"/>
      <c r="EJ346"/>
      <c r="EK346"/>
      <c r="EL346"/>
      <c r="EM346"/>
      <c r="EN346"/>
      <c r="EO346"/>
      <c r="EP346"/>
      <c r="EQ346"/>
      <c r="ER346"/>
      <c r="ES346"/>
      <c r="ET346"/>
      <c r="EU346">
        <v>5000</v>
      </c>
      <c r="EV346"/>
      <c r="EW346">
        <v>0</v>
      </c>
      <c r="EX346">
        <v>0</v>
      </c>
      <c r="EY346">
        <v>0</v>
      </c>
      <c r="EZ346"/>
      <c r="FA346">
        <v>12</v>
      </c>
      <c r="FB346"/>
      <c r="FC346"/>
      <c r="FD346"/>
      <c r="FE346"/>
      <c r="FF346"/>
      <c r="FG346" s="94">
        <v>325</v>
      </c>
      <c r="FH346" s="94">
        <v>276</v>
      </c>
      <c r="FI346" s="94">
        <v>303</v>
      </c>
    </row>
    <row r="347" spans="1:165" s="66" customFormat="1" x14ac:dyDescent="0.35">
      <c r="A347" s="19"/>
      <c r="B347" s="19"/>
      <c r="C347" s="19"/>
      <c r="D347" s="19"/>
      <c r="E347" s="19"/>
      <c r="F347" s="128"/>
      <c r="G347" s="19"/>
      <c r="H347" s="19"/>
      <c r="I347" s="19"/>
      <c r="J347" s="19"/>
      <c r="K347" s="19" t="str">
        <f>_xlfn.CONCAT(A348," ",C348," ",D348)</f>
        <v>2026 NISSAN LEAF 75kWh (19 inch wheels)</v>
      </c>
      <c r="L347" s="19"/>
      <c r="M347" s="19"/>
      <c r="N347" s="19"/>
      <c r="O347" s="19"/>
      <c r="P347" s="19"/>
      <c r="Q347" s="19"/>
      <c r="R347" s="19"/>
      <c r="S347" s="19"/>
      <c r="T347" s="19"/>
      <c r="U347" s="19"/>
      <c r="V347" s="19"/>
      <c r="W347" s="19"/>
      <c r="X347" s="19"/>
      <c r="Y347" s="19"/>
      <c r="Z347" s="19"/>
      <c r="AA347" s="19"/>
      <c r="AB347" s="19" t="str">
        <f>$K347</f>
        <v>2026 NISSAN LEAF 75kWh (19 inch wheels)</v>
      </c>
      <c r="AC347" s="19"/>
      <c r="AD347" s="19"/>
      <c r="AE347" s="19"/>
      <c r="AF347" s="19"/>
      <c r="AG347" s="19"/>
      <c r="AH347" s="19"/>
      <c r="AI347" s="19"/>
      <c r="AJ347" s="19"/>
      <c r="AK347" s="19"/>
      <c r="AL347" s="19"/>
      <c r="AM347" s="19"/>
      <c r="AN347" s="19"/>
      <c r="AO347" s="19"/>
      <c r="AP347" s="19"/>
      <c r="AQ347" s="19"/>
      <c r="AR347" s="19" t="str">
        <f>$K347</f>
        <v>2026 NISSAN LEAF 75kWh (19 inch wheels)</v>
      </c>
      <c r="AS347" s="19"/>
      <c r="AT347" s="19"/>
      <c r="AU347" s="19"/>
      <c r="AV347" s="19"/>
      <c r="AW347" s="19"/>
      <c r="AX347" s="19"/>
      <c r="AY347" s="19"/>
      <c r="AZ347" s="19"/>
      <c r="BA347" s="19"/>
      <c r="BB347" s="19"/>
      <c r="BC347" s="19"/>
      <c r="BD347" s="19"/>
      <c r="BE347" s="19"/>
      <c r="BF347" s="19"/>
      <c r="BG347" s="19" t="str">
        <f>$K347</f>
        <v>2026 NISSAN LEAF 75kWh (19 inch wheels)</v>
      </c>
      <c r="BH347" s="19"/>
      <c r="BI347" s="19"/>
      <c r="BJ347" s="19"/>
      <c r="BK347" s="19"/>
      <c r="BL347" s="19"/>
      <c r="BM347" s="129"/>
      <c r="BN347" s="19"/>
      <c r="BO347" s="19"/>
      <c r="BP347" s="19"/>
      <c r="BQ347" s="19"/>
      <c r="BR347" s="19"/>
      <c r="BS347" s="19"/>
      <c r="BT347" s="130"/>
      <c r="BU347" s="19"/>
      <c r="BV347" s="19"/>
      <c r="BW347" s="116"/>
      <c r="BX347" s="19"/>
      <c r="BY347" s="19"/>
      <c r="BZ347" s="19"/>
      <c r="CA347" s="19"/>
      <c r="CB347" s="19"/>
      <c r="CC347" s="19"/>
      <c r="CD347" s="19"/>
      <c r="CE347" s="19"/>
      <c r="CF347" s="19"/>
      <c r="CG347" s="19"/>
      <c r="CH347" s="19"/>
      <c r="CI347" s="19"/>
      <c r="CJ347" s="19"/>
      <c r="CK347" s="19"/>
      <c r="CL347" s="19"/>
      <c r="CM347" s="19" t="str">
        <f>$K347</f>
        <v>2026 NISSAN LEAF 75kWh (19 inch wheels)</v>
      </c>
      <c r="CN347" s="19"/>
      <c r="CO347" s="19"/>
      <c r="CP347" s="19"/>
      <c r="CQ347" s="19"/>
      <c r="CR347" s="19"/>
      <c r="CS347" s="19"/>
      <c r="CT347" s="19"/>
      <c r="CU347" s="19"/>
      <c r="CV347" s="19"/>
      <c r="CW347" s="19"/>
      <c r="CX347" s="19"/>
      <c r="CY347" s="19"/>
      <c r="CZ347" s="19"/>
      <c r="DA347" s="19"/>
      <c r="DB347" s="19"/>
      <c r="DC347" s="19"/>
      <c r="DD347" s="19" t="str">
        <f>$K347</f>
        <v>2026 NISSAN LEAF 75kWh (19 inch wheels)</v>
      </c>
      <c r="DE347" s="19"/>
      <c r="DF347" s="19"/>
      <c r="DG347" s="19"/>
      <c r="DH347" s="19"/>
      <c r="DI347" s="19"/>
      <c r="DJ347" s="19"/>
      <c r="DK347" s="19"/>
      <c r="DL347" s="19"/>
      <c r="DM347" s="19"/>
      <c r="DN347" s="19"/>
      <c r="DO347" s="19"/>
      <c r="DP347" s="19"/>
      <c r="DQ347" s="19"/>
      <c r="DR347" s="19"/>
      <c r="DS347" s="19"/>
      <c r="DT347" s="19"/>
      <c r="DU347" s="19" t="str">
        <f>$K347</f>
        <v>2026 NISSAN LEAF 75kWh (19 inch wheels)</v>
      </c>
      <c r="DV347" s="19"/>
      <c r="DW347" s="19"/>
      <c r="DX347" s="19"/>
      <c r="DY347" s="19"/>
      <c r="DZ347" s="19"/>
      <c r="EA347" s="117"/>
      <c r="EB347" s="19"/>
      <c r="EC347" s="19"/>
      <c r="ED347" s="19"/>
      <c r="EE347" s="19"/>
      <c r="EF347" s="19"/>
      <c r="EG347"/>
      <c r="EH347"/>
      <c r="EI347"/>
      <c r="EJ347"/>
      <c r="EK347"/>
      <c r="EL347"/>
      <c r="EM347"/>
      <c r="EN347"/>
      <c r="EO347"/>
      <c r="EP347"/>
      <c r="EQ347"/>
      <c r="ER347"/>
      <c r="ES347"/>
      <c r="ET347"/>
      <c r="EU347"/>
      <c r="EV347"/>
      <c r="EW347"/>
      <c r="EX347" s="19" t="s">
        <v>2034</v>
      </c>
      <c r="EY347"/>
      <c r="EZ347"/>
      <c r="FA347"/>
      <c r="FB347"/>
      <c r="FC347"/>
      <c r="FD347"/>
      <c r="FE347"/>
      <c r="FF347"/>
      <c r="FG347"/>
      <c r="FH347"/>
      <c r="FI347"/>
    </row>
    <row r="348" spans="1:165" s="66" customFormat="1" x14ac:dyDescent="0.35">
      <c r="A348">
        <v>2026</v>
      </c>
      <c r="B348" t="s">
        <v>862</v>
      </c>
      <c r="C348" s="112" t="s">
        <v>863</v>
      </c>
      <c r="D348" t="s">
        <v>1740</v>
      </c>
      <c r="E348" t="s">
        <v>865</v>
      </c>
      <c r="F348">
        <v>907</v>
      </c>
      <c r="G348" s="113">
        <v>0</v>
      </c>
      <c r="H348"/>
      <c r="I348" t="s">
        <v>1391</v>
      </c>
      <c r="J348">
        <v>110</v>
      </c>
      <c r="K348">
        <v>96</v>
      </c>
      <c r="L348">
        <v>103</v>
      </c>
      <c r="M348">
        <v>156.69999999999999</v>
      </c>
      <c r="N348">
        <v>136.9</v>
      </c>
      <c r="O348">
        <v>147.12450000000001</v>
      </c>
      <c r="P348">
        <v>109.69</v>
      </c>
      <c r="Q348">
        <v>95.83</v>
      </c>
      <c r="R348">
        <v>102.9872</v>
      </c>
      <c r="S348"/>
      <c r="T348"/>
      <c r="U348"/>
      <c r="V348" t="s">
        <v>170</v>
      </c>
      <c r="W348" t="s">
        <v>171</v>
      </c>
      <c r="X348"/>
      <c r="Y348">
        <v>1</v>
      </c>
      <c r="Z348" t="s">
        <v>172</v>
      </c>
      <c r="AA348" t="s">
        <v>173</v>
      </c>
      <c r="AB348" t="s">
        <v>277</v>
      </c>
      <c r="AC348" t="s">
        <v>278</v>
      </c>
      <c r="AD348"/>
      <c r="AE348"/>
      <c r="AF348">
        <v>259</v>
      </c>
      <c r="AG348" t="s">
        <v>1392</v>
      </c>
      <c r="AH348" t="s">
        <v>1393</v>
      </c>
      <c r="AI348" t="s">
        <v>178</v>
      </c>
      <c r="AJ348" t="s">
        <v>179</v>
      </c>
      <c r="AK348" t="s">
        <v>173</v>
      </c>
      <c r="AL348" t="s">
        <v>180</v>
      </c>
      <c r="AM348"/>
      <c r="AN348"/>
      <c r="AO348">
        <v>92</v>
      </c>
      <c r="AP348">
        <v>17</v>
      </c>
      <c r="AQ348"/>
      <c r="AR348"/>
      <c r="AS348">
        <v>850</v>
      </c>
      <c r="AT348">
        <v>850</v>
      </c>
      <c r="AU348"/>
      <c r="AV348"/>
      <c r="AW348"/>
      <c r="AX348"/>
      <c r="AY348"/>
      <c r="AZ348"/>
      <c r="BA348"/>
      <c r="BB348"/>
      <c r="BC348"/>
      <c r="BD348"/>
      <c r="BE348"/>
      <c r="BF348"/>
      <c r="BG348"/>
      <c r="BH348"/>
      <c r="BI348"/>
      <c r="BJ348"/>
      <c r="BK348"/>
      <c r="BL348"/>
      <c r="BM348"/>
      <c r="BN348" s="114"/>
      <c r="BO348"/>
      <c r="BP348"/>
      <c r="BQ348">
        <v>7</v>
      </c>
      <c r="BR348" t="s">
        <v>612</v>
      </c>
      <c r="BS348" t="s">
        <v>182</v>
      </c>
      <c r="BT348" t="s">
        <v>1395</v>
      </c>
      <c r="BU348" s="115">
        <v>45909</v>
      </c>
      <c r="BV348">
        <v>37224</v>
      </c>
      <c r="BW348" s="116"/>
      <c r="BX348" t="s">
        <v>172</v>
      </c>
      <c r="BY348"/>
      <c r="BZ348"/>
      <c r="CA348"/>
      <c r="CB348" t="s">
        <v>173</v>
      </c>
      <c r="CC348" t="s">
        <v>173</v>
      </c>
      <c r="CD348"/>
      <c r="CE348"/>
      <c r="CF348"/>
      <c r="CG348"/>
      <c r="CH348"/>
      <c r="CI348"/>
      <c r="CJ348"/>
      <c r="CK348" t="s">
        <v>259</v>
      </c>
      <c r="CL348"/>
      <c r="CM348">
        <v>1</v>
      </c>
      <c r="CN348" t="s">
        <v>260</v>
      </c>
      <c r="CO348"/>
      <c r="CP348">
        <v>353</v>
      </c>
      <c r="CQ348">
        <v>222</v>
      </c>
      <c r="CR348">
        <v>166.7</v>
      </c>
      <c r="CS348" t="s">
        <v>261</v>
      </c>
      <c r="CT348"/>
      <c r="CU348"/>
      <c r="CV348" t="s">
        <v>262</v>
      </c>
      <c r="CW348"/>
      <c r="CX348" t="s">
        <v>493</v>
      </c>
      <c r="CY348" t="s">
        <v>173</v>
      </c>
      <c r="CZ348"/>
      <c r="DA348"/>
      <c r="DB348"/>
      <c r="DC348"/>
      <c r="DD348">
        <v>1</v>
      </c>
      <c r="DE348" t="s">
        <v>307</v>
      </c>
      <c r="DF348" t="s">
        <v>1737</v>
      </c>
      <c r="DG348">
        <v>160</v>
      </c>
      <c r="DH348"/>
      <c r="DI348"/>
      <c r="DJ348"/>
      <c r="DK348"/>
      <c r="DL348" t="s">
        <v>173</v>
      </c>
      <c r="DM348" t="s">
        <v>172</v>
      </c>
      <c r="DN348"/>
      <c r="DO348"/>
      <c r="DP348" t="s">
        <v>173</v>
      </c>
      <c r="DQ348" t="s">
        <v>189</v>
      </c>
      <c r="DR348"/>
      <c r="DS348"/>
      <c r="DT348"/>
      <c r="DU348"/>
      <c r="DV348"/>
      <c r="DW348"/>
      <c r="DX348"/>
      <c r="DY348"/>
      <c r="DZ348"/>
      <c r="EA348" s="117"/>
      <c r="EB348">
        <v>9</v>
      </c>
      <c r="EC348">
        <v>10</v>
      </c>
      <c r="ED348"/>
      <c r="EE348" t="s">
        <v>1738</v>
      </c>
      <c r="EF348">
        <v>10</v>
      </c>
      <c r="EG348"/>
      <c r="EH348"/>
      <c r="EI348"/>
      <c r="EJ348"/>
      <c r="EK348"/>
      <c r="EL348"/>
      <c r="EM348"/>
      <c r="EN348"/>
      <c r="EO348"/>
      <c r="EP348"/>
      <c r="EQ348"/>
      <c r="ER348"/>
      <c r="ES348"/>
      <c r="ET348"/>
      <c r="EU348">
        <v>4250</v>
      </c>
      <c r="EV348"/>
      <c r="EW348">
        <v>0</v>
      </c>
      <c r="EX348">
        <v>0</v>
      </c>
      <c r="EY348">
        <v>0</v>
      </c>
      <c r="EZ348"/>
      <c r="FA348">
        <v>12</v>
      </c>
      <c r="FB348"/>
      <c r="FC348"/>
      <c r="FD348"/>
      <c r="FE348"/>
      <c r="FF348"/>
      <c r="FG348" s="94">
        <v>275</v>
      </c>
      <c r="FH348" s="94">
        <v>240</v>
      </c>
      <c r="FI348" s="94">
        <v>259</v>
      </c>
    </row>
    <row r="349" spans="1:165" s="66" customFormat="1" x14ac:dyDescent="0.35">
      <c r="A349">
        <v>2026</v>
      </c>
      <c r="B349" t="s">
        <v>862</v>
      </c>
      <c r="C349" s="112" t="s">
        <v>863</v>
      </c>
      <c r="D349" t="s">
        <v>1740</v>
      </c>
      <c r="E349" t="s">
        <v>865</v>
      </c>
      <c r="F349">
        <v>907</v>
      </c>
      <c r="G349" s="113">
        <v>0</v>
      </c>
      <c r="H349"/>
      <c r="I349" t="s">
        <v>1391</v>
      </c>
      <c r="J349">
        <v>31</v>
      </c>
      <c r="K349">
        <v>35</v>
      </c>
      <c r="L349">
        <v>33</v>
      </c>
      <c r="M349">
        <v>21.513100000000001</v>
      </c>
      <c r="N349">
        <v>24.625699999999998</v>
      </c>
      <c r="O349">
        <v>22.913699999999999</v>
      </c>
      <c r="P349">
        <v>30.727499999999999</v>
      </c>
      <c r="Q349">
        <v>35.171700000000001</v>
      </c>
      <c r="R349">
        <v>32.727400000000003</v>
      </c>
      <c r="S349"/>
      <c r="T349"/>
      <c r="U349"/>
      <c r="V349" t="s">
        <v>170</v>
      </c>
      <c r="W349" t="s">
        <v>171</v>
      </c>
      <c r="X349"/>
      <c r="Y349">
        <v>1</v>
      </c>
      <c r="Z349" t="s">
        <v>172</v>
      </c>
      <c r="AA349" t="s">
        <v>173</v>
      </c>
      <c r="AB349" t="s">
        <v>277</v>
      </c>
      <c r="AC349" t="s">
        <v>278</v>
      </c>
      <c r="AD349"/>
      <c r="AE349"/>
      <c r="AF349">
        <v>259</v>
      </c>
      <c r="AG349" t="s">
        <v>1392</v>
      </c>
      <c r="AH349" t="s">
        <v>1393</v>
      </c>
      <c r="AI349" t="s">
        <v>1399</v>
      </c>
      <c r="AJ349" t="s">
        <v>1400</v>
      </c>
      <c r="AK349" t="s">
        <v>173</v>
      </c>
      <c r="AL349" t="s">
        <v>180</v>
      </c>
      <c r="AM349"/>
      <c r="AN349"/>
      <c r="AO349">
        <v>92</v>
      </c>
      <c r="AP349">
        <v>17</v>
      </c>
      <c r="AQ349"/>
      <c r="AR349"/>
      <c r="AS349">
        <v>850</v>
      </c>
      <c r="AT349">
        <v>850</v>
      </c>
      <c r="AU349"/>
      <c r="AV349"/>
      <c r="AW349"/>
      <c r="AX349"/>
      <c r="AY349"/>
      <c r="AZ349"/>
      <c r="BA349"/>
      <c r="BB349"/>
      <c r="BC349"/>
      <c r="BD349"/>
      <c r="BE349"/>
      <c r="BF349"/>
      <c r="BG349"/>
      <c r="BH349"/>
      <c r="BI349"/>
      <c r="BJ349"/>
      <c r="BK349"/>
      <c r="BL349"/>
      <c r="BM349"/>
      <c r="BN349" s="114"/>
      <c r="BO349"/>
      <c r="BP349"/>
      <c r="BQ349">
        <v>7</v>
      </c>
      <c r="BR349" t="s">
        <v>612</v>
      </c>
      <c r="BS349" t="s">
        <v>182</v>
      </c>
      <c r="BT349" t="s">
        <v>1395</v>
      </c>
      <c r="BU349" s="115">
        <v>45909</v>
      </c>
      <c r="BV349">
        <v>37224</v>
      </c>
      <c r="BW349" s="116"/>
      <c r="BX349" t="s">
        <v>172</v>
      </c>
      <c r="BY349"/>
      <c r="BZ349"/>
      <c r="CA349"/>
      <c r="CB349" t="s">
        <v>173</v>
      </c>
      <c r="CC349" t="s">
        <v>173</v>
      </c>
      <c r="CD349"/>
      <c r="CE349"/>
      <c r="CF349"/>
      <c r="CG349"/>
      <c r="CH349"/>
      <c r="CI349"/>
      <c r="CJ349"/>
      <c r="CK349" t="s">
        <v>259</v>
      </c>
      <c r="CL349"/>
      <c r="CM349">
        <v>1</v>
      </c>
      <c r="CN349" t="s">
        <v>260</v>
      </c>
      <c r="CO349"/>
      <c r="CP349">
        <v>353</v>
      </c>
      <c r="CQ349">
        <v>222</v>
      </c>
      <c r="CR349">
        <v>166.7</v>
      </c>
      <c r="CS349" t="s">
        <v>261</v>
      </c>
      <c r="CT349"/>
      <c r="CU349"/>
      <c r="CV349" t="s">
        <v>262</v>
      </c>
      <c r="CW349"/>
      <c r="CX349" t="s">
        <v>493</v>
      </c>
      <c r="CY349" t="s">
        <v>173</v>
      </c>
      <c r="CZ349"/>
      <c r="DA349"/>
      <c r="DB349"/>
      <c r="DC349"/>
      <c r="DD349">
        <v>1</v>
      </c>
      <c r="DE349" t="s">
        <v>307</v>
      </c>
      <c r="DF349" t="s">
        <v>1737</v>
      </c>
      <c r="DG349">
        <v>160</v>
      </c>
      <c r="DH349"/>
      <c r="DI349"/>
      <c r="DJ349"/>
      <c r="DK349"/>
      <c r="DL349" t="s">
        <v>173</v>
      </c>
      <c r="DM349" t="s">
        <v>172</v>
      </c>
      <c r="DN349"/>
      <c r="DO349"/>
      <c r="DP349" t="s">
        <v>173</v>
      </c>
      <c r="DQ349" t="s">
        <v>189</v>
      </c>
      <c r="DR349"/>
      <c r="DS349"/>
      <c r="DT349"/>
      <c r="DU349"/>
      <c r="DV349"/>
      <c r="DW349"/>
      <c r="DX349"/>
      <c r="DY349"/>
      <c r="DZ349"/>
      <c r="EA349" s="117"/>
      <c r="EB349">
        <v>9</v>
      </c>
      <c r="EC349">
        <v>10</v>
      </c>
      <c r="ED349"/>
      <c r="EE349" t="s">
        <v>1738</v>
      </c>
      <c r="EF349">
        <v>10</v>
      </c>
      <c r="EG349"/>
      <c r="EH349"/>
      <c r="EI349"/>
      <c r="EJ349"/>
      <c r="EK349"/>
      <c r="EL349"/>
      <c r="EM349"/>
      <c r="EN349"/>
      <c r="EO349"/>
      <c r="EP349"/>
      <c r="EQ349"/>
      <c r="ER349"/>
      <c r="ES349"/>
      <c r="ET349"/>
      <c r="EU349">
        <v>4250</v>
      </c>
      <c r="EV349"/>
      <c r="EW349">
        <v>0</v>
      </c>
      <c r="EX349">
        <v>0</v>
      </c>
      <c r="EY349">
        <v>0</v>
      </c>
      <c r="EZ349"/>
      <c r="FA349">
        <v>12</v>
      </c>
      <c r="FB349"/>
      <c r="FC349"/>
      <c r="FD349"/>
      <c r="FE349"/>
      <c r="FF349"/>
      <c r="FG349" s="94">
        <v>275</v>
      </c>
      <c r="FH349" s="94">
        <v>240</v>
      </c>
      <c r="FI349" s="94">
        <v>259</v>
      </c>
    </row>
    <row r="350" spans="1:165" s="66" customFormat="1" x14ac:dyDescent="0.35">
      <c r="A350" s="19"/>
      <c r="B350" s="19"/>
      <c r="C350" s="19"/>
      <c r="D350" s="19"/>
      <c r="E350" s="19"/>
      <c r="F350" s="128"/>
      <c r="G350" s="19"/>
      <c r="H350" s="19"/>
      <c r="I350" s="19"/>
      <c r="J350" s="19"/>
      <c r="K350" s="19" t="str">
        <f>_xlfn.CONCAT(A351," ",C351," ",D351)</f>
        <v>2026 Rivian R1T All-Terrain Dual Large (20in)</v>
      </c>
      <c r="L350" s="19"/>
      <c r="M350" s="19"/>
      <c r="N350" s="19"/>
      <c r="O350" s="19"/>
      <c r="P350" s="19"/>
      <c r="Q350" s="19"/>
      <c r="R350" s="19"/>
      <c r="S350" s="19"/>
      <c r="T350" s="19"/>
      <c r="U350" s="19"/>
      <c r="V350" s="19"/>
      <c r="W350" s="19"/>
      <c r="X350" s="19"/>
      <c r="Y350" s="19"/>
      <c r="Z350" s="19"/>
      <c r="AA350" s="19"/>
      <c r="AB350" s="19" t="str">
        <f>$K350</f>
        <v>2026 Rivian R1T All-Terrain Dual Large (20in)</v>
      </c>
      <c r="AC350" s="19"/>
      <c r="AD350" s="19"/>
      <c r="AE350" s="19"/>
      <c r="AF350" s="19"/>
      <c r="AG350" s="19"/>
      <c r="AH350" s="19"/>
      <c r="AI350" s="19"/>
      <c r="AJ350" s="19"/>
      <c r="AK350" s="19"/>
      <c r="AL350" s="19"/>
      <c r="AM350" s="19"/>
      <c r="AN350" s="19"/>
      <c r="AO350" s="19"/>
      <c r="AP350" s="19"/>
      <c r="AQ350" s="19"/>
      <c r="AR350" s="19" t="str">
        <f>$K350</f>
        <v>2026 Rivian R1T All-Terrain Dual Large (20in)</v>
      </c>
      <c r="AS350" s="19"/>
      <c r="AT350" s="19"/>
      <c r="AU350" s="19"/>
      <c r="AV350" s="19"/>
      <c r="AW350" s="19"/>
      <c r="AX350" s="19"/>
      <c r="AY350" s="19"/>
      <c r="AZ350" s="19"/>
      <c r="BA350" s="19"/>
      <c r="BB350" s="19"/>
      <c r="BC350" s="19"/>
      <c r="BD350" s="19"/>
      <c r="BE350" s="19"/>
      <c r="BF350" s="19"/>
      <c r="BG350" s="19" t="str">
        <f>$K350</f>
        <v>2026 Rivian R1T All-Terrain Dual Large (20in)</v>
      </c>
      <c r="BH350" s="19"/>
      <c r="BI350" s="19"/>
      <c r="BJ350" s="19"/>
      <c r="BK350" s="19"/>
      <c r="BL350" s="19"/>
      <c r="BM350" s="129"/>
      <c r="BN350" s="19"/>
      <c r="BO350" s="19"/>
      <c r="BP350" s="19"/>
      <c r="BQ350" s="19"/>
      <c r="BR350" s="19"/>
      <c r="BS350" s="19"/>
      <c r="BT350" s="130"/>
      <c r="BU350" s="19"/>
      <c r="BV350" s="19"/>
      <c r="BW350" s="116"/>
      <c r="BX350" s="19"/>
      <c r="BY350" s="19"/>
      <c r="BZ350" s="19"/>
      <c r="CA350" s="19"/>
      <c r="CB350" s="19"/>
      <c r="CC350" s="19"/>
      <c r="CD350" s="19"/>
      <c r="CE350" s="19"/>
      <c r="CF350" s="19"/>
      <c r="CG350" s="19"/>
      <c r="CH350" s="19"/>
      <c r="CI350" s="19"/>
      <c r="CJ350" s="19"/>
      <c r="CK350" s="19"/>
      <c r="CL350" s="19"/>
      <c r="CM350" s="19" t="str">
        <f>$K350</f>
        <v>2026 Rivian R1T All-Terrain Dual Large (20in)</v>
      </c>
      <c r="CN350" s="19"/>
      <c r="CO350" s="19"/>
      <c r="CP350" s="19"/>
      <c r="CQ350" s="19"/>
      <c r="CR350" s="19"/>
      <c r="CS350" s="19"/>
      <c r="CT350" s="19"/>
      <c r="CU350" s="19"/>
      <c r="CV350" s="19"/>
      <c r="CW350" s="19"/>
      <c r="CX350" s="19"/>
      <c r="CY350" s="19"/>
      <c r="CZ350" s="19"/>
      <c r="DA350" s="19"/>
      <c r="DB350" s="19"/>
      <c r="DC350" s="19"/>
      <c r="DD350" s="19" t="str">
        <f>$K350</f>
        <v>2026 Rivian R1T All-Terrain Dual Large (20in)</v>
      </c>
      <c r="DE350" s="19"/>
      <c r="DF350" s="19"/>
      <c r="DG350" s="19"/>
      <c r="DH350" s="19"/>
      <c r="DI350" s="19"/>
      <c r="DJ350" s="19"/>
      <c r="DK350" s="19"/>
      <c r="DL350" s="19"/>
      <c r="DM350" s="19"/>
      <c r="DN350" s="19"/>
      <c r="DO350" s="19"/>
      <c r="DP350" s="19"/>
      <c r="DQ350" s="19"/>
      <c r="DR350" s="19"/>
      <c r="DS350" s="19"/>
      <c r="DT350" s="19"/>
      <c r="DU350" s="19" t="str">
        <f>$K350</f>
        <v>2026 Rivian R1T All-Terrain Dual Large (20in)</v>
      </c>
      <c r="DV350" s="19"/>
      <c r="DW350" s="19"/>
      <c r="DX350" s="19"/>
      <c r="DY350" s="19"/>
      <c r="DZ350" s="19"/>
      <c r="EA350" s="117"/>
      <c r="EB350" s="19"/>
      <c r="EC350" s="19"/>
      <c r="ED350" s="19"/>
      <c r="EE350" s="19"/>
      <c r="EF350" s="19"/>
      <c r="EG350"/>
      <c r="EH350"/>
      <c r="EI350"/>
      <c r="EJ350"/>
      <c r="EK350"/>
      <c r="EL350"/>
      <c r="EM350"/>
      <c r="EN350"/>
      <c r="EO350"/>
      <c r="EP350"/>
      <c r="EQ350"/>
      <c r="ER350"/>
      <c r="ES350"/>
      <c r="ET350"/>
      <c r="EU350"/>
      <c r="EV350"/>
      <c r="EW350"/>
      <c r="EX350" s="19" t="s">
        <v>2035</v>
      </c>
      <c r="EY350"/>
      <c r="EZ350"/>
      <c r="FA350"/>
      <c r="FB350"/>
      <c r="FC350"/>
      <c r="FD350"/>
      <c r="FE350"/>
      <c r="FF350"/>
      <c r="FG350"/>
      <c r="FH350"/>
      <c r="FI350"/>
    </row>
    <row r="351" spans="1:165" s="66" customFormat="1" x14ac:dyDescent="0.35">
      <c r="A351">
        <v>2026</v>
      </c>
      <c r="B351" t="s">
        <v>1553</v>
      </c>
      <c r="C351" s="112" t="s">
        <v>1554</v>
      </c>
      <c r="D351" t="s">
        <v>1601</v>
      </c>
      <c r="E351" t="s">
        <v>1556</v>
      </c>
      <c r="F351">
        <v>95</v>
      </c>
      <c r="G351" s="113">
        <v>0</v>
      </c>
      <c r="H351"/>
      <c r="I351" t="s">
        <v>1391</v>
      </c>
      <c r="J351">
        <v>82</v>
      </c>
      <c r="K351">
        <v>70</v>
      </c>
      <c r="L351">
        <v>76</v>
      </c>
      <c r="M351">
        <v>114</v>
      </c>
      <c r="N351">
        <v>97</v>
      </c>
      <c r="O351">
        <v>105.5719</v>
      </c>
      <c r="P351">
        <v>81.898399999999995</v>
      </c>
      <c r="Q351">
        <v>69.808000000000007</v>
      </c>
      <c r="R351">
        <v>75.976900000000001</v>
      </c>
      <c r="S351"/>
      <c r="T351"/>
      <c r="U351"/>
      <c r="V351" t="s">
        <v>170</v>
      </c>
      <c r="W351" t="s">
        <v>171</v>
      </c>
      <c r="X351"/>
      <c r="Y351">
        <v>1</v>
      </c>
      <c r="Z351" t="s">
        <v>173</v>
      </c>
      <c r="AA351" t="s">
        <v>173</v>
      </c>
      <c r="AB351">
        <v>4</v>
      </c>
      <c r="AC351" t="s">
        <v>423</v>
      </c>
      <c r="AD351"/>
      <c r="AE351"/>
      <c r="AF351">
        <v>289</v>
      </c>
      <c r="AG351" t="s">
        <v>1392</v>
      </c>
      <c r="AH351" t="s">
        <v>1393</v>
      </c>
      <c r="AI351" t="s">
        <v>178</v>
      </c>
      <c r="AJ351" t="s">
        <v>179</v>
      </c>
      <c r="AK351">
        <v>4</v>
      </c>
      <c r="AL351" t="s">
        <v>1394</v>
      </c>
      <c r="AM351"/>
      <c r="AN351"/>
      <c r="AO351"/>
      <c r="AP351"/>
      <c r="AQ351"/>
      <c r="AR351"/>
      <c r="AS351">
        <v>1150</v>
      </c>
      <c r="AT351">
        <v>1150</v>
      </c>
      <c r="AU351"/>
      <c r="AV351"/>
      <c r="AW351"/>
      <c r="AX351"/>
      <c r="AY351"/>
      <c r="AZ351"/>
      <c r="BA351"/>
      <c r="BB351"/>
      <c r="BC351"/>
      <c r="BD351"/>
      <c r="BE351"/>
      <c r="BF351"/>
      <c r="BG351"/>
      <c r="BH351"/>
      <c r="BI351"/>
      <c r="BJ351"/>
      <c r="BK351"/>
      <c r="BL351"/>
      <c r="BM351"/>
      <c r="BN351" s="114"/>
      <c r="BO351"/>
      <c r="BP351"/>
      <c r="BQ351">
        <v>13</v>
      </c>
      <c r="BR351" t="s">
        <v>712</v>
      </c>
      <c r="BS351"/>
      <c r="BT351" t="s">
        <v>1402</v>
      </c>
      <c r="BU351" s="115">
        <v>45792</v>
      </c>
      <c r="BV351">
        <v>36505</v>
      </c>
      <c r="BW351" s="116"/>
      <c r="BX351"/>
      <c r="BY351" t="s">
        <v>173</v>
      </c>
      <c r="BZ351"/>
      <c r="CA351"/>
      <c r="CB351" t="s">
        <v>173</v>
      </c>
      <c r="CC351" t="s">
        <v>173</v>
      </c>
      <c r="CD351"/>
      <c r="CE351"/>
      <c r="CF351"/>
      <c r="CG351"/>
      <c r="CH351"/>
      <c r="CI351"/>
      <c r="CJ351"/>
      <c r="CK351" t="s">
        <v>259</v>
      </c>
      <c r="CL351"/>
      <c r="CM351">
        <v>1</v>
      </c>
      <c r="CN351" t="s">
        <v>260</v>
      </c>
      <c r="CO351"/>
      <c r="CP351">
        <v>406</v>
      </c>
      <c r="CQ351">
        <v>286</v>
      </c>
      <c r="CR351">
        <v>273</v>
      </c>
      <c r="CS351" t="s">
        <v>1437</v>
      </c>
      <c r="CT351"/>
      <c r="CU351"/>
      <c r="CV351" t="s">
        <v>262</v>
      </c>
      <c r="CW351"/>
      <c r="CX351" t="s">
        <v>263</v>
      </c>
      <c r="CY351" t="s">
        <v>172</v>
      </c>
      <c r="CZ351"/>
      <c r="DA351"/>
      <c r="DB351"/>
      <c r="DC351" t="s">
        <v>1596</v>
      </c>
      <c r="DD351">
        <v>2</v>
      </c>
      <c r="DE351" t="s">
        <v>307</v>
      </c>
      <c r="DF351" t="s">
        <v>988</v>
      </c>
      <c r="DG351">
        <v>264</v>
      </c>
      <c r="DH351"/>
      <c r="DI351"/>
      <c r="DJ351"/>
      <c r="DK351"/>
      <c r="DL351" t="s">
        <v>173</v>
      </c>
      <c r="DM351" t="s">
        <v>172</v>
      </c>
      <c r="DN351"/>
      <c r="DO351"/>
      <c r="DP351" t="s">
        <v>173</v>
      </c>
      <c r="DQ351" t="s">
        <v>189</v>
      </c>
      <c r="DR351" t="s">
        <v>1602</v>
      </c>
      <c r="DS351"/>
      <c r="DT351"/>
      <c r="DU351"/>
      <c r="DV351"/>
      <c r="DW351"/>
      <c r="DX351"/>
      <c r="DY351"/>
      <c r="DZ351"/>
      <c r="EA351" s="117"/>
      <c r="EB351">
        <v>9</v>
      </c>
      <c r="EC351">
        <v>10</v>
      </c>
      <c r="ED351"/>
      <c r="EE351" t="s">
        <v>1598</v>
      </c>
      <c r="EF351">
        <v>10</v>
      </c>
      <c r="EG351"/>
      <c r="EH351"/>
      <c r="EI351"/>
      <c r="EJ351"/>
      <c r="EK351"/>
      <c r="EL351"/>
      <c r="EM351"/>
      <c r="EN351"/>
      <c r="EO351"/>
      <c r="EP351"/>
      <c r="EQ351"/>
      <c r="ER351"/>
      <c r="ES351"/>
      <c r="ET351"/>
      <c r="EU351">
        <v>2750</v>
      </c>
      <c r="EV351"/>
      <c r="EW351">
        <v>0</v>
      </c>
      <c r="EX351">
        <v>0</v>
      </c>
      <c r="EY351">
        <v>0</v>
      </c>
      <c r="EZ351"/>
      <c r="FA351">
        <v>12</v>
      </c>
      <c r="FB351"/>
      <c r="FC351"/>
      <c r="FD351"/>
      <c r="FE351"/>
      <c r="FF351"/>
      <c r="FG351" s="94">
        <v>310</v>
      </c>
      <c r="FH351" s="94">
        <v>264</v>
      </c>
      <c r="FI351" s="94">
        <v>289</v>
      </c>
    </row>
    <row r="352" spans="1:165" s="66" customFormat="1" x14ac:dyDescent="0.35">
      <c r="A352">
        <v>2026</v>
      </c>
      <c r="B352" t="s">
        <v>1553</v>
      </c>
      <c r="C352" s="112" t="s">
        <v>1554</v>
      </c>
      <c r="D352" t="s">
        <v>1601</v>
      </c>
      <c r="E352" t="s">
        <v>1556</v>
      </c>
      <c r="F352">
        <v>95</v>
      </c>
      <c r="G352" s="113">
        <v>0</v>
      </c>
      <c r="H352"/>
      <c r="I352" t="s">
        <v>1391</v>
      </c>
      <c r="J352">
        <v>41</v>
      </c>
      <c r="K352">
        <v>48</v>
      </c>
      <c r="L352">
        <v>44</v>
      </c>
      <c r="M352">
        <v>29.616800000000001</v>
      </c>
      <c r="N352">
        <v>34.755899999999997</v>
      </c>
      <c r="O352">
        <v>31.929400000000001</v>
      </c>
      <c r="P352">
        <v>41.154600000000002</v>
      </c>
      <c r="Q352">
        <v>48.282400000000003</v>
      </c>
      <c r="R352">
        <v>44.362200000000001</v>
      </c>
      <c r="S352"/>
      <c r="T352"/>
      <c r="U352"/>
      <c r="V352" t="s">
        <v>170</v>
      </c>
      <c r="W352" t="s">
        <v>171</v>
      </c>
      <c r="X352"/>
      <c r="Y352">
        <v>1</v>
      </c>
      <c r="Z352" t="s">
        <v>173</v>
      </c>
      <c r="AA352" t="s">
        <v>173</v>
      </c>
      <c r="AB352">
        <v>4</v>
      </c>
      <c r="AC352" t="s">
        <v>423</v>
      </c>
      <c r="AD352"/>
      <c r="AE352"/>
      <c r="AF352">
        <v>289</v>
      </c>
      <c r="AG352" t="s">
        <v>1392</v>
      </c>
      <c r="AH352" t="s">
        <v>1393</v>
      </c>
      <c r="AI352" t="s">
        <v>1399</v>
      </c>
      <c r="AJ352" t="s">
        <v>1400</v>
      </c>
      <c r="AK352">
        <v>4</v>
      </c>
      <c r="AL352" t="s">
        <v>1394</v>
      </c>
      <c r="AM352"/>
      <c r="AN352"/>
      <c r="AO352"/>
      <c r="AP352"/>
      <c r="AQ352"/>
      <c r="AR352"/>
      <c r="AS352">
        <v>1150</v>
      </c>
      <c r="AT352">
        <v>1150</v>
      </c>
      <c r="AU352"/>
      <c r="AV352"/>
      <c r="AW352"/>
      <c r="AX352"/>
      <c r="AY352"/>
      <c r="AZ352"/>
      <c r="BA352"/>
      <c r="BB352"/>
      <c r="BC352"/>
      <c r="BD352"/>
      <c r="BE352"/>
      <c r="BF352"/>
      <c r="BG352"/>
      <c r="BH352"/>
      <c r="BI352"/>
      <c r="BJ352"/>
      <c r="BK352"/>
      <c r="BL352"/>
      <c r="BM352"/>
      <c r="BN352" s="114"/>
      <c r="BO352"/>
      <c r="BP352"/>
      <c r="BQ352">
        <v>13</v>
      </c>
      <c r="BR352" t="s">
        <v>712</v>
      </c>
      <c r="BS352"/>
      <c r="BT352" t="s">
        <v>1402</v>
      </c>
      <c r="BU352" s="115">
        <v>45792</v>
      </c>
      <c r="BV352">
        <v>36505</v>
      </c>
      <c r="BW352" s="116"/>
      <c r="BX352"/>
      <c r="BY352" t="s">
        <v>173</v>
      </c>
      <c r="BZ352"/>
      <c r="CA352"/>
      <c r="CB352" t="s">
        <v>173</v>
      </c>
      <c r="CC352" t="s">
        <v>173</v>
      </c>
      <c r="CD352"/>
      <c r="CE352"/>
      <c r="CF352"/>
      <c r="CG352"/>
      <c r="CH352"/>
      <c r="CI352"/>
      <c r="CJ352"/>
      <c r="CK352" t="s">
        <v>259</v>
      </c>
      <c r="CL352"/>
      <c r="CM352">
        <v>1</v>
      </c>
      <c r="CN352" t="s">
        <v>260</v>
      </c>
      <c r="CO352"/>
      <c r="CP352">
        <v>406</v>
      </c>
      <c r="CQ352">
        <v>286</v>
      </c>
      <c r="CR352">
        <v>273</v>
      </c>
      <c r="CS352" t="s">
        <v>1437</v>
      </c>
      <c r="CT352"/>
      <c r="CU352"/>
      <c r="CV352" t="s">
        <v>262</v>
      </c>
      <c r="CW352"/>
      <c r="CX352" t="s">
        <v>263</v>
      </c>
      <c r="CY352" t="s">
        <v>172</v>
      </c>
      <c r="CZ352"/>
      <c r="DA352"/>
      <c r="DB352"/>
      <c r="DC352" t="s">
        <v>1596</v>
      </c>
      <c r="DD352">
        <v>2</v>
      </c>
      <c r="DE352" t="s">
        <v>307</v>
      </c>
      <c r="DF352" t="s">
        <v>988</v>
      </c>
      <c r="DG352">
        <v>264</v>
      </c>
      <c r="DH352"/>
      <c r="DI352"/>
      <c r="DJ352"/>
      <c r="DK352"/>
      <c r="DL352" t="s">
        <v>173</v>
      </c>
      <c r="DM352" t="s">
        <v>172</v>
      </c>
      <c r="DN352"/>
      <c r="DO352"/>
      <c r="DP352" t="s">
        <v>173</v>
      </c>
      <c r="DQ352" t="s">
        <v>189</v>
      </c>
      <c r="DR352" t="s">
        <v>1602</v>
      </c>
      <c r="DS352"/>
      <c r="DT352"/>
      <c r="DU352"/>
      <c r="DV352"/>
      <c r="DW352"/>
      <c r="DX352"/>
      <c r="DY352"/>
      <c r="DZ352"/>
      <c r="EA352" s="117"/>
      <c r="EB352">
        <v>9</v>
      </c>
      <c r="EC352">
        <v>10</v>
      </c>
      <c r="ED352"/>
      <c r="EE352" t="s">
        <v>1598</v>
      </c>
      <c r="EF352">
        <v>10</v>
      </c>
      <c r="EG352"/>
      <c r="EH352"/>
      <c r="EI352"/>
      <c r="EJ352"/>
      <c r="EK352"/>
      <c r="EL352"/>
      <c r="EM352"/>
      <c r="EN352"/>
      <c r="EO352"/>
      <c r="EP352"/>
      <c r="EQ352"/>
      <c r="ER352"/>
      <c r="ES352"/>
      <c r="ET352"/>
      <c r="EU352">
        <v>2750</v>
      </c>
      <c r="EV352"/>
      <c r="EW352">
        <v>0</v>
      </c>
      <c r="EX352">
        <v>0</v>
      </c>
      <c r="EY352">
        <v>0</v>
      </c>
      <c r="EZ352"/>
      <c r="FA352">
        <v>12</v>
      </c>
      <c r="FB352"/>
      <c r="FC352"/>
      <c r="FD352"/>
      <c r="FE352"/>
      <c r="FF352"/>
      <c r="FG352" s="94">
        <v>310</v>
      </c>
      <c r="FH352" s="94">
        <v>264</v>
      </c>
      <c r="FI352" s="94">
        <v>289</v>
      </c>
    </row>
    <row r="353" spans="1:165" s="66" customFormat="1" x14ac:dyDescent="0.35">
      <c r="A353" s="19"/>
      <c r="B353" s="19"/>
      <c r="C353" s="19"/>
      <c r="D353" s="19"/>
      <c r="E353" s="19"/>
      <c r="F353" s="128"/>
      <c r="G353" s="19"/>
      <c r="H353" s="19"/>
      <c r="I353" s="19"/>
      <c r="J353" s="19"/>
      <c r="K353" s="19" t="str">
        <f>_xlfn.CONCAT(A354," ",C354," ",D354)</f>
        <v>2026 Rivian R1T All-Terrain Dual Large Plus (20in)</v>
      </c>
      <c r="L353" s="19"/>
      <c r="M353" s="19"/>
      <c r="N353" s="19"/>
      <c r="O353" s="19"/>
      <c r="P353" s="19"/>
      <c r="Q353" s="19"/>
      <c r="R353" s="19"/>
      <c r="S353" s="19"/>
      <c r="T353" s="19"/>
      <c r="U353" s="19"/>
      <c r="V353" s="19"/>
      <c r="W353" s="19"/>
      <c r="X353" s="19"/>
      <c r="Y353" s="19"/>
      <c r="Z353" s="19"/>
      <c r="AA353" s="19"/>
      <c r="AB353" s="19" t="str">
        <f>$K353</f>
        <v>2026 Rivian R1T All-Terrain Dual Large Plus (20in)</v>
      </c>
      <c r="AC353" s="19"/>
      <c r="AD353" s="19"/>
      <c r="AE353" s="19"/>
      <c r="AF353" s="19"/>
      <c r="AG353" s="19"/>
      <c r="AH353" s="19"/>
      <c r="AI353" s="19"/>
      <c r="AJ353" s="19"/>
      <c r="AK353" s="19"/>
      <c r="AL353" s="19"/>
      <c r="AM353" s="19"/>
      <c r="AN353" s="19"/>
      <c r="AO353" s="19"/>
      <c r="AP353" s="19"/>
      <c r="AQ353" s="19"/>
      <c r="AR353" s="19" t="str">
        <f>$K353</f>
        <v>2026 Rivian R1T All-Terrain Dual Large Plus (20in)</v>
      </c>
      <c r="AS353" s="19"/>
      <c r="AT353" s="19"/>
      <c r="AU353" s="19"/>
      <c r="AV353" s="19"/>
      <c r="AW353" s="19"/>
      <c r="AX353" s="19"/>
      <c r="AY353" s="19"/>
      <c r="AZ353" s="19"/>
      <c r="BA353" s="19"/>
      <c r="BB353" s="19"/>
      <c r="BC353" s="19"/>
      <c r="BD353" s="19"/>
      <c r="BE353" s="19"/>
      <c r="BF353" s="19"/>
      <c r="BG353" s="19" t="str">
        <f>$K353</f>
        <v>2026 Rivian R1T All-Terrain Dual Large Plus (20in)</v>
      </c>
      <c r="BH353" s="19"/>
      <c r="BI353" s="19"/>
      <c r="BJ353" s="19"/>
      <c r="BK353" s="19"/>
      <c r="BL353" s="19"/>
      <c r="BM353" s="129"/>
      <c r="BN353" s="19"/>
      <c r="BO353" s="19"/>
      <c r="BP353" s="19"/>
      <c r="BQ353" s="19"/>
      <c r="BR353" s="19"/>
      <c r="BS353" s="19"/>
      <c r="BT353" s="130"/>
      <c r="BU353" s="19"/>
      <c r="BV353" s="19"/>
      <c r="BW353" s="116"/>
      <c r="BX353" s="19"/>
      <c r="BY353" s="19"/>
      <c r="BZ353" s="19"/>
      <c r="CA353" s="19"/>
      <c r="CB353" s="19"/>
      <c r="CC353" s="19"/>
      <c r="CD353" s="19"/>
      <c r="CE353" s="19"/>
      <c r="CF353" s="19"/>
      <c r="CG353" s="19"/>
      <c r="CH353" s="19"/>
      <c r="CI353" s="19"/>
      <c r="CJ353" s="19"/>
      <c r="CK353" s="19"/>
      <c r="CL353" s="19"/>
      <c r="CM353" s="19" t="str">
        <f>$K353</f>
        <v>2026 Rivian R1T All-Terrain Dual Large Plus (20in)</v>
      </c>
      <c r="CN353" s="19"/>
      <c r="CO353" s="19"/>
      <c r="CP353" s="19"/>
      <c r="CQ353" s="19"/>
      <c r="CR353" s="19"/>
      <c r="CS353" s="19"/>
      <c r="CT353" s="19"/>
      <c r="CU353" s="19"/>
      <c r="CV353" s="19"/>
      <c r="CW353" s="19"/>
      <c r="CX353" s="19"/>
      <c r="CY353" s="19"/>
      <c r="CZ353" s="19"/>
      <c r="DA353" s="19"/>
      <c r="DB353" s="19"/>
      <c r="DC353" s="19"/>
      <c r="DD353" s="19" t="str">
        <f>$K353</f>
        <v>2026 Rivian R1T All-Terrain Dual Large Plus (20in)</v>
      </c>
      <c r="DE353" s="19"/>
      <c r="DF353" s="19"/>
      <c r="DG353" s="19"/>
      <c r="DH353" s="19"/>
      <c r="DI353" s="19"/>
      <c r="DJ353" s="19"/>
      <c r="DK353" s="19"/>
      <c r="DL353" s="19"/>
      <c r="DM353" s="19"/>
      <c r="DN353" s="19"/>
      <c r="DO353" s="19"/>
      <c r="DP353" s="19"/>
      <c r="DQ353" s="19"/>
      <c r="DR353" s="19"/>
      <c r="DS353" s="19"/>
      <c r="DT353" s="19"/>
      <c r="DU353" s="19" t="str">
        <f>$K353</f>
        <v>2026 Rivian R1T All-Terrain Dual Large Plus (20in)</v>
      </c>
      <c r="DV353" s="19"/>
      <c r="DW353" s="19"/>
      <c r="DX353" s="19"/>
      <c r="DY353" s="19"/>
      <c r="DZ353" s="19"/>
      <c r="EA353" s="117"/>
      <c r="EB353" s="19"/>
      <c r="EC353" s="19"/>
      <c r="ED353" s="19"/>
      <c r="EE353" s="19"/>
      <c r="EF353" s="19"/>
      <c r="EG353"/>
      <c r="EH353"/>
      <c r="EI353"/>
      <c r="EJ353"/>
      <c r="EK353"/>
      <c r="EL353"/>
      <c r="EM353"/>
      <c r="EN353"/>
      <c r="EO353"/>
      <c r="EP353"/>
      <c r="EQ353"/>
      <c r="ER353"/>
      <c r="ES353"/>
      <c r="ET353"/>
      <c r="EU353"/>
      <c r="EV353"/>
      <c r="EW353"/>
      <c r="EX353" s="19" t="s">
        <v>2036</v>
      </c>
      <c r="EY353"/>
      <c r="EZ353"/>
      <c r="FA353"/>
      <c r="FB353"/>
      <c r="FC353"/>
      <c r="FD353"/>
      <c r="FE353"/>
      <c r="FF353"/>
      <c r="FG353"/>
      <c r="FH353"/>
      <c r="FI353"/>
    </row>
    <row r="354" spans="1:165" s="66" customFormat="1" x14ac:dyDescent="0.35">
      <c r="A354">
        <v>2026</v>
      </c>
      <c r="B354" t="s">
        <v>1553</v>
      </c>
      <c r="C354" s="112" t="s">
        <v>1554</v>
      </c>
      <c r="D354" t="s">
        <v>1578</v>
      </c>
      <c r="E354" t="s">
        <v>1556</v>
      </c>
      <c r="F354">
        <v>77</v>
      </c>
      <c r="G354" s="113">
        <v>0</v>
      </c>
      <c r="H354"/>
      <c r="I354" t="s">
        <v>1391</v>
      </c>
      <c r="J354">
        <v>76</v>
      </c>
      <c r="K354">
        <v>67</v>
      </c>
      <c r="L354">
        <v>72</v>
      </c>
      <c r="M354">
        <v>108.8</v>
      </c>
      <c r="N354">
        <v>96.1</v>
      </c>
      <c r="O354">
        <v>102.69289999999999</v>
      </c>
      <c r="P354">
        <v>76.16</v>
      </c>
      <c r="Q354">
        <v>67.27</v>
      </c>
      <c r="R354">
        <v>71.885000000000005</v>
      </c>
      <c r="S354"/>
      <c r="T354"/>
      <c r="U354"/>
      <c r="V354" t="s">
        <v>170</v>
      </c>
      <c r="W354" t="s">
        <v>171</v>
      </c>
      <c r="X354"/>
      <c r="Y354">
        <v>1</v>
      </c>
      <c r="Z354" t="s">
        <v>173</v>
      </c>
      <c r="AA354" t="s">
        <v>173</v>
      </c>
      <c r="AB354">
        <v>4</v>
      </c>
      <c r="AC354" t="s">
        <v>423</v>
      </c>
      <c r="AD354"/>
      <c r="AE354"/>
      <c r="AF354">
        <v>292</v>
      </c>
      <c r="AG354" t="s">
        <v>1392</v>
      </c>
      <c r="AH354" t="s">
        <v>1393</v>
      </c>
      <c r="AI354" t="s">
        <v>178</v>
      </c>
      <c r="AJ354" t="s">
        <v>179</v>
      </c>
      <c r="AK354">
        <v>4</v>
      </c>
      <c r="AL354" t="s">
        <v>1394</v>
      </c>
      <c r="AM354"/>
      <c r="AN354"/>
      <c r="AO354"/>
      <c r="AP354"/>
      <c r="AQ354"/>
      <c r="AR354"/>
      <c r="AS354">
        <v>1200</v>
      </c>
      <c r="AT354">
        <v>1200</v>
      </c>
      <c r="AU354"/>
      <c r="AV354"/>
      <c r="AW354"/>
      <c r="AX354"/>
      <c r="AY354"/>
      <c r="AZ354"/>
      <c r="BA354"/>
      <c r="BB354"/>
      <c r="BC354"/>
      <c r="BD354"/>
      <c r="BE354"/>
      <c r="BF354"/>
      <c r="BG354"/>
      <c r="BH354"/>
      <c r="BI354"/>
      <c r="BJ354"/>
      <c r="BK354"/>
      <c r="BL354"/>
      <c r="BM354"/>
      <c r="BN354" s="114"/>
      <c r="BO354"/>
      <c r="BP354"/>
      <c r="BQ354">
        <v>13</v>
      </c>
      <c r="BR354" t="s">
        <v>712</v>
      </c>
      <c r="BS354"/>
      <c r="BT354" t="s">
        <v>1402</v>
      </c>
      <c r="BU354" s="115">
        <v>45792</v>
      </c>
      <c r="BV354">
        <v>36499</v>
      </c>
      <c r="BW354" s="116"/>
      <c r="BX354"/>
      <c r="BY354" t="s">
        <v>173</v>
      </c>
      <c r="BZ354"/>
      <c r="CA354"/>
      <c r="CB354" t="s">
        <v>173</v>
      </c>
      <c r="CC354" t="s">
        <v>173</v>
      </c>
      <c r="CD354"/>
      <c r="CE354"/>
      <c r="CF354"/>
      <c r="CG354"/>
      <c r="CH354"/>
      <c r="CI354"/>
      <c r="CJ354"/>
      <c r="CK354" t="s">
        <v>259</v>
      </c>
      <c r="CL354"/>
      <c r="CM354">
        <v>1</v>
      </c>
      <c r="CN354" t="s">
        <v>260</v>
      </c>
      <c r="CO354"/>
      <c r="CP354">
        <v>392</v>
      </c>
      <c r="CQ354">
        <v>382</v>
      </c>
      <c r="CR354">
        <v>190</v>
      </c>
      <c r="CS354" t="s">
        <v>1437</v>
      </c>
      <c r="CT354"/>
      <c r="CU354"/>
      <c r="CV354" t="s">
        <v>262</v>
      </c>
      <c r="CW354"/>
      <c r="CX354" t="s">
        <v>263</v>
      </c>
      <c r="CY354" t="s">
        <v>172</v>
      </c>
      <c r="CZ354"/>
      <c r="DA354"/>
      <c r="DB354"/>
      <c r="DC354" t="s">
        <v>1558</v>
      </c>
      <c r="DD354">
        <v>2</v>
      </c>
      <c r="DE354" t="s">
        <v>307</v>
      </c>
      <c r="DF354" t="s">
        <v>988</v>
      </c>
      <c r="DG354">
        <v>264</v>
      </c>
      <c r="DH354"/>
      <c r="DI354"/>
      <c r="DJ354"/>
      <c r="DK354"/>
      <c r="DL354" t="s">
        <v>173</v>
      </c>
      <c r="DM354" t="s">
        <v>172</v>
      </c>
      <c r="DN354"/>
      <c r="DO354"/>
      <c r="DP354" t="s">
        <v>173</v>
      </c>
      <c r="DQ354" t="s">
        <v>189</v>
      </c>
      <c r="DR354" t="s">
        <v>1579</v>
      </c>
      <c r="DS354"/>
      <c r="DT354"/>
      <c r="DU354"/>
      <c r="DV354"/>
      <c r="DW354"/>
      <c r="DX354"/>
      <c r="DY354"/>
      <c r="DZ354"/>
      <c r="EA354" s="117"/>
      <c r="EB354">
        <v>9</v>
      </c>
      <c r="EC354">
        <v>10</v>
      </c>
      <c r="ED354"/>
      <c r="EE354" t="s">
        <v>1565</v>
      </c>
      <c r="EF354">
        <v>10</v>
      </c>
      <c r="EG354"/>
      <c r="EH354"/>
      <c r="EI354"/>
      <c r="EJ354"/>
      <c r="EK354"/>
      <c r="EL354"/>
      <c r="EM354"/>
      <c r="EN354"/>
      <c r="EO354"/>
      <c r="EP354"/>
      <c r="EQ354"/>
      <c r="ER354"/>
      <c r="ES354"/>
      <c r="ET354"/>
      <c r="EU354">
        <v>2500</v>
      </c>
      <c r="EV354"/>
      <c r="EW354">
        <v>0</v>
      </c>
      <c r="EX354">
        <v>0</v>
      </c>
      <c r="EY354">
        <v>0</v>
      </c>
      <c r="EZ354"/>
      <c r="FA354">
        <v>12</v>
      </c>
      <c r="FB354"/>
      <c r="FC354"/>
      <c r="FD354"/>
      <c r="FE354"/>
      <c r="FF354"/>
      <c r="FG354" s="94">
        <v>308</v>
      </c>
      <c r="FH354" s="94">
        <v>272</v>
      </c>
      <c r="FI354" s="94">
        <v>292</v>
      </c>
    </row>
    <row r="355" spans="1:165" s="66" customFormat="1" x14ac:dyDescent="0.35">
      <c r="A355">
        <v>2026</v>
      </c>
      <c r="B355" t="s">
        <v>1553</v>
      </c>
      <c r="C355" s="112" t="s">
        <v>1554</v>
      </c>
      <c r="D355" t="s">
        <v>1578</v>
      </c>
      <c r="E355" t="s">
        <v>1556</v>
      </c>
      <c r="F355">
        <v>77</v>
      </c>
      <c r="G355" s="113">
        <v>0</v>
      </c>
      <c r="H355"/>
      <c r="I355" t="s">
        <v>1391</v>
      </c>
      <c r="J355">
        <v>44</v>
      </c>
      <c r="K355">
        <v>50</v>
      </c>
      <c r="L355">
        <v>47</v>
      </c>
      <c r="M355">
        <v>30.986000000000001</v>
      </c>
      <c r="N355">
        <v>35.058500000000002</v>
      </c>
      <c r="O355">
        <v>32.818600000000004</v>
      </c>
      <c r="P355">
        <v>44.255499999999998</v>
      </c>
      <c r="Q355">
        <v>50.104100000000003</v>
      </c>
      <c r="R355">
        <v>46.8874</v>
      </c>
      <c r="S355"/>
      <c r="T355"/>
      <c r="U355"/>
      <c r="V355" t="s">
        <v>170</v>
      </c>
      <c r="W355" t="s">
        <v>171</v>
      </c>
      <c r="X355"/>
      <c r="Y355">
        <v>1</v>
      </c>
      <c r="Z355" t="s">
        <v>173</v>
      </c>
      <c r="AA355" t="s">
        <v>173</v>
      </c>
      <c r="AB355">
        <v>4</v>
      </c>
      <c r="AC355" t="s">
        <v>423</v>
      </c>
      <c r="AD355"/>
      <c r="AE355"/>
      <c r="AF355">
        <v>292</v>
      </c>
      <c r="AG355" t="s">
        <v>1392</v>
      </c>
      <c r="AH355" t="s">
        <v>1393</v>
      </c>
      <c r="AI355" t="s">
        <v>1399</v>
      </c>
      <c r="AJ355" t="s">
        <v>1400</v>
      </c>
      <c r="AK355">
        <v>4</v>
      </c>
      <c r="AL355" t="s">
        <v>1394</v>
      </c>
      <c r="AM355"/>
      <c r="AN355"/>
      <c r="AO355"/>
      <c r="AP355"/>
      <c r="AQ355"/>
      <c r="AR355"/>
      <c r="AS355">
        <v>1200</v>
      </c>
      <c r="AT355">
        <v>1200</v>
      </c>
      <c r="AU355"/>
      <c r="AV355"/>
      <c r="AW355"/>
      <c r="AX355"/>
      <c r="AY355"/>
      <c r="AZ355"/>
      <c r="BA355"/>
      <c r="BB355"/>
      <c r="BC355"/>
      <c r="BD355"/>
      <c r="BE355"/>
      <c r="BF355"/>
      <c r="BG355"/>
      <c r="BH355"/>
      <c r="BI355"/>
      <c r="BJ355"/>
      <c r="BK355"/>
      <c r="BL355"/>
      <c r="BM355"/>
      <c r="BN355" s="114"/>
      <c r="BO355"/>
      <c r="BP355"/>
      <c r="BQ355">
        <v>13</v>
      </c>
      <c r="BR355" t="s">
        <v>712</v>
      </c>
      <c r="BS355"/>
      <c r="BT355" t="s">
        <v>1402</v>
      </c>
      <c r="BU355" s="115">
        <v>45792</v>
      </c>
      <c r="BV355">
        <v>36499</v>
      </c>
      <c r="BW355" s="116"/>
      <c r="BX355"/>
      <c r="BY355" t="s">
        <v>173</v>
      </c>
      <c r="BZ355"/>
      <c r="CA355"/>
      <c r="CB355" t="s">
        <v>173</v>
      </c>
      <c r="CC355" t="s">
        <v>173</v>
      </c>
      <c r="CD355"/>
      <c r="CE355"/>
      <c r="CF355"/>
      <c r="CG355"/>
      <c r="CH355"/>
      <c r="CI355"/>
      <c r="CJ355"/>
      <c r="CK355" t="s">
        <v>259</v>
      </c>
      <c r="CL355"/>
      <c r="CM355">
        <v>1</v>
      </c>
      <c r="CN355" t="s">
        <v>260</v>
      </c>
      <c r="CO355"/>
      <c r="CP355">
        <v>392</v>
      </c>
      <c r="CQ355">
        <v>382</v>
      </c>
      <c r="CR355">
        <v>190</v>
      </c>
      <c r="CS355" t="s">
        <v>1437</v>
      </c>
      <c r="CT355"/>
      <c r="CU355"/>
      <c r="CV355" t="s">
        <v>262</v>
      </c>
      <c r="CW355"/>
      <c r="CX355" t="s">
        <v>263</v>
      </c>
      <c r="CY355" t="s">
        <v>172</v>
      </c>
      <c r="CZ355"/>
      <c r="DA355"/>
      <c r="DB355"/>
      <c r="DC355" t="s">
        <v>1558</v>
      </c>
      <c r="DD355">
        <v>2</v>
      </c>
      <c r="DE355" t="s">
        <v>307</v>
      </c>
      <c r="DF355" t="s">
        <v>988</v>
      </c>
      <c r="DG355">
        <v>264</v>
      </c>
      <c r="DH355"/>
      <c r="DI355"/>
      <c r="DJ355"/>
      <c r="DK355"/>
      <c r="DL355" t="s">
        <v>173</v>
      </c>
      <c r="DM355" t="s">
        <v>172</v>
      </c>
      <c r="DN355"/>
      <c r="DO355"/>
      <c r="DP355" t="s">
        <v>173</v>
      </c>
      <c r="DQ355" t="s">
        <v>189</v>
      </c>
      <c r="DR355" t="s">
        <v>1579</v>
      </c>
      <c r="DS355"/>
      <c r="DT355"/>
      <c r="DU355"/>
      <c r="DV355"/>
      <c r="DW355"/>
      <c r="DX355"/>
      <c r="DY355"/>
      <c r="DZ355"/>
      <c r="EA355" s="117"/>
      <c r="EB355">
        <v>9</v>
      </c>
      <c r="EC355">
        <v>10</v>
      </c>
      <c r="ED355"/>
      <c r="EE355" t="s">
        <v>1565</v>
      </c>
      <c r="EF355">
        <v>10</v>
      </c>
      <c r="EG355"/>
      <c r="EH355"/>
      <c r="EI355"/>
      <c r="EJ355"/>
      <c r="EK355"/>
      <c r="EL355"/>
      <c r="EM355"/>
      <c r="EN355"/>
      <c r="EO355"/>
      <c r="EP355"/>
      <c r="EQ355"/>
      <c r="ER355"/>
      <c r="ES355"/>
      <c r="ET355"/>
      <c r="EU355">
        <v>2500</v>
      </c>
      <c r="EV355"/>
      <c r="EW355">
        <v>0</v>
      </c>
      <c r="EX355">
        <v>0</v>
      </c>
      <c r="EY355">
        <v>0</v>
      </c>
      <c r="EZ355"/>
      <c r="FA355">
        <v>12</v>
      </c>
      <c r="FB355"/>
      <c r="FC355"/>
      <c r="FD355"/>
      <c r="FE355"/>
      <c r="FF355"/>
      <c r="FG355" s="94">
        <v>308</v>
      </c>
      <c r="FH355" s="94">
        <v>272</v>
      </c>
      <c r="FI355" s="94">
        <v>292</v>
      </c>
    </row>
    <row r="356" spans="1:165" s="66" customFormat="1" x14ac:dyDescent="0.35">
      <c r="A356" s="19"/>
      <c r="B356" s="19"/>
      <c r="C356" s="19"/>
      <c r="D356" s="19"/>
      <c r="E356" s="19"/>
      <c r="F356" s="128"/>
      <c r="G356" s="19"/>
      <c r="H356" s="19"/>
      <c r="I356" s="19"/>
      <c r="J356" s="19"/>
      <c r="K356" s="19" t="str">
        <f>_xlfn.CONCAT(A357," ",C357," ",D357)</f>
        <v>2026 Rivian R1T All-Terrain Dual Max (20in)</v>
      </c>
      <c r="L356" s="19"/>
      <c r="M356" s="19"/>
      <c r="N356" s="19"/>
      <c r="O356" s="19"/>
      <c r="P356" s="19"/>
      <c r="Q356" s="19"/>
      <c r="R356" s="19"/>
      <c r="S356" s="19"/>
      <c r="T356" s="19"/>
      <c r="U356" s="19"/>
      <c r="V356" s="19"/>
      <c r="W356" s="19"/>
      <c r="X356" s="19"/>
      <c r="Y356" s="19"/>
      <c r="Z356" s="19"/>
      <c r="AA356" s="19"/>
      <c r="AB356" s="19" t="str">
        <f>$K356</f>
        <v>2026 Rivian R1T All-Terrain Dual Max (20in)</v>
      </c>
      <c r="AC356" s="19"/>
      <c r="AD356" s="19"/>
      <c r="AE356" s="19"/>
      <c r="AF356" s="19"/>
      <c r="AG356" s="19"/>
      <c r="AH356" s="19"/>
      <c r="AI356" s="19"/>
      <c r="AJ356" s="19"/>
      <c r="AK356" s="19"/>
      <c r="AL356" s="19"/>
      <c r="AM356" s="19"/>
      <c r="AN356" s="19"/>
      <c r="AO356" s="19"/>
      <c r="AP356" s="19"/>
      <c r="AQ356" s="19"/>
      <c r="AR356" s="19" t="str">
        <f>$K356</f>
        <v>2026 Rivian R1T All-Terrain Dual Max (20in)</v>
      </c>
      <c r="AS356" s="19"/>
      <c r="AT356" s="19"/>
      <c r="AU356" s="19"/>
      <c r="AV356" s="19"/>
      <c r="AW356" s="19"/>
      <c r="AX356" s="19"/>
      <c r="AY356" s="19"/>
      <c r="AZ356" s="19"/>
      <c r="BA356" s="19"/>
      <c r="BB356" s="19"/>
      <c r="BC356" s="19"/>
      <c r="BD356" s="19"/>
      <c r="BE356" s="19"/>
      <c r="BF356" s="19"/>
      <c r="BG356" s="19" t="str">
        <f>$K356</f>
        <v>2026 Rivian R1T All-Terrain Dual Max (20in)</v>
      </c>
      <c r="BH356" s="19"/>
      <c r="BI356" s="19"/>
      <c r="BJ356" s="19"/>
      <c r="BK356" s="19"/>
      <c r="BL356" s="19"/>
      <c r="BM356" s="129"/>
      <c r="BN356" s="19"/>
      <c r="BO356" s="19"/>
      <c r="BP356" s="19"/>
      <c r="BQ356" s="19"/>
      <c r="BR356" s="19"/>
      <c r="BS356" s="19"/>
      <c r="BT356" s="130"/>
      <c r="BU356" s="19"/>
      <c r="BV356" s="19"/>
      <c r="BW356" s="116"/>
      <c r="BX356" s="19"/>
      <c r="BY356" s="19"/>
      <c r="BZ356" s="19"/>
      <c r="CA356" s="19"/>
      <c r="CB356" s="19"/>
      <c r="CC356" s="19"/>
      <c r="CD356" s="19"/>
      <c r="CE356" s="19"/>
      <c r="CF356" s="19"/>
      <c r="CG356" s="19"/>
      <c r="CH356" s="19"/>
      <c r="CI356" s="19"/>
      <c r="CJ356" s="19"/>
      <c r="CK356" s="19"/>
      <c r="CL356" s="19"/>
      <c r="CM356" s="19" t="str">
        <f>$K356</f>
        <v>2026 Rivian R1T All-Terrain Dual Max (20in)</v>
      </c>
      <c r="CN356" s="19"/>
      <c r="CO356" s="19"/>
      <c r="CP356" s="19"/>
      <c r="CQ356" s="19"/>
      <c r="CR356" s="19"/>
      <c r="CS356" s="19"/>
      <c r="CT356" s="19"/>
      <c r="CU356" s="19"/>
      <c r="CV356" s="19"/>
      <c r="CW356" s="19"/>
      <c r="CX356" s="19"/>
      <c r="CY356" s="19"/>
      <c r="CZ356" s="19"/>
      <c r="DA356" s="19"/>
      <c r="DB356" s="19"/>
      <c r="DC356" s="19"/>
      <c r="DD356" s="19" t="str">
        <f>$K356</f>
        <v>2026 Rivian R1T All-Terrain Dual Max (20in)</v>
      </c>
      <c r="DE356" s="19"/>
      <c r="DF356" s="19"/>
      <c r="DG356" s="19"/>
      <c r="DH356" s="19"/>
      <c r="DI356" s="19"/>
      <c r="DJ356" s="19"/>
      <c r="DK356" s="19"/>
      <c r="DL356" s="19"/>
      <c r="DM356" s="19"/>
      <c r="DN356" s="19"/>
      <c r="DO356" s="19"/>
      <c r="DP356" s="19"/>
      <c r="DQ356" s="19"/>
      <c r="DR356" s="19"/>
      <c r="DS356" s="19"/>
      <c r="DT356" s="19"/>
      <c r="DU356" s="19" t="str">
        <f>$K356</f>
        <v>2026 Rivian R1T All-Terrain Dual Max (20in)</v>
      </c>
      <c r="DV356" s="19"/>
      <c r="DW356" s="19"/>
      <c r="DX356" s="19"/>
      <c r="DY356" s="19"/>
      <c r="DZ356" s="19"/>
      <c r="EA356" s="117"/>
      <c r="EB356" s="19"/>
      <c r="EC356" s="19"/>
      <c r="ED356" s="19"/>
      <c r="EE356" s="19"/>
      <c r="EF356" s="19"/>
      <c r="EG356"/>
      <c r="EH356"/>
      <c r="EI356"/>
      <c r="EJ356"/>
      <c r="EK356"/>
      <c r="EL356"/>
      <c r="EM356"/>
      <c r="EN356"/>
      <c r="EO356"/>
      <c r="EP356"/>
      <c r="EQ356"/>
      <c r="ER356"/>
      <c r="ES356"/>
      <c r="ET356"/>
      <c r="EU356"/>
      <c r="EV356"/>
      <c r="EW356"/>
      <c r="EX356" s="19" t="s">
        <v>2037</v>
      </c>
      <c r="EY356"/>
      <c r="EZ356"/>
      <c r="FA356"/>
      <c r="FB356"/>
      <c r="FC356"/>
      <c r="FD356"/>
      <c r="FE356"/>
      <c r="FF356"/>
      <c r="FG356"/>
      <c r="FH356"/>
      <c r="FI356"/>
    </row>
    <row r="357" spans="1:165" s="66" customFormat="1" x14ac:dyDescent="0.35">
      <c r="A357">
        <v>2026</v>
      </c>
      <c r="B357" t="s">
        <v>1553</v>
      </c>
      <c r="C357" s="112" t="s">
        <v>1554</v>
      </c>
      <c r="D357" t="s">
        <v>1568</v>
      </c>
      <c r="E357" t="s">
        <v>1556</v>
      </c>
      <c r="F357">
        <v>67</v>
      </c>
      <c r="G357" s="113">
        <v>0</v>
      </c>
      <c r="H357"/>
      <c r="I357" t="s">
        <v>1391</v>
      </c>
      <c r="J357">
        <v>82</v>
      </c>
      <c r="K357">
        <v>73</v>
      </c>
      <c r="L357">
        <v>78</v>
      </c>
      <c r="M357">
        <v>112</v>
      </c>
      <c r="N357">
        <v>100.1</v>
      </c>
      <c r="O357">
        <v>106.3126</v>
      </c>
      <c r="P357">
        <v>82.147499999999994</v>
      </c>
      <c r="Q357">
        <v>73.419300000000007</v>
      </c>
      <c r="R357">
        <v>77.975999999999999</v>
      </c>
      <c r="S357"/>
      <c r="T357"/>
      <c r="U357"/>
      <c r="V357" t="s">
        <v>170</v>
      </c>
      <c r="W357" t="s">
        <v>171</v>
      </c>
      <c r="X357"/>
      <c r="Y357">
        <v>1</v>
      </c>
      <c r="Z357" t="s">
        <v>173</v>
      </c>
      <c r="AA357" t="s">
        <v>173</v>
      </c>
      <c r="AB357" t="s">
        <v>769</v>
      </c>
      <c r="AC357" t="s">
        <v>770</v>
      </c>
      <c r="AD357"/>
      <c r="AE357"/>
      <c r="AF357">
        <v>370</v>
      </c>
      <c r="AG357" t="s">
        <v>1392</v>
      </c>
      <c r="AH357" t="s">
        <v>1393</v>
      </c>
      <c r="AI357" t="s">
        <v>178</v>
      </c>
      <c r="AJ357" t="s">
        <v>179</v>
      </c>
      <c r="AK357">
        <v>4</v>
      </c>
      <c r="AL357" t="s">
        <v>1394</v>
      </c>
      <c r="AM357"/>
      <c r="AN357"/>
      <c r="AO357"/>
      <c r="AP357"/>
      <c r="AQ357"/>
      <c r="AR357"/>
      <c r="AS357">
        <v>1100</v>
      </c>
      <c r="AT357">
        <v>1100</v>
      </c>
      <c r="AU357"/>
      <c r="AV357"/>
      <c r="AW357"/>
      <c r="AX357"/>
      <c r="AY357"/>
      <c r="AZ357"/>
      <c r="BA357"/>
      <c r="BB357"/>
      <c r="BC357"/>
      <c r="BD357"/>
      <c r="BE357"/>
      <c r="BF357"/>
      <c r="BG357"/>
      <c r="BH357"/>
      <c r="BI357"/>
      <c r="BJ357"/>
      <c r="BK357"/>
      <c r="BL357"/>
      <c r="BM357"/>
      <c r="BN357" s="114"/>
      <c r="BO357"/>
      <c r="BP357"/>
      <c r="BQ357">
        <v>13</v>
      </c>
      <c r="BR357" t="s">
        <v>712</v>
      </c>
      <c r="BS357"/>
      <c r="BT357" t="s">
        <v>1402</v>
      </c>
      <c r="BU357" s="115">
        <v>45792</v>
      </c>
      <c r="BV357">
        <v>36490</v>
      </c>
      <c r="BW357" s="116"/>
      <c r="BX357"/>
      <c r="BY357" t="s">
        <v>173</v>
      </c>
      <c r="BZ357"/>
      <c r="CA357"/>
      <c r="CB357" t="s">
        <v>173</v>
      </c>
      <c r="CC357" t="s">
        <v>173</v>
      </c>
      <c r="CD357"/>
      <c r="CE357"/>
      <c r="CF357"/>
      <c r="CG357"/>
      <c r="CH357"/>
      <c r="CI357"/>
      <c r="CJ357"/>
      <c r="CK357" t="s">
        <v>259</v>
      </c>
      <c r="CL357"/>
      <c r="CM357">
        <v>1</v>
      </c>
      <c r="CN357" t="s">
        <v>260</v>
      </c>
      <c r="CO357"/>
      <c r="CP357">
        <v>392</v>
      </c>
      <c r="CQ357">
        <v>382</v>
      </c>
      <c r="CR357">
        <v>190</v>
      </c>
      <c r="CS357" t="s">
        <v>1437</v>
      </c>
      <c r="CT357"/>
      <c r="CU357"/>
      <c r="CV357" t="s">
        <v>262</v>
      </c>
      <c r="CW357"/>
      <c r="CX357" t="s">
        <v>263</v>
      </c>
      <c r="CY357" t="s">
        <v>172</v>
      </c>
      <c r="CZ357"/>
      <c r="DA357"/>
      <c r="DB357"/>
      <c r="DC357" t="s">
        <v>1558</v>
      </c>
      <c r="DD357">
        <v>2</v>
      </c>
      <c r="DE357" t="s">
        <v>307</v>
      </c>
      <c r="DF357" t="s">
        <v>988</v>
      </c>
      <c r="DG357">
        <v>264</v>
      </c>
      <c r="DH357"/>
      <c r="DI357"/>
      <c r="DJ357"/>
      <c r="DK357"/>
      <c r="DL357" t="s">
        <v>173</v>
      </c>
      <c r="DM357" t="s">
        <v>172</v>
      </c>
      <c r="DN357"/>
      <c r="DO357"/>
      <c r="DP357" t="s">
        <v>173</v>
      </c>
      <c r="DQ357" t="s">
        <v>189</v>
      </c>
      <c r="DR357" t="s">
        <v>1569</v>
      </c>
      <c r="DS357"/>
      <c r="DT357"/>
      <c r="DU357"/>
      <c r="DV357"/>
      <c r="DW357"/>
      <c r="DX357"/>
      <c r="DY357"/>
      <c r="DZ357"/>
      <c r="EA357" s="117"/>
      <c r="EB357">
        <v>9</v>
      </c>
      <c r="EC357">
        <v>10</v>
      </c>
      <c r="ED357"/>
      <c r="EE357" t="s">
        <v>1565</v>
      </c>
      <c r="EF357">
        <v>10</v>
      </c>
      <c r="EG357"/>
      <c r="EH357"/>
      <c r="EI357"/>
      <c r="EJ357"/>
      <c r="EK357"/>
      <c r="EL357"/>
      <c r="EM357"/>
      <c r="EN357"/>
      <c r="EO357"/>
      <c r="EP357"/>
      <c r="EQ357"/>
      <c r="ER357"/>
      <c r="ES357"/>
      <c r="ET357"/>
      <c r="EU357">
        <v>3000</v>
      </c>
      <c r="EV357"/>
      <c r="EW357">
        <v>0</v>
      </c>
      <c r="EX357">
        <v>0</v>
      </c>
      <c r="EY357">
        <v>0</v>
      </c>
      <c r="EZ357"/>
      <c r="FA357">
        <v>15</v>
      </c>
      <c r="FB357"/>
      <c r="FC357"/>
      <c r="FD357"/>
      <c r="FE357"/>
      <c r="FF357"/>
      <c r="FG357" s="94">
        <v>389</v>
      </c>
      <c r="FH357" s="94">
        <v>347</v>
      </c>
      <c r="FI357" s="94">
        <v>370</v>
      </c>
    </row>
    <row r="358" spans="1:165" s="66" customFormat="1" x14ac:dyDescent="0.35">
      <c r="A358">
        <v>2026</v>
      </c>
      <c r="B358" t="s">
        <v>1553</v>
      </c>
      <c r="C358" s="112" t="s">
        <v>1554</v>
      </c>
      <c r="D358" t="s">
        <v>1568</v>
      </c>
      <c r="E358" t="s">
        <v>1556</v>
      </c>
      <c r="F358">
        <v>67</v>
      </c>
      <c r="G358" s="113">
        <v>0</v>
      </c>
      <c r="H358"/>
      <c r="I358" t="s">
        <v>1391</v>
      </c>
      <c r="J358">
        <v>41</v>
      </c>
      <c r="K358">
        <v>46</v>
      </c>
      <c r="L358">
        <v>43</v>
      </c>
      <c r="M358">
        <v>30.099299999999999</v>
      </c>
      <c r="N358">
        <v>33.672800000000002</v>
      </c>
      <c r="O358">
        <v>31.7074</v>
      </c>
      <c r="P358">
        <v>41.029800000000002</v>
      </c>
      <c r="Q358">
        <v>45.907499999999999</v>
      </c>
      <c r="R358">
        <v>43.224800000000002</v>
      </c>
      <c r="S358"/>
      <c r="T358"/>
      <c r="U358"/>
      <c r="V358" t="s">
        <v>170</v>
      </c>
      <c r="W358" t="s">
        <v>171</v>
      </c>
      <c r="X358"/>
      <c r="Y358">
        <v>1</v>
      </c>
      <c r="Z358" t="s">
        <v>173</v>
      </c>
      <c r="AA358" t="s">
        <v>173</v>
      </c>
      <c r="AB358" t="s">
        <v>769</v>
      </c>
      <c r="AC358" t="s">
        <v>770</v>
      </c>
      <c r="AD358"/>
      <c r="AE358"/>
      <c r="AF358">
        <v>370</v>
      </c>
      <c r="AG358" t="s">
        <v>1392</v>
      </c>
      <c r="AH358" t="s">
        <v>1393</v>
      </c>
      <c r="AI358" t="s">
        <v>1399</v>
      </c>
      <c r="AJ358" t="s">
        <v>1400</v>
      </c>
      <c r="AK358">
        <v>4</v>
      </c>
      <c r="AL358" t="s">
        <v>1394</v>
      </c>
      <c r="AM358"/>
      <c r="AN358"/>
      <c r="AO358"/>
      <c r="AP358"/>
      <c r="AQ358"/>
      <c r="AR358"/>
      <c r="AS358">
        <v>1100</v>
      </c>
      <c r="AT358">
        <v>1100</v>
      </c>
      <c r="AU358"/>
      <c r="AV358"/>
      <c r="AW358"/>
      <c r="AX358"/>
      <c r="AY358"/>
      <c r="AZ358"/>
      <c r="BA358"/>
      <c r="BB358"/>
      <c r="BC358"/>
      <c r="BD358"/>
      <c r="BE358"/>
      <c r="BF358"/>
      <c r="BG358"/>
      <c r="BH358"/>
      <c r="BI358"/>
      <c r="BJ358"/>
      <c r="BK358"/>
      <c r="BL358"/>
      <c r="BM358"/>
      <c r="BN358" s="114"/>
      <c r="BO358"/>
      <c r="BP358"/>
      <c r="BQ358">
        <v>13</v>
      </c>
      <c r="BR358" t="s">
        <v>712</v>
      </c>
      <c r="BS358"/>
      <c r="BT358" t="s">
        <v>1402</v>
      </c>
      <c r="BU358" s="115">
        <v>45792</v>
      </c>
      <c r="BV358">
        <v>36490</v>
      </c>
      <c r="BW358" s="116"/>
      <c r="BX358"/>
      <c r="BY358" t="s">
        <v>173</v>
      </c>
      <c r="BZ358"/>
      <c r="CA358"/>
      <c r="CB358" t="s">
        <v>173</v>
      </c>
      <c r="CC358" t="s">
        <v>173</v>
      </c>
      <c r="CD358"/>
      <c r="CE358"/>
      <c r="CF358"/>
      <c r="CG358"/>
      <c r="CH358"/>
      <c r="CI358"/>
      <c r="CJ358"/>
      <c r="CK358" t="s">
        <v>259</v>
      </c>
      <c r="CL358"/>
      <c r="CM358">
        <v>1</v>
      </c>
      <c r="CN358" t="s">
        <v>260</v>
      </c>
      <c r="CO358"/>
      <c r="CP358">
        <v>392</v>
      </c>
      <c r="CQ358">
        <v>382</v>
      </c>
      <c r="CR358">
        <v>190</v>
      </c>
      <c r="CS358" t="s">
        <v>1437</v>
      </c>
      <c r="CT358"/>
      <c r="CU358"/>
      <c r="CV358" t="s">
        <v>262</v>
      </c>
      <c r="CW358"/>
      <c r="CX358" t="s">
        <v>263</v>
      </c>
      <c r="CY358" t="s">
        <v>172</v>
      </c>
      <c r="CZ358"/>
      <c r="DA358"/>
      <c r="DB358"/>
      <c r="DC358" t="s">
        <v>1558</v>
      </c>
      <c r="DD358">
        <v>2</v>
      </c>
      <c r="DE358" t="s">
        <v>307</v>
      </c>
      <c r="DF358" t="s">
        <v>988</v>
      </c>
      <c r="DG358">
        <v>264</v>
      </c>
      <c r="DH358"/>
      <c r="DI358"/>
      <c r="DJ358"/>
      <c r="DK358"/>
      <c r="DL358" t="s">
        <v>173</v>
      </c>
      <c r="DM358" t="s">
        <v>172</v>
      </c>
      <c r="DN358"/>
      <c r="DO358"/>
      <c r="DP358" t="s">
        <v>173</v>
      </c>
      <c r="DQ358" t="s">
        <v>189</v>
      </c>
      <c r="DR358" t="s">
        <v>1569</v>
      </c>
      <c r="DS358"/>
      <c r="DT358"/>
      <c r="DU358"/>
      <c r="DV358"/>
      <c r="DW358"/>
      <c r="DX358"/>
      <c r="DY358"/>
      <c r="DZ358"/>
      <c r="EA358" s="117"/>
      <c r="EB358">
        <v>9</v>
      </c>
      <c r="EC358">
        <v>10</v>
      </c>
      <c r="ED358"/>
      <c r="EE358" t="s">
        <v>1565</v>
      </c>
      <c r="EF358">
        <v>10</v>
      </c>
      <c r="EG358"/>
      <c r="EH358"/>
      <c r="EI358"/>
      <c r="EJ358"/>
      <c r="EK358"/>
      <c r="EL358"/>
      <c r="EM358"/>
      <c r="EN358"/>
      <c r="EO358"/>
      <c r="EP358"/>
      <c r="EQ358"/>
      <c r="ER358"/>
      <c r="ES358"/>
      <c r="ET358"/>
      <c r="EU358">
        <v>3000</v>
      </c>
      <c r="EV358"/>
      <c r="EW358">
        <v>0</v>
      </c>
      <c r="EX358">
        <v>0</v>
      </c>
      <c r="EY358">
        <v>0</v>
      </c>
      <c r="EZ358"/>
      <c r="FA358">
        <v>15</v>
      </c>
      <c r="FB358"/>
      <c r="FC358"/>
      <c r="FD358"/>
      <c r="FE358"/>
      <c r="FF358"/>
      <c r="FG358" s="94">
        <v>389</v>
      </c>
      <c r="FH358" s="94">
        <v>347</v>
      </c>
      <c r="FI358" s="94">
        <v>370</v>
      </c>
    </row>
    <row r="359" spans="1:165" s="66" customFormat="1" x14ac:dyDescent="0.35">
      <c r="A359" s="19"/>
      <c r="B359" s="19"/>
      <c r="C359" s="19"/>
      <c r="D359" s="19"/>
      <c r="E359" s="19"/>
      <c r="F359" s="128"/>
      <c r="G359" s="19"/>
      <c r="H359" s="19"/>
      <c r="I359" s="19"/>
      <c r="J359" s="19"/>
      <c r="K359" s="19" t="str">
        <f>_xlfn.CONCAT(A360," ",C360," ",D360)</f>
        <v>2026 Rivian R1T All-Terrain Performance Dual Large (20in)</v>
      </c>
      <c r="L359" s="19"/>
      <c r="M359" s="19"/>
      <c r="N359" s="19"/>
      <c r="O359" s="19"/>
      <c r="P359" s="19"/>
      <c r="Q359" s="19"/>
      <c r="R359" s="19"/>
      <c r="S359" s="19"/>
      <c r="T359" s="19"/>
      <c r="U359" s="19"/>
      <c r="V359" s="19"/>
      <c r="W359" s="19"/>
      <c r="X359" s="19"/>
      <c r="Y359" s="19"/>
      <c r="Z359" s="19"/>
      <c r="AA359" s="19"/>
      <c r="AB359" s="19" t="str">
        <f>$K359</f>
        <v>2026 Rivian R1T All-Terrain Performance Dual Large (20in)</v>
      </c>
      <c r="AC359" s="19"/>
      <c r="AD359" s="19"/>
      <c r="AE359" s="19"/>
      <c r="AF359" s="19"/>
      <c r="AG359" s="19"/>
      <c r="AH359" s="19"/>
      <c r="AI359" s="19"/>
      <c r="AJ359" s="19"/>
      <c r="AK359" s="19"/>
      <c r="AL359" s="19"/>
      <c r="AM359" s="19"/>
      <c r="AN359" s="19"/>
      <c r="AO359" s="19"/>
      <c r="AP359" s="19"/>
      <c r="AQ359" s="19"/>
      <c r="AR359" s="19" t="str">
        <f>$K359</f>
        <v>2026 Rivian R1T All-Terrain Performance Dual Large (20in)</v>
      </c>
      <c r="AS359" s="19"/>
      <c r="AT359" s="19"/>
      <c r="AU359" s="19"/>
      <c r="AV359" s="19"/>
      <c r="AW359" s="19"/>
      <c r="AX359" s="19"/>
      <c r="AY359" s="19"/>
      <c r="AZ359" s="19"/>
      <c r="BA359" s="19"/>
      <c r="BB359" s="19"/>
      <c r="BC359" s="19"/>
      <c r="BD359" s="19"/>
      <c r="BE359" s="19"/>
      <c r="BF359" s="19"/>
      <c r="BG359" s="19" t="str">
        <f>$K359</f>
        <v>2026 Rivian R1T All-Terrain Performance Dual Large (20in)</v>
      </c>
      <c r="BH359" s="19"/>
      <c r="BI359" s="19"/>
      <c r="BJ359" s="19"/>
      <c r="BK359" s="19"/>
      <c r="BL359" s="19"/>
      <c r="BM359" s="129"/>
      <c r="BN359" s="19"/>
      <c r="BO359" s="19"/>
      <c r="BP359" s="19"/>
      <c r="BQ359" s="19"/>
      <c r="BR359" s="19"/>
      <c r="BS359" s="19"/>
      <c r="BT359" s="130"/>
      <c r="BU359" s="19"/>
      <c r="BV359" s="19"/>
      <c r="BW359" s="116"/>
      <c r="BX359" s="19"/>
      <c r="BY359" s="19"/>
      <c r="BZ359" s="19"/>
      <c r="CA359" s="19"/>
      <c r="CB359" s="19"/>
      <c r="CC359" s="19"/>
      <c r="CD359" s="19"/>
      <c r="CE359" s="19"/>
      <c r="CF359" s="19"/>
      <c r="CG359" s="19"/>
      <c r="CH359" s="19"/>
      <c r="CI359" s="19"/>
      <c r="CJ359" s="19"/>
      <c r="CK359" s="19"/>
      <c r="CL359" s="19"/>
      <c r="CM359" s="19" t="str">
        <f>$K359</f>
        <v>2026 Rivian R1T All-Terrain Performance Dual Large (20in)</v>
      </c>
      <c r="CN359" s="19"/>
      <c r="CO359" s="19"/>
      <c r="CP359" s="19"/>
      <c r="CQ359" s="19"/>
      <c r="CR359" s="19"/>
      <c r="CS359" s="19"/>
      <c r="CT359" s="19"/>
      <c r="CU359" s="19"/>
      <c r="CV359" s="19"/>
      <c r="CW359" s="19"/>
      <c r="CX359" s="19"/>
      <c r="CY359" s="19"/>
      <c r="CZ359" s="19"/>
      <c r="DA359" s="19"/>
      <c r="DB359" s="19"/>
      <c r="DC359" s="19"/>
      <c r="DD359" s="19" t="str">
        <f>$K359</f>
        <v>2026 Rivian R1T All-Terrain Performance Dual Large (20in)</v>
      </c>
      <c r="DE359" s="19"/>
      <c r="DF359" s="19"/>
      <c r="DG359" s="19"/>
      <c r="DH359" s="19"/>
      <c r="DI359" s="19"/>
      <c r="DJ359" s="19"/>
      <c r="DK359" s="19"/>
      <c r="DL359" s="19"/>
      <c r="DM359" s="19"/>
      <c r="DN359" s="19"/>
      <c r="DO359" s="19"/>
      <c r="DP359" s="19"/>
      <c r="DQ359" s="19"/>
      <c r="DR359" s="19"/>
      <c r="DS359" s="19"/>
      <c r="DT359" s="19"/>
      <c r="DU359" s="19" t="str">
        <f>$K359</f>
        <v>2026 Rivian R1T All-Terrain Performance Dual Large (20in)</v>
      </c>
      <c r="DV359" s="19"/>
      <c r="DW359" s="19"/>
      <c r="DX359" s="19"/>
      <c r="DY359" s="19"/>
      <c r="DZ359" s="19"/>
      <c r="EA359" s="117"/>
      <c r="EB359" s="19"/>
      <c r="EC359" s="19"/>
      <c r="ED359" s="19"/>
      <c r="EE359" s="19"/>
      <c r="EF359" s="19"/>
      <c r="EG359"/>
      <c r="EH359"/>
      <c r="EI359"/>
      <c r="EJ359"/>
      <c r="EK359"/>
      <c r="EL359"/>
      <c r="EM359"/>
      <c r="EN359"/>
      <c r="EO359"/>
      <c r="EP359"/>
      <c r="EQ359"/>
      <c r="ER359"/>
      <c r="ES359"/>
      <c r="ET359"/>
      <c r="EU359"/>
      <c r="EV359"/>
      <c r="EW359"/>
      <c r="EX359" s="19" t="s">
        <v>2038</v>
      </c>
      <c r="EY359"/>
      <c r="EZ359"/>
      <c r="FA359"/>
      <c r="FB359"/>
      <c r="FC359"/>
      <c r="FD359"/>
      <c r="FE359"/>
      <c r="FF359"/>
      <c r="FG359"/>
      <c r="FH359"/>
      <c r="FI359"/>
    </row>
    <row r="360" spans="1:165" s="66" customFormat="1" x14ac:dyDescent="0.35">
      <c r="A360">
        <v>2026</v>
      </c>
      <c r="B360" t="s">
        <v>1553</v>
      </c>
      <c r="C360" s="112" t="s">
        <v>1554</v>
      </c>
      <c r="D360" t="s">
        <v>1607</v>
      </c>
      <c r="E360" t="s">
        <v>1556</v>
      </c>
      <c r="F360">
        <v>101</v>
      </c>
      <c r="G360" s="113">
        <v>0</v>
      </c>
      <c r="H360"/>
      <c r="I360" t="s">
        <v>1391</v>
      </c>
      <c r="J360">
        <v>82</v>
      </c>
      <c r="K360">
        <v>70</v>
      </c>
      <c r="L360">
        <v>76</v>
      </c>
      <c r="M360">
        <v>114</v>
      </c>
      <c r="N360">
        <v>97</v>
      </c>
      <c r="O360">
        <v>105.5719</v>
      </c>
      <c r="P360">
        <v>81.898399999999995</v>
      </c>
      <c r="Q360">
        <v>69.808000000000007</v>
      </c>
      <c r="R360">
        <v>75.976900000000001</v>
      </c>
      <c r="S360"/>
      <c r="T360"/>
      <c r="U360"/>
      <c r="V360" t="s">
        <v>170</v>
      </c>
      <c r="W360" t="s">
        <v>171</v>
      </c>
      <c r="X360"/>
      <c r="Y360">
        <v>1</v>
      </c>
      <c r="Z360" t="s">
        <v>173</v>
      </c>
      <c r="AA360" t="s">
        <v>173</v>
      </c>
      <c r="AB360">
        <v>4</v>
      </c>
      <c r="AC360" t="s">
        <v>423</v>
      </c>
      <c r="AD360"/>
      <c r="AE360"/>
      <c r="AF360">
        <v>289</v>
      </c>
      <c r="AG360" t="s">
        <v>1392</v>
      </c>
      <c r="AH360" t="s">
        <v>1393</v>
      </c>
      <c r="AI360" t="s">
        <v>178</v>
      </c>
      <c r="AJ360" t="s">
        <v>179</v>
      </c>
      <c r="AK360">
        <v>4</v>
      </c>
      <c r="AL360" t="s">
        <v>1394</v>
      </c>
      <c r="AM360"/>
      <c r="AN360"/>
      <c r="AO360"/>
      <c r="AP360"/>
      <c r="AQ360"/>
      <c r="AR360"/>
      <c r="AS360">
        <v>1150</v>
      </c>
      <c r="AT360">
        <v>1150</v>
      </c>
      <c r="AU360"/>
      <c r="AV360"/>
      <c r="AW360"/>
      <c r="AX360"/>
      <c r="AY360"/>
      <c r="AZ360"/>
      <c r="BA360"/>
      <c r="BB360"/>
      <c r="BC360"/>
      <c r="BD360"/>
      <c r="BE360"/>
      <c r="BF360"/>
      <c r="BG360"/>
      <c r="BH360"/>
      <c r="BI360"/>
      <c r="BJ360"/>
      <c r="BK360"/>
      <c r="BL360"/>
      <c r="BM360"/>
      <c r="BN360" s="114"/>
      <c r="BO360"/>
      <c r="BP360"/>
      <c r="BQ360">
        <v>13</v>
      </c>
      <c r="BR360" t="s">
        <v>712</v>
      </c>
      <c r="BS360"/>
      <c r="BT360" t="s">
        <v>1402</v>
      </c>
      <c r="BU360" s="115">
        <v>45792</v>
      </c>
      <c r="BV360">
        <v>36523</v>
      </c>
      <c r="BW360" s="116"/>
      <c r="BX360"/>
      <c r="BY360" t="s">
        <v>173</v>
      </c>
      <c r="BZ360"/>
      <c r="CA360"/>
      <c r="CB360" t="s">
        <v>173</v>
      </c>
      <c r="CC360" t="s">
        <v>173</v>
      </c>
      <c r="CD360"/>
      <c r="CE360"/>
      <c r="CF360"/>
      <c r="CG360"/>
      <c r="CH360"/>
      <c r="CI360"/>
      <c r="CJ360"/>
      <c r="CK360" t="s">
        <v>259</v>
      </c>
      <c r="CL360"/>
      <c r="CM360">
        <v>1</v>
      </c>
      <c r="CN360" t="s">
        <v>260</v>
      </c>
      <c r="CO360"/>
      <c r="CP360">
        <v>406</v>
      </c>
      <c r="CQ360">
        <v>286</v>
      </c>
      <c r="CR360">
        <v>273</v>
      </c>
      <c r="CS360" t="s">
        <v>1437</v>
      </c>
      <c r="CT360"/>
      <c r="CU360"/>
      <c r="CV360" t="s">
        <v>262</v>
      </c>
      <c r="CW360"/>
      <c r="CX360" t="s">
        <v>263</v>
      </c>
      <c r="CY360" t="s">
        <v>172</v>
      </c>
      <c r="CZ360"/>
      <c r="DA360"/>
      <c r="DB360"/>
      <c r="DC360" t="s">
        <v>1596</v>
      </c>
      <c r="DD360">
        <v>2</v>
      </c>
      <c r="DE360" t="s">
        <v>307</v>
      </c>
      <c r="DF360" t="s">
        <v>988</v>
      </c>
      <c r="DG360">
        <v>264</v>
      </c>
      <c r="DH360"/>
      <c r="DI360"/>
      <c r="DJ360"/>
      <c r="DK360"/>
      <c r="DL360" t="s">
        <v>173</v>
      </c>
      <c r="DM360" t="s">
        <v>172</v>
      </c>
      <c r="DN360"/>
      <c r="DO360"/>
      <c r="DP360" t="s">
        <v>173</v>
      </c>
      <c r="DQ360" t="s">
        <v>189</v>
      </c>
      <c r="DR360" t="s">
        <v>1608</v>
      </c>
      <c r="DS360"/>
      <c r="DT360"/>
      <c r="DU360"/>
      <c r="DV360"/>
      <c r="DW360"/>
      <c r="DX360"/>
      <c r="DY360"/>
      <c r="DZ360"/>
      <c r="EA360" s="117"/>
      <c r="EB360">
        <v>9</v>
      </c>
      <c r="EC360">
        <v>10</v>
      </c>
      <c r="ED360"/>
      <c r="EE360" t="s">
        <v>1598</v>
      </c>
      <c r="EF360">
        <v>10</v>
      </c>
      <c r="EG360"/>
      <c r="EH360"/>
      <c r="EI360"/>
      <c r="EJ360"/>
      <c r="EK360"/>
      <c r="EL360"/>
      <c r="EM360"/>
      <c r="EN360"/>
      <c r="EO360"/>
      <c r="EP360"/>
      <c r="EQ360"/>
      <c r="ER360"/>
      <c r="ES360"/>
      <c r="ET360"/>
      <c r="EU360">
        <v>2750</v>
      </c>
      <c r="EV360"/>
      <c r="EW360">
        <v>0</v>
      </c>
      <c r="EX360">
        <v>0</v>
      </c>
      <c r="EY360">
        <v>0</v>
      </c>
      <c r="EZ360"/>
      <c r="FA360">
        <v>12</v>
      </c>
      <c r="FB360"/>
      <c r="FC360"/>
      <c r="FD360"/>
      <c r="FE360"/>
      <c r="FF360"/>
      <c r="FG360" s="94">
        <v>310</v>
      </c>
      <c r="FH360" s="94">
        <v>264</v>
      </c>
      <c r="FI360" s="94">
        <v>289</v>
      </c>
    </row>
    <row r="361" spans="1:165" s="66" customFormat="1" x14ac:dyDescent="0.35">
      <c r="A361">
        <v>2026</v>
      </c>
      <c r="B361" t="s">
        <v>1553</v>
      </c>
      <c r="C361" s="112" t="s">
        <v>1554</v>
      </c>
      <c r="D361" t="s">
        <v>1607</v>
      </c>
      <c r="E361" t="s">
        <v>1556</v>
      </c>
      <c r="F361">
        <v>101</v>
      </c>
      <c r="G361" s="113">
        <v>0</v>
      </c>
      <c r="H361"/>
      <c r="I361" t="s">
        <v>1391</v>
      </c>
      <c r="J361">
        <v>41</v>
      </c>
      <c r="K361">
        <v>48</v>
      </c>
      <c r="L361">
        <v>44</v>
      </c>
      <c r="M361">
        <v>29.616800000000001</v>
      </c>
      <c r="N361">
        <v>34.755899999999997</v>
      </c>
      <c r="O361">
        <v>31.929400000000001</v>
      </c>
      <c r="P361">
        <v>41.154600000000002</v>
      </c>
      <c r="Q361">
        <v>48.282400000000003</v>
      </c>
      <c r="R361">
        <v>44.362200000000001</v>
      </c>
      <c r="S361"/>
      <c r="T361"/>
      <c r="U361"/>
      <c r="V361" t="s">
        <v>170</v>
      </c>
      <c r="W361" t="s">
        <v>171</v>
      </c>
      <c r="X361"/>
      <c r="Y361">
        <v>1</v>
      </c>
      <c r="Z361" t="s">
        <v>173</v>
      </c>
      <c r="AA361" t="s">
        <v>173</v>
      </c>
      <c r="AB361">
        <v>4</v>
      </c>
      <c r="AC361" t="s">
        <v>423</v>
      </c>
      <c r="AD361"/>
      <c r="AE361"/>
      <c r="AF361">
        <v>289</v>
      </c>
      <c r="AG361" t="s">
        <v>1392</v>
      </c>
      <c r="AH361" t="s">
        <v>1393</v>
      </c>
      <c r="AI361" t="s">
        <v>1399</v>
      </c>
      <c r="AJ361" t="s">
        <v>1400</v>
      </c>
      <c r="AK361">
        <v>4</v>
      </c>
      <c r="AL361" t="s">
        <v>1394</v>
      </c>
      <c r="AM361"/>
      <c r="AN361"/>
      <c r="AO361"/>
      <c r="AP361"/>
      <c r="AQ361"/>
      <c r="AR361"/>
      <c r="AS361">
        <v>1150</v>
      </c>
      <c r="AT361">
        <v>1150</v>
      </c>
      <c r="AU361"/>
      <c r="AV361"/>
      <c r="AW361"/>
      <c r="AX361"/>
      <c r="AY361"/>
      <c r="AZ361"/>
      <c r="BA361"/>
      <c r="BB361"/>
      <c r="BC361"/>
      <c r="BD361"/>
      <c r="BE361"/>
      <c r="BF361"/>
      <c r="BG361"/>
      <c r="BH361"/>
      <c r="BI361"/>
      <c r="BJ361"/>
      <c r="BK361"/>
      <c r="BL361"/>
      <c r="BM361"/>
      <c r="BN361" s="114"/>
      <c r="BO361"/>
      <c r="BP361"/>
      <c r="BQ361">
        <v>13</v>
      </c>
      <c r="BR361" t="s">
        <v>712</v>
      </c>
      <c r="BS361"/>
      <c r="BT361" t="s">
        <v>1402</v>
      </c>
      <c r="BU361" s="115">
        <v>45792</v>
      </c>
      <c r="BV361">
        <v>36523</v>
      </c>
      <c r="BW361" s="116"/>
      <c r="BX361"/>
      <c r="BY361" t="s">
        <v>173</v>
      </c>
      <c r="BZ361"/>
      <c r="CA361"/>
      <c r="CB361" t="s">
        <v>173</v>
      </c>
      <c r="CC361" t="s">
        <v>173</v>
      </c>
      <c r="CD361"/>
      <c r="CE361"/>
      <c r="CF361"/>
      <c r="CG361"/>
      <c r="CH361"/>
      <c r="CI361"/>
      <c r="CJ361"/>
      <c r="CK361" t="s">
        <v>259</v>
      </c>
      <c r="CL361"/>
      <c r="CM361">
        <v>1</v>
      </c>
      <c r="CN361" t="s">
        <v>260</v>
      </c>
      <c r="CO361"/>
      <c r="CP361">
        <v>406</v>
      </c>
      <c r="CQ361">
        <v>286</v>
      </c>
      <c r="CR361">
        <v>273</v>
      </c>
      <c r="CS361" t="s">
        <v>1437</v>
      </c>
      <c r="CT361"/>
      <c r="CU361"/>
      <c r="CV361" t="s">
        <v>262</v>
      </c>
      <c r="CW361"/>
      <c r="CX361" t="s">
        <v>263</v>
      </c>
      <c r="CY361" t="s">
        <v>172</v>
      </c>
      <c r="CZ361"/>
      <c r="DA361"/>
      <c r="DB361"/>
      <c r="DC361" t="s">
        <v>1596</v>
      </c>
      <c r="DD361">
        <v>2</v>
      </c>
      <c r="DE361" t="s">
        <v>307</v>
      </c>
      <c r="DF361" t="s">
        <v>988</v>
      </c>
      <c r="DG361">
        <v>264</v>
      </c>
      <c r="DH361"/>
      <c r="DI361"/>
      <c r="DJ361"/>
      <c r="DK361"/>
      <c r="DL361" t="s">
        <v>173</v>
      </c>
      <c r="DM361" t="s">
        <v>172</v>
      </c>
      <c r="DN361"/>
      <c r="DO361"/>
      <c r="DP361" t="s">
        <v>173</v>
      </c>
      <c r="DQ361" t="s">
        <v>189</v>
      </c>
      <c r="DR361" t="s">
        <v>1608</v>
      </c>
      <c r="DS361"/>
      <c r="DT361"/>
      <c r="DU361"/>
      <c r="DV361"/>
      <c r="DW361"/>
      <c r="DX361"/>
      <c r="DY361"/>
      <c r="DZ361"/>
      <c r="EA361" s="117"/>
      <c r="EB361">
        <v>9</v>
      </c>
      <c r="EC361">
        <v>10</v>
      </c>
      <c r="ED361"/>
      <c r="EE361" t="s">
        <v>1598</v>
      </c>
      <c r="EF361">
        <v>10</v>
      </c>
      <c r="EG361"/>
      <c r="EH361"/>
      <c r="EI361"/>
      <c r="EJ361"/>
      <c r="EK361"/>
      <c r="EL361"/>
      <c r="EM361"/>
      <c r="EN361"/>
      <c r="EO361"/>
      <c r="EP361"/>
      <c r="EQ361"/>
      <c r="ER361"/>
      <c r="ES361"/>
      <c r="ET361"/>
      <c r="EU361">
        <v>2750</v>
      </c>
      <c r="EV361"/>
      <c r="EW361">
        <v>0</v>
      </c>
      <c r="EX361">
        <v>0</v>
      </c>
      <c r="EY361">
        <v>0</v>
      </c>
      <c r="EZ361"/>
      <c r="FA361">
        <v>12</v>
      </c>
      <c r="FB361"/>
      <c r="FC361"/>
      <c r="FD361"/>
      <c r="FE361"/>
      <c r="FF361"/>
      <c r="FG361" s="94">
        <v>310</v>
      </c>
      <c r="FH361" s="94">
        <v>264</v>
      </c>
      <c r="FI361" s="94">
        <v>289</v>
      </c>
    </row>
    <row r="362" spans="1:165" s="66" customFormat="1" x14ac:dyDescent="0.35">
      <c r="A362" s="19"/>
      <c r="B362" s="19"/>
      <c r="C362" s="19"/>
      <c r="D362" s="19"/>
      <c r="E362" s="19"/>
      <c r="F362" s="128"/>
      <c r="G362" s="19"/>
      <c r="H362" s="19"/>
      <c r="I362" s="19"/>
      <c r="J362" s="19"/>
      <c r="K362" s="19" t="str">
        <f>_xlfn.CONCAT(A363," ",C363," ",D363)</f>
        <v>2026 Rivian R1T All-Terrain Performance Dual Large Plus (20in)</v>
      </c>
      <c r="L362" s="19"/>
      <c r="M362" s="19"/>
      <c r="N362" s="19"/>
      <c r="O362" s="19"/>
      <c r="P362" s="19"/>
      <c r="Q362" s="19"/>
      <c r="R362" s="19"/>
      <c r="S362" s="19"/>
      <c r="T362" s="19"/>
      <c r="U362" s="19"/>
      <c r="V362" s="19"/>
      <c r="W362" s="19"/>
      <c r="X362" s="19"/>
      <c r="Y362" s="19"/>
      <c r="Z362" s="19"/>
      <c r="AA362" s="19"/>
      <c r="AB362" s="19" t="str">
        <f>$K362</f>
        <v>2026 Rivian R1T All-Terrain Performance Dual Large Plus (20in)</v>
      </c>
      <c r="AC362" s="19"/>
      <c r="AD362" s="19"/>
      <c r="AE362" s="19"/>
      <c r="AF362" s="19"/>
      <c r="AG362" s="19"/>
      <c r="AH362" s="19"/>
      <c r="AI362" s="19"/>
      <c r="AJ362" s="19"/>
      <c r="AK362" s="19"/>
      <c r="AL362" s="19"/>
      <c r="AM362" s="19"/>
      <c r="AN362" s="19"/>
      <c r="AO362" s="19"/>
      <c r="AP362" s="19"/>
      <c r="AQ362" s="19"/>
      <c r="AR362" s="19" t="str">
        <f>$K362</f>
        <v>2026 Rivian R1T All-Terrain Performance Dual Large Plus (20in)</v>
      </c>
      <c r="AS362" s="19"/>
      <c r="AT362" s="19"/>
      <c r="AU362" s="19"/>
      <c r="AV362" s="19"/>
      <c r="AW362" s="19"/>
      <c r="AX362" s="19"/>
      <c r="AY362" s="19"/>
      <c r="AZ362" s="19"/>
      <c r="BA362" s="19"/>
      <c r="BB362" s="19"/>
      <c r="BC362" s="19"/>
      <c r="BD362" s="19"/>
      <c r="BE362" s="19"/>
      <c r="BF362" s="19"/>
      <c r="BG362" s="19" t="str">
        <f>$K362</f>
        <v>2026 Rivian R1T All-Terrain Performance Dual Large Plus (20in)</v>
      </c>
      <c r="BH362" s="19"/>
      <c r="BI362" s="19"/>
      <c r="BJ362" s="19"/>
      <c r="BK362" s="19"/>
      <c r="BL362" s="19"/>
      <c r="BM362" s="129"/>
      <c r="BN362" s="19"/>
      <c r="BO362" s="19"/>
      <c r="BP362" s="19"/>
      <c r="BQ362" s="19"/>
      <c r="BR362" s="19"/>
      <c r="BS362" s="19"/>
      <c r="BT362" s="130"/>
      <c r="BU362" s="19"/>
      <c r="BV362" s="19"/>
      <c r="BW362" s="116"/>
      <c r="BX362" s="19"/>
      <c r="BY362" s="19"/>
      <c r="BZ362" s="19"/>
      <c r="CA362" s="19"/>
      <c r="CB362" s="19"/>
      <c r="CC362" s="19"/>
      <c r="CD362" s="19"/>
      <c r="CE362" s="19"/>
      <c r="CF362" s="19"/>
      <c r="CG362" s="19"/>
      <c r="CH362" s="19"/>
      <c r="CI362" s="19"/>
      <c r="CJ362" s="19"/>
      <c r="CK362" s="19"/>
      <c r="CL362" s="19"/>
      <c r="CM362" s="19" t="str">
        <f>$K362</f>
        <v>2026 Rivian R1T All-Terrain Performance Dual Large Plus (20in)</v>
      </c>
      <c r="CN362" s="19"/>
      <c r="CO362" s="19"/>
      <c r="CP362" s="19"/>
      <c r="CQ362" s="19"/>
      <c r="CR362" s="19"/>
      <c r="CS362" s="19"/>
      <c r="CT362" s="19"/>
      <c r="CU362" s="19"/>
      <c r="CV362" s="19"/>
      <c r="CW362" s="19"/>
      <c r="CX362" s="19"/>
      <c r="CY362" s="19"/>
      <c r="CZ362" s="19"/>
      <c r="DA362" s="19"/>
      <c r="DB362" s="19"/>
      <c r="DC362" s="19"/>
      <c r="DD362" s="19" t="str">
        <f>$K362</f>
        <v>2026 Rivian R1T All-Terrain Performance Dual Large Plus (20in)</v>
      </c>
      <c r="DE362" s="19"/>
      <c r="DF362" s="19"/>
      <c r="DG362" s="19"/>
      <c r="DH362" s="19"/>
      <c r="DI362" s="19"/>
      <c r="DJ362" s="19"/>
      <c r="DK362" s="19"/>
      <c r="DL362" s="19"/>
      <c r="DM362" s="19"/>
      <c r="DN362" s="19"/>
      <c r="DO362" s="19"/>
      <c r="DP362" s="19"/>
      <c r="DQ362" s="19"/>
      <c r="DR362" s="19"/>
      <c r="DS362" s="19"/>
      <c r="DT362" s="19"/>
      <c r="DU362" s="19" t="str">
        <f>$K362</f>
        <v>2026 Rivian R1T All-Terrain Performance Dual Large Plus (20in)</v>
      </c>
      <c r="DV362" s="19"/>
      <c r="DW362" s="19"/>
      <c r="DX362" s="19"/>
      <c r="DY362" s="19"/>
      <c r="DZ362" s="19"/>
      <c r="EA362" s="117"/>
      <c r="EB362" s="19"/>
      <c r="EC362" s="19"/>
      <c r="ED362" s="19"/>
      <c r="EE362" s="19"/>
      <c r="EF362" s="19"/>
      <c r="EG362"/>
      <c r="EH362"/>
      <c r="EI362"/>
      <c r="EJ362"/>
      <c r="EK362"/>
      <c r="EL362"/>
      <c r="EM362"/>
      <c r="EN362"/>
      <c r="EO362"/>
      <c r="EP362"/>
      <c r="EQ362"/>
      <c r="ER362"/>
      <c r="ES362"/>
      <c r="ET362"/>
      <c r="EU362"/>
      <c r="EV362"/>
      <c r="EW362"/>
      <c r="EX362" s="19" t="s">
        <v>2039</v>
      </c>
      <c r="EY362"/>
      <c r="EZ362"/>
      <c r="FA362"/>
      <c r="FB362"/>
      <c r="FC362"/>
      <c r="FD362"/>
      <c r="FE362"/>
      <c r="FF362"/>
      <c r="FG362"/>
      <c r="FH362"/>
      <c r="FI362"/>
    </row>
    <row r="363" spans="1:165" s="66" customFormat="1" x14ac:dyDescent="0.35">
      <c r="A363">
        <v>2026</v>
      </c>
      <c r="B363" t="s">
        <v>1553</v>
      </c>
      <c r="C363" s="112" t="s">
        <v>1554</v>
      </c>
      <c r="D363" t="s">
        <v>1582</v>
      </c>
      <c r="E363" t="s">
        <v>1556</v>
      </c>
      <c r="F363">
        <v>81</v>
      </c>
      <c r="G363" s="113">
        <v>0</v>
      </c>
      <c r="H363"/>
      <c r="I363" t="s">
        <v>1391</v>
      </c>
      <c r="J363">
        <v>76</v>
      </c>
      <c r="K363">
        <v>67</v>
      </c>
      <c r="L363">
        <v>72</v>
      </c>
      <c r="M363">
        <v>108.8</v>
      </c>
      <c r="N363">
        <v>96.1</v>
      </c>
      <c r="O363">
        <v>102.69289999999999</v>
      </c>
      <c r="P363">
        <v>76.16</v>
      </c>
      <c r="Q363">
        <v>67.27</v>
      </c>
      <c r="R363">
        <v>71.885000000000005</v>
      </c>
      <c r="S363"/>
      <c r="T363"/>
      <c r="U363"/>
      <c r="V363" t="s">
        <v>170</v>
      </c>
      <c r="W363" t="s">
        <v>171</v>
      </c>
      <c r="X363"/>
      <c r="Y363">
        <v>1</v>
      </c>
      <c r="Z363" t="s">
        <v>173</v>
      </c>
      <c r="AA363" t="s">
        <v>173</v>
      </c>
      <c r="AB363">
        <v>4</v>
      </c>
      <c r="AC363" t="s">
        <v>423</v>
      </c>
      <c r="AD363"/>
      <c r="AE363"/>
      <c r="AF363">
        <v>292</v>
      </c>
      <c r="AG363" t="s">
        <v>1392</v>
      </c>
      <c r="AH363" t="s">
        <v>1393</v>
      </c>
      <c r="AI363" t="s">
        <v>178</v>
      </c>
      <c r="AJ363" t="s">
        <v>179</v>
      </c>
      <c r="AK363">
        <v>4</v>
      </c>
      <c r="AL363" t="s">
        <v>1394</v>
      </c>
      <c r="AM363"/>
      <c r="AN363"/>
      <c r="AO363"/>
      <c r="AP363"/>
      <c r="AQ363"/>
      <c r="AR363"/>
      <c r="AS363">
        <v>1200</v>
      </c>
      <c r="AT363">
        <v>1200</v>
      </c>
      <c r="AU363"/>
      <c r="AV363"/>
      <c r="AW363"/>
      <c r="AX363"/>
      <c r="AY363"/>
      <c r="AZ363"/>
      <c r="BA363"/>
      <c r="BB363"/>
      <c r="BC363"/>
      <c r="BD363"/>
      <c r="BE363"/>
      <c r="BF363"/>
      <c r="BG363"/>
      <c r="BH363"/>
      <c r="BI363"/>
      <c r="BJ363"/>
      <c r="BK363"/>
      <c r="BL363"/>
      <c r="BM363"/>
      <c r="BN363" s="114"/>
      <c r="BO363"/>
      <c r="BP363"/>
      <c r="BQ363">
        <v>13</v>
      </c>
      <c r="BR363" t="s">
        <v>712</v>
      </c>
      <c r="BS363"/>
      <c r="BT363" t="s">
        <v>1402</v>
      </c>
      <c r="BU363" s="115">
        <v>45792</v>
      </c>
      <c r="BV363">
        <v>36503</v>
      </c>
      <c r="BW363" s="116"/>
      <c r="BX363"/>
      <c r="BY363" t="s">
        <v>173</v>
      </c>
      <c r="BZ363"/>
      <c r="CA363"/>
      <c r="CB363" t="s">
        <v>173</v>
      </c>
      <c r="CC363" t="s">
        <v>173</v>
      </c>
      <c r="CD363"/>
      <c r="CE363"/>
      <c r="CF363"/>
      <c r="CG363"/>
      <c r="CH363"/>
      <c r="CI363"/>
      <c r="CJ363"/>
      <c r="CK363" t="s">
        <v>259</v>
      </c>
      <c r="CL363"/>
      <c r="CM363">
        <v>1</v>
      </c>
      <c r="CN363" t="s">
        <v>260</v>
      </c>
      <c r="CO363"/>
      <c r="CP363">
        <v>392</v>
      </c>
      <c r="CQ363">
        <v>382</v>
      </c>
      <c r="CR363">
        <v>190</v>
      </c>
      <c r="CS363" t="s">
        <v>1437</v>
      </c>
      <c r="CT363"/>
      <c r="CU363"/>
      <c r="CV363" t="s">
        <v>262</v>
      </c>
      <c r="CW363"/>
      <c r="CX363" t="s">
        <v>263</v>
      </c>
      <c r="CY363" t="s">
        <v>172</v>
      </c>
      <c r="CZ363"/>
      <c r="DA363"/>
      <c r="DB363"/>
      <c r="DC363" t="s">
        <v>1558</v>
      </c>
      <c r="DD363">
        <v>2</v>
      </c>
      <c r="DE363" t="s">
        <v>307</v>
      </c>
      <c r="DF363" t="s">
        <v>988</v>
      </c>
      <c r="DG363">
        <v>264</v>
      </c>
      <c r="DH363"/>
      <c r="DI363"/>
      <c r="DJ363"/>
      <c r="DK363"/>
      <c r="DL363" t="s">
        <v>173</v>
      </c>
      <c r="DM363" t="s">
        <v>172</v>
      </c>
      <c r="DN363"/>
      <c r="DO363"/>
      <c r="DP363" t="s">
        <v>173</v>
      </c>
      <c r="DQ363" t="s">
        <v>189</v>
      </c>
      <c r="DR363" t="s">
        <v>1583</v>
      </c>
      <c r="DS363"/>
      <c r="DT363"/>
      <c r="DU363"/>
      <c r="DV363"/>
      <c r="DW363"/>
      <c r="DX363"/>
      <c r="DY363"/>
      <c r="DZ363"/>
      <c r="EA363" s="117"/>
      <c r="EB363">
        <v>9</v>
      </c>
      <c r="EC363">
        <v>10</v>
      </c>
      <c r="ED363"/>
      <c r="EE363" t="s">
        <v>1565</v>
      </c>
      <c r="EF363">
        <v>10</v>
      </c>
      <c r="EG363"/>
      <c r="EH363"/>
      <c r="EI363"/>
      <c r="EJ363"/>
      <c r="EK363"/>
      <c r="EL363"/>
      <c r="EM363"/>
      <c r="EN363"/>
      <c r="EO363"/>
      <c r="EP363"/>
      <c r="EQ363"/>
      <c r="ER363"/>
      <c r="ES363"/>
      <c r="ET363"/>
      <c r="EU363">
        <v>2500</v>
      </c>
      <c r="EV363"/>
      <c r="EW363">
        <v>0</v>
      </c>
      <c r="EX363">
        <v>0</v>
      </c>
      <c r="EY363">
        <v>0</v>
      </c>
      <c r="EZ363"/>
      <c r="FA363">
        <v>12</v>
      </c>
      <c r="FB363"/>
      <c r="FC363"/>
      <c r="FD363"/>
      <c r="FE363"/>
      <c r="FF363"/>
      <c r="FG363" s="94">
        <v>308</v>
      </c>
      <c r="FH363" s="94">
        <v>272</v>
      </c>
      <c r="FI363" s="94">
        <v>292</v>
      </c>
    </row>
    <row r="364" spans="1:165" s="66" customFormat="1" x14ac:dyDescent="0.35">
      <c r="A364">
        <v>2026</v>
      </c>
      <c r="B364" t="s">
        <v>1553</v>
      </c>
      <c r="C364" s="112" t="s">
        <v>1554</v>
      </c>
      <c r="D364" t="s">
        <v>1582</v>
      </c>
      <c r="E364" t="s">
        <v>1556</v>
      </c>
      <c r="F364">
        <v>81</v>
      </c>
      <c r="G364" s="113">
        <v>0</v>
      </c>
      <c r="H364"/>
      <c r="I364" t="s">
        <v>1391</v>
      </c>
      <c r="J364">
        <v>44</v>
      </c>
      <c r="K364">
        <v>50</v>
      </c>
      <c r="L364">
        <v>47</v>
      </c>
      <c r="M364">
        <v>30.986000000000001</v>
      </c>
      <c r="N364">
        <v>35.058500000000002</v>
      </c>
      <c r="O364">
        <v>32.818600000000004</v>
      </c>
      <c r="P364">
        <v>44.255499999999998</v>
      </c>
      <c r="Q364">
        <v>50.104100000000003</v>
      </c>
      <c r="R364">
        <v>46.8874</v>
      </c>
      <c r="S364"/>
      <c r="T364"/>
      <c r="U364"/>
      <c r="V364" t="s">
        <v>170</v>
      </c>
      <c r="W364" t="s">
        <v>171</v>
      </c>
      <c r="X364"/>
      <c r="Y364">
        <v>1</v>
      </c>
      <c r="Z364" t="s">
        <v>173</v>
      </c>
      <c r="AA364" t="s">
        <v>173</v>
      </c>
      <c r="AB364">
        <v>4</v>
      </c>
      <c r="AC364" t="s">
        <v>423</v>
      </c>
      <c r="AD364"/>
      <c r="AE364"/>
      <c r="AF364">
        <v>292</v>
      </c>
      <c r="AG364" t="s">
        <v>1392</v>
      </c>
      <c r="AH364" t="s">
        <v>1393</v>
      </c>
      <c r="AI364" t="s">
        <v>1399</v>
      </c>
      <c r="AJ364" t="s">
        <v>1400</v>
      </c>
      <c r="AK364">
        <v>4</v>
      </c>
      <c r="AL364" t="s">
        <v>1394</v>
      </c>
      <c r="AM364"/>
      <c r="AN364"/>
      <c r="AO364"/>
      <c r="AP364"/>
      <c r="AQ364"/>
      <c r="AR364"/>
      <c r="AS364">
        <v>1200</v>
      </c>
      <c r="AT364">
        <v>1200</v>
      </c>
      <c r="AU364"/>
      <c r="AV364"/>
      <c r="AW364"/>
      <c r="AX364"/>
      <c r="AY364"/>
      <c r="AZ364"/>
      <c r="BA364"/>
      <c r="BB364"/>
      <c r="BC364"/>
      <c r="BD364"/>
      <c r="BE364"/>
      <c r="BF364"/>
      <c r="BG364"/>
      <c r="BH364"/>
      <c r="BI364"/>
      <c r="BJ364"/>
      <c r="BK364"/>
      <c r="BL364"/>
      <c r="BM364"/>
      <c r="BN364" s="114"/>
      <c r="BO364"/>
      <c r="BP364"/>
      <c r="BQ364">
        <v>13</v>
      </c>
      <c r="BR364" t="s">
        <v>712</v>
      </c>
      <c r="BS364"/>
      <c r="BT364" t="s">
        <v>1402</v>
      </c>
      <c r="BU364" s="115">
        <v>45792</v>
      </c>
      <c r="BV364">
        <v>36503</v>
      </c>
      <c r="BW364" s="116"/>
      <c r="BX364"/>
      <c r="BY364" t="s">
        <v>173</v>
      </c>
      <c r="BZ364"/>
      <c r="CA364"/>
      <c r="CB364" t="s">
        <v>173</v>
      </c>
      <c r="CC364" t="s">
        <v>173</v>
      </c>
      <c r="CD364"/>
      <c r="CE364"/>
      <c r="CF364"/>
      <c r="CG364"/>
      <c r="CH364"/>
      <c r="CI364"/>
      <c r="CJ364"/>
      <c r="CK364" t="s">
        <v>259</v>
      </c>
      <c r="CL364"/>
      <c r="CM364">
        <v>1</v>
      </c>
      <c r="CN364" t="s">
        <v>260</v>
      </c>
      <c r="CO364"/>
      <c r="CP364">
        <v>392</v>
      </c>
      <c r="CQ364">
        <v>382</v>
      </c>
      <c r="CR364">
        <v>190</v>
      </c>
      <c r="CS364" t="s">
        <v>1437</v>
      </c>
      <c r="CT364"/>
      <c r="CU364"/>
      <c r="CV364" t="s">
        <v>262</v>
      </c>
      <c r="CW364"/>
      <c r="CX364" t="s">
        <v>263</v>
      </c>
      <c r="CY364" t="s">
        <v>172</v>
      </c>
      <c r="CZ364"/>
      <c r="DA364"/>
      <c r="DB364"/>
      <c r="DC364" t="s">
        <v>1558</v>
      </c>
      <c r="DD364">
        <v>2</v>
      </c>
      <c r="DE364" t="s">
        <v>307</v>
      </c>
      <c r="DF364" t="s">
        <v>988</v>
      </c>
      <c r="DG364">
        <v>264</v>
      </c>
      <c r="DH364"/>
      <c r="DI364"/>
      <c r="DJ364"/>
      <c r="DK364"/>
      <c r="DL364" t="s">
        <v>173</v>
      </c>
      <c r="DM364" t="s">
        <v>172</v>
      </c>
      <c r="DN364"/>
      <c r="DO364"/>
      <c r="DP364" t="s">
        <v>173</v>
      </c>
      <c r="DQ364" t="s">
        <v>189</v>
      </c>
      <c r="DR364" t="s">
        <v>1583</v>
      </c>
      <c r="DS364"/>
      <c r="DT364"/>
      <c r="DU364"/>
      <c r="DV364"/>
      <c r="DW364"/>
      <c r="DX364"/>
      <c r="DY364"/>
      <c r="DZ364"/>
      <c r="EA364" s="117"/>
      <c r="EB364">
        <v>9</v>
      </c>
      <c r="EC364">
        <v>10</v>
      </c>
      <c r="ED364"/>
      <c r="EE364" t="s">
        <v>1565</v>
      </c>
      <c r="EF364">
        <v>10</v>
      </c>
      <c r="EG364"/>
      <c r="EH364"/>
      <c r="EI364"/>
      <c r="EJ364"/>
      <c r="EK364"/>
      <c r="EL364"/>
      <c r="EM364"/>
      <c r="EN364"/>
      <c r="EO364"/>
      <c r="EP364"/>
      <c r="EQ364"/>
      <c r="ER364"/>
      <c r="ES364"/>
      <c r="ET364"/>
      <c r="EU364">
        <v>2500</v>
      </c>
      <c r="EV364"/>
      <c r="EW364">
        <v>0</v>
      </c>
      <c r="EX364">
        <v>0</v>
      </c>
      <c r="EY364">
        <v>0</v>
      </c>
      <c r="EZ364"/>
      <c r="FA364">
        <v>12</v>
      </c>
      <c r="FB364"/>
      <c r="FC364"/>
      <c r="FD364"/>
      <c r="FE364"/>
      <c r="FF364"/>
      <c r="FG364" s="94">
        <v>308</v>
      </c>
      <c r="FH364" s="94">
        <v>272</v>
      </c>
      <c r="FI364" s="94">
        <v>292</v>
      </c>
    </row>
    <row r="365" spans="1:165" s="66" customFormat="1" x14ac:dyDescent="0.35">
      <c r="A365" s="19"/>
      <c r="B365" s="19"/>
      <c r="C365" s="19"/>
      <c r="D365" s="19"/>
      <c r="E365" s="19"/>
      <c r="F365" s="128"/>
      <c r="G365" s="19"/>
      <c r="H365" s="19"/>
      <c r="I365" s="19"/>
      <c r="J365" s="19"/>
      <c r="K365" s="19" t="str">
        <f>_xlfn.CONCAT(A366," ",C366," ",D366)</f>
        <v>2026 Rivian R1T All-Terrain Performance Dual Max (20in)</v>
      </c>
      <c r="L365" s="19"/>
      <c r="M365" s="19"/>
      <c r="N365" s="19"/>
      <c r="O365" s="19"/>
      <c r="P365" s="19"/>
      <c r="Q365" s="19"/>
      <c r="R365" s="19"/>
      <c r="S365" s="19"/>
      <c r="T365" s="19"/>
      <c r="U365" s="19"/>
      <c r="V365" s="19"/>
      <c r="W365" s="19"/>
      <c r="X365" s="19"/>
      <c r="Y365" s="19"/>
      <c r="Z365" s="19"/>
      <c r="AA365" s="19"/>
      <c r="AB365" s="19" t="str">
        <f>$K365</f>
        <v>2026 Rivian R1T All-Terrain Performance Dual Max (20in)</v>
      </c>
      <c r="AC365" s="19"/>
      <c r="AD365" s="19"/>
      <c r="AE365" s="19"/>
      <c r="AF365" s="19"/>
      <c r="AG365" s="19"/>
      <c r="AH365" s="19"/>
      <c r="AI365" s="19"/>
      <c r="AJ365" s="19"/>
      <c r="AK365" s="19"/>
      <c r="AL365" s="19"/>
      <c r="AM365" s="19"/>
      <c r="AN365" s="19"/>
      <c r="AO365" s="19"/>
      <c r="AP365" s="19"/>
      <c r="AQ365" s="19"/>
      <c r="AR365" s="19" t="str">
        <f>$K365</f>
        <v>2026 Rivian R1T All-Terrain Performance Dual Max (20in)</v>
      </c>
      <c r="AS365" s="19"/>
      <c r="AT365" s="19"/>
      <c r="AU365" s="19"/>
      <c r="AV365" s="19"/>
      <c r="AW365" s="19"/>
      <c r="AX365" s="19"/>
      <c r="AY365" s="19"/>
      <c r="AZ365" s="19"/>
      <c r="BA365" s="19"/>
      <c r="BB365" s="19"/>
      <c r="BC365" s="19"/>
      <c r="BD365" s="19"/>
      <c r="BE365" s="19"/>
      <c r="BF365" s="19"/>
      <c r="BG365" s="19" t="str">
        <f>$K365</f>
        <v>2026 Rivian R1T All-Terrain Performance Dual Max (20in)</v>
      </c>
      <c r="BH365" s="19"/>
      <c r="BI365" s="19"/>
      <c r="BJ365" s="19"/>
      <c r="BK365" s="19"/>
      <c r="BL365" s="19"/>
      <c r="BM365" s="129"/>
      <c r="BN365" s="19"/>
      <c r="BO365" s="19"/>
      <c r="BP365" s="19"/>
      <c r="BQ365" s="19"/>
      <c r="BR365" s="19"/>
      <c r="BS365" s="19"/>
      <c r="BT365" s="130"/>
      <c r="BU365" s="19"/>
      <c r="BV365" s="19"/>
      <c r="BW365" s="116"/>
      <c r="BX365" s="19"/>
      <c r="BY365" s="19"/>
      <c r="BZ365" s="19"/>
      <c r="CA365" s="19"/>
      <c r="CB365" s="19"/>
      <c r="CC365" s="19"/>
      <c r="CD365" s="19"/>
      <c r="CE365" s="19"/>
      <c r="CF365" s="19"/>
      <c r="CG365" s="19"/>
      <c r="CH365" s="19"/>
      <c r="CI365" s="19"/>
      <c r="CJ365" s="19"/>
      <c r="CK365" s="19"/>
      <c r="CL365" s="19"/>
      <c r="CM365" s="19" t="str">
        <f>$K365</f>
        <v>2026 Rivian R1T All-Terrain Performance Dual Max (20in)</v>
      </c>
      <c r="CN365" s="19"/>
      <c r="CO365" s="19"/>
      <c r="CP365" s="19"/>
      <c r="CQ365" s="19"/>
      <c r="CR365" s="19"/>
      <c r="CS365" s="19"/>
      <c r="CT365" s="19"/>
      <c r="CU365" s="19"/>
      <c r="CV365" s="19"/>
      <c r="CW365" s="19"/>
      <c r="CX365" s="19"/>
      <c r="CY365" s="19"/>
      <c r="CZ365" s="19"/>
      <c r="DA365" s="19"/>
      <c r="DB365" s="19"/>
      <c r="DC365" s="19"/>
      <c r="DD365" s="19" t="str">
        <f>$K365</f>
        <v>2026 Rivian R1T All-Terrain Performance Dual Max (20in)</v>
      </c>
      <c r="DE365" s="19"/>
      <c r="DF365" s="19"/>
      <c r="DG365" s="19"/>
      <c r="DH365" s="19"/>
      <c r="DI365" s="19"/>
      <c r="DJ365" s="19"/>
      <c r="DK365" s="19"/>
      <c r="DL365" s="19"/>
      <c r="DM365" s="19"/>
      <c r="DN365" s="19"/>
      <c r="DO365" s="19"/>
      <c r="DP365" s="19"/>
      <c r="DQ365" s="19"/>
      <c r="DR365" s="19"/>
      <c r="DS365" s="19"/>
      <c r="DT365" s="19"/>
      <c r="DU365" s="19" t="str">
        <f>$K365</f>
        <v>2026 Rivian R1T All-Terrain Performance Dual Max (20in)</v>
      </c>
      <c r="DV365" s="19"/>
      <c r="DW365" s="19"/>
      <c r="DX365" s="19"/>
      <c r="DY365" s="19"/>
      <c r="DZ365" s="19"/>
      <c r="EA365" s="117"/>
      <c r="EB365" s="19"/>
      <c r="EC365" s="19"/>
      <c r="ED365" s="19"/>
      <c r="EE365" s="19"/>
      <c r="EF365" s="19"/>
      <c r="EG365"/>
      <c r="EH365"/>
      <c r="EI365"/>
      <c r="EJ365"/>
      <c r="EK365"/>
      <c r="EL365"/>
      <c r="EM365"/>
      <c r="EN365"/>
      <c r="EO365"/>
      <c r="EP365"/>
      <c r="EQ365"/>
      <c r="ER365"/>
      <c r="ES365"/>
      <c r="ET365"/>
      <c r="EU365"/>
      <c r="EV365"/>
      <c r="EW365"/>
      <c r="EX365" s="19" t="s">
        <v>2040</v>
      </c>
      <c r="EY365"/>
      <c r="EZ365"/>
      <c r="FA365"/>
      <c r="FB365"/>
      <c r="FC365"/>
      <c r="FD365"/>
      <c r="FE365"/>
      <c r="FF365"/>
      <c r="FG365"/>
      <c r="FH365"/>
      <c r="FI365"/>
    </row>
    <row r="366" spans="1:165" s="66" customFormat="1" x14ac:dyDescent="0.35">
      <c r="A366">
        <v>2026</v>
      </c>
      <c r="B366" t="s">
        <v>1553</v>
      </c>
      <c r="C366" s="112" t="s">
        <v>1554</v>
      </c>
      <c r="D366" t="s">
        <v>1574</v>
      </c>
      <c r="E366" t="s">
        <v>1556</v>
      </c>
      <c r="F366">
        <v>73</v>
      </c>
      <c r="G366" s="113">
        <v>0</v>
      </c>
      <c r="H366"/>
      <c r="I366" t="s">
        <v>1391</v>
      </c>
      <c r="J366">
        <v>82</v>
      </c>
      <c r="K366">
        <v>73</v>
      </c>
      <c r="L366">
        <v>78</v>
      </c>
      <c r="M366">
        <v>112</v>
      </c>
      <c r="N366">
        <v>100.1</v>
      </c>
      <c r="O366">
        <v>106.3126</v>
      </c>
      <c r="P366">
        <v>82.147499999999994</v>
      </c>
      <c r="Q366">
        <v>73.419300000000007</v>
      </c>
      <c r="R366">
        <v>77.975999999999999</v>
      </c>
      <c r="S366"/>
      <c r="T366"/>
      <c r="U366"/>
      <c r="V366" t="s">
        <v>170</v>
      </c>
      <c r="W366" t="s">
        <v>171</v>
      </c>
      <c r="X366"/>
      <c r="Y366">
        <v>1</v>
      </c>
      <c r="Z366" t="s">
        <v>173</v>
      </c>
      <c r="AA366" t="s">
        <v>173</v>
      </c>
      <c r="AB366" t="s">
        <v>769</v>
      </c>
      <c r="AC366" t="s">
        <v>770</v>
      </c>
      <c r="AD366"/>
      <c r="AE366"/>
      <c r="AF366">
        <v>370</v>
      </c>
      <c r="AG366" t="s">
        <v>1392</v>
      </c>
      <c r="AH366" t="s">
        <v>1393</v>
      </c>
      <c r="AI366" t="s">
        <v>178</v>
      </c>
      <c r="AJ366" t="s">
        <v>179</v>
      </c>
      <c r="AK366">
        <v>4</v>
      </c>
      <c r="AL366" t="s">
        <v>1394</v>
      </c>
      <c r="AM366"/>
      <c r="AN366"/>
      <c r="AO366"/>
      <c r="AP366"/>
      <c r="AQ366"/>
      <c r="AR366"/>
      <c r="AS366">
        <v>1100</v>
      </c>
      <c r="AT366">
        <v>1100</v>
      </c>
      <c r="AU366"/>
      <c r="AV366"/>
      <c r="AW366"/>
      <c r="AX366"/>
      <c r="AY366"/>
      <c r="AZ366"/>
      <c r="BA366"/>
      <c r="BB366"/>
      <c r="BC366"/>
      <c r="BD366"/>
      <c r="BE366"/>
      <c r="BF366"/>
      <c r="BG366"/>
      <c r="BH366"/>
      <c r="BI366"/>
      <c r="BJ366"/>
      <c r="BK366"/>
      <c r="BL366"/>
      <c r="BM366"/>
      <c r="BN366" s="114"/>
      <c r="BO366"/>
      <c r="BP366"/>
      <c r="BQ366">
        <v>13</v>
      </c>
      <c r="BR366" t="s">
        <v>712</v>
      </c>
      <c r="BS366"/>
      <c r="BT366" t="s">
        <v>1402</v>
      </c>
      <c r="BU366" s="115">
        <v>45792</v>
      </c>
      <c r="BV366">
        <v>36496</v>
      </c>
      <c r="BW366" s="116"/>
      <c r="BX366"/>
      <c r="BY366" t="s">
        <v>173</v>
      </c>
      <c r="BZ366"/>
      <c r="CA366"/>
      <c r="CB366" t="s">
        <v>173</v>
      </c>
      <c r="CC366" t="s">
        <v>173</v>
      </c>
      <c r="CD366"/>
      <c r="CE366"/>
      <c r="CF366"/>
      <c r="CG366"/>
      <c r="CH366"/>
      <c r="CI366"/>
      <c r="CJ366"/>
      <c r="CK366" t="s">
        <v>259</v>
      </c>
      <c r="CL366"/>
      <c r="CM366">
        <v>1</v>
      </c>
      <c r="CN366" t="s">
        <v>260</v>
      </c>
      <c r="CO366"/>
      <c r="CP366">
        <v>392</v>
      </c>
      <c r="CQ366">
        <v>382</v>
      </c>
      <c r="CR366">
        <v>190</v>
      </c>
      <c r="CS366" t="s">
        <v>1437</v>
      </c>
      <c r="CT366"/>
      <c r="CU366"/>
      <c r="CV366" t="s">
        <v>262</v>
      </c>
      <c r="CW366"/>
      <c r="CX366" t="s">
        <v>263</v>
      </c>
      <c r="CY366" t="s">
        <v>172</v>
      </c>
      <c r="CZ366"/>
      <c r="DA366"/>
      <c r="DB366"/>
      <c r="DC366" t="s">
        <v>1558</v>
      </c>
      <c r="DD366">
        <v>2</v>
      </c>
      <c r="DE366" t="s">
        <v>307</v>
      </c>
      <c r="DF366" t="s">
        <v>988</v>
      </c>
      <c r="DG366">
        <v>264</v>
      </c>
      <c r="DH366"/>
      <c r="DI366"/>
      <c r="DJ366"/>
      <c r="DK366"/>
      <c r="DL366" t="s">
        <v>173</v>
      </c>
      <c r="DM366" t="s">
        <v>172</v>
      </c>
      <c r="DN366"/>
      <c r="DO366"/>
      <c r="DP366" t="s">
        <v>173</v>
      </c>
      <c r="DQ366" t="s">
        <v>189</v>
      </c>
      <c r="DR366" t="s">
        <v>1575</v>
      </c>
      <c r="DS366"/>
      <c r="DT366"/>
      <c r="DU366"/>
      <c r="DV366"/>
      <c r="DW366"/>
      <c r="DX366"/>
      <c r="DY366"/>
      <c r="DZ366"/>
      <c r="EA366" s="117"/>
      <c r="EB366">
        <v>9</v>
      </c>
      <c r="EC366">
        <v>10</v>
      </c>
      <c r="ED366"/>
      <c r="EE366" t="s">
        <v>1565</v>
      </c>
      <c r="EF366">
        <v>10</v>
      </c>
      <c r="EG366"/>
      <c r="EH366"/>
      <c r="EI366"/>
      <c r="EJ366"/>
      <c r="EK366"/>
      <c r="EL366"/>
      <c r="EM366"/>
      <c r="EN366"/>
      <c r="EO366"/>
      <c r="EP366"/>
      <c r="EQ366"/>
      <c r="ER366"/>
      <c r="ES366"/>
      <c r="ET366"/>
      <c r="EU366">
        <v>3000</v>
      </c>
      <c r="EV366"/>
      <c r="EW366">
        <v>0</v>
      </c>
      <c r="EX366">
        <v>0</v>
      </c>
      <c r="EY366">
        <v>0</v>
      </c>
      <c r="EZ366"/>
      <c r="FA366">
        <v>15</v>
      </c>
      <c r="FB366"/>
      <c r="FC366"/>
      <c r="FD366"/>
      <c r="FE366"/>
      <c r="FF366"/>
      <c r="FG366" s="94">
        <v>389</v>
      </c>
      <c r="FH366" s="94">
        <v>347</v>
      </c>
      <c r="FI366" s="94">
        <v>370</v>
      </c>
    </row>
    <row r="367" spans="1:165" s="66" customFormat="1" x14ac:dyDescent="0.35">
      <c r="A367">
        <v>2026</v>
      </c>
      <c r="B367" t="s">
        <v>1553</v>
      </c>
      <c r="C367" s="112" t="s">
        <v>1554</v>
      </c>
      <c r="D367" t="s">
        <v>1574</v>
      </c>
      <c r="E367" t="s">
        <v>1556</v>
      </c>
      <c r="F367">
        <v>73</v>
      </c>
      <c r="G367" s="113">
        <v>0</v>
      </c>
      <c r="H367"/>
      <c r="I367" t="s">
        <v>1391</v>
      </c>
      <c r="J367">
        <v>41</v>
      </c>
      <c r="K367">
        <v>46</v>
      </c>
      <c r="L367">
        <v>43</v>
      </c>
      <c r="M367">
        <v>30.099299999999999</v>
      </c>
      <c r="N367">
        <v>33.672800000000002</v>
      </c>
      <c r="O367">
        <v>31.7074</v>
      </c>
      <c r="P367">
        <v>41.029800000000002</v>
      </c>
      <c r="Q367">
        <v>45.907499999999999</v>
      </c>
      <c r="R367">
        <v>43.224800000000002</v>
      </c>
      <c r="S367"/>
      <c r="T367"/>
      <c r="U367"/>
      <c r="V367" t="s">
        <v>170</v>
      </c>
      <c r="W367" t="s">
        <v>171</v>
      </c>
      <c r="X367"/>
      <c r="Y367">
        <v>1</v>
      </c>
      <c r="Z367" t="s">
        <v>173</v>
      </c>
      <c r="AA367" t="s">
        <v>173</v>
      </c>
      <c r="AB367" t="s">
        <v>769</v>
      </c>
      <c r="AC367" t="s">
        <v>770</v>
      </c>
      <c r="AD367"/>
      <c r="AE367"/>
      <c r="AF367">
        <v>370</v>
      </c>
      <c r="AG367" t="s">
        <v>1392</v>
      </c>
      <c r="AH367" t="s">
        <v>1393</v>
      </c>
      <c r="AI367" t="s">
        <v>1399</v>
      </c>
      <c r="AJ367" t="s">
        <v>1400</v>
      </c>
      <c r="AK367">
        <v>4</v>
      </c>
      <c r="AL367" t="s">
        <v>1394</v>
      </c>
      <c r="AM367"/>
      <c r="AN367"/>
      <c r="AO367"/>
      <c r="AP367"/>
      <c r="AQ367"/>
      <c r="AR367"/>
      <c r="AS367">
        <v>1100</v>
      </c>
      <c r="AT367">
        <v>1100</v>
      </c>
      <c r="AU367"/>
      <c r="AV367"/>
      <c r="AW367"/>
      <c r="AX367"/>
      <c r="AY367"/>
      <c r="AZ367"/>
      <c r="BA367"/>
      <c r="BB367"/>
      <c r="BC367"/>
      <c r="BD367"/>
      <c r="BE367"/>
      <c r="BF367"/>
      <c r="BG367"/>
      <c r="BH367"/>
      <c r="BI367"/>
      <c r="BJ367"/>
      <c r="BK367"/>
      <c r="BL367"/>
      <c r="BM367"/>
      <c r="BN367" s="114"/>
      <c r="BO367"/>
      <c r="BP367"/>
      <c r="BQ367">
        <v>13</v>
      </c>
      <c r="BR367" t="s">
        <v>712</v>
      </c>
      <c r="BS367"/>
      <c r="BT367" t="s">
        <v>1402</v>
      </c>
      <c r="BU367" s="115">
        <v>45792</v>
      </c>
      <c r="BV367">
        <v>36496</v>
      </c>
      <c r="BW367" s="116"/>
      <c r="BX367"/>
      <c r="BY367" t="s">
        <v>173</v>
      </c>
      <c r="BZ367"/>
      <c r="CA367"/>
      <c r="CB367" t="s">
        <v>173</v>
      </c>
      <c r="CC367" t="s">
        <v>173</v>
      </c>
      <c r="CD367"/>
      <c r="CE367"/>
      <c r="CF367"/>
      <c r="CG367"/>
      <c r="CH367"/>
      <c r="CI367"/>
      <c r="CJ367"/>
      <c r="CK367" t="s">
        <v>259</v>
      </c>
      <c r="CL367"/>
      <c r="CM367">
        <v>1</v>
      </c>
      <c r="CN367" t="s">
        <v>260</v>
      </c>
      <c r="CO367"/>
      <c r="CP367">
        <v>392</v>
      </c>
      <c r="CQ367">
        <v>382</v>
      </c>
      <c r="CR367">
        <v>190</v>
      </c>
      <c r="CS367" t="s">
        <v>1437</v>
      </c>
      <c r="CT367"/>
      <c r="CU367"/>
      <c r="CV367" t="s">
        <v>262</v>
      </c>
      <c r="CW367"/>
      <c r="CX367" t="s">
        <v>263</v>
      </c>
      <c r="CY367" t="s">
        <v>172</v>
      </c>
      <c r="CZ367"/>
      <c r="DA367"/>
      <c r="DB367"/>
      <c r="DC367" t="s">
        <v>1558</v>
      </c>
      <c r="DD367">
        <v>2</v>
      </c>
      <c r="DE367" t="s">
        <v>307</v>
      </c>
      <c r="DF367" t="s">
        <v>988</v>
      </c>
      <c r="DG367">
        <v>264</v>
      </c>
      <c r="DH367"/>
      <c r="DI367"/>
      <c r="DJ367"/>
      <c r="DK367"/>
      <c r="DL367" t="s">
        <v>173</v>
      </c>
      <c r="DM367" t="s">
        <v>172</v>
      </c>
      <c r="DN367"/>
      <c r="DO367"/>
      <c r="DP367" t="s">
        <v>173</v>
      </c>
      <c r="DQ367" t="s">
        <v>189</v>
      </c>
      <c r="DR367" t="s">
        <v>1575</v>
      </c>
      <c r="DS367"/>
      <c r="DT367"/>
      <c r="DU367"/>
      <c r="DV367"/>
      <c r="DW367"/>
      <c r="DX367"/>
      <c r="DY367"/>
      <c r="DZ367"/>
      <c r="EA367" s="117"/>
      <c r="EB367">
        <v>9</v>
      </c>
      <c r="EC367">
        <v>10</v>
      </c>
      <c r="ED367"/>
      <c r="EE367" t="s">
        <v>1565</v>
      </c>
      <c r="EF367">
        <v>10</v>
      </c>
      <c r="EG367"/>
      <c r="EH367"/>
      <c r="EI367"/>
      <c r="EJ367"/>
      <c r="EK367"/>
      <c r="EL367"/>
      <c r="EM367"/>
      <c r="EN367"/>
      <c r="EO367"/>
      <c r="EP367"/>
      <c r="EQ367"/>
      <c r="ER367"/>
      <c r="ES367"/>
      <c r="ET367"/>
      <c r="EU367">
        <v>3000</v>
      </c>
      <c r="EV367"/>
      <c r="EW367">
        <v>0</v>
      </c>
      <c r="EX367">
        <v>0</v>
      </c>
      <c r="EY367">
        <v>0</v>
      </c>
      <c r="EZ367"/>
      <c r="FA367">
        <v>15</v>
      </c>
      <c r="FB367"/>
      <c r="FC367"/>
      <c r="FD367"/>
      <c r="FE367"/>
      <c r="FF367"/>
      <c r="FG367" s="94">
        <v>389</v>
      </c>
      <c r="FH367" s="94">
        <v>347</v>
      </c>
      <c r="FI367" s="94">
        <v>370</v>
      </c>
    </row>
    <row r="368" spans="1:165" s="66" customFormat="1" x14ac:dyDescent="0.35">
      <c r="A368" s="19"/>
      <c r="B368" s="19"/>
      <c r="C368" s="19"/>
      <c r="D368" s="19"/>
      <c r="E368" s="19"/>
      <c r="F368" s="128"/>
      <c r="G368" s="19"/>
      <c r="H368" s="19"/>
      <c r="I368" s="19"/>
      <c r="J368" s="19"/>
      <c r="K368" s="19" t="str">
        <f>_xlfn.CONCAT(A369," ",C369," ",D369)</f>
        <v>2026 Rivian R1T All-Terrain Tri Max (20in)</v>
      </c>
      <c r="L368" s="19"/>
      <c r="M368" s="19"/>
      <c r="N368" s="19"/>
      <c r="O368" s="19"/>
      <c r="P368" s="19"/>
      <c r="Q368" s="19"/>
      <c r="R368" s="19"/>
      <c r="S368" s="19"/>
      <c r="T368" s="19"/>
      <c r="U368" s="19"/>
      <c r="V368" s="19"/>
      <c r="W368" s="19"/>
      <c r="X368" s="19"/>
      <c r="Y368" s="19"/>
      <c r="Z368" s="19"/>
      <c r="AA368" s="19"/>
      <c r="AB368" s="19" t="str">
        <f>$K368</f>
        <v>2026 Rivian R1T All-Terrain Tri Max (20in)</v>
      </c>
      <c r="AC368" s="19"/>
      <c r="AD368" s="19"/>
      <c r="AE368" s="19"/>
      <c r="AF368" s="19"/>
      <c r="AG368" s="19"/>
      <c r="AH368" s="19"/>
      <c r="AI368" s="19"/>
      <c r="AJ368" s="19"/>
      <c r="AK368" s="19"/>
      <c r="AL368" s="19"/>
      <c r="AM368" s="19"/>
      <c r="AN368" s="19"/>
      <c r="AO368" s="19"/>
      <c r="AP368" s="19"/>
      <c r="AQ368" s="19"/>
      <c r="AR368" s="19" t="str">
        <f>$K368</f>
        <v>2026 Rivian R1T All-Terrain Tri Max (20in)</v>
      </c>
      <c r="AS368" s="19"/>
      <c r="AT368" s="19"/>
      <c r="AU368" s="19"/>
      <c r="AV368" s="19"/>
      <c r="AW368" s="19"/>
      <c r="AX368" s="19"/>
      <c r="AY368" s="19"/>
      <c r="AZ368" s="19"/>
      <c r="BA368" s="19"/>
      <c r="BB368" s="19"/>
      <c r="BC368" s="19"/>
      <c r="BD368" s="19"/>
      <c r="BE368" s="19"/>
      <c r="BF368" s="19"/>
      <c r="BG368" s="19" t="str">
        <f>$K368</f>
        <v>2026 Rivian R1T All-Terrain Tri Max (20in)</v>
      </c>
      <c r="BH368" s="19"/>
      <c r="BI368" s="19"/>
      <c r="BJ368" s="19"/>
      <c r="BK368" s="19"/>
      <c r="BL368" s="19"/>
      <c r="BM368" s="129"/>
      <c r="BN368" s="19"/>
      <c r="BO368" s="19"/>
      <c r="BP368" s="19"/>
      <c r="BQ368" s="19"/>
      <c r="BR368" s="19"/>
      <c r="BS368" s="19"/>
      <c r="BT368" s="130"/>
      <c r="BU368" s="19"/>
      <c r="BV368" s="19"/>
      <c r="BW368" s="116"/>
      <c r="BX368" s="19"/>
      <c r="BY368" s="19"/>
      <c r="BZ368" s="19"/>
      <c r="CA368" s="19"/>
      <c r="CB368" s="19"/>
      <c r="CC368" s="19"/>
      <c r="CD368" s="19"/>
      <c r="CE368" s="19"/>
      <c r="CF368" s="19"/>
      <c r="CG368" s="19"/>
      <c r="CH368" s="19"/>
      <c r="CI368" s="19"/>
      <c r="CJ368" s="19"/>
      <c r="CK368" s="19"/>
      <c r="CL368" s="19"/>
      <c r="CM368" s="19" t="str">
        <f>$K368</f>
        <v>2026 Rivian R1T All-Terrain Tri Max (20in)</v>
      </c>
      <c r="CN368" s="19"/>
      <c r="CO368" s="19"/>
      <c r="CP368" s="19"/>
      <c r="CQ368" s="19"/>
      <c r="CR368" s="19"/>
      <c r="CS368" s="19"/>
      <c r="CT368" s="19"/>
      <c r="CU368" s="19"/>
      <c r="CV368" s="19"/>
      <c r="CW368" s="19"/>
      <c r="CX368" s="19"/>
      <c r="CY368" s="19"/>
      <c r="CZ368" s="19"/>
      <c r="DA368" s="19"/>
      <c r="DB368" s="19"/>
      <c r="DC368" s="19"/>
      <c r="DD368" s="19" t="str">
        <f>$K368</f>
        <v>2026 Rivian R1T All-Terrain Tri Max (20in)</v>
      </c>
      <c r="DE368" s="19"/>
      <c r="DF368" s="19"/>
      <c r="DG368" s="19"/>
      <c r="DH368" s="19"/>
      <c r="DI368" s="19"/>
      <c r="DJ368" s="19"/>
      <c r="DK368" s="19"/>
      <c r="DL368" s="19"/>
      <c r="DM368" s="19"/>
      <c r="DN368" s="19"/>
      <c r="DO368" s="19"/>
      <c r="DP368" s="19"/>
      <c r="DQ368" s="19"/>
      <c r="DR368" s="19"/>
      <c r="DS368" s="19"/>
      <c r="DT368" s="19"/>
      <c r="DU368" s="19" t="str">
        <f>$K368</f>
        <v>2026 Rivian R1T All-Terrain Tri Max (20in)</v>
      </c>
      <c r="DV368" s="19"/>
      <c r="DW368" s="19"/>
      <c r="DX368" s="19"/>
      <c r="DY368" s="19"/>
      <c r="DZ368" s="19"/>
      <c r="EA368" s="117"/>
      <c r="EB368" s="19"/>
      <c r="EC368" s="19"/>
      <c r="ED368" s="19"/>
      <c r="EE368" s="19"/>
      <c r="EF368" s="19"/>
      <c r="EG368"/>
      <c r="EH368"/>
      <c r="EI368"/>
      <c r="EJ368"/>
      <c r="EK368"/>
      <c r="EL368"/>
      <c r="EM368"/>
      <c r="EN368"/>
      <c r="EO368"/>
      <c r="EP368"/>
      <c r="EQ368"/>
      <c r="ER368"/>
      <c r="ES368"/>
      <c r="ET368"/>
      <c r="EU368"/>
      <c r="EV368"/>
      <c r="EW368"/>
      <c r="EX368" s="19" t="s">
        <v>2041</v>
      </c>
      <c r="EY368"/>
      <c r="EZ368"/>
      <c r="FA368"/>
      <c r="FB368"/>
      <c r="FC368"/>
      <c r="FD368"/>
      <c r="FE368"/>
      <c r="FF368"/>
      <c r="FG368"/>
      <c r="FH368"/>
      <c r="FI368"/>
    </row>
    <row r="369" spans="1:165" s="66" customFormat="1" x14ac:dyDescent="0.35">
      <c r="A369">
        <v>2026</v>
      </c>
      <c r="B369" t="s">
        <v>1553</v>
      </c>
      <c r="C369" s="112" t="s">
        <v>1554</v>
      </c>
      <c r="D369" t="s">
        <v>1593</v>
      </c>
      <c r="E369" t="s">
        <v>1556</v>
      </c>
      <c r="F369">
        <v>89</v>
      </c>
      <c r="G369" s="113">
        <v>0</v>
      </c>
      <c r="H369"/>
      <c r="I369" t="s">
        <v>1391</v>
      </c>
      <c r="J369">
        <v>72</v>
      </c>
      <c r="K369">
        <v>63</v>
      </c>
      <c r="L369">
        <v>68</v>
      </c>
      <c r="M369">
        <v>97.3</v>
      </c>
      <c r="N369">
        <v>85.6</v>
      </c>
      <c r="O369">
        <v>91.662099999999995</v>
      </c>
      <c r="P369">
        <v>71.793800000000005</v>
      </c>
      <c r="Q369">
        <v>63.160800000000002</v>
      </c>
      <c r="R369">
        <v>67.633799999999994</v>
      </c>
      <c r="S369"/>
      <c r="T369"/>
      <c r="U369"/>
      <c r="V369" t="s">
        <v>170</v>
      </c>
      <c r="W369" t="s">
        <v>171</v>
      </c>
      <c r="X369"/>
      <c r="Y369">
        <v>1</v>
      </c>
      <c r="Z369" t="s">
        <v>173</v>
      </c>
      <c r="AA369" t="s">
        <v>173</v>
      </c>
      <c r="AB369">
        <v>4</v>
      </c>
      <c r="AC369" t="s">
        <v>423</v>
      </c>
      <c r="AD369"/>
      <c r="AE369"/>
      <c r="AF369">
        <v>329</v>
      </c>
      <c r="AG369" t="s">
        <v>1392</v>
      </c>
      <c r="AH369" t="s">
        <v>1393</v>
      </c>
      <c r="AI369" t="s">
        <v>178</v>
      </c>
      <c r="AJ369" t="s">
        <v>179</v>
      </c>
      <c r="AK369">
        <v>4</v>
      </c>
      <c r="AL369" t="s">
        <v>1394</v>
      </c>
      <c r="AM369"/>
      <c r="AN369"/>
      <c r="AO369"/>
      <c r="AP369"/>
      <c r="AQ369"/>
      <c r="AR369"/>
      <c r="AS369">
        <v>1250</v>
      </c>
      <c r="AT369">
        <v>1250</v>
      </c>
      <c r="AU369"/>
      <c r="AV369"/>
      <c r="AW369"/>
      <c r="AX369"/>
      <c r="AY369"/>
      <c r="AZ369"/>
      <c r="BA369"/>
      <c r="BB369"/>
      <c r="BC369"/>
      <c r="BD369"/>
      <c r="BE369"/>
      <c r="BF369"/>
      <c r="BG369"/>
      <c r="BH369"/>
      <c r="BI369"/>
      <c r="BJ369"/>
      <c r="BK369"/>
      <c r="BL369"/>
      <c r="BM369"/>
      <c r="BN369" s="114"/>
      <c r="BO369"/>
      <c r="BP369"/>
      <c r="BQ369">
        <v>13</v>
      </c>
      <c r="BR369" t="s">
        <v>712</v>
      </c>
      <c r="BS369"/>
      <c r="BT369" t="s">
        <v>1402</v>
      </c>
      <c r="BU369" s="115">
        <v>45792</v>
      </c>
      <c r="BV369">
        <v>36512</v>
      </c>
      <c r="BW369" s="116"/>
      <c r="BX369"/>
      <c r="BY369" t="s">
        <v>173</v>
      </c>
      <c r="BZ369"/>
      <c r="CA369"/>
      <c r="CB369" t="s">
        <v>173</v>
      </c>
      <c r="CC369" t="s">
        <v>173</v>
      </c>
      <c r="CD369"/>
      <c r="CE369"/>
      <c r="CF369"/>
      <c r="CG369"/>
      <c r="CH369"/>
      <c r="CI369"/>
      <c r="CJ369"/>
      <c r="CK369" t="s">
        <v>259</v>
      </c>
      <c r="CL369"/>
      <c r="CM369">
        <v>1</v>
      </c>
      <c r="CN369" t="s">
        <v>260</v>
      </c>
      <c r="CO369"/>
      <c r="CP369">
        <v>392</v>
      </c>
      <c r="CQ369">
        <v>382</v>
      </c>
      <c r="CR369">
        <v>190</v>
      </c>
      <c r="CS369" t="s">
        <v>1437</v>
      </c>
      <c r="CT369"/>
      <c r="CU369"/>
      <c r="CV369" t="s">
        <v>262</v>
      </c>
      <c r="CW369"/>
      <c r="CX369" t="s">
        <v>263</v>
      </c>
      <c r="CY369" t="s">
        <v>172</v>
      </c>
      <c r="CZ369"/>
      <c r="DA369"/>
      <c r="DB369"/>
      <c r="DC369" t="s">
        <v>1589</v>
      </c>
      <c r="DD369">
        <v>3</v>
      </c>
      <c r="DE369" t="s">
        <v>307</v>
      </c>
      <c r="DF369" t="s">
        <v>988</v>
      </c>
      <c r="DG369" t="s">
        <v>1590</v>
      </c>
      <c r="DH369"/>
      <c r="DI369"/>
      <c r="DJ369"/>
      <c r="DK369"/>
      <c r="DL369" t="s">
        <v>173</v>
      </c>
      <c r="DM369" t="s">
        <v>172</v>
      </c>
      <c r="DN369"/>
      <c r="DO369"/>
      <c r="DP369" t="s">
        <v>173</v>
      </c>
      <c r="DQ369" t="s">
        <v>189</v>
      </c>
      <c r="DR369" t="s">
        <v>1594</v>
      </c>
      <c r="DS369"/>
      <c r="DT369"/>
      <c r="DU369"/>
      <c r="DV369"/>
      <c r="DW369"/>
      <c r="DX369"/>
      <c r="DY369"/>
      <c r="DZ369"/>
      <c r="EA369" s="117"/>
      <c r="EB369">
        <v>9</v>
      </c>
      <c r="EC369">
        <v>10</v>
      </c>
      <c r="ED369"/>
      <c r="EE369" t="s">
        <v>1592</v>
      </c>
      <c r="EF369">
        <v>10</v>
      </c>
      <c r="EG369"/>
      <c r="EH369"/>
      <c r="EI369"/>
      <c r="EJ369"/>
      <c r="EK369"/>
      <c r="EL369"/>
      <c r="EM369"/>
      <c r="EN369"/>
      <c r="EO369"/>
      <c r="EP369"/>
      <c r="EQ369"/>
      <c r="ER369"/>
      <c r="ES369"/>
      <c r="ET369"/>
      <c r="EU369">
        <v>2250</v>
      </c>
      <c r="EV369"/>
      <c r="EW369">
        <v>0</v>
      </c>
      <c r="EX369">
        <v>0</v>
      </c>
      <c r="EY369">
        <v>0</v>
      </c>
      <c r="EZ369"/>
      <c r="FA369">
        <v>15</v>
      </c>
      <c r="FB369"/>
      <c r="FC369"/>
      <c r="FD369"/>
      <c r="FE369"/>
      <c r="FF369"/>
      <c r="FG369" s="94">
        <v>348</v>
      </c>
      <c r="FH369" s="94">
        <v>306</v>
      </c>
      <c r="FI369" s="94">
        <v>329</v>
      </c>
    </row>
    <row r="370" spans="1:165" s="66" customFormat="1" x14ac:dyDescent="0.35">
      <c r="A370">
        <v>2026</v>
      </c>
      <c r="B370" t="s">
        <v>1553</v>
      </c>
      <c r="C370" s="112" t="s">
        <v>1554</v>
      </c>
      <c r="D370" t="s">
        <v>1593</v>
      </c>
      <c r="E370" t="s">
        <v>1556</v>
      </c>
      <c r="F370">
        <v>89</v>
      </c>
      <c r="G370" s="113">
        <v>0</v>
      </c>
      <c r="H370"/>
      <c r="I370" t="s">
        <v>1391</v>
      </c>
      <c r="J370">
        <v>47</v>
      </c>
      <c r="K370">
        <v>53</v>
      </c>
      <c r="L370">
        <v>50</v>
      </c>
      <c r="M370">
        <v>34.642800000000001</v>
      </c>
      <c r="N370">
        <v>39.365000000000002</v>
      </c>
      <c r="O370">
        <v>36.767800000000001</v>
      </c>
      <c r="P370">
        <v>46.947000000000003</v>
      </c>
      <c r="Q370">
        <v>53.363799999999998</v>
      </c>
      <c r="R370">
        <v>49.834600000000002</v>
      </c>
      <c r="S370"/>
      <c r="T370"/>
      <c r="U370"/>
      <c r="V370" t="s">
        <v>170</v>
      </c>
      <c r="W370" t="s">
        <v>171</v>
      </c>
      <c r="X370"/>
      <c r="Y370">
        <v>1</v>
      </c>
      <c r="Z370" t="s">
        <v>173</v>
      </c>
      <c r="AA370" t="s">
        <v>173</v>
      </c>
      <c r="AB370">
        <v>4</v>
      </c>
      <c r="AC370" t="s">
        <v>423</v>
      </c>
      <c r="AD370"/>
      <c r="AE370"/>
      <c r="AF370">
        <v>329</v>
      </c>
      <c r="AG370" t="s">
        <v>1392</v>
      </c>
      <c r="AH370" t="s">
        <v>1393</v>
      </c>
      <c r="AI370" t="s">
        <v>1399</v>
      </c>
      <c r="AJ370" t="s">
        <v>1400</v>
      </c>
      <c r="AK370">
        <v>4</v>
      </c>
      <c r="AL370" t="s">
        <v>1394</v>
      </c>
      <c r="AM370"/>
      <c r="AN370"/>
      <c r="AO370"/>
      <c r="AP370"/>
      <c r="AQ370"/>
      <c r="AR370"/>
      <c r="AS370">
        <v>1250</v>
      </c>
      <c r="AT370">
        <v>1250</v>
      </c>
      <c r="AU370"/>
      <c r="AV370"/>
      <c r="AW370"/>
      <c r="AX370"/>
      <c r="AY370"/>
      <c r="AZ370"/>
      <c r="BA370"/>
      <c r="BB370"/>
      <c r="BC370"/>
      <c r="BD370"/>
      <c r="BE370"/>
      <c r="BF370"/>
      <c r="BG370"/>
      <c r="BH370"/>
      <c r="BI370"/>
      <c r="BJ370"/>
      <c r="BK370"/>
      <c r="BL370"/>
      <c r="BM370"/>
      <c r="BN370" s="114"/>
      <c r="BO370"/>
      <c r="BP370"/>
      <c r="BQ370">
        <v>13</v>
      </c>
      <c r="BR370" t="s">
        <v>712</v>
      </c>
      <c r="BS370"/>
      <c r="BT370" t="s">
        <v>1402</v>
      </c>
      <c r="BU370" s="115">
        <v>45792</v>
      </c>
      <c r="BV370">
        <v>36512</v>
      </c>
      <c r="BW370" s="116"/>
      <c r="BX370"/>
      <c r="BY370" t="s">
        <v>173</v>
      </c>
      <c r="BZ370"/>
      <c r="CA370"/>
      <c r="CB370" t="s">
        <v>173</v>
      </c>
      <c r="CC370" t="s">
        <v>173</v>
      </c>
      <c r="CD370"/>
      <c r="CE370"/>
      <c r="CF370"/>
      <c r="CG370"/>
      <c r="CH370"/>
      <c r="CI370"/>
      <c r="CJ370"/>
      <c r="CK370" t="s">
        <v>259</v>
      </c>
      <c r="CL370"/>
      <c r="CM370">
        <v>1</v>
      </c>
      <c r="CN370" t="s">
        <v>260</v>
      </c>
      <c r="CO370"/>
      <c r="CP370">
        <v>392</v>
      </c>
      <c r="CQ370">
        <v>382</v>
      </c>
      <c r="CR370">
        <v>190</v>
      </c>
      <c r="CS370" t="s">
        <v>1437</v>
      </c>
      <c r="CT370"/>
      <c r="CU370"/>
      <c r="CV370" t="s">
        <v>262</v>
      </c>
      <c r="CW370"/>
      <c r="CX370" t="s">
        <v>263</v>
      </c>
      <c r="CY370" t="s">
        <v>172</v>
      </c>
      <c r="CZ370"/>
      <c r="DA370"/>
      <c r="DB370"/>
      <c r="DC370" t="s">
        <v>1589</v>
      </c>
      <c r="DD370">
        <v>3</v>
      </c>
      <c r="DE370" t="s">
        <v>307</v>
      </c>
      <c r="DF370" t="s">
        <v>988</v>
      </c>
      <c r="DG370" t="s">
        <v>1590</v>
      </c>
      <c r="DH370"/>
      <c r="DI370"/>
      <c r="DJ370"/>
      <c r="DK370"/>
      <c r="DL370" t="s">
        <v>173</v>
      </c>
      <c r="DM370" t="s">
        <v>172</v>
      </c>
      <c r="DN370"/>
      <c r="DO370"/>
      <c r="DP370" t="s">
        <v>173</v>
      </c>
      <c r="DQ370" t="s">
        <v>189</v>
      </c>
      <c r="DR370" t="s">
        <v>1594</v>
      </c>
      <c r="DS370"/>
      <c r="DT370"/>
      <c r="DU370"/>
      <c r="DV370"/>
      <c r="DW370"/>
      <c r="DX370"/>
      <c r="DY370"/>
      <c r="DZ370"/>
      <c r="EA370" s="117"/>
      <c r="EB370">
        <v>9</v>
      </c>
      <c r="EC370">
        <v>10</v>
      </c>
      <c r="ED370"/>
      <c r="EE370" t="s">
        <v>1592</v>
      </c>
      <c r="EF370">
        <v>10</v>
      </c>
      <c r="EG370"/>
      <c r="EH370"/>
      <c r="EI370"/>
      <c r="EJ370"/>
      <c r="EK370"/>
      <c r="EL370"/>
      <c r="EM370"/>
      <c r="EN370"/>
      <c r="EO370"/>
      <c r="EP370"/>
      <c r="EQ370"/>
      <c r="ER370"/>
      <c r="ES370"/>
      <c r="ET370"/>
      <c r="EU370">
        <v>2250</v>
      </c>
      <c r="EV370"/>
      <c r="EW370">
        <v>0</v>
      </c>
      <c r="EX370">
        <v>0</v>
      </c>
      <c r="EY370">
        <v>0</v>
      </c>
      <c r="EZ370"/>
      <c r="FA370">
        <v>15</v>
      </c>
      <c r="FB370"/>
      <c r="FC370"/>
      <c r="FD370"/>
      <c r="FE370"/>
      <c r="FF370"/>
      <c r="FG370" s="94">
        <v>348</v>
      </c>
      <c r="FH370" s="94">
        <v>306</v>
      </c>
      <c r="FI370" s="94">
        <v>329</v>
      </c>
    </row>
    <row r="371" spans="1:165" s="66" customFormat="1" x14ac:dyDescent="0.35">
      <c r="A371" s="19"/>
      <c r="B371" s="19"/>
      <c r="C371" s="19"/>
      <c r="D371" s="19"/>
      <c r="E371" s="19"/>
      <c r="F371" s="128"/>
      <c r="G371" s="19"/>
      <c r="H371" s="19"/>
      <c r="I371" s="19"/>
      <c r="J371" s="19"/>
      <c r="K371" s="19" t="str">
        <f>_xlfn.CONCAT(A372," ",C372," ",D372)</f>
        <v>2026 Rivian R1T Dual Large (20in)</v>
      </c>
      <c r="L371" s="19"/>
      <c r="M371" s="19"/>
      <c r="N371" s="19"/>
      <c r="O371" s="19"/>
      <c r="P371" s="19"/>
      <c r="Q371" s="19"/>
      <c r="R371" s="19"/>
      <c r="S371" s="19"/>
      <c r="T371" s="19"/>
      <c r="U371" s="19"/>
      <c r="V371" s="19"/>
      <c r="W371" s="19"/>
      <c r="X371" s="19"/>
      <c r="Y371" s="19"/>
      <c r="Z371" s="19"/>
      <c r="AA371" s="19"/>
      <c r="AB371" s="19" t="str">
        <f>$K371</f>
        <v>2026 Rivian R1T Dual Large (20in)</v>
      </c>
      <c r="AC371" s="19"/>
      <c r="AD371" s="19"/>
      <c r="AE371" s="19"/>
      <c r="AF371" s="19"/>
      <c r="AG371" s="19"/>
      <c r="AH371" s="19"/>
      <c r="AI371" s="19"/>
      <c r="AJ371" s="19"/>
      <c r="AK371" s="19"/>
      <c r="AL371" s="19"/>
      <c r="AM371" s="19"/>
      <c r="AN371" s="19"/>
      <c r="AO371" s="19"/>
      <c r="AP371" s="19"/>
      <c r="AQ371" s="19"/>
      <c r="AR371" s="19" t="str">
        <f>$K371</f>
        <v>2026 Rivian R1T Dual Large (20in)</v>
      </c>
      <c r="AS371" s="19"/>
      <c r="AT371" s="19"/>
      <c r="AU371" s="19"/>
      <c r="AV371" s="19"/>
      <c r="AW371" s="19"/>
      <c r="AX371" s="19"/>
      <c r="AY371" s="19"/>
      <c r="AZ371" s="19"/>
      <c r="BA371" s="19"/>
      <c r="BB371" s="19"/>
      <c r="BC371" s="19"/>
      <c r="BD371" s="19"/>
      <c r="BE371" s="19"/>
      <c r="BF371" s="19"/>
      <c r="BG371" s="19" t="str">
        <f>$K371</f>
        <v>2026 Rivian R1T Dual Large (20in)</v>
      </c>
      <c r="BH371" s="19"/>
      <c r="BI371" s="19"/>
      <c r="BJ371" s="19"/>
      <c r="BK371" s="19"/>
      <c r="BL371" s="19"/>
      <c r="BM371" s="129"/>
      <c r="BN371" s="19"/>
      <c r="BO371" s="19"/>
      <c r="BP371" s="19"/>
      <c r="BQ371" s="19"/>
      <c r="BR371" s="19"/>
      <c r="BS371" s="19"/>
      <c r="BT371" s="130"/>
      <c r="BU371" s="19"/>
      <c r="BV371" s="19"/>
      <c r="BW371" s="116"/>
      <c r="BX371" s="19"/>
      <c r="BY371" s="19"/>
      <c r="BZ371" s="19"/>
      <c r="CA371" s="19"/>
      <c r="CB371" s="19"/>
      <c r="CC371" s="19"/>
      <c r="CD371" s="19"/>
      <c r="CE371" s="19"/>
      <c r="CF371" s="19"/>
      <c r="CG371" s="19"/>
      <c r="CH371" s="19"/>
      <c r="CI371" s="19"/>
      <c r="CJ371" s="19"/>
      <c r="CK371" s="19"/>
      <c r="CL371" s="19"/>
      <c r="CM371" s="19" t="str">
        <f>$K371</f>
        <v>2026 Rivian R1T Dual Large (20in)</v>
      </c>
      <c r="CN371" s="19"/>
      <c r="CO371" s="19"/>
      <c r="CP371" s="19"/>
      <c r="CQ371" s="19"/>
      <c r="CR371" s="19"/>
      <c r="CS371" s="19"/>
      <c r="CT371" s="19"/>
      <c r="CU371" s="19"/>
      <c r="CV371" s="19"/>
      <c r="CW371" s="19"/>
      <c r="CX371" s="19"/>
      <c r="CY371" s="19"/>
      <c r="CZ371" s="19"/>
      <c r="DA371" s="19"/>
      <c r="DB371" s="19"/>
      <c r="DC371" s="19"/>
      <c r="DD371" s="19" t="str">
        <f>$K371</f>
        <v>2026 Rivian R1T Dual Large (20in)</v>
      </c>
      <c r="DE371" s="19"/>
      <c r="DF371" s="19"/>
      <c r="DG371" s="19"/>
      <c r="DH371" s="19"/>
      <c r="DI371" s="19"/>
      <c r="DJ371" s="19"/>
      <c r="DK371" s="19"/>
      <c r="DL371" s="19"/>
      <c r="DM371" s="19"/>
      <c r="DN371" s="19"/>
      <c r="DO371" s="19"/>
      <c r="DP371" s="19"/>
      <c r="DQ371" s="19"/>
      <c r="DR371" s="19"/>
      <c r="DS371" s="19"/>
      <c r="DT371" s="19"/>
      <c r="DU371" s="19" t="str">
        <f>$K371</f>
        <v>2026 Rivian R1T Dual Large (20in)</v>
      </c>
      <c r="DV371" s="19"/>
      <c r="DW371" s="19"/>
      <c r="DX371" s="19"/>
      <c r="DY371" s="19"/>
      <c r="DZ371" s="19"/>
      <c r="EA371" s="117"/>
      <c r="EB371" s="19"/>
      <c r="EC371" s="19"/>
      <c r="ED371" s="19"/>
      <c r="EE371" s="19"/>
      <c r="EF371" s="19"/>
      <c r="EG371"/>
      <c r="EH371"/>
      <c r="EI371"/>
      <c r="EJ371"/>
      <c r="EK371"/>
      <c r="EL371"/>
      <c r="EM371"/>
      <c r="EN371"/>
      <c r="EO371"/>
      <c r="EP371"/>
      <c r="EQ371"/>
      <c r="ER371"/>
      <c r="ES371"/>
      <c r="ET371"/>
      <c r="EU371"/>
      <c r="EV371"/>
      <c r="EW371"/>
      <c r="EX371" s="19" t="s">
        <v>2042</v>
      </c>
      <c r="EY371"/>
      <c r="EZ371"/>
      <c r="FA371"/>
      <c r="FB371"/>
      <c r="FC371"/>
      <c r="FD371"/>
      <c r="FE371"/>
      <c r="FF371"/>
      <c r="FG371"/>
      <c r="FH371"/>
      <c r="FI371"/>
    </row>
    <row r="372" spans="1:165" s="66" customFormat="1" x14ac:dyDescent="0.35">
      <c r="A372">
        <v>2026</v>
      </c>
      <c r="B372" t="s">
        <v>1553</v>
      </c>
      <c r="C372" s="112" t="s">
        <v>1554</v>
      </c>
      <c r="D372" t="s">
        <v>1599</v>
      </c>
      <c r="E372" t="s">
        <v>1556</v>
      </c>
      <c r="F372">
        <v>93</v>
      </c>
      <c r="G372" s="113">
        <v>0</v>
      </c>
      <c r="H372"/>
      <c r="I372" t="s">
        <v>1391</v>
      </c>
      <c r="J372">
        <v>85</v>
      </c>
      <c r="K372">
        <v>72</v>
      </c>
      <c r="L372">
        <v>79</v>
      </c>
      <c r="M372">
        <v>121</v>
      </c>
      <c r="N372">
        <v>103</v>
      </c>
      <c r="O372">
        <v>112.3134</v>
      </c>
      <c r="P372">
        <v>84.98</v>
      </c>
      <c r="Q372">
        <v>72.03</v>
      </c>
      <c r="R372">
        <v>78.619399999999999</v>
      </c>
      <c r="S372"/>
      <c r="T372"/>
      <c r="U372"/>
      <c r="V372" t="s">
        <v>170</v>
      </c>
      <c r="W372" t="s">
        <v>171</v>
      </c>
      <c r="X372"/>
      <c r="Y372">
        <v>1</v>
      </c>
      <c r="Z372" t="s">
        <v>173</v>
      </c>
      <c r="AA372" t="s">
        <v>173</v>
      </c>
      <c r="AB372">
        <v>4</v>
      </c>
      <c r="AC372" t="s">
        <v>423</v>
      </c>
      <c r="AD372"/>
      <c r="AE372"/>
      <c r="AF372">
        <v>300</v>
      </c>
      <c r="AG372" t="s">
        <v>1392</v>
      </c>
      <c r="AH372" t="s">
        <v>1393</v>
      </c>
      <c r="AI372" t="s">
        <v>178</v>
      </c>
      <c r="AJ372" t="s">
        <v>179</v>
      </c>
      <c r="AK372">
        <v>4</v>
      </c>
      <c r="AL372" t="s">
        <v>1394</v>
      </c>
      <c r="AM372"/>
      <c r="AN372"/>
      <c r="AO372"/>
      <c r="AP372"/>
      <c r="AQ372"/>
      <c r="AR372"/>
      <c r="AS372">
        <v>1100</v>
      </c>
      <c r="AT372">
        <v>1100</v>
      </c>
      <c r="AU372"/>
      <c r="AV372"/>
      <c r="AW372"/>
      <c r="AX372"/>
      <c r="AY372"/>
      <c r="AZ372"/>
      <c r="BA372"/>
      <c r="BB372"/>
      <c r="BC372"/>
      <c r="BD372"/>
      <c r="BE372"/>
      <c r="BF372"/>
      <c r="BG372"/>
      <c r="BH372"/>
      <c r="BI372"/>
      <c r="BJ372"/>
      <c r="BK372"/>
      <c r="BL372"/>
      <c r="BM372"/>
      <c r="BN372" s="114"/>
      <c r="BO372"/>
      <c r="BP372"/>
      <c r="BQ372">
        <v>13</v>
      </c>
      <c r="BR372" t="s">
        <v>712</v>
      </c>
      <c r="BS372"/>
      <c r="BT372" t="s">
        <v>1402</v>
      </c>
      <c r="BU372" s="115">
        <v>45792</v>
      </c>
      <c r="BV372">
        <v>36515</v>
      </c>
      <c r="BW372" s="116"/>
      <c r="BX372"/>
      <c r="BY372" t="s">
        <v>173</v>
      </c>
      <c r="BZ372"/>
      <c r="CA372"/>
      <c r="CB372" t="s">
        <v>173</v>
      </c>
      <c r="CC372" t="s">
        <v>173</v>
      </c>
      <c r="CD372"/>
      <c r="CE372"/>
      <c r="CF372"/>
      <c r="CG372"/>
      <c r="CH372"/>
      <c r="CI372"/>
      <c r="CJ372"/>
      <c r="CK372" t="s">
        <v>259</v>
      </c>
      <c r="CL372"/>
      <c r="CM372">
        <v>1</v>
      </c>
      <c r="CN372" t="s">
        <v>260</v>
      </c>
      <c r="CO372"/>
      <c r="CP372">
        <v>406</v>
      </c>
      <c r="CQ372">
        <v>286</v>
      </c>
      <c r="CR372">
        <v>273</v>
      </c>
      <c r="CS372" t="s">
        <v>1437</v>
      </c>
      <c r="CT372"/>
      <c r="CU372"/>
      <c r="CV372" t="s">
        <v>262</v>
      </c>
      <c r="CW372"/>
      <c r="CX372" t="s">
        <v>263</v>
      </c>
      <c r="CY372" t="s">
        <v>172</v>
      </c>
      <c r="CZ372"/>
      <c r="DA372"/>
      <c r="DB372"/>
      <c r="DC372" t="s">
        <v>1596</v>
      </c>
      <c r="DD372">
        <v>2</v>
      </c>
      <c r="DE372" t="s">
        <v>307</v>
      </c>
      <c r="DF372" t="s">
        <v>988</v>
      </c>
      <c r="DG372">
        <v>264</v>
      </c>
      <c r="DH372"/>
      <c r="DI372"/>
      <c r="DJ372"/>
      <c r="DK372"/>
      <c r="DL372" t="s">
        <v>173</v>
      </c>
      <c r="DM372" t="s">
        <v>172</v>
      </c>
      <c r="DN372"/>
      <c r="DO372"/>
      <c r="DP372" t="s">
        <v>173</v>
      </c>
      <c r="DQ372" t="s">
        <v>189</v>
      </c>
      <c r="DR372" t="s">
        <v>1600</v>
      </c>
      <c r="DS372"/>
      <c r="DT372"/>
      <c r="DU372"/>
      <c r="DV372"/>
      <c r="DW372"/>
      <c r="DX372"/>
      <c r="DY372"/>
      <c r="DZ372"/>
      <c r="EA372" s="117"/>
      <c r="EB372">
        <v>9</v>
      </c>
      <c r="EC372">
        <v>10</v>
      </c>
      <c r="ED372"/>
      <c r="EE372" t="s">
        <v>1598</v>
      </c>
      <c r="EF372">
        <v>10</v>
      </c>
      <c r="EG372"/>
      <c r="EH372"/>
      <c r="EI372"/>
      <c r="EJ372"/>
      <c r="EK372"/>
      <c r="EL372"/>
      <c r="EM372"/>
      <c r="EN372"/>
      <c r="EO372"/>
      <c r="EP372"/>
      <c r="EQ372"/>
      <c r="ER372"/>
      <c r="ES372"/>
      <c r="ET372"/>
      <c r="EU372">
        <v>3000</v>
      </c>
      <c r="EV372"/>
      <c r="EW372">
        <v>0</v>
      </c>
      <c r="EX372">
        <v>0</v>
      </c>
      <c r="EY372">
        <v>0</v>
      </c>
      <c r="EZ372"/>
      <c r="FA372">
        <v>12</v>
      </c>
      <c r="FB372"/>
      <c r="FC372"/>
      <c r="FD372"/>
      <c r="FE372"/>
      <c r="FF372"/>
      <c r="FG372" s="94">
        <v>322</v>
      </c>
      <c r="FH372" s="94">
        <v>273</v>
      </c>
      <c r="FI372" s="94">
        <v>300</v>
      </c>
    </row>
    <row r="373" spans="1:165" s="66" customFormat="1" x14ac:dyDescent="0.35">
      <c r="A373">
        <v>2026</v>
      </c>
      <c r="B373" t="s">
        <v>1553</v>
      </c>
      <c r="C373" s="112" t="s">
        <v>1554</v>
      </c>
      <c r="D373" t="s">
        <v>1599</v>
      </c>
      <c r="E373" t="s">
        <v>1556</v>
      </c>
      <c r="F373">
        <v>93</v>
      </c>
      <c r="G373" s="113">
        <v>0</v>
      </c>
      <c r="H373"/>
      <c r="I373" t="s">
        <v>1391</v>
      </c>
      <c r="J373">
        <v>40</v>
      </c>
      <c r="K373">
        <v>47</v>
      </c>
      <c r="L373">
        <v>43</v>
      </c>
      <c r="M373">
        <v>27.772099999999998</v>
      </c>
      <c r="N373">
        <v>32.760199999999998</v>
      </c>
      <c r="O373">
        <v>30.0167</v>
      </c>
      <c r="P373">
        <v>39.662300000000002</v>
      </c>
      <c r="Q373">
        <v>46.792999999999999</v>
      </c>
      <c r="R373">
        <v>42.871099999999998</v>
      </c>
      <c r="S373"/>
      <c r="T373"/>
      <c r="U373"/>
      <c r="V373" t="s">
        <v>170</v>
      </c>
      <c r="W373" t="s">
        <v>171</v>
      </c>
      <c r="X373"/>
      <c r="Y373">
        <v>1</v>
      </c>
      <c r="Z373" t="s">
        <v>173</v>
      </c>
      <c r="AA373" t="s">
        <v>173</v>
      </c>
      <c r="AB373">
        <v>4</v>
      </c>
      <c r="AC373" t="s">
        <v>423</v>
      </c>
      <c r="AD373"/>
      <c r="AE373"/>
      <c r="AF373">
        <v>300</v>
      </c>
      <c r="AG373" t="s">
        <v>1392</v>
      </c>
      <c r="AH373" t="s">
        <v>1393</v>
      </c>
      <c r="AI373" t="s">
        <v>1399</v>
      </c>
      <c r="AJ373" t="s">
        <v>1400</v>
      </c>
      <c r="AK373">
        <v>4</v>
      </c>
      <c r="AL373" t="s">
        <v>1394</v>
      </c>
      <c r="AM373"/>
      <c r="AN373"/>
      <c r="AO373"/>
      <c r="AP373"/>
      <c r="AQ373"/>
      <c r="AR373"/>
      <c r="AS373">
        <v>1100</v>
      </c>
      <c r="AT373">
        <v>1100</v>
      </c>
      <c r="AU373"/>
      <c r="AV373"/>
      <c r="AW373"/>
      <c r="AX373"/>
      <c r="AY373"/>
      <c r="AZ373"/>
      <c r="BA373"/>
      <c r="BB373"/>
      <c r="BC373"/>
      <c r="BD373"/>
      <c r="BE373"/>
      <c r="BF373"/>
      <c r="BG373"/>
      <c r="BH373"/>
      <c r="BI373"/>
      <c r="BJ373"/>
      <c r="BK373"/>
      <c r="BL373"/>
      <c r="BM373"/>
      <c r="BN373" s="114"/>
      <c r="BO373"/>
      <c r="BP373"/>
      <c r="BQ373">
        <v>13</v>
      </c>
      <c r="BR373" t="s">
        <v>712</v>
      </c>
      <c r="BS373"/>
      <c r="BT373" t="s">
        <v>1402</v>
      </c>
      <c r="BU373" s="115">
        <v>45792</v>
      </c>
      <c r="BV373">
        <v>36515</v>
      </c>
      <c r="BW373" s="116"/>
      <c r="BX373"/>
      <c r="BY373" t="s">
        <v>173</v>
      </c>
      <c r="BZ373"/>
      <c r="CA373"/>
      <c r="CB373" t="s">
        <v>173</v>
      </c>
      <c r="CC373" t="s">
        <v>173</v>
      </c>
      <c r="CD373"/>
      <c r="CE373"/>
      <c r="CF373"/>
      <c r="CG373"/>
      <c r="CH373"/>
      <c r="CI373"/>
      <c r="CJ373"/>
      <c r="CK373" t="s">
        <v>259</v>
      </c>
      <c r="CL373"/>
      <c r="CM373">
        <v>1</v>
      </c>
      <c r="CN373" t="s">
        <v>260</v>
      </c>
      <c r="CO373"/>
      <c r="CP373">
        <v>406</v>
      </c>
      <c r="CQ373">
        <v>286</v>
      </c>
      <c r="CR373">
        <v>273</v>
      </c>
      <c r="CS373" t="s">
        <v>1437</v>
      </c>
      <c r="CT373"/>
      <c r="CU373"/>
      <c r="CV373" t="s">
        <v>262</v>
      </c>
      <c r="CW373"/>
      <c r="CX373" t="s">
        <v>263</v>
      </c>
      <c r="CY373" t="s">
        <v>172</v>
      </c>
      <c r="CZ373"/>
      <c r="DA373"/>
      <c r="DB373"/>
      <c r="DC373" t="s">
        <v>1596</v>
      </c>
      <c r="DD373">
        <v>2</v>
      </c>
      <c r="DE373" t="s">
        <v>307</v>
      </c>
      <c r="DF373" t="s">
        <v>988</v>
      </c>
      <c r="DG373">
        <v>264</v>
      </c>
      <c r="DH373"/>
      <c r="DI373"/>
      <c r="DJ373"/>
      <c r="DK373"/>
      <c r="DL373" t="s">
        <v>173</v>
      </c>
      <c r="DM373" t="s">
        <v>172</v>
      </c>
      <c r="DN373"/>
      <c r="DO373"/>
      <c r="DP373" t="s">
        <v>173</v>
      </c>
      <c r="DQ373" t="s">
        <v>189</v>
      </c>
      <c r="DR373" t="s">
        <v>1600</v>
      </c>
      <c r="DS373"/>
      <c r="DT373"/>
      <c r="DU373"/>
      <c r="DV373"/>
      <c r="DW373"/>
      <c r="DX373"/>
      <c r="DY373"/>
      <c r="DZ373"/>
      <c r="EA373" s="117"/>
      <c r="EB373">
        <v>9</v>
      </c>
      <c r="EC373">
        <v>10</v>
      </c>
      <c r="ED373"/>
      <c r="EE373" t="s">
        <v>1598</v>
      </c>
      <c r="EF373">
        <v>10</v>
      </c>
      <c r="EG373"/>
      <c r="EH373"/>
      <c r="EI373"/>
      <c r="EJ373"/>
      <c r="EK373"/>
      <c r="EL373"/>
      <c r="EM373"/>
      <c r="EN373"/>
      <c r="EO373"/>
      <c r="EP373"/>
      <c r="EQ373"/>
      <c r="ER373"/>
      <c r="ES373"/>
      <c r="ET373"/>
      <c r="EU373">
        <v>3000</v>
      </c>
      <c r="EV373"/>
      <c r="EW373">
        <v>0</v>
      </c>
      <c r="EX373">
        <v>0</v>
      </c>
      <c r="EY373">
        <v>0</v>
      </c>
      <c r="EZ373"/>
      <c r="FA373">
        <v>12</v>
      </c>
      <c r="FB373"/>
      <c r="FC373"/>
      <c r="FD373"/>
      <c r="FE373"/>
      <c r="FF373"/>
      <c r="FG373" s="94">
        <v>322</v>
      </c>
      <c r="FH373" s="94">
        <v>273</v>
      </c>
      <c r="FI373" s="94">
        <v>300</v>
      </c>
    </row>
    <row r="374" spans="1:165" s="66" customFormat="1" x14ac:dyDescent="0.35">
      <c r="A374" s="19"/>
      <c r="B374" s="19"/>
      <c r="C374" s="19"/>
      <c r="D374" s="19"/>
      <c r="E374" s="19"/>
      <c r="F374" s="128"/>
      <c r="G374" s="19"/>
      <c r="H374" s="19"/>
      <c r="I374" s="19"/>
      <c r="J374" s="19"/>
      <c r="K374" s="19" t="str">
        <f>_xlfn.CONCAT(A375," ",C375," ",D375)</f>
        <v>2026 Rivian R1T Dual Large (22in)</v>
      </c>
      <c r="L374" s="19"/>
      <c r="M374" s="19"/>
      <c r="N374" s="19"/>
      <c r="O374" s="19"/>
      <c r="P374" s="19"/>
      <c r="Q374" s="19"/>
      <c r="R374" s="19"/>
      <c r="S374" s="19"/>
      <c r="T374" s="19"/>
      <c r="U374" s="19"/>
      <c r="V374" s="19"/>
      <c r="W374" s="19"/>
      <c r="X374" s="19"/>
      <c r="Y374" s="19"/>
      <c r="Z374" s="19"/>
      <c r="AA374" s="19"/>
      <c r="AB374" s="19" t="str">
        <f>$K374</f>
        <v>2026 Rivian R1T Dual Large (22in)</v>
      </c>
      <c r="AC374" s="19"/>
      <c r="AD374" s="19"/>
      <c r="AE374" s="19"/>
      <c r="AF374" s="19"/>
      <c r="AG374" s="19"/>
      <c r="AH374" s="19"/>
      <c r="AI374" s="19"/>
      <c r="AJ374" s="19"/>
      <c r="AK374" s="19"/>
      <c r="AL374" s="19"/>
      <c r="AM374" s="19"/>
      <c r="AN374" s="19"/>
      <c r="AO374" s="19"/>
      <c r="AP374" s="19"/>
      <c r="AQ374" s="19"/>
      <c r="AR374" s="19" t="str">
        <f>$K374</f>
        <v>2026 Rivian R1T Dual Large (22in)</v>
      </c>
      <c r="AS374" s="19"/>
      <c r="AT374" s="19"/>
      <c r="AU374" s="19"/>
      <c r="AV374" s="19"/>
      <c r="AW374" s="19"/>
      <c r="AX374" s="19"/>
      <c r="AY374" s="19"/>
      <c r="AZ374" s="19"/>
      <c r="BA374" s="19"/>
      <c r="BB374" s="19"/>
      <c r="BC374" s="19"/>
      <c r="BD374" s="19"/>
      <c r="BE374" s="19"/>
      <c r="BF374" s="19"/>
      <c r="BG374" s="19" t="str">
        <f>$K374</f>
        <v>2026 Rivian R1T Dual Large (22in)</v>
      </c>
      <c r="BH374" s="19"/>
      <c r="BI374" s="19"/>
      <c r="BJ374" s="19"/>
      <c r="BK374" s="19"/>
      <c r="BL374" s="19"/>
      <c r="BM374" s="129"/>
      <c r="BN374" s="19"/>
      <c r="BO374" s="19"/>
      <c r="BP374" s="19"/>
      <c r="BQ374" s="19"/>
      <c r="BR374" s="19"/>
      <c r="BS374" s="19"/>
      <c r="BT374" s="130"/>
      <c r="BU374" s="19"/>
      <c r="BV374" s="19"/>
      <c r="BW374" s="116"/>
      <c r="BX374" s="19"/>
      <c r="BY374" s="19"/>
      <c r="BZ374" s="19"/>
      <c r="CA374" s="19"/>
      <c r="CB374" s="19"/>
      <c r="CC374" s="19"/>
      <c r="CD374" s="19"/>
      <c r="CE374" s="19"/>
      <c r="CF374" s="19"/>
      <c r="CG374" s="19"/>
      <c r="CH374" s="19"/>
      <c r="CI374" s="19"/>
      <c r="CJ374" s="19"/>
      <c r="CK374" s="19"/>
      <c r="CL374" s="19"/>
      <c r="CM374" s="19" t="str">
        <f>$K374</f>
        <v>2026 Rivian R1T Dual Large (22in)</v>
      </c>
      <c r="CN374" s="19"/>
      <c r="CO374" s="19"/>
      <c r="CP374" s="19"/>
      <c r="CQ374" s="19"/>
      <c r="CR374" s="19"/>
      <c r="CS374" s="19"/>
      <c r="CT374" s="19"/>
      <c r="CU374" s="19"/>
      <c r="CV374" s="19"/>
      <c r="CW374" s="19"/>
      <c r="CX374" s="19"/>
      <c r="CY374" s="19"/>
      <c r="CZ374" s="19"/>
      <c r="DA374" s="19"/>
      <c r="DB374" s="19"/>
      <c r="DC374" s="19"/>
      <c r="DD374" s="19" t="str">
        <f>$K374</f>
        <v>2026 Rivian R1T Dual Large (22in)</v>
      </c>
      <c r="DE374" s="19"/>
      <c r="DF374" s="19"/>
      <c r="DG374" s="19"/>
      <c r="DH374" s="19"/>
      <c r="DI374" s="19"/>
      <c r="DJ374" s="19"/>
      <c r="DK374" s="19"/>
      <c r="DL374" s="19"/>
      <c r="DM374" s="19"/>
      <c r="DN374" s="19"/>
      <c r="DO374" s="19"/>
      <c r="DP374" s="19"/>
      <c r="DQ374" s="19"/>
      <c r="DR374" s="19"/>
      <c r="DS374" s="19"/>
      <c r="DT374" s="19"/>
      <c r="DU374" s="19" t="str">
        <f>$K374</f>
        <v>2026 Rivian R1T Dual Large (22in)</v>
      </c>
      <c r="DV374" s="19"/>
      <c r="DW374" s="19"/>
      <c r="DX374" s="19"/>
      <c r="DY374" s="19"/>
      <c r="DZ374" s="19"/>
      <c r="EA374" s="117"/>
      <c r="EB374" s="19"/>
      <c r="EC374" s="19"/>
      <c r="ED374" s="19"/>
      <c r="EE374" s="19"/>
      <c r="EF374" s="19"/>
      <c r="EG374"/>
      <c r="EH374"/>
      <c r="EI374"/>
      <c r="EJ374"/>
      <c r="EK374"/>
      <c r="EL374"/>
      <c r="EM374"/>
      <c r="EN374"/>
      <c r="EO374"/>
      <c r="EP374"/>
      <c r="EQ374"/>
      <c r="ER374"/>
      <c r="ES374"/>
      <c r="ET374"/>
      <c r="EU374"/>
      <c r="EV374"/>
      <c r="EW374"/>
      <c r="EX374" s="19" t="s">
        <v>2043</v>
      </c>
      <c r="EY374"/>
      <c r="EZ374"/>
      <c r="FA374"/>
      <c r="FB374"/>
      <c r="FC374"/>
      <c r="FD374"/>
      <c r="FE374"/>
      <c r="FF374"/>
      <c r="FG374"/>
      <c r="FH374"/>
      <c r="FI374"/>
    </row>
    <row r="375" spans="1:165" s="66" customFormat="1" x14ac:dyDescent="0.35">
      <c r="A375">
        <v>2026</v>
      </c>
      <c r="B375" t="s">
        <v>1553</v>
      </c>
      <c r="C375" s="112" t="s">
        <v>1554</v>
      </c>
      <c r="D375" t="s">
        <v>1595</v>
      </c>
      <c r="E375" t="s">
        <v>1556</v>
      </c>
      <c r="F375">
        <v>91</v>
      </c>
      <c r="G375" s="113">
        <v>0</v>
      </c>
      <c r="H375"/>
      <c r="I375" t="s">
        <v>1391</v>
      </c>
      <c r="J375">
        <v>94</v>
      </c>
      <c r="K375">
        <v>77</v>
      </c>
      <c r="L375">
        <v>85</v>
      </c>
      <c r="M375">
        <v>133</v>
      </c>
      <c r="N375">
        <v>109</v>
      </c>
      <c r="O375">
        <v>121.101</v>
      </c>
      <c r="P375">
        <v>93.919300000000007</v>
      </c>
      <c r="Q375">
        <v>76.855900000000005</v>
      </c>
      <c r="R375">
        <v>85.388300000000001</v>
      </c>
      <c r="S375"/>
      <c r="T375"/>
      <c r="U375"/>
      <c r="V375" t="s">
        <v>170</v>
      </c>
      <c r="W375" t="s">
        <v>171</v>
      </c>
      <c r="X375"/>
      <c r="Y375">
        <v>1</v>
      </c>
      <c r="Z375" t="s">
        <v>173</v>
      </c>
      <c r="AA375" t="s">
        <v>173</v>
      </c>
      <c r="AB375">
        <v>4</v>
      </c>
      <c r="AC375" t="s">
        <v>423</v>
      </c>
      <c r="AD375"/>
      <c r="AE375"/>
      <c r="AF375">
        <v>329</v>
      </c>
      <c r="AG375" t="s">
        <v>1392</v>
      </c>
      <c r="AH375" t="s">
        <v>1393</v>
      </c>
      <c r="AI375" t="s">
        <v>178</v>
      </c>
      <c r="AJ375" t="s">
        <v>179</v>
      </c>
      <c r="AK375">
        <v>4</v>
      </c>
      <c r="AL375" t="s">
        <v>1394</v>
      </c>
      <c r="AM375"/>
      <c r="AN375"/>
      <c r="AO375"/>
      <c r="AP375"/>
      <c r="AQ375"/>
      <c r="AR375"/>
      <c r="AS375">
        <v>1000</v>
      </c>
      <c r="AT375">
        <v>1000</v>
      </c>
      <c r="AU375"/>
      <c r="AV375"/>
      <c r="AW375"/>
      <c r="AX375"/>
      <c r="AY375"/>
      <c r="AZ375"/>
      <c r="BA375"/>
      <c r="BB375"/>
      <c r="BC375"/>
      <c r="BD375"/>
      <c r="BE375"/>
      <c r="BF375"/>
      <c r="BG375"/>
      <c r="BH375"/>
      <c r="BI375"/>
      <c r="BJ375"/>
      <c r="BK375"/>
      <c r="BL375"/>
      <c r="BM375"/>
      <c r="BN375" s="114"/>
      <c r="BO375"/>
      <c r="BP375"/>
      <c r="BQ375">
        <v>13</v>
      </c>
      <c r="BR375" t="s">
        <v>712</v>
      </c>
      <c r="BS375"/>
      <c r="BT375" t="s">
        <v>1402</v>
      </c>
      <c r="BU375" s="115">
        <v>45792</v>
      </c>
      <c r="BV375">
        <v>36514</v>
      </c>
      <c r="BW375" s="116"/>
      <c r="BX375"/>
      <c r="BY375" t="s">
        <v>173</v>
      </c>
      <c r="BZ375"/>
      <c r="CA375"/>
      <c r="CB375" t="s">
        <v>173</v>
      </c>
      <c r="CC375" t="s">
        <v>173</v>
      </c>
      <c r="CD375"/>
      <c r="CE375"/>
      <c r="CF375"/>
      <c r="CG375"/>
      <c r="CH375"/>
      <c r="CI375"/>
      <c r="CJ375"/>
      <c r="CK375" t="s">
        <v>259</v>
      </c>
      <c r="CL375"/>
      <c r="CM375">
        <v>1</v>
      </c>
      <c r="CN375" t="s">
        <v>260</v>
      </c>
      <c r="CO375"/>
      <c r="CP375">
        <v>406</v>
      </c>
      <c r="CQ375">
        <v>286</v>
      </c>
      <c r="CR375">
        <v>273</v>
      </c>
      <c r="CS375" t="s">
        <v>1437</v>
      </c>
      <c r="CT375"/>
      <c r="CU375"/>
      <c r="CV375" t="s">
        <v>262</v>
      </c>
      <c r="CW375"/>
      <c r="CX375" t="s">
        <v>263</v>
      </c>
      <c r="CY375" t="s">
        <v>172</v>
      </c>
      <c r="CZ375"/>
      <c r="DA375"/>
      <c r="DB375"/>
      <c r="DC375" t="s">
        <v>1596</v>
      </c>
      <c r="DD375">
        <v>2</v>
      </c>
      <c r="DE375" t="s">
        <v>307</v>
      </c>
      <c r="DF375" t="s">
        <v>988</v>
      </c>
      <c r="DG375">
        <v>264</v>
      </c>
      <c r="DH375"/>
      <c r="DI375"/>
      <c r="DJ375"/>
      <c r="DK375"/>
      <c r="DL375" t="s">
        <v>173</v>
      </c>
      <c r="DM375" t="s">
        <v>172</v>
      </c>
      <c r="DN375"/>
      <c r="DO375"/>
      <c r="DP375" t="s">
        <v>173</v>
      </c>
      <c r="DQ375" t="s">
        <v>189</v>
      </c>
      <c r="DR375" t="s">
        <v>1597</v>
      </c>
      <c r="DS375"/>
      <c r="DT375"/>
      <c r="DU375"/>
      <c r="DV375"/>
      <c r="DW375"/>
      <c r="DX375"/>
      <c r="DY375"/>
      <c r="DZ375"/>
      <c r="EA375" s="117"/>
      <c r="EB375">
        <v>9</v>
      </c>
      <c r="EC375">
        <v>10</v>
      </c>
      <c r="ED375"/>
      <c r="EE375" t="s">
        <v>1598</v>
      </c>
      <c r="EF375">
        <v>10</v>
      </c>
      <c r="EG375"/>
      <c r="EH375"/>
      <c r="EI375"/>
      <c r="EJ375"/>
      <c r="EK375"/>
      <c r="EL375"/>
      <c r="EM375"/>
      <c r="EN375"/>
      <c r="EO375"/>
      <c r="EP375"/>
      <c r="EQ375"/>
      <c r="ER375"/>
      <c r="ES375"/>
      <c r="ET375"/>
      <c r="EU375">
        <v>3500</v>
      </c>
      <c r="EV375"/>
      <c r="EW375">
        <v>0</v>
      </c>
      <c r="EX375">
        <v>0</v>
      </c>
      <c r="EY375">
        <v>0</v>
      </c>
      <c r="EZ375"/>
      <c r="FA375">
        <v>12</v>
      </c>
      <c r="FB375"/>
      <c r="FC375"/>
      <c r="FD375"/>
      <c r="FE375"/>
      <c r="FF375"/>
      <c r="FG375" s="94">
        <v>358</v>
      </c>
      <c r="FH375" s="94">
        <v>293</v>
      </c>
      <c r="FI375" s="94">
        <v>329</v>
      </c>
    </row>
    <row r="376" spans="1:165" s="66" customFormat="1" x14ac:dyDescent="0.35">
      <c r="A376">
        <v>2026</v>
      </c>
      <c r="B376" t="s">
        <v>1553</v>
      </c>
      <c r="C376" s="112" t="s">
        <v>1554</v>
      </c>
      <c r="D376" t="s">
        <v>1595</v>
      </c>
      <c r="E376" t="s">
        <v>1556</v>
      </c>
      <c r="F376">
        <v>91</v>
      </c>
      <c r="G376" s="113">
        <v>0</v>
      </c>
      <c r="H376"/>
      <c r="I376" t="s">
        <v>1391</v>
      </c>
      <c r="J376">
        <v>36</v>
      </c>
      <c r="K376">
        <v>44</v>
      </c>
      <c r="L376">
        <v>39</v>
      </c>
      <c r="M376">
        <v>25.3094</v>
      </c>
      <c r="N376">
        <v>30.915800000000001</v>
      </c>
      <c r="O376">
        <v>27.8323</v>
      </c>
      <c r="P376">
        <v>35.8872</v>
      </c>
      <c r="Q376">
        <v>43.854799999999997</v>
      </c>
      <c r="R376">
        <v>39.4726</v>
      </c>
      <c r="S376"/>
      <c r="T376"/>
      <c r="U376"/>
      <c r="V376" t="s">
        <v>170</v>
      </c>
      <c r="W376" t="s">
        <v>171</v>
      </c>
      <c r="X376"/>
      <c r="Y376">
        <v>1</v>
      </c>
      <c r="Z376" t="s">
        <v>173</v>
      </c>
      <c r="AA376" t="s">
        <v>173</v>
      </c>
      <c r="AB376">
        <v>4</v>
      </c>
      <c r="AC376" t="s">
        <v>423</v>
      </c>
      <c r="AD376"/>
      <c r="AE376"/>
      <c r="AF376">
        <v>329</v>
      </c>
      <c r="AG376" t="s">
        <v>1392</v>
      </c>
      <c r="AH376" t="s">
        <v>1393</v>
      </c>
      <c r="AI376" t="s">
        <v>1399</v>
      </c>
      <c r="AJ376" t="s">
        <v>1400</v>
      </c>
      <c r="AK376">
        <v>4</v>
      </c>
      <c r="AL376" t="s">
        <v>1394</v>
      </c>
      <c r="AM376"/>
      <c r="AN376"/>
      <c r="AO376"/>
      <c r="AP376"/>
      <c r="AQ376"/>
      <c r="AR376"/>
      <c r="AS376">
        <v>1000</v>
      </c>
      <c r="AT376">
        <v>1000</v>
      </c>
      <c r="AU376"/>
      <c r="AV376"/>
      <c r="AW376"/>
      <c r="AX376"/>
      <c r="AY376"/>
      <c r="AZ376"/>
      <c r="BA376"/>
      <c r="BB376"/>
      <c r="BC376"/>
      <c r="BD376"/>
      <c r="BE376"/>
      <c r="BF376"/>
      <c r="BG376"/>
      <c r="BH376"/>
      <c r="BI376"/>
      <c r="BJ376"/>
      <c r="BK376"/>
      <c r="BL376"/>
      <c r="BM376"/>
      <c r="BN376" s="114"/>
      <c r="BO376"/>
      <c r="BP376"/>
      <c r="BQ376">
        <v>13</v>
      </c>
      <c r="BR376" t="s">
        <v>712</v>
      </c>
      <c r="BS376"/>
      <c r="BT376" t="s">
        <v>1402</v>
      </c>
      <c r="BU376" s="115">
        <v>45792</v>
      </c>
      <c r="BV376">
        <v>36514</v>
      </c>
      <c r="BW376" s="116"/>
      <c r="BX376"/>
      <c r="BY376" t="s">
        <v>173</v>
      </c>
      <c r="BZ376"/>
      <c r="CA376"/>
      <c r="CB376" t="s">
        <v>173</v>
      </c>
      <c r="CC376" t="s">
        <v>173</v>
      </c>
      <c r="CD376"/>
      <c r="CE376"/>
      <c r="CF376"/>
      <c r="CG376"/>
      <c r="CH376"/>
      <c r="CI376"/>
      <c r="CJ376"/>
      <c r="CK376" t="s">
        <v>259</v>
      </c>
      <c r="CL376"/>
      <c r="CM376">
        <v>1</v>
      </c>
      <c r="CN376" t="s">
        <v>260</v>
      </c>
      <c r="CO376"/>
      <c r="CP376">
        <v>406</v>
      </c>
      <c r="CQ376">
        <v>286</v>
      </c>
      <c r="CR376">
        <v>273</v>
      </c>
      <c r="CS376" t="s">
        <v>1437</v>
      </c>
      <c r="CT376"/>
      <c r="CU376"/>
      <c r="CV376" t="s">
        <v>262</v>
      </c>
      <c r="CW376"/>
      <c r="CX376" t="s">
        <v>263</v>
      </c>
      <c r="CY376" t="s">
        <v>172</v>
      </c>
      <c r="CZ376"/>
      <c r="DA376"/>
      <c r="DB376"/>
      <c r="DC376" t="s">
        <v>1596</v>
      </c>
      <c r="DD376">
        <v>2</v>
      </c>
      <c r="DE376" t="s">
        <v>307</v>
      </c>
      <c r="DF376" t="s">
        <v>988</v>
      </c>
      <c r="DG376">
        <v>264</v>
      </c>
      <c r="DH376"/>
      <c r="DI376"/>
      <c r="DJ376"/>
      <c r="DK376"/>
      <c r="DL376" t="s">
        <v>173</v>
      </c>
      <c r="DM376" t="s">
        <v>172</v>
      </c>
      <c r="DN376"/>
      <c r="DO376"/>
      <c r="DP376" t="s">
        <v>173</v>
      </c>
      <c r="DQ376" t="s">
        <v>189</v>
      </c>
      <c r="DR376" t="s">
        <v>1597</v>
      </c>
      <c r="DS376"/>
      <c r="DT376"/>
      <c r="DU376"/>
      <c r="DV376"/>
      <c r="DW376"/>
      <c r="DX376"/>
      <c r="DY376"/>
      <c r="DZ376"/>
      <c r="EA376" s="117"/>
      <c r="EB376">
        <v>9</v>
      </c>
      <c r="EC376">
        <v>10</v>
      </c>
      <c r="ED376"/>
      <c r="EE376" t="s">
        <v>1598</v>
      </c>
      <c r="EF376">
        <v>10</v>
      </c>
      <c r="EG376"/>
      <c r="EH376"/>
      <c r="EI376"/>
      <c r="EJ376"/>
      <c r="EK376"/>
      <c r="EL376"/>
      <c r="EM376"/>
      <c r="EN376"/>
      <c r="EO376"/>
      <c r="EP376"/>
      <c r="EQ376"/>
      <c r="ER376"/>
      <c r="ES376"/>
      <c r="ET376"/>
      <c r="EU376">
        <v>3500</v>
      </c>
      <c r="EV376"/>
      <c r="EW376">
        <v>0</v>
      </c>
      <c r="EX376">
        <v>0</v>
      </c>
      <c r="EY376">
        <v>0</v>
      </c>
      <c r="EZ376"/>
      <c r="FA376">
        <v>12</v>
      </c>
      <c r="FB376"/>
      <c r="FC376"/>
      <c r="FD376"/>
      <c r="FE376"/>
      <c r="FF376"/>
      <c r="FG376" s="94">
        <v>358</v>
      </c>
      <c r="FH376" s="94">
        <v>293</v>
      </c>
      <c r="FI376" s="94">
        <v>329</v>
      </c>
    </row>
    <row r="377" spans="1:165" s="66" customFormat="1" x14ac:dyDescent="0.35">
      <c r="A377" s="19"/>
      <c r="B377" s="19"/>
      <c r="C377" s="19"/>
      <c r="D377" s="19"/>
      <c r="E377" s="19"/>
      <c r="F377" s="128"/>
      <c r="G377" s="19"/>
      <c r="H377" s="19"/>
      <c r="I377" s="19"/>
      <c r="J377" s="19"/>
      <c r="K377" s="19" t="str">
        <f>_xlfn.CONCAT(A378," ",C378," ",D378)</f>
        <v>2026 Rivian R1T Dual Large Plus (20in)</v>
      </c>
      <c r="L377" s="19"/>
      <c r="M377" s="19"/>
      <c r="N377" s="19"/>
      <c r="O377" s="19"/>
      <c r="P377" s="19"/>
      <c r="Q377" s="19"/>
      <c r="R377" s="19"/>
      <c r="S377" s="19"/>
      <c r="T377" s="19"/>
      <c r="U377" s="19"/>
      <c r="V377" s="19"/>
      <c r="W377" s="19"/>
      <c r="X377" s="19"/>
      <c r="Y377" s="19"/>
      <c r="Z377" s="19"/>
      <c r="AA377" s="19"/>
      <c r="AB377" s="19" t="str">
        <f>$K377</f>
        <v>2026 Rivian R1T Dual Large Plus (20in)</v>
      </c>
      <c r="AC377" s="19"/>
      <c r="AD377" s="19"/>
      <c r="AE377" s="19"/>
      <c r="AF377" s="19"/>
      <c r="AG377" s="19"/>
      <c r="AH377" s="19"/>
      <c r="AI377" s="19"/>
      <c r="AJ377" s="19"/>
      <c r="AK377" s="19"/>
      <c r="AL377" s="19"/>
      <c r="AM377" s="19"/>
      <c r="AN377" s="19"/>
      <c r="AO377" s="19"/>
      <c r="AP377" s="19"/>
      <c r="AQ377" s="19"/>
      <c r="AR377" s="19" t="str">
        <f>$K377</f>
        <v>2026 Rivian R1T Dual Large Plus (20in)</v>
      </c>
      <c r="AS377" s="19"/>
      <c r="AT377" s="19"/>
      <c r="AU377" s="19"/>
      <c r="AV377" s="19"/>
      <c r="AW377" s="19"/>
      <c r="AX377" s="19"/>
      <c r="AY377" s="19"/>
      <c r="AZ377" s="19"/>
      <c r="BA377" s="19"/>
      <c r="BB377" s="19"/>
      <c r="BC377" s="19"/>
      <c r="BD377" s="19"/>
      <c r="BE377" s="19"/>
      <c r="BF377" s="19"/>
      <c r="BG377" s="19" t="str">
        <f>$K377</f>
        <v>2026 Rivian R1T Dual Large Plus (20in)</v>
      </c>
      <c r="BH377" s="19"/>
      <c r="BI377" s="19"/>
      <c r="BJ377" s="19"/>
      <c r="BK377" s="19"/>
      <c r="BL377" s="19"/>
      <c r="BM377" s="129"/>
      <c r="BN377" s="19"/>
      <c r="BO377" s="19"/>
      <c r="BP377" s="19"/>
      <c r="BQ377" s="19"/>
      <c r="BR377" s="19"/>
      <c r="BS377" s="19"/>
      <c r="BT377" s="130"/>
      <c r="BU377" s="19"/>
      <c r="BV377" s="19"/>
      <c r="BW377" s="116"/>
      <c r="BX377" s="19"/>
      <c r="BY377" s="19"/>
      <c r="BZ377" s="19"/>
      <c r="CA377" s="19"/>
      <c r="CB377" s="19"/>
      <c r="CC377" s="19"/>
      <c r="CD377" s="19"/>
      <c r="CE377" s="19"/>
      <c r="CF377" s="19"/>
      <c r="CG377" s="19"/>
      <c r="CH377" s="19"/>
      <c r="CI377" s="19"/>
      <c r="CJ377" s="19"/>
      <c r="CK377" s="19"/>
      <c r="CL377" s="19"/>
      <c r="CM377" s="19" t="str">
        <f>$K377</f>
        <v>2026 Rivian R1T Dual Large Plus (20in)</v>
      </c>
      <c r="CN377" s="19"/>
      <c r="CO377" s="19"/>
      <c r="CP377" s="19"/>
      <c r="CQ377" s="19"/>
      <c r="CR377" s="19"/>
      <c r="CS377" s="19"/>
      <c r="CT377" s="19"/>
      <c r="CU377" s="19"/>
      <c r="CV377" s="19"/>
      <c r="CW377" s="19"/>
      <c r="CX377" s="19"/>
      <c r="CY377" s="19"/>
      <c r="CZ377" s="19"/>
      <c r="DA377" s="19"/>
      <c r="DB377" s="19"/>
      <c r="DC377" s="19"/>
      <c r="DD377" s="19" t="str">
        <f>$K377</f>
        <v>2026 Rivian R1T Dual Large Plus (20in)</v>
      </c>
      <c r="DE377" s="19"/>
      <c r="DF377" s="19"/>
      <c r="DG377" s="19"/>
      <c r="DH377" s="19"/>
      <c r="DI377" s="19"/>
      <c r="DJ377" s="19"/>
      <c r="DK377" s="19"/>
      <c r="DL377" s="19"/>
      <c r="DM377" s="19"/>
      <c r="DN377" s="19"/>
      <c r="DO377" s="19"/>
      <c r="DP377" s="19"/>
      <c r="DQ377" s="19"/>
      <c r="DR377" s="19"/>
      <c r="DS377" s="19"/>
      <c r="DT377" s="19"/>
      <c r="DU377" s="19" t="str">
        <f>$K377</f>
        <v>2026 Rivian R1T Dual Large Plus (20in)</v>
      </c>
      <c r="DV377" s="19"/>
      <c r="DW377" s="19"/>
      <c r="DX377" s="19"/>
      <c r="DY377" s="19"/>
      <c r="DZ377" s="19"/>
      <c r="EA377" s="117"/>
      <c r="EB377" s="19"/>
      <c r="EC377" s="19"/>
      <c r="ED377" s="19"/>
      <c r="EE377" s="19"/>
      <c r="EF377" s="19"/>
      <c r="EG377"/>
      <c r="EH377"/>
      <c r="EI377"/>
      <c r="EJ377"/>
      <c r="EK377"/>
      <c r="EL377"/>
      <c r="EM377"/>
      <c r="EN377"/>
      <c r="EO377"/>
      <c r="EP377"/>
      <c r="EQ377"/>
      <c r="ER377"/>
      <c r="ES377"/>
      <c r="ET377"/>
      <c r="EU377"/>
      <c r="EV377"/>
      <c r="EW377"/>
      <c r="EX377" s="19" t="s">
        <v>2044</v>
      </c>
      <c r="EY377"/>
      <c r="EZ377"/>
      <c r="FA377"/>
      <c r="FB377"/>
      <c r="FC377"/>
      <c r="FD377"/>
      <c r="FE377"/>
      <c r="FF377"/>
      <c r="FG377"/>
      <c r="FH377"/>
      <c r="FI377"/>
    </row>
    <row r="378" spans="1:165" s="66" customFormat="1" x14ac:dyDescent="0.35">
      <c r="A378">
        <v>2026</v>
      </c>
      <c r="B378" t="s">
        <v>1553</v>
      </c>
      <c r="C378" s="112" t="s">
        <v>1554</v>
      </c>
      <c r="D378" t="s">
        <v>1584</v>
      </c>
      <c r="E378" t="s">
        <v>1556</v>
      </c>
      <c r="F378">
        <v>83</v>
      </c>
      <c r="G378" s="113">
        <v>0</v>
      </c>
      <c r="H378"/>
      <c r="I378" t="s">
        <v>1391</v>
      </c>
      <c r="J378">
        <v>85</v>
      </c>
      <c r="K378">
        <v>72</v>
      </c>
      <c r="L378">
        <v>78</v>
      </c>
      <c r="M378">
        <v>120.8</v>
      </c>
      <c r="N378">
        <v>102.2</v>
      </c>
      <c r="O378">
        <v>111.65560000000001</v>
      </c>
      <c r="P378">
        <v>84.56</v>
      </c>
      <c r="Q378">
        <v>71.540000000000006</v>
      </c>
      <c r="R378">
        <v>78.158900000000003</v>
      </c>
      <c r="S378"/>
      <c r="T378"/>
      <c r="U378"/>
      <c r="V378" t="s">
        <v>170</v>
      </c>
      <c r="W378" t="s">
        <v>171</v>
      </c>
      <c r="X378"/>
      <c r="Y378">
        <v>1</v>
      </c>
      <c r="Z378" t="s">
        <v>173</v>
      </c>
      <c r="AA378" t="s">
        <v>173</v>
      </c>
      <c r="AB378">
        <v>4</v>
      </c>
      <c r="AC378" t="s">
        <v>423</v>
      </c>
      <c r="AD378"/>
      <c r="AE378"/>
      <c r="AF378">
        <v>317</v>
      </c>
      <c r="AG378" t="s">
        <v>1392</v>
      </c>
      <c r="AH378" t="s">
        <v>1393</v>
      </c>
      <c r="AI378" t="s">
        <v>178</v>
      </c>
      <c r="AJ378" t="s">
        <v>179</v>
      </c>
      <c r="AK378">
        <v>4</v>
      </c>
      <c r="AL378" t="s">
        <v>1394</v>
      </c>
      <c r="AM378"/>
      <c r="AN378"/>
      <c r="AO378"/>
      <c r="AP378"/>
      <c r="AQ378"/>
      <c r="AR378"/>
      <c r="AS378">
        <v>1100</v>
      </c>
      <c r="AT378">
        <v>1100</v>
      </c>
      <c r="AU378"/>
      <c r="AV378"/>
      <c r="AW378"/>
      <c r="AX378"/>
      <c r="AY378"/>
      <c r="AZ378"/>
      <c r="BA378"/>
      <c r="BB378"/>
      <c r="BC378"/>
      <c r="BD378"/>
      <c r="BE378"/>
      <c r="BF378"/>
      <c r="BG378"/>
      <c r="BH378"/>
      <c r="BI378"/>
      <c r="BJ378"/>
      <c r="BK378"/>
      <c r="BL378"/>
      <c r="BM378"/>
      <c r="BN378" s="114"/>
      <c r="BO378"/>
      <c r="BP378"/>
      <c r="BQ378">
        <v>13</v>
      </c>
      <c r="BR378" t="s">
        <v>712</v>
      </c>
      <c r="BS378"/>
      <c r="BT378" t="s">
        <v>1402</v>
      </c>
      <c r="BU378" s="115">
        <v>45792</v>
      </c>
      <c r="BV378">
        <v>36506</v>
      </c>
      <c r="BW378" s="116"/>
      <c r="BX378"/>
      <c r="BY378" t="s">
        <v>173</v>
      </c>
      <c r="BZ378"/>
      <c r="CA378"/>
      <c r="CB378" t="s">
        <v>173</v>
      </c>
      <c r="CC378" t="s">
        <v>173</v>
      </c>
      <c r="CD378"/>
      <c r="CE378"/>
      <c r="CF378"/>
      <c r="CG378"/>
      <c r="CH378"/>
      <c r="CI378"/>
      <c r="CJ378"/>
      <c r="CK378" t="s">
        <v>259</v>
      </c>
      <c r="CL378"/>
      <c r="CM378">
        <v>1</v>
      </c>
      <c r="CN378" t="s">
        <v>260</v>
      </c>
      <c r="CO378"/>
      <c r="CP378">
        <v>392</v>
      </c>
      <c r="CQ378">
        <v>382</v>
      </c>
      <c r="CR378">
        <v>190</v>
      </c>
      <c r="CS378" t="s">
        <v>1437</v>
      </c>
      <c r="CT378"/>
      <c r="CU378"/>
      <c r="CV378" t="s">
        <v>262</v>
      </c>
      <c r="CW378"/>
      <c r="CX378" t="s">
        <v>263</v>
      </c>
      <c r="CY378" t="s">
        <v>172</v>
      </c>
      <c r="CZ378"/>
      <c r="DA378"/>
      <c r="DB378"/>
      <c r="DC378" t="s">
        <v>1558</v>
      </c>
      <c r="DD378">
        <v>2</v>
      </c>
      <c r="DE378" t="s">
        <v>307</v>
      </c>
      <c r="DF378" t="s">
        <v>988</v>
      </c>
      <c r="DG378">
        <v>264</v>
      </c>
      <c r="DH378"/>
      <c r="DI378"/>
      <c r="DJ378"/>
      <c r="DK378"/>
      <c r="DL378" t="s">
        <v>173</v>
      </c>
      <c r="DM378" t="s">
        <v>172</v>
      </c>
      <c r="DN378"/>
      <c r="DO378"/>
      <c r="DP378" t="s">
        <v>173</v>
      </c>
      <c r="DQ378" t="s">
        <v>189</v>
      </c>
      <c r="DR378" t="s">
        <v>1585</v>
      </c>
      <c r="DS378"/>
      <c r="DT378"/>
      <c r="DU378"/>
      <c r="DV378"/>
      <c r="DW378"/>
      <c r="DX378"/>
      <c r="DY378"/>
      <c r="DZ378"/>
      <c r="EA378" s="117"/>
      <c r="EB378">
        <v>9</v>
      </c>
      <c r="EC378">
        <v>10</v>
      </c>
      <c r="ED378"/>
      <c r="EE378" t="s">
        <v>1565</v>
      </c>
      <c r="EF378">
        <v>10</v>
      </c>
      <c r="EG378"/>
      <c r="EH378"/>
      <c r="EI378"/>
      <c r="EJ378"/>
      <c r="EK378"/>
      <c r="EL378"/>
      <c r="EM378"/>
      <c r="EN378"/>
      <c r="EO378"/>
      <c r="EP378"/>
      <c r="EQ378"/>
      <c r="ER378"/>
      <c r="ES378"/>
      <c r="ET378"/>
      <c r="EU378">
        <v>3000</v>
      </c>
      <c r="EV378"/>
      <c r="EW378">
        <v>0</v>
      </c>
      <c r="EX378">
        <v>0</v>
      </c>
      <c r="EY378">
        <v>0</v>
      </c>
      <c r="EZ378"/>
      <c r="FA378">
        <v>12</v>
      </c>
      <c r="FB378"/>
      <c r="FC378"/>
      <c r="FD378"/>
      <c r="FE378"/>
      <c r="FF378"/>
      <c r="FG378" s="94">
        <v>341</v>
      </c>
      <c r="FH378" s="94">
        <v>288</v>
      </c>
      <c r="FI378" s="94">
        <v>317</v>
      </c>
    </row>
    <row r="379" spans="1:165" s="66" customFormat="1" x14ac:dyDescent="0.35">
      <c r="A379">
        <v>2026</v>
      </c>
      <c r="B379" t="s">
        <v>1553</v>
      </c>
      <c r="C379" s="112" t="s">
        <v>1554</v>
      </c>
      <c r="D379" t="s">
        <v>1584</v>
      </c>
      <c r="E379" t="s">
        <v>1556</v>
      </c>
      <c r="F379">
        <v>83</v>
      </c>
      <c r="G379" s="113">
        <v>0</v>
      </c>
      <c r="H379"/>
      <c r="I379" t="s">
        <v>1391</v>
      </c>
      <c r="J379">
        <v>40</v>
      </c>
      <c r="K379">
        <v>47</v>
      </c>
      <c r="L379">
        <v>43</v>
      </c>
      <c r="M379">
        <v>27.901399999999999</v>
      </c>
      <c r="N379">
        <v>32.988999999999997</v>
      </c>
      <c r="O379">
        <v>30.190799999999999</v>
      </c>
      <c r="P379">
        <v>39.859299999999998</v>
      </c>
      <c r="Q379">
        <v>47.113500000000002</v>
      </c>
      <c r="R379">
        <v>43.123699999999999</v>
      </c>
      <c r="S379"/>
      <c r="T379"/>
      <c r="U379"/>
      <c r="V379" t="s">
        <v>170</v>
      </c>
      <c r="W379" t="s">
        <v>171</v>
      </c>
      <c r="X379"/>
      <c r="Y379">
        <v>1</v>
      </c>
      <c r="Z379" t="s">
        <v>173</v>
      </c>
      <c r="AA379" t="s">
        <v>173</v>
      </c>
      <c r="AB379">
        <v>4</v>
      </c>
      <c r="AC379" t="s">
        <v>423</v>
      </c>
      <c r="AD379"/>
      <c r="AE379"/>
      <c r="AF379">
        <v>317</v>
      </c>
      <c r="AG379" t="s">
        <v>1392</v>
      </c>
      <c r="AH379" t="s">
        <v>1393</v>
      </c>
      <c r="AI379" t="s">
        <v>1399</v>
      </c>
      <c r="AJ379" t="s">
        <v>1400</v>
      </c>
      <c r="AK379">
        <v>4</v>
      </c>
      <c r="AL379" t="s">
        <v>1394</v>
      </c>
      <c r="AM379"/>
      <c r="AN379"/>
      <c r="AO379"/>
      <c r="AP379"/>
      <c r="AQ379"/>
      <c r="AR379"/>
      <c r="AS379">
        <v>1100</v>
      </c>
      <c r="AT379">
        <v>1100</v>
      </c>
      <c r="AU379"/>
      <c r="AV379"/>
      <c r="AW379"/>
      <c r="AX379"/>
      <c r="AY379"/>
      <c r="AZ379"/>
      <c r="BA379"/>
      <c r="BB379"/>
      <c r="BC379"/>
      <c r="BD379"/>
      <c r="BE379"/>
      <c r="BF379"/>
      <c r="BG379"/>
      <c r="BH379"/>
      <c r="BI379"/>
      <c r="BJ379"/>
      <c r="BK379"/>
      <c r="BL379"/>
      <c r="BM379"/>
      <c r="BN379" s="114"/>
      <c r="BO379"/>
      <c r="BP379"/>
      <c r="BQ379">
        <v>13</v>
      </c>
      <c r="BR379" t="s">
        <v>712</v>
      </c>
      <c r="BS379"/>
      <c r="BT379" t="s">
        <v>1402</v>
      </c>
      <c r="BU379" s="115">
        <v>45792</v>
      </c>
      <c r="BV379">
        <v>36506</v>
      </c>
      <c r="BW379" s="116"/>
      <c r="BX379"/>
      <c r="BY379" t="s">
        <v>173</v>
      </c>
      <c r="BZ379"/>
      <c r="CA379"/>
      <c r="CB379" t="s">
        <v>173</v>
      </c>
      <c r="CC379" t="s">
        <v>173</v>
      </c>
      <c r="CD379"/>
      <c r="CE379"/>
      <c r="CF379"/>
      <c r="CG379"/>
      <c r="CH379"/>
      <c r="CI379"/>
      <c r="CJ379"/>
      <c r="CK379" t="s">
        <v>259</v>
      </c>
      <c r="CL379"/>
      <c r="CM379">
        <v>1</v>
      </c>
      <c r="CN379" t="s">
        <v>260</v>
      </c>
      <c r="CO379"/>
      <c r="CP379">
        <v>392</v>
      </c>
      <c r="CQ379">
        <v>382</v>
      </c>
      <c r="CR379">
        <v>190</v>
      </c>
      <c r="CS379" t="s">
        <v>1437</v>
      </c>
      <c r="CT379"/>
      <c r="CU379"/>
      <c r="CV379" t="s">
        <v>262</v>
      </c>
      <c r="CW379"/>
      <c r="CX379" t="s">
        <v>263</v>
      </c>
      <c r="CY379" t="s">
        <v>172</v>
      </c>
      <c r="CZ379"/>
      <c r="DA379"/>
      <c r="DB379"/>
      <c r="DC379" t="s">
        <v>1558</v>
      </c>
      <c r="DD379">
        <v>2</v>
      </c>
      <c r="DE379" t="s">
        <v>307</v>
      </c>
      <c r="DF379" t="s">
        <v>988</v>
      </c>
      <c r="DG379">
        <v>264</v>
      </c>
      <c r="DH379"/>
      <c r="DI379"/>
      <c r="DJ379"/>
      <c r="DK379"/>
      <c r="DL379" t="s">
        <v>173</v>
      </c>
      <c r="DM379" t="s">
        <v>172</v>
      </c>
      <c r="DN379"/>
      <c r="DO379"/>
      <c r="DP379" t="s">
        <v>173</v>
      </c>
      <c r="DQ379" t="s">
        <v>189</v>
      </c>
      <c r="DR379" t="s">
        <v>1585</v>
      </c>
      <c r="DS379"/>
      <c r="DT379"/>
      <c r="DU379"/>
      <c r="DV379"/>
      <c r="DW379"/>
      <c r="DX379"/>
      <c r="DY379"/>
      <c r="DZ379"/>
      <c r="EA379" s="117"/>
      <c r="EB379">
        <v>9</v>
      </c>
      <c r="EC379">
        <v>10</v>
      </c>
      <c r="ED379"/>
      <c r="EE379" t="s">
        <v>1565</v>
      </c>
      <c r="EF379">
        <v>10</v>
      </c>
      <c r="EG379"/>
      <c r="EH379"/>
      <c r="EI379"/>
      <c r="EJ379"/>
      <c r="EK379"/>
      <c r="EL379"/>
      <c r="EM379"/>
      <c r="EN379"/>
      <c r="EO379"/>
      <c r="EP379"/>
      <c r="EQ379"/>
      <c r="ER379"/>
      <c r="ES379"/>
      <c r="ET379"/>
      <c r="EU379">
        <v>3000</v>
      </c>
      <c r="EV379"/>
      <c r="EW379">
        <v>0</v>
      </c>
      <c r="EX379">
        <v>0</v>
      </c>
      <c r="EY379">
        <v>0</v>
      </c>
      <c r="EZ379"/>
      <c r="FA379">
        <v>12</v>
      </c>
      <c r="FB379"/>
      <c r="FC379"/>
      <c r="FD379"/>
      <c r="FE379"/>
      <c r="FF379"/>
      <c r="FG379" s="94">
        <v>341</v>
      </c>
      <c r="FH379" s="94">
        <v>288</v>
      </c>
      <c r="FI379" s="94">
        <v>317</v>
      </c>
    </row>
    <row r="380" spans="1:165" s="66" customFormat="1" x14ac:dyDescent="0.35">
      <c r="A380" s="19"/>
      <c r="B380" s="19"/>
      <c r="C380" s="19"/>
      <c r="D380" s="19"/>
      <c r="E380" s="19"/>
      <c r="F380" s="128"/>
      <c r="G380" s="19"/>
      <c r="H380" s="19"/>
      <c r="I380" s="19"/>
      <c r="J380" s="19"/>
      <c r="K380" s="19" t="str">
        <f>_xlfn.CONCAT(A381," ",C381," ",D381)</f>
        <v>2026 Rivian R1T Dual Large Plus (22in)</v>
      </c>
      <c r="L380" s="19"/>
      <c r="M380" s="19"/>
      <c r="N380" s="19"/>
      <c r="O380" s="19"/>
      <c r="P380" s="19"/>
      <c r="Q380" s="19"/>
      <c r="R380" s="19"/>
      <c r="S380" s="19"/>
      <c r="T380" s="19"/>
      <c r="U380" s="19"/>
      <c r="V380" s="19"/>
      <c r="W380" s="19"/>
      <c r="X380" s="19"/>
      <c r="Y380" s="19"/>
      <c r="Z380" s="19"/>
      <c r="AA380" s="19"/>
      <c r="AB380" s="19" t="str">
        <f>$K380</f>
        <v>2026 Rivian R1T Dual Large Plus (22in)</v>
      </c>
      <c r="AC380" s="19"/>
      <c r="AD380" s="19"/>
      <c r="AE380" s="19"/>
      <c r="AF380" s="19"/>
      <c r="AG380" s="19"/>
      <c r="AH380" s="19"/>
      <c r="AI380" s="19"/>
      <c r="AJ380" s="19"/>
      <c r="AK380" s="19"/>
      <c r="AL380" s="19"/>
      <c r="AM380" s="19"/>
      <c r="AN380" s="19"/>
      <c r="AO380" s="19"/>
      <c r="AP380" s="19"/>
      <c r="AQ380" s="19"/>
      <c r="AR380" s="19" t="str">
        <f>$K380</f>
        <v>2026 Rivian R1T Dual Large Plus (22in)</v>
      </c>
      <c r="AS380" s="19"/>
      <c r="AT380" s="19"/>
      <c r="AU380" s="19"/>
      <c r="AV380" s="19"/>
      <c r="AW380" s="19"/>
      <c r="AX380" s="19"/>
      <c r="AY380" s="19"/>
      <c r="AZ380" s="19"/>
      <c r="BA380" s="19"/>
      <c r="BB380" s="19"/>
      <c r="BC380" s="19"/>
      <c r="BD380" s="19"/>
      <c r="BE380" s="19"/>
      <c r="BF380" s="19"/>
      <c r="BG380" s="19" t="str">
        <f>$K380</f>
        <v>2026 Rivian R1T Dual Large Plus (22in)</v>
      </c>
      <c r="BH380" s="19"/>
      <c r="BI380" s="19"/>
      <c r="BJ380" s="19"/>
      <c r="BK380" s="19"/>
      <c r="BL380" s="19"/>
      <c r="BM380" s="129"/>
      <c r="BN380" s="19"/>
      <c r="BO380" s="19"/>
      <c r="BP380" s="19"/>
      <c r="BQ380" s="19"/>
      <c r="BR380" s="19"/>
      <c r="BS380" s="19"/>
      <c r="BT380" s="130"/>
      <c r="BU380" s="19"/>
      <c r="BV380" s="19"/>
      <c r="BW380" s="116"/>
      <c r="BX380" s="19"/>
      <c r="BY380" s="19"/>
      <c r="BZ380" s="19"/>
      <c r="CA380" s="19"/>
      <c r="CB380" s="19"/>
      <c r="CC380" s="19"/>
      <c r="CD380" s="19"/>
      <c r="CE380" s="19"/>
      <c r="CF380" s="19"/>
      <c r="CG380" s="19"/>
      <c r="CH380" s="19"/>
      <c r="CI380" s="19"/>
      <c r="CJ380" s="19"/>
      <c r="CK380" s="19"/>
      <c r="CL380" s="19"/>
      <c r="CM380" s="19" t="str">
        <f>$K380</f>
        <v>2026 Rivian R1T Dual Large Plus (22in)</v>
      </c>
      <c r="CN380" s="19"/>
      <c r="CO380" s="19"/>
      <c r="CP380" s="19"/>
      <c r="CQ380" s="19"/>
      <c r="CR380" s="19"/>
      <c r="CS380" s="19"/>
      <c r="CT380" s="19"/>
      <c r="CU380" s="19"/>
      <c r="CV380" s="19"/>
      <c r="CW380" s="19"/>
      <c r="CX380" s="19"/>
      <c r="CY380" s="19"/>
      <c r="CZ380" s="19"/>
      <c r="DA380" s="19"/>
      <c r="DB380" s="19"/>
      <c r="DC380" s="19"/>
      <c r="DD380" s="19" t="str">
        <f>$K380</f>
        <v>2026 Rivian R1T Dual Large Plus (22in)</v>
      </c>
      <c r="DE380" s="19"/>
      <c r="DF380" s="19"/>
      <c r="DG380" s="19"/>
      <c r="DH380" s="19"/>
      <c r="DI380" s="19"/>
      <c r="DJ380" s="19"/>
      <c r="DK380" s="19"/>
      <c r="DL380" s="19"/>
      <c r="DM380" s="19"/>
      <c r="DN380" s="19"/>
      <c r="DO380" s="19"/>
      <c r="DP380" s="19"/>
      <c r="DQ380" s="19"/>
      <c r="DR380" s="19"/>
      <c r="DS380" s="19"/>
      <c r="DT380" s="19"/>
      <c r="DU380" s="19" t="str">
        <f>$K380</f>
        <v>2026 Rivian R1T Dual Large Plus (22in)</v>
      </c>
      <c r="DV380" s="19"/>
      <c r="DW380" s="19"/>
      <c r="DX380" s="19"/>
      <c r="DY380" s="19"/>
      <c r="DZ380" s="19"/>
      <c r="EA380" s="117"/>
      <c r="EB380" s="19"/>
      <c r="EC380" s="19"/>
      <c r="ED380" s="19"/>
      <c r="EE380" s="19"/>
      <c r="EF380" s="19"/>
      <c r="EG380"/>
      <c r="EH380"/>
      <c r="EI380"/>
      <c r="EJ380"/>
      <c r="EK380"/>
      <c r="EL380"/>
      <c r="EM380"/>
      <c r="EN380"/>
      <c r="EO380"/>
      <c r="EP380"/>
      <c r="EQ380"/>
      <c r="ER380"/>
      <c r="ES380"/>
      <c r="ET380"/>
      <c r="EU380"/>
      <c r="EV380"/>
      <c r="EW380"/>
      <c r="EX380" s="19" t="s">
        <v>2045</v>
      </c>
      <c r="EY380"/>
      <c r="EZ380"/>
      <c r="FA380"/>
      <c r="FB380"/>
      <c r="FC380"/>
      <c r="FD380"/>
      <c r="FE380"/>
      <c r="FF380"/>
      <c r="FG380"/>
      <c r="FH380"/>
      <c r="FI380"/>
    </row>
    <row r="381" spans="1:165" s="66" customFormat="1" x14ac:dyDescent="0.35">
      <c r="A381">
        <v>2026</v>
      </c>
      <c r="B381" t="s">
        <v>1553</v>
      </c>
      <c r="C381" s="112" t="s">
        <v>1554</v>
      </c>
      <c r="D381" t="s">
        <v>1576</v>
      </c>
      <c r="E381" t="s">
        <v>1556</v>
      </c>
      <c r="F381">
        <v>75</v>
      </c>
      <c r="G381" s="113">
        <v>0</v>
      </c>
      <c r="H381"/>
      <c r="I381" t="s">
        <v>1391</v>
      </c>
      <c r="J381">
        <v>89</v>
      </c>
      <c r="K381">
        <v>75</v>
      </c>
      <c r="L381">
        <v>82</v>
      </c>
      <c r="M381">
        <v>127.3</v>
      </c>
      <c r="N381">
        <v>107.8</v>
      </c>
      <c r="O381">
        <v>117.71769999999999</v>
      </c>
      <c r="P381">
        <v>89.11</v>
      </c>
      <c r="Q381">
        <v>75.459999999999994</v>
      </c>
      <c r="R381">
        <v>82.4024</v>
      </c>
      <c r="S381"/>
      <c r="T381"/>
      <c r="U381"/>
      <c r="V381" t="s">
        <v>170</v>
      </c>
      <c r="W381" t="s">
        <v>171</v>
      </c>
      <c r="X381"/>
      <c r="Y381">
        <v>1</v>
      </c>
      <c r="Z381" t="s">
        <v>173</v>
      </c>
      <c r="AA381" t="s">
        <v>173</v>
      </c>
      <c r="AB381">
        <v>4</v>
      </c>
      <c r="AC381" t="s">
        <v>423</v>
      </c>
      <c r="AD381"/>
      <c r="AE381"/>
      <c r="AF381">
        <v>330</v>
      </c>
      <c r="AG381" t="s">
        <v>1392</v>
      </c>
      <c r="AH381" t="s">
        <v>1393</v>
      </c>
      <c r="AI381" t="s">
        <v>178</v>
      </c>
      <c r="AJ381" t="s">
        <v>179</v>
      </c>
      <c r="AK381">
        <v>4</v>
      </c>
      <c r="AL381" t="s">
        <v>1394</v>
      </c>
      <c r="AM381"/>
      <c r="AN381"/>
      <c r="AO381"/>
      <c r="AP381"/>
      <c r="AQ381"/>
      <c r="AR381"/>
      <c r="AS381">
        <v>1050</v>
      </c>
      <c r="AT381">
        <v>1050</v>
      </c>
      <c r="AU381"/>
      <c r="AV381"/>
      <c r="AW381"/>
      <c r="AX381"/>
      <c r="AY381"/>
      <c r="AZ381"/>
      <c r="BA381"/>
      <c r="BB381"/>
      <c r="BC381"/>
      <c r="BD381"/>
      <c r="BE381"/>
      <c r="BF381"/>
      <c r="BG381"/>
      <c r="BH381"/>
      <c r="BI381"/>
      <c r="BJ381"/>
      <c r="BK381"/>
      <c r="BL381"/>
      <c r="BM381"/>
      <c r="BN381" s="114"/>
      <c r="BO381"/>
      <c r="BP381"/>
      <c r="BQ381">
        <v>13</v>
      </c>
      <c r="BR381" t="s">
        <v>712</v>
      </c>
      <c r="BS381"/>
      <c r="BT381" t="s">
        <v>1402</v>
      </c>
      <c r="BU381" s="115">
        <v>45792</v>
      </c>
      <c r="BV381">
        <v>36483</v>
      </c>
      <c r="BW381" s="116"/>
      <c r="BX381"/>
      <c r="BY381" t="s">
        <v>173</v>
      </c>
      <c r="BZ381"/>
      <c r="CA381"/>
      <c r="CB381" t="s">
        <v>173</v>
      </c>
      <c r="CC381" t="s">
        <v>173</v>
      </c>
      <c r="CD381"/>
      <c r="CE381"/>
      <c r="CF381"/>
      <c r="CG381"/>
      <c r="CH381"/>
      <c r="CI381"/>
      <c r="CJ381"/>
      <c r="CK381" t="s">
        <v>259</v>
      </c>
      <c r="CL381"/>
      <c r="CM381">
        <v>1</v>
      </c>
      <c r="CN381" t="s">
        <v>260</v>
      </c>
      <c r="CO381"/>
      <c r="CP381">
        <v>392</v>
      </c>
      <c r="CQ381">
        <v>382</v>
      </c>
      <c r="CR381">
        <v>190</v>
      </c>
      <c r="CS381" t="s">
        <v>1437</v>
      </c>
      <c r="CT381"/>
      <c r="CU381"/>
      <c r="CV381" t="s">
        <v>262</v>
      </c>
      <c r="CW381"/>
      <c r="CX381" t="s">
        <v>263</v>
      </c>
      <c r="CY381" t="s">
        <v>172</v>
      </c>
      <c r="CZ381"/>
      <c r="DA381"/>
      <c r="DB381"/>
      <c r="DC381" t="s">
        <v>1558</v>
      </c>
      <c r="DD381">
        <v>2</v>
      </c>
      <c r="DE381" t="s">
        <v>307</v>
      </c>
      <c r="DF381" t="s">
        <v>988</v>
      </c>
      <c r="DG381">
        <v>264</v>
      </c>
      <c r="DH381"/>
      <c r="DI381"/>
      <c r="DJ381"/>
      <c r="DK381"/>
      <c r="DL381" t="s">
        <v>173</v>
      </c>
      <c r="DM381" t="s">
        <v>172</v>
      </c>
      <c r="DN381"/>
      <c r="DO381"/>
      <c r="DP381" t="s">
        <v>173</v>
      </c>
      <c r="DQ381" t="s">
        <v>189</v>
      </c>
      <c r="DR381" t="s">
        <v>1577</v>
      </c>
      <c r="DS381"/>
      <c r="DT381"/>
      <c r="DU381"/>
      <c r="DV381"/>
      <c r="DW381"/>
      <c r="DX381"/>
      <c r="DY381"/>
      <c r="DZ381"/>
      <c r="EA381" s="117"/>
      <c r="EB381">
        <v>9</v>
      </c>
      <c r="EC381">
        <v>10</v>
      </c>
      <c r="ED381"/>
      <c r="EE381" t="s">
        <v>1565</v>
      </c>
      <c r="EF381">
        <v>10</v>
      </c>
      <c r="EG381"/>
      <c r="EH381"/>
      <c r="EI381"/>
      <c r="EJ381"/>
      <c r="EK381"/>
      <c r="EL381"/>
      <c r="EM381"/>
      <c r="EN381"/>
      <c r="EO381"/>
      <c r="EP381"/>
      <c r="EQ381"/>
      <c r="ER381"/>
      <c r="ES381"/>
      <c r="ET381"/>
      <c r="EU381">
        <v>3250</v>
      </c>
      <c r="EV381"/>
      <c r="EW381">
        <v>0</v>
      </c>
      <c r="EX381">
        <v>0</v>
      </c>
      <c r="EY381">
        <v>0</v>
      </c>
      <c r="EZ381"/>
      <c r="FA381">
        <v>12</v>
      </c>
      <c r="FB381"/>
      <c r="FC381"/>
      <c r="FD381"/>
      <c r="FE381"/>
      <c r="FF381"/>
      <c r="FG381" s="94">
        <v>354</v>
      </c>
      <c r="FH381" s="94">
        <v>300</v>
      </c>
      <c r="FI381" s="94">
        <v>330</v>
      </c>
    </row>
    <row r="382" spans="1:165" s="66" customFormat="1" x14ac:dyDescent="0.35">
      <c r="A382">
        <v>2026</v>
      </c>
      <c r="B382" t="s">
        <v>1553</v>
      </c>
      <c r="C382" s="112" t="s">
        <v>1554</v>
      </c>
      <c r="D382" t="s">
        <v>1576</v>
      </c>
      <c r="E382" t="s">
        <v>1556</v>
      </c>
      <c r="F382">
        <v>75</v>
      </c>
      <c r="G382" s="113">
        <v>0</v>
      </c>
      <c r="H382"/>
      <c r="I382" t="s">
        <v>1391</v>
      </c>
      <c r="J382">
        <v>38</v>
      </c>
      <c r="K382">
        <v>45</v>
      </c>
      <c r="L382">
        <v>41</v>
      </c>
      <c r="M382">
        <v>26.478100000000001</v>
      </c>
      <c r="N382">
        <v>31.275300000000001</v>
      </c>
      <c r="O382">
        <v>28.636900000000001</v>
      </c>
      <c r="P382">
        <v>37.823999999999998</v>
      </c>
      <c r="Q382">
        <v>44.665999999999997</v>
      </c>
      <c r="R382">
        <v>40.902900000000002</v>
      </c>
      <c r="S382"/>
      <c r="T382"/>
      <c r="U382"/>
      <c r="V382" t="s">
        <v>170</v>
      </c>
      <c r="W382" t="s">
        <v>171</v>
      </c>
      <c r="X382"/>
      <c r="Y382">
        <v>1</v>
      </c>
      <c r="Z382" t="s">
        <v>173</v>
      </c>
      <c r="AA382" t="s">
        <v>173</v>
      </c>
      <c r="AB382">
        <v>4</v>
      </c>
      <c r="AC382" t="s">
        <v>423</v>
      </c>
      <c r="AD382"/>
      <c r="AE382"/>
      <c r="AF382">
        <v>330</v>
      </c>
      <c r="AG382" t="s">
        <v>1392</v>
      </c>
      <c r="AH382" t="s">
        <v>1393</v>
      </c>
      <c r="AI382" t="s">
        <v>1399</v>
      </c>
      <c r="AJ382" t="s">
        <v>1400</v>
      </c>
      <c r="AK382">
        <v>4</v>
      </c>
      <c r="AL382" t="s">
        <v>1394</v>
      </c>
      <c r="AM382"/>
      <c r="AN382"/>
      <c r="AO382"/>
      <c r="AP382"/>
      <c r="AQ382"/>
      <c r="AR382"/>
      <c r="AS382">
        <v>1050</v>
      </c>
      <c r="AT382">
        <v>1050</v>
      </c>
      <c r="AU382"/>
      <c r="AV382"/>
      <c r="AW382"/>
      <c r="AX382"/>
      <c r="AY382"/>
      <c r="AZ382"/>
      <c r="BA382"/>
      <c r="BB382"/>
      <c r="BC382"/>
      <c r="BD382"/>
      <c r="BE382"/>
      <c r="BF382"/>
      <c r="BG382"/>
      <c r="BH382"/>
      <c r="BI382"/>
      <c r="BJ382"/>
      <c r="BK382"/>
      <c r="BL382"/>
      <c r="BM382"/>
      <c r="BN382" s="114"/>
      <c r="BO382"/>
      <c r="BP382"/>
      <c r="BQ382">
        <v>13</v>
      </c>
      <c r="BR382" t="s">
        <v>712</v>
      </c>
      <c r="BS382"/>
      <c r="BT382" t="s">
        <v>1402</v>
      </c>
      <c r="BU382" s="115">
        <v>45792</v>
      </c>
      <c r="BV382">
        <v>36483</v>
      </c>
      <c r="BW382" s="116"/>
      <c r="BX382"/>
      <c r="BY382" t="s">
        <v>173</v>
      </c>
      <c r="BZ382"/>
      <c r="CA382"/>
      <c r="CB382" t="s">
        <v>173</v>
      </c>
      <c r="CC382" t="s">
        <v>173</v>
      </c>
      <c r="CD382"/>
      <c r="CE382"/>
      <c r="CF382"/>
      <c r="CG382"/>
      <c r="CH382"/>
      <c r="CI382"/>
      <c r="CJ382"/>
      <c r="CK382" t="s">
        <v>259</v>
      </c>
      <c r="CL382"/>
      <c r="CM382">
        <v>1</v>
      </c>
      <c r="CN382" t="s">
        <v>260</v>
      </c>
      <c r="CO382"/>
      <c r="CP382">
        <v>392</v>
      </c>
      <c r="CQ382">
        <v>382</v>
      </c>
      <c r="CR382">
        <v>190</v>
      </c>
      <c r="CS382" t="s">
        <v>1437</v>
      </c>
      <c r="CT382"/>
      <c r="CU382"/>
      <c r="CV382" t="s">
        <v>262</v>
      </c>
      <c r="CW382"/>
      <c r="CX382" t="s">
        <v>263</v>
      </c>
      <c r="CY382" t="s">
        <v>172</v>
      </c>
      <c r="CZ382"/>
      <c r="DA382"/>
      <c r="DB382"/>
      <c r="DC382" t="s">
        <v>1558</v>
      </c>
      <c r="DD382">
        <v>2</v>
      </c>
      <c r="DE382" t="s">
        <v>307</v>
      </c>
      <c r="DF382" t="s">
        <v>988</v>
      </c>
      <c r="DG382">
        <v>264</v>
      </c>
      <c r="DH382"/>
      <c r="DI382"/>
      <c r="DJ382"/>
      <c r="DK382"/>
      <c r="DL382" t="s">
        <v>173</v>
      </c>
      <c r="DM382" t="s">
        <v>172</v>
      </c>
      <c r="DN382"/>
      <c r="DO382"/>
      <c r="DP382" t="s">
        <v>173</v>
      </c>
      <c r="DQ382" t="s">
        <v>189</v>
      </c>
      <c r="DR382" t="s">
        <v>1577</v>
      </c>
      <c r="DS382"/>
      <c r="DT382"/>
      <c r="DU382"/>
      <c r="DV382"/>
      <c r="DW382"/>
      <c r="DX382"/>
      <c r="DY382"/>
      <c r="DZ382"/>
      <c r="EA382" s="117"/>
      <c r="EB382">
        <v>9</v>
      </c>
      <c r="EC382">
        <v>10</v>
      </c>
      <c r="ED382"/>
      <c r="EE382" t="s">
        <v>1565</v>
      </c>
      <c r="EF382">
        <v>10</v>
      </c>
      <c r="EG382"/>
      <c r="EH382"/>
      <c r="EI382"/>
      <c r="EJ382"/>
      <c r="EK382"/>
      <c r="EL382"/>
      <c r="EM382"/>
      <c r="EN382"/>
      <c r="EO382"/>
      <c r="EP382"/>
      <c r="EQ382"/>
      <c r="ER382"/>
      <c r="ES382"/>
      <c r="ET382"/>
      <c r="EU382">
        <v>3250</v>
      </c>
      <c r="EV382"/>
      <c r="EW382">
        <v>0</v>
      </c>
      <c r="EX382">
        <v>0</v>
      </c>
      <c r="EY382">
        <v>0</v>
      </c>
      <c r="EZ382"/>
      <c r="FA382">
        <v>12</v>
      </c>
      <c r="FB382"/>
      <c r="FC382"/>
      <c r="FD382"/>
      <c r="FE382"/>
      <c r="FF382"/>
      <c r="FG382" s="94">
        <v>354</v>
      </c>
      <c r="FH382" s="94">
        <v>300</v>
      </c>
      <c r="FI382" s="94">
        <v>330</v>
      </c>
    </row>
    <row r="383" spans="1:165" s="66" customFormat="1" x14ac:dyDescent="0.35">
      <c r="A383" s="19"/>
      <c r="B383" s="19"/>
      <c r="C383" s="19"/>
      <c r="D383" s="19"/>
      <c r="E383" s="19"/>
      <c r="F383" s="128"/>
      <c r="G383" s="19"/>
      <c r="H383" s="19"/>
      <c r="I383" s="19"/>
      <c r="J383" s="19"/>
      <c r="K383" s="19" t="str">
        <f>_xlfn.CONCAT(A384," ",C384," ",D384)</f>
        <v>2026 Rivian R1T Dual Max (20in)</v>
      </c>
      <c r="L383" s="19"/>
      <c r="M383" s="19"/>
      <c r="N383" s="19"/>
      <c r="O383" s="19"/>
      <c r="P383" s="19"/>
      <c r="Q383" s="19"/>
      <c r="R383" s="19"/>
      <c r="S383" s="19"/>
      <c r="T383" s="19"/>
      <c r="U383" s="19"/>
      <c r="V383" s="19"/>
      <c r="W383" s="19"/>
      <c r="X383" s="19"/>
      <c r="Y383" s="19"/>
      <c r="Z383" s="19"/>
      <c r="AA383" s="19"/>
      <c r="AB383" s="19" t="str">
        <f>$K383</f>
        <v>2026 Rivian R1T Dual Max (20in)</v>
      </c>
      <c r="AC383" s="19"/>
      <c r="AD383" s="19"/>
      <c r="AE383" s="19"/>
      <c r="AF383" s="19"/>
      <c r="AG383" s="19"/>
      <c r="AH383" s="19"/>
      <c r="AI383" s="19"/>
      <c r="AJ383" s="19"/>
      <c r="AK383" s="19"/>
      <c r="AL383" s="19"/>
      <c r="AM383" s="19"/>
      <c r="AN383" s="19"/>
      <c r="AO383" s="19"/>
      <c r="AP383" s="19"/>
      <c r="AQ383" s="19"/>
      <c r="AR383" s="19" t="str">
        <f>$K383</f>
        <v>2026 Rivian R1T Dual Max (20in)</v>
      </c>
      <c r="AS383" s="19"/>
      <c r="AT383" s="19"/>
      <c r="AU383" s="19"/>
      <c r="AV383" s="19"/>
      <c r="AW383" s="19"/>
      <c r="AX383" s="19"/>
      <c r="AY383" s="19"/>
      <c r="AZ383" s="19"/>
      <c r="BA383" s="19"/>
      <c r="BB383" s="19"/>
      <c r="BC383" s="19"/>
      <c r="BD383" s="19"/>
      <c r="BE383" s="19"/>
      <c r="BF383" s="19"/>
      <c r="BG383" s="19" t="str">
        <f>$K383</f>
        <v>2026 Rivian R1T Dual Max (20in)</v>
      </c>
      <c r="BH383" s="19"/>
      <c r="BI383" s="19"/>
      <c r="BJ383" s="19"/>
      <c r="BK383" s="19"/>
      <c r="BL383" s="19"/>
      <c r="BM383" s="129"/>
      <c r="BN383" s="19"/>
      <c r="BO383" s="19"/>
      <c r="BP383" s="19"/>
      <c r="BQ383" s="19"/>
      <c r="BR383" s="19"/>
      <c r="BS383" s="19"/>
      <c r="BT383" s="130"/>
      <c r="BU383" s="19"/>
      <c r="BV383" s="19"/>
      <c r="BW383" s="116"/>
      <c r="BX383" s="19"/>
      <c r="BY383" s="19"/>
      <c r="BZ383" s="19"/>
      <c r="CA383" s="19"/>
      <c r="CB383" s="19"/>
      <c r="CC383" s="19"/>
      <c r="CD383" s="19"/>
      <c r="CE383" s="19"/>
      <c r="CF383" s="19"/>
      <c r="CG383" s="19"/>
      <c r="CH383" s="19"/>
      <c r="CI383" s="19"/>
      <c r="CJ383" s="19"/>
      <c r="CK383" s="19"/>
      <c r="CL383" s="19"/>
      <c r="CM383" s="19" t="str">
        <f>$K383</f>
        <v>2026 Rivian R1T Dual Max (20in)</v>
      </c>
      <c r="CN383" s="19"/>
      <c r="CO383" s="19"/>
      <c r="CP383" s="19"/>
      <c r="CQ383" s="19"/>
      <c r="CR383" s="19"/>
      <c r="CS383" s="19"/>
      <c r="CT383" s="19"/>
      <c r="CU383" s="19"/>
      <c r="CV383" s="19"/>
      <c r="CW383" s="19"/>
      <c r="CX383" s="19"/>
      <c r="CY383" s="19"/>
      <c r="CZ383" s="19"/>
      <c r="DA383" s="19"/>
      <c r="DB383" s="19"/>
      <c r="DC383" s="19"/>
      <c r="DD383" s="19" t="str">
        <f>$K383</f>
        <v>2026 Rivian R1T Dual Max (20in)</v>
      </c>
      <c r="DE383" s="19"/>
      <c r="DF383" s="19"/>
      <c r="DG383" s="19"/>
      <c r="DH383" s="19"/>
      <c r="DI383" s="19"/>
      <c r="DJ383" s="19"/>
      <c r="DK383" s="19"/>
      <c r="DL383" s="19"/>
      <c r="DM383" s="19"/>
      <c r="DN383" s="19"/>
      <c r="DO383" s="19"/>
      <c r="DP383" s="19"/>
      <c r="DQ383" s="19"/>
      <c r="DR383" s="19"/>
      <c r="DS383" s="19"/>
      <c r="DT383" s="19"/>
      <c r="DU383" s="19" t="str">
        <f>$K383</f>
        <v>2026 Rivian R1T Dual Max (20in)</v>
      </c>
      <c r="DV383" s="19"/>
      <c r="DW383" s="19"/>
      <c r="DX383" s="19"/>
      <c r="DY383" s="19"/>
      <c r="DZ383" s="19"/>
      <c r="EA383" s="117"/>
      <c r="EB383" s="19"/>
      <c r="EC383" s="19"/>
      <c r="ED383" s="19"/>
      <c r="EE383" s="19"/>
      <c r="EF383" s="19"/>
      <c r="EG383"/>
      <c r="EH383"/>
      <c r="EI383"/>
      <c r="EJ383"/>
      <c r="EK383"/>
      <c r="EL383"/>
      <c r="EM383"/>
      <c r="EN383"/>
      <c r="EO383"/>
      <c r="EP383"/>
      <c r="EQ383"/>
      <c r="ER383"/>
      <c r="ES383"/>
      <c r="ET383"/>
      <c r="EU383"/>
      <c r="EV383"/>
      <c r="EW383"/>
      <c r="EX383" s="19" t="s">
        <v>2046</v>
      </c>
      <c r="EY383"/>
      <c r="EZ383"/>
      <c r="FA383"/>
      <c r="FB383"/>
      <c r="FC383"/>
      <c r="FD383"/>
      <c r="FE383"/>
      <c r="FF383"/>
      <c r="FG383"/>
      <c r="FH383"/>
      <c r="FI383"/>
    </row>
    <row r="384" spans="1:165" s="66" customFormat="1" x14ac:dyDescent="0.35">
      <c r="A384">
        <v>2026</v>
      </c>
      <c r="B384" t="s">
        <v>1553</v>
      </c>
      <c r="C384" s="112" t="s">
        <v>1554</v>
      </c>
      <c r="D384" t="s">
        <v>1563</v>
      </c>
      <c r="E384" t="s">
        <v>1556</v>
      </c>
      <c r="F384">
        <v>63</v>
      </c>
      <c r="G384" s="113">
        <v>0</v>
      </c>
      <c r="H384"/>
      <c r="I384" t="s">
        <v>1391</v>
      </c>
      <c r="J384">
        <v>86</v>
      </c>
      <c r="K384">
        <v>74</v>
      </c>
      <c r="L384">
        <v>80</v>
      </c>
      <c r="M384">
        <v>121.3</v>
      </c>
      <c r="N384">
        <v>103.7</v>
      </c>
      <c r="O384">
        <v>112.6932</v>
      </c>
      <c r="P384">
        <v>86.434700000000007</v>
      </c>
      <c r="Q384">
        <v>73.893500000000003</v>
      </c>
      <c r="R384">
        <v>80.3018</v>
      </c>
      <c r="S384"/>
      <c r="T384"/>
      <c r="U384"/>
      <c r="V384" t="s">
        <v>170</v>
      </c>
      <c r="W384" t="s">
        <v>171</v>
      </c>
      <c r="X384"/>
      <c r="Y384">
        <v>1</v>
      </c>
      <c r="Z384" t="s">
        <v>173</v>
      </c>
      <c r="AA384" t="s">
        <v>173</v>
      </c>
      <c r="AB384" t="s">
        <v>769</v>
      </c>
      <c r="AC384" t="s">
        <v>770</v>
      </c>
      <c r="AD384"/>
      <c r="AE384"/>
      <c r="AF384">
        <v>380</v>
      </c>
      <c r="AG384" t="s">
        <v>1392</v>
      </c>
      <c r="AH384" t="s">
        <v>1393</v>
      </c>
      <c r="AI384" t="s">
        <v>178</v>
      </c>
      <c r="AJ384" t="s">
        <v>179</v>
      </c>
      <c r="AK384">
        <v>4</v>
      </c>
      <c r="AL384" t="s">
        <v>1394</v>
      </c>
      <c r="AM384"/>
      <c r="AN384"/>
      <c r="AO384"/>
      <c r="AP384"/>
      <c r="AQ384"/>
      <c r="AR384"/>
      <c r="AS384">
        <v>1050</v>
      </c>
      <c r="AT384">
        <v>1050</v>
      </c>
      <c r="AU384"/>
      <c r="AV384"/>
      <c r="AW384"/>
      <c r="AX384"/>
      <c r="AY384"/>
      <c r="AZ384"/>
      <c r="BA384"/>
      <c r="BB384"/>
      <c r="BC384"/>
      <c r="BD384"/>
      <c r="BE384"/>
      <c r="BF384"/>
      <c r="BG384"/>
      <c r="BH384"/>
      <c r="BI384"/>
      <c r="BJ384"/>
      <c r="BK384"/>
      <c r="BL384"/>
      <c r="BM384"/>
      <c r="BN384" s="114"/>
      <c r="BO384"/>
      <c r="BP384"/>
      <c r="BQ384">
        <v>13</v>
      </c>
      <c r="BR384" t="s">
        <v>712</v>
      </c>
      <c r="BS384"/>
      <c r="BT384" t="s">
        <v>1402</v>
      </c>
      <c r="BU384" s="115">
        <v>45792</v>
      </c>
      <c r="BV384">
        <v>36486</v>
      </c>
      <c r="BW384" s="116"/>
      <c r="BX384"/>
      <c r="BY384" t="s">
        <v>173</v>
      </c>
      <c r="BZ384"/>
      <c r="CA384"/>
      <c r="CB384" t="s">
        <v>173</v>
      </c>
      <c r="CC384" t="s">
        <v>173</v>
      </c>
      <c r="CD384"/>
      <c r="CE384"/>
      <c r="CF384"/>
      <c r="CG384"/>
      <c r="CH384"/>
      <c r="CI384"/>
      <c r="CJ384"/>
      <c r="CK384" t="s">
        <v>259</v>
      </c>
      <c r="CL384"/>
      <c r="CM384">
        <v>1</v>
      </c>
      <c r="CN384" t="s">
        <v>260</v>
      </c>
      <c r="CO384"/>
      <c r="CP384">
        <v>392</v>
      </c>
      <c r="CQ384">
        <v>382</v>
      </c>
      <c r="CR384">
        <v>190</v>
      </c>
      <c r="CS384" t="s">
        <v>1437</v>
      </c>
      <c r="CT384"/>
      <c r="CU384"/>
      <c r="CV384" t="s">
        <v>262</v>
      </c>
      <c r="CW384"/>
      <c r="CX384" t="s">
        <v>263</v>
      </c>
      <c r="CY384" t="s">
        <v>172</v>
      </c>
      <c r="CZ384"/>
      <c r="DA384"/>
      <c r="DB384"/>
      <c r="DC384" t="s">
        <v>1558</v>
      </c>
      <c r="DD384">
        <v>2</v>
      </c>
      <c r="DE384" t="s">
        <v>307</v>
      </c>
      <c r="DF384" t="s">
        <v>988</v>
      </c>
      <c r="DG384">
        <v>264</v>
      </c>
      <c r="DH384"/>
      <c r="DI384"/>
      <c r="DJ384"/>
      <c r="DK384"/>
      <c r="DL384" t="s">
        <v>173</v>
      </c>
      <c r="DM384" t="s">
        <v>172</v>
      </c>
      <c r="DN384"/>
      <c r="DO384"/>
      <c r="DP384" t="s">
        <v>173</v>
      </c>
      <c r="DQ384" t="s">
        <v>189</v>
      </c>
      <c r="DR384" t="s">
        <v>1564</v>
      </c>
      <c r="DS384"/>
      <c r="DT384"/>
      <c r="DU384"/>
      <c r="DV384"/>
      <c r="DW384"/>
      <c r="DX384"/>
      <c r="DY384"/>
      <c r="DZ384"/>
      <c r="EA384" s="117"/>
      <c r="EB384">
        <v>9</v>
      </c>
      <c r="EC384">
        <v>10</v>
      </c>
      <c r="ED384"/>
      <c r="EE384" t="s">
        <v>1565</v>
      </c>
      <c r="EF384">
        <v>10</v>
      </c>
      <c r="EG384"/>
      <c r="EH384"/>
      <c r="EI384"/>
      <c r="EJ384"/>
      <c r="EK384"/>
      <c r="EL384"/>
      <c r="EM384"/>
      <c r="EN384"/>
      <c r="EO384"/>
      <c r="EP384"/>
      <c r="EQ384"/>
      <c r="ER384"/>
      <c r="ES384"/>
      <c r="ET384"/>
      <c r="EU384">
        <v>3250</v>
      </c>
      <c r="EV384"/>
      <c r="EW384">
        <v>0</v>
      </c>
      <c r="EX384">
        <v>0</v>
      </c>
      <c r="EY384">
        <v>0</v>
      </c>
      <c r="EZ384"/>
      <c r="FA384">
        <v>15</v>
      </c>
      <c r="FB384"/>
      <c r="FC384"/>
      <c r="FD384"/>
      <c r="FE384"/>
      <c r="FF384"/>
      <c r="FG384" s="94">
        <v>407</v>
      </c>
      <c r="FH384" s="94">
        <v>348</v>
      </c>
      <c r="FI384" s="94">
        <v>380</v>
      </c>
    </row>
    <row r="385" spans="1:165" s="66" customFormat="1" x14ac:dyDescent="0.35">
      <c r="A385">
        <v>2026</v>
      </c>
      <c r="B385" t="s">
        <v>1553</v>
      </c>
      <c r="C385" s="112" t="s">
        <v>1554</v>
      </c>
      <c r="D385" t="s">
        <v>1563</v>
      </c>
      <c r="E385" t="s">
        <v>1556</v>
      </c>
      <c r="F385">
        <v>63</v>
      </c>
      <c r="G385" s="113">
        <v>0</v>
      </c>
      <c r="H385"/>
      <c r="I385" t="s">
        <v>1391</v>
      </c>
      <c r="J385">
        <v>39</v>
      </c>
      <c r="K385">
        <v>46</v>
      </c>
      <c r="L385">
        <v>42</v>
      </c>
      <c r="M385">
        <v>27.785599999999999</v>
      </c>
      <c r="N385">
        <v>32.517400000000002</v>
      </c>
      <c r="O385">
        <v>29.914899999999999</v>
      </c>
      <c r="P385">
        <v>38.994700000000002</v>
      </c>
      <c r="Q385">
        <v>45.612900000000003</v>
      </c>
      <c r="R385">
        <v>41.972900000000003</v>
      </c>
      <c r="S385"/>
      <c r="T385"/>
      <c r="U385"/>
      <c r="V385" t="s">
        <v>170</v>
      </c>
      <c r="W385" t="s">
        <v>171</v>
      </c>
      <c r="X385"/>
      <c r="Y385">
        <v>1</v>
      </c>
      <c r="Z385" t="s">
        <v>173</v>
      </c>
      <c r="AA385" t="s">
        <v>173</v>
      </c>
      <c r="AB385" t="s">
        <v>769</v>
      </c>
      <c r="AC385" t="s">
        <v>770</v>
      </c>
      <c r="AD385"/>
      <c r="AE385"/>
      <c r="AF385">
        <v>380</v>
      </c>
      <c r="AG385" t="s">
        <v>1392</v>
      </c>
      <c r="AH385" t="s">
        <v>1393</v>
      </c>
      <c r="AI385" t="s">
        <v>1399</v>
      </c>
      <c r="AJ385" t="s">
        <v>1400</v>
      </c>
      <c r="AK385">
        <v>4</v>
      </c>
      <c r="AL385" t="s">
        <v>1394</v>
      </c>
      <c r="AM385"/>
      <c r="AN385"/>
      <c r="AO385"/>
      <c r="AP385"/>
      <c r="AQ385"/>
      <c r="AR385"/>
      <c r="AS385">
        <v>1050</v>
      </c>
      <c r="AT385">
        <v>1050</v>
      </c>
      <c r="AU385"/>
      <c r="AV385"/>
      <c r="AW385"/>
      <c r="AX385"/>
      <c r="AY385"/>
      <c r="AZ385"/>
      <c r="BA385"/>
      <c r="BB385"/>
      <c r="BC385"/>
      <c r="BD385"/>
      <c r="BE385"/>
      <c r="BF385"/>
      <c r="BG385"/>
      <c r="BH385"/>
      <c r="BI385"/>
      <c r="BJ385"/>
      <c r="BK385"/>
      <c r="BL385"/>
      <c r="BM385"/>
      <c r="BN385" s="114"/>
      <c r="BO385"/>
      <c r="BP385"/>
      <c r="BQ385">
        <v>13</v>
      </c>
      <c r="BR385" t="s">
        <v>712</v>
      </c>
      <c r="BS385"/>
      <c r="BT385" t="s">
        <v>1402</v>
      </c>
      <c r="BU385" s="115">
        <v>45792</v>
      </c>
      <c r="BV385">
        <v>36486</v>
      </c>
      <c r="BW385" s="116"/>
      <c r="BX385"/>
      <c r="BY385" t="s">
        <v>173</v>
      </c>
      <c r="BZ385"/>
      <c r="CA385"/>
      <c r="CB385" t="s">
        <v>173</v>
      </c>
      <c r="CC385" t="s">
        <v>173</v>
      </c>
      <c r="CD385"/>
      <c r="CE385"/>
      <c r="CF385"/>
      <c r="CG385"/>
      <c r="CH385"/>
      <c r="CI385"/>
      <c r="CJ385"/>
      <c r="CK385" t="s">
        <v>259</v>
      </c>
      <c r="CL385"/>
      <c r="CM385">
        <v>1</v>
      </c>
      <c r="CN385" t="s">
        <v>260</v>
      </c>
      <c r="CO385"/>
      <c r="CP385">
        <v>392</v>
      </c>
      <c r="CQ385">
        <v>382</v>
      </c>
      <c r="CR385">
        <v>190</v>
      </c>
      <c r="CS385" t="s">
        <v>1437</v>
      </c>
      <c r="CT385"/>
      <c r="CU385"/>
      <c r="CV385" t="s">
        <v>262</v>
      </c>
      <c r="CW385"/>
      <c r="CX385" t="s">
        <v>263</v>
      </c>
      <c r="CY385" t="s">
        <v>172</v>
      </c>
      <c r="CZ385"/>
      <c r="DA385"/>
      <c r="DB385"/>
      <c r="DC385" t="s">
        <v>1558</v>
      </c>
      <c r="DD385">
        <v>2</v>
      </c>
      <c r="DE385" t="s">
        <v>307</v>
      </c>
      <c r="DF385" t="s">
        <v>988</v>
      </c>
      <c r="DG385">
        <v>264</v>
      </c>
      <c r="DH385"/>
      <c r="DI385"/>
      <c r="DJ385"/>
      <c r="DK385"/>
      <c r="DL385" t="s">
        <v>173</v>
      </c>
      <c r="DM385" t="s">
        <v>172</v>
      </c>
      <c r="DN385"/>
      <c r="DO385"/>
      <c r="DP385" t="s">
        <v>173</v>
      </c>
      <c r="DQ385" t="s">
        <v>189</v>
      </c>
      <c r="DR385" t="s">
        <v>1564</v>
      </c>
      <c r="DS385"/>
      <c r="DT385"/>
      <c r="DU385"/>
      <c r="DV385"/>
      <c r="DW385"/>
      <c r="DX385"/>
      <c r="DY385"/>
      <c r="DZ385"/>
      <c r="EA385" s="117"/>
      <c r="EB385">
        <v>9</v>
      </c>
      <c r="EC385">
        <v>10</v>
      </c>
      <c r="ED385"/>
      <c r="EE385" t="s">
        <v>1565</v>
      </c>
      <c r="EF385">
        <v>10</v>
      </c>
      <c r="EG385"/>
      <c r="EH385"/>
      <c r="EI385"/>
      <c r="EJ385"/>
      <c r="EK385"/>
      <c r="EL385"/>
      <c r="EM385"/>
      <c r="EN385"/>
      <c r="EO385"/>
      <c r="EP385"/>
      <c r="EQ385"/>
      <c r="ER385"/>
      <c r="ES385"/>
      <c r="ET385"/>
      <c r="EU385">
        <v>3250</v>
      </c>
      <c r="EV385"/>
      <c r="EW385">
        <v>0</v>
      </c>
      <c r="EX385">
        <v>0</v>
      </c>
      <c r="EY385">
        <v>0</v>
      </c>
      <c r="EZ385"/>
      <c r="FA385">
        <v>15</v>
      </c>
      <c r="FB385"/>
      <c r="FC385"/>
      <c r="FD385"/>
      <c r="FE385"/>
      <c r="FF385"/>
      <c r="FG385" s="94">
        <v>407</v>
      </c>
      <c r="FH385" s="94">
        <v>348</v>
      </c>
      <c r="FI385" s="94">
        <v>380</v>
      </c>
    </row>
    <row r="386" spans="1:165" s="66" customFormat="1" x14ac:dyDescent="0.35">
      <c r="A386" s="19"/>
      <c r="B386" s="19"/>
      <c r="C386" s="19"/>
      <c r="D386" s="19"/>
      <c r="E386" s="19"/>
      <c r="F386" s="128"/>
      <c r="G386" s="19"/>
      <c r="H386" s="19"/>
      <c r="I386" s="19"/>
      <c r="J386" s="19"/>
      <c r="K386" s="19" t="str">
        <f>_xlfn.CONCAT(A387," ",C387," ",D387)</f>
        <v>2026 Rivian R1T Dual Max (22in)</v>
      </c>
      <c r="L386" s="19"/>
      <c r="M386" s="19"/>
      <c r="N386" s="19"/>
      <c r="O386" s="19"/>
      <c r="P386" s="19"/>
      <c r="Q386" s="19"/>
      <c r="R386" s="19"/>
      <c r="S386" s="19"/>
      <c r="T386" s="19"/>
      <c r="U386" s="19"/>
      <c r="V386" s="19"/>
      <c r="W386" s="19"/>
      <c r="X386" s="19"/>
      <c r="Y386" s="19"/>
      <c r="Z386" s="19"/>
      <c r="AA386" s="19"/>
      <c r="AB386" s="19" t="str">
        <f>$K386</f>
        <v>2026 Rivian R1T Dual Max (22in)</v>
      </c>
      <c r="AC386" s="19"/>
      <c r="AD386" s="19"/>
      <c r="AE386" s="19"/>
      <c r="AF386" s="19"/>
      <c r="AG386" s="19"/>
      <c r="AH386" s="19"/>
      <c r="AI386" s="19"/>
      <c r="AJ386" s="19"/>
      <c r="AK386" s="19"/>
      <c r="AL386" s="19"/>
      <c r="AM386" s="19"/>
      <c r="AN386" s="19"/>
      <c r="AO386" s="19"/>
      <c r="AP386" s="19"/>
      <c r="AQ386" s="19"/>
      <c r="AR386" s="19" t="str">
        <f>$K386</f>
        <v>2026 Rivian R1T Dual Max (22in)</v>
      </c>
      <c r="AS386" s="19"/>
      <c r="AT386" s="19"/>
      <c r="AU386" s="19"/>
      <c r="AV386" s="19"/>
      <c r="AW386" s="19"/>
      <c r="AX386" s="19"/>
      <c r="AY386" s="19"/>
      <c r="AZ386" s="19"/>
      <c r="BA386" s="19"/>
      <c r="BB386" s="19"/>
      <c r="BC386" s="19"/>
      <c r="BD386" s="19"/>
      <c r="BE386" s="19"/>
      <c r="BF386" s="19"/>
      <c r="BG386" s="19" t="str">
        <f>$K386</f>
        <v>2026 Rivian R1T Dual Max (22in)</v>
      </c>
      <c r="BH386" s="19"/>
      <c r="BI386" s="19"/>
      <c r="BJ386" s="19"/>
      <c r="BK386" s="19"/>
      <c r="BL386" s="19"/>
      <c r="BM386" s="129"/>
      <c r="BN386" s="19"/>
      <c r="BO386" s="19"/>
      <c r="BP386" s="19"/>
      <c r="BQ386" s="19"/>
      <c r="BR386" s="19"/>
      <c r="BS386" s="19"/>
      <c r="BT386" s="130"/>
      <c r="BU386" s="19"/>
      <c r="BV386" s="19"/>
      <c r="BW386" s="116"/>
      <c r="BX386" s="19"/>
      <c r="BY386" s="19"/>
      <c r="BZ386" s="19"/>
      <c r="CA386" s="19"/>
      <c r="CB386" s="19"/>
      <c r="CC386" s="19"/>
      <c r="CD386" s="19"/>
      <c r="CE386" s="19"/>
      <c r="CF386" s="19"/>
      <c r="CG386" s="19"/>
      <c r="CH386" s="19"/>
      <c r="CI386" s="19"/>
      <c r="CJ386" s="19"/>
      <c r="CK386" s="19"/>
      <c r="CL386" s="19"/>
      <c r="CM386" s="19" t="str">
        <f>$K386</f>
        <v>2026 Rivian R1T Dual Max (22in)</v>
      </c>
      <c r="CN386" s="19"/>
      <c r="CO386" s="19"/>
      <c r="CP386" s="19"/>
      <c r="CQ386" s="19"/>
      <c r="CR386" s="19"/>
      <c r="CS386" s="19"/>
      <c r="CT386" s="19"/>
      <c r="CU386" s="19"/>
      <c r="CV386" s="19"/>
      <c r="CW386" s="19"/>
      <c r="CX386" s="19"/>
      <c r="CY386" s="19"/>
      <c r="CZ386" s="19"/>
      <c r="DA386" s="19"/>
      <c r="DB386" s="19"/>
      <c r="DC386" s="19"/>
      <c r="DD386" s="19" t="str">
        <f>$K386</f>
        <v>2026 Rivian R1T Dual Max (22in)</v>
      </c>
      <c r="DE386" s="19"/>
      <c r="DF386" s="19"/>
      <c r="DG386" s="19"/>
      <c r="DH386" s="19"/>
      <c r="DI386" s="19"/>
      <c r="DJ386" s="19"/>
      <c r="DK386" s="19"/>
      <c r="DL386" s="19"/>
      <c r="DM386" s="19"/>
      <c r="DN386" s="19"/>
      <c r="DO386" s="19"/>
      <c r="DP386" s="19"/>
      <c r="DQ386" s="19"/>
      <c r="DR386" s="19"/>
      <c r="DS386" s="19"/>
      <c r="DT386" s="19"/>
      <c r="DU386" s="19" t="str">
        <f>$K386</f>
        <v>2026 Rivian R1T Dual Max (22in)</v>
      </c>
      <c r="DV386" s="19"/>
      <c r="DW386" s="19"/>
      <c r="DX386" s="19"/>
      <c r="DY386" s="19"/>
      <c r="DZ386" s="19"/>
      <c r="EA386" s="117"/>
      <c r="EB386" s="19"/>
      <c r="EC386" s="19"/>
      <c r="ED386" s="19"/>
      <c r="EE386" s="19"/>
      <c r="EF386" s="19"/>
      <c r="EG386"/>
      <c r="EH386"/>
      <c r="EI386"/>
      <c r="EJ386"/>
      <c r="EK386"/>
      <c r="EL386"/>
      <c r="EM386"/>
      <c r="EN386"/>
      <c r="EO386"/>
      <c r="EP386"/>
      <c r="EQ386"/>
      <c r="ER386"/>
      <c r="ES386"/>
      <c r="ET386"/>
      <c r="EU386"/>
      <c r="EV386"/>
      <c r="EW386"/>
      <c r="EX386" s="19" t="s">
        <v>2047</v>
      </c>
      <c r="EY386"/>
      <c r="EZ386"/>
      <c r="FA386"/>
      <c r="FB386"/>
      <c r="FC386"/>
      <c r="FD386"/>
      <c r="FE386"/>
      <c r="FF386"/>
      <c r="FG386"/>
      <c r="FH386"/>
      <c r="FI386"/>
    </row>
    <row r="387" spans="1:165" s="66" customFormat="1" x14ac:dyDescent="0.35">
      <c r="A387">
        <v>2026</v>
      </c>
      <c r="B387" t="s">
        <v>1553</v>
      </c>
      <c r="C387" s="112" t="s">
        <v>1554</v>
      </c>
      <c r="D387" t="s">
        <v>1566</v>
      </c>
      <c r="E387" t="s">
        <v>1556</v>
      </c>
      <c r="F387">
        <v>65</v>
      </c>
      <c r="G387" s="113">
        <v>0</v>
      </c>
      <c r="H387"/>
      <c r="I387" t="s">
        <v>1391</v>
      </c>
      <c r="J387">
        <v>93</v>
      </c>
      <c r="K387">
        <v>80</v>
      </c>
      <c r="L387">
        <v>87</v>
      </c>
      <c r="M387">
        <v>131</v>
      </c>
      <c r="N387">
        <v>113</v>
      </c>
      <c r="O387">
        <v>122.23779999999999</v>
      </c>
      <c r="P387">
        <v>92.998199999999997</v>
      </c>
      <c r="Q387">
        <v>80.219800000000006</v>
      </c>
      <c r="R387">
        <v>86.777799999999999</v>
      </c>
      <c r="S387"/>
      <c r="T387"/>
      <c r="U387"/>
      <c r="V387" t="s">
        <v>170</v>
      </c>
      <c r="W387" t="s">
        <v>171</v>
      </c>
      <c r="X387"/>
      <c r="Y387">
        <v>1</v>
      </c>
      <c r="Z387" t="s">
        <v>173</v>
      </c>
      <c r="AA387" t="s">
        <v>173</v>
      </c>
      <c r="AB387" t="s">
        <v>769</v>
      </c>
      <c r="AC387" t="s">
        <v>770</v>
      </c>
      <c r="AD387"/>
      <c r="AE387"/>
      <c r="AF387">
        <v>420</v>
      </c>
      <c r="AG387" t="s">
        <v>1392</v>
      </c>
      <c r="AH387" t="s">
        <v>1393</v>
      </c>
      <c r="AI387" t="s">
        <v>178</v>
      </c>
      <c r="AJ387" t="s">
        <v>179</v>
      </c>
      <c r="AK387">
        <v>4</v>
      </c>
      <c r="AL387" t="s">
        <v>1394</v>
      </c>
      <c r="AM387"/>
      <c r="AN387"/>
      <c r="AO387"/>
      <c r="AP387"/>
      <c r="AQ387"/>
      <c r="AR387"/>
      <c r="AS387">
        <v>1000</v>
      </c>
      <c r="AT387">
        <v>1000</v>
      </c>
      <c r="AU387"/>
      <c r="AV387"/>
      <c r="AW387"/>
      <c r="AX387"/>
      <c r="AY387"/>
      <c r="AZ387"/>
      <c r="BA387"/>
      <c r="BB387"/>
      <c r="BC387"/>
      <c r="BD387"/>
      <c r="BE387"/>
      <c r="BF387"/>
      <c r="BG387"/>
      <c r="BH387"/>
      <c r="BI387"/>
      <c r="BJ387"/>
      <c r="BK387"/>
      <c r="BL387"/>
      <c r="BM387"/>
      <c r="BN387" s="114"/>
      <c r="BO387"/>
      <c r="BP387"/>
      <c r="BQ387">
        <v>13</v>
      </c>
      <c r="BR387" t="s">
        <v>712</v>
      </c>
      <c r="BS387"/>
      <c r="BT387" t="s">
        <v>1402</v>
      </c>
      <c r="BU387" s="115">
        <v>45792</v>
      </c>
      <c r="BV387">
        <v>36488</v>
      </c>
      <c r="BW387" s="116"/>
      <c r="BX387"/>
      <c r="BY387" t="s">
        <v>173</v>
      </c>
      <c r="BZ387"/>
      <c r="CA387"/>
      <c r="CB387" t="s">
        <v>173</v>
      </c>
      <c r="CC387" t="s">
        <v>173</v>
      </c>
      <c r="CD387"/>
      <c r="CE387"/>
      <c r="CF387"/>
      <c r="CG387"/>
      <c r="CH387"/>
      <c r="CI387"/>
      <c r="CJ387"/>
      <c r="CK387" t="s">
        <v>259</v>
      </c>
      <c r="CL387"/>
      <c r="CM387">
        <v>1</v>
      </c>
      <c r="CN387" t="s">
        <v>260</v>
      </c>
      <c r="CO387"/>
      <c r="CP387">
        <v>392</v>
      </c>
      <c r="CQ387">
        <v>382</v>
      </c>
      <c r="CR387">
        <v>190</v>
      </c>
      <c r="CS387" t="s">
        <v>1437</v>
      </c>
      <c r="CT387"/>
      <c r="CU387"/>
      <c r="CV387" t="s">
        <v>262</v>
      </c>
      <c r="CW387"/>
      <c r="CX387" t="s">
        <v>263</v>
      </c>
      <c r="CY387" t="s">
        <v>172</v>
      </c>
      <c r="CZ387"/>
      <c r="DA387"/>
      <c r="DB387"/>
      <c r="DC387" t="s">
        <v>1558</v>
      </c>
      <c r="DD387">
        <v>2</v>
      </c>
      <c r="DE387" t="s">
        <v>307</v>
      </c>
      <c r="DF387" t="s">
        <v>988</v>
      </c>
      <c r="DG387">
        <v>264</v>
      </c>
      <c r="DH387"/>
      <c r="DI387"/>
      <c r="DJ387"/>
      <c r="DK387"/>
      <c r="DL387" t="s">
        <v>173</v>
      </c>
      <c r="DM387" t="s">
        <v>172</v>
      </c>
      <c r="DN387"/>
      <c r="DO387"/>
      <c r="DP387" t="s">
        <v>173</v>
      </c>
      <c r="DQ387" t="s">
        <v>189</v>
      </c>
      <c r="DR387" t="s">
        <v>1567</v>
      </c>
      <c r="DS387"/>
      <c r="DT387"/>
      <c r="DU387"/>
      <c r="DV387"/>
      <c r="DW387"/>
      <c r="DX387"/>
      <c r="DY387"/>
      <c r="DZ387"/>
      <c r="EA387" s="117"/>
      <c r="EB387">
        <v>9</v>
      </c>
      <c r="EC387">
        <v>10</v>
      </c>
      <c r="ED387"/>
      <c r="EE387" t="s">
        <v>1565</v>
      </c>
      <c r="EF387">
        <v>10</v>
      </c>
      <c r="EG387"/>
      <c r="EH387"/>
      <c r="EI387"/>
      <c r="EJ387"/>
      <c r="EK387"/>
      <c r="EL387"/>
      <c r="EM387"/>
      <c r="EN387"/>
      <c r="EO387"/>
      <c r="EP387"/>
      <c r="EQ387"/>
      <c r="ER387"/>
      <c r="ES387"/>
      <c r="ET387"/>
      <c r="EU387">
        <v>3500</v>
      </c>
      <c r="EV387"/>
      <c r="EW387">
        <v>0</v>
      </c>
      <c r="EX387">
        <v>0</v>
      </c>
      <c r="EY387">
        <v>0</v>
      </c>
      <c r="EZ387"/>
      <c r="FA387">
        <v>15</v>
      </c>
      <c r="FB387"/>
      <c r="FC387"/>
      <c r="FD387"/>
      <c r="FE387"/>
      <c r="FF387"/>
      <c r="FG387" s="94">
        <v>448</v>
      </c>
      <c r="FH387" s="94">
        <v>386</v>
      </c>
      <c r="FI387" s="94">
        <v>420</v>
      </c>
    </row>
    <row r="388" spans="1:165" s="66" customFormat="1" x14ac:dyDescent="0.35">
      <c r="A388">
        <v>2026</v>
      </c>
      <c r="B388" t="s">
        <v>1553</v>
      </c>
      <c r="C388" s="112" t="s">
        <v>1554</v>
      </c>
      <c r="D388" t="s">
        <v>1566</v>
      </c>
      <c r="E388" t="s">
        <v>1556</v>
      </c>
      <c r="F388">
        <v>65</v>
      </c>
      <c r="G388" s="113">
        <v>0</v>
      </c>
      <c r="H388"/>
      <c r="I388" t="s">
        <v>1391</v>
      </c>
      <c r="J388">
        <v>36</v>
      </c>
      <c r="K388">
        <v>42</v>
      </c>
      <c r="L388">
        <v>39</v>
      </c>
      <c r="M388">
        <v>25.728400000000001</v>
      </c>
      <c r="N388">
        <v>29.815799999999999</v>
      </c>
      <c r="O388">
        <v>27.567699999999999</v>
      </c>
      <c r="P388">
        <v>36.242600000000003</v>
      </c>
      <c r="Q388">
        <v>42.015799999999999</v>
      </c>
      <c r="R388">
        <v>38.840600000000002</v>
      </c>
      <c r="S388"/>
      <c r="T388"/>
      <c r="U388"/>
      <c r="V388" t="s">
        <v>170</v>
      </c>
      <c r="W388" t="s">
        <v>171</v>
      </c>
      <c r="X388"/>
      <c r="Y388">
        <v>1</v>
      </c>
      <c r="Z388" t="s">
        <v>173</v>
      </c>
      <c r="AA388" t="s">
        <v>173</v>
      </c>
      <c r="AB388" t="s">
        <v>769</v>
      </c>
      <c r="AC388" t="s">
        <v>770</v>
      </c>
      <c r="AD388"/>
      <c r="AE388"/>
      <c r="AF388">
        <v>420</v>
      </c>
      <c r="AG388" t="s">
        <v>1392</v>
      </c>
      <c r="AH388" t="s">
        <v>1393</v>
      </c>
      <c r="AI388" t="s">
        <v>1399</v>
      </c>
      <c r="AJ388" t="s">
        <v>1400</v>
      </c>
      <c r="AK388">
        <v>4</v>
      </c>
      <c r="AL388" t="s">
        <v>1394</v>
      </c>
      <c r="AM388"/>
      <c r="AN388"/>
      <c r="AO388"/>
      <c r="AP388"/>
      <c r="AQ388"/>
      <c r="AR388"/>
      <c r="AS388">
        <v>1000</v>
      </c>
      <c r="AT388">
        <v>1000</v>
      </c>
      <c r="AU388"/>
      <c r="AV388"/>
      <c r="AW388"/>
      <c r="AX388"/>
      <c r="AY388"/>
      <c r="AZ388"/>
      <c r="BA388"/>
      <c r="BB388"/>
      <c r="BC388"/>
      <c r="BD388"/>
      <c r="BE388"/>
      <c r="BF388"/>
      <c r="BG388"/>
      <c r="BH388"/>
      <c r="BI388"/>
      <c r="BJ388"/>
      <c r="BK388"/>
      <c r="BL388"/>
      <c r="BM388"/>
      <c r="BN388" s="114"/>
      <c r="BO388"/>
      <c r="BP388"/>
      <c r="BQ388">
        <v>13</v>
      </c>
      <c r="BR388" t="s">
        <v>712</v>
      </c>
      <c r="BS388"/>
      <c r="BT388" t="s">
        <v>1402</v>
      </c>
      <c r="BU388" s="115">
        <v>45792</v>
      </c>
      <c r="BV388">
        <v>36488</v>
      </c>
      <c r="BW388" s="116"/>
      <c r="BX388"/>
      <c r="BY388" t="s">
        <v>173</v>
      </c>
      <c r="BZ388"/>
      <c r="CA388"/>
      <c r="CB388" t="s">
        <v>173</v>
      </c>
      <c r="CC388" t="s">
        <v>173</v>
      </c>
      <c r="CD388"/>
      <c r="CE388"/>
      <c r="CF388"/>
      <c r="CG388"/>
      <c r="CH388"/>
      <c r="CI388"/>
      <c r="CJ388"/>
      <c r="CK388" t="s">
        <v>259</v>
      </c>
      <c r="CL388"/>
      <c r="CM388">
        <v>1</v>
      </c>
      <c r="CN388" t="s">
        <v>260</v>
      </c>
      <c r="CO388"/>
      <c r="CP388">
        <v>392</v>
      </c>
      <c r="CQ388">
        <v>382</v>
      </c>
      <c r="CR388">
        <v>190</v>
      </c>
      <c r="CS388" t="s">
        <v>1437</v>
      </c>
      <c r="CT388"/>
      <c r="CU388"/>
      <c r="CV388" t="s">
        <v>262</v>
      </c>
      <c r="CW388"/>
      <c r="CX388" t="s">
        <v>263</v>
      </c>
      <c r="CY388" t="s">
        <v>172</v>
      </c>
      <c r="CZ388"/>
      <c r="DA388"/>
      <c r="DB388"/>
      <c r="DC388" t="s">
        <v>1558</v>
      </c>
      <c r="DD388">
        <v>2</v>
      </c>
      <c r="DE388" t="s">
        <v>307</v>
      </c>
      <c r="DF388" t="s">
        <v>988</v>
      </c>
      <c r="DG388">
        <v>264</v>
      </c>
      <c r="DH388"/>
      <c r="DI388"/>
      <c r="DJ388"/>
      <c r="DK388"/>
      <c r="DL388" t="s">
        <v>173</v>
      </c>
      <c r="DM388" t="s">
        <v>172</v>
      </c>
      <c r="DN388"/>
      <c r="DO388"/>
      <c r="DP388" t="s">
        <v>173</v>
      </c>
      <c r="DQ388" t="s">
        <v>189</v>
      </c>
      <c r="DR388" t="s">
        <v>1567</v>
      </c>
      <c r="DS388"/>
      <c r="DT388"/>
      <c r="DU388"/>
      <c r="DV388"/>
      <c r="DW388"/>
      <c r="DX388"/>
      <c r="DY388"/>
      <c r="DZ388"/>
      <c r="EA388" s="117"/>
      <c r="EB388">
        <v>9</v>
      </c>
      <c r="EC388">
        <v>10</v>
      </c>
      <c r="ED388"/>
      <c r="EE388" t="s">
        <v>1565</v>
      </c>
      <c r="EF388">
        <v>10</v>
      </c>
      <c r="EG388"/>
      <c r="EH388"/>
      <c r="EI388"/>
      <c r="EJ388"/>
      <c r="EK388"/>
      <c r="EL388"/>
      <c r="EM388"/>
      <c r="EN388"/>
      <c r="EO388"/>
      <c r="EP388"/>
      <c r="EQ388"/>
      <c r="ER388"/>
      <c r="ES388"/>
      <c r="ET388"/>
      <c r="EU388">
        <v>3500</v>
      </c>
      <c r="EV388"/>
      <c r="EW388">
        <v>0</v>
      </c>
      <c r="EX388">
        <v>0</v>
      </c>
      <c r="EY388">
        <v>0</v>
      </c>
      <c r="EZ388"/>
      <c r="FA388">
        <v>15</v>
      </c>
      <c r="FB388"/>
      <c r="FC388"/>
      <c r="FD388"/>
      <c r="FE388"/>
      <c r="FF388"/>
      <c r="FG388" s="94">
        <v>448</v>
      </c>
      <c r="FH388" s="94">
        <v>386</v>
      </c>
      <c r="FI388" s="94">
        <v>420</v>
      </c>
    </row>
    <row r="389" spans="1:165" s="66" customFormat="1" x14ac:dyDescent="0.35">
      <c r="A389" s="19"/>
      <c r="B389" s="19"/>
      <c r="C389" s="19"/>
      <c r="D389" s="19"/>
      <c r="E389" s="19"/>
      <c r="F389" s="128"/>
      <c r="G389" s="19"/>
      <c r="H389" s="19"/>
      <c r="I389" s="19"/>
      <c r="J389" s="19"/>
      <c r="K389" s="19" t="str">
        <f>_xlfn.CONCAT(A390," ",C390," ",D390)</f>
        <v>2026 Rivian R1T Dual Standard (20in)</v>
      </c>
      <c r="L389" s="19"/>
      <c r="M389" s="19"/>
      <c r="N389" s="19"/>
      <c r="O389" s="19"/>
      <c r="P389" s="19"/>
      <c r="Q389" s="19"/>
      <c r="R389" s="19"/>
      <c r="S389" s="19"/>
      <c r="T389" s="19"/>
      <c r="U389" s="19"/>
      <c r="V389" s="19"/>
      <c r="W389" s="19"/>
      <c r="X389" s="19"/>
      <c r="Y389" s="19"/>
      <c r="Z389" s="19"/>
      <c r="AA389" s="19"/>
      <c r="AB389" s="19" t="str">
        <f>$K389</f>
        <v>2026 Rivian R1T Dual Standard (20in)</v>
      </c>
      <c r="AC389" s="19"/>
      <c r="AD389" s="19"/>
      <c r="AE389" s="19"/>
      <c r="AF389" s="19"/>
      <c r="AG389" s="19"/>
      <c r="AH389" s="19"/>
      <c r="AI389" s="19"/>
      <c r="AJ389" s="19"/>
      <c r="AK389" s="19"/>
      <c r="AL389" s="19"/>
      <c r="AM389" s="19"/>
      <c r="AN389" s="19"/>
      <c r="AO389" s="19"/>
      <c r="AP389" s="19"/>
      <c r="AQ389" s="19"/>
      <c r="AR389" s="19" t="str">
        <f>$K389</f>
        <v>2026 Rivian R1T Dual Standard (20in)</v>
      </c>
      <c r="AS389" s="19"/>
      <c r="AT389" s="19"/>
      <c r="AU389" s="19"/>
      <c r="AV389" s="19"/>
      <c r="AW389" s="19"/>
      <c r="AX389" s="19"/>
      <c r="AY389" s="19"/>
      <c r="AZ389" s="19"/>
      <c r="BA389" s="19"/>
      <c r="BB389" s="19"/>
      <c r="BC389" s="19"/>
      <c r="BD389" s="19"/>
      <c r="BE389" s="19"/>
      <c r="BF389" s="19"/>
      <c r="BG389" s="19" t="str">
        <f>$K389</f>
        <v>2026 Rivian R1T Dual Standard (20in)</v>
      </c>
      <c r="BH389" s="19"/>
      <c r="BI389" s="19"/>
      <c r="BJ389" s="19"/>
      <c r="BK389" s="19"/>
      <c r="BL389" s="19"/>
      <c r="BM389" s="129"/>
      <c r="BN389" s="19"/>
      <c r="BO389" s="19"/>
      <c r="BP389" s="19"/>
      <c r="BQ389" s="19"/>
      <c r="BR389" s="19"/>
      <c r="BS389" s="19"/>
      <c r="BT389" s="130"/>
      <c r="BU389" s="19"/>
      <c r="BV389" s="19"/>
      <c r="BW389" s="116"/>
      <c r="BX389" s="19"/>
      <c r="BY389" s="19"/>
      <c r="BZ389" s="19"/>
      <c r="CA389" s="19"/>
      <c r="CB389" s="19"/>
      <c r="CC389" s="19"/>
      <c r="CD389" s="19"/>
      <c r="CE389" s="19"/>
      <c r="CF389" s="19"/>
      <c r="CG389" s="19"/>
      <c r="CH389" s="19"/>
      <c r="CI389" s="19"/>
      <c r="CJ389" s="19"/>
      <c r="CK389" s="19"/>
      <c r="CL389" s="19"/>
      <c r="CM389" s="19" t="str">
        <f>$K389</f>
        <v>2026 Rivian R1T Dual Standard (20in)</v>
      </c>
      <c r="CN389" s="19"/>
      <c r="CO389" s="19"/>
      <c r="CP389" s="19"/>
      <c r="CQ389" s="19"/>
      <c r="CR389" s="19"/>
      <c r="CS389" s="19"/>
      <c r="CT389" s="19"/>
      <c r="CU389" s="19"/>
      <c r="CV389" s="19"/>
      <c r="CW389" s="19"/>
      <c r="CX389" s="19"/>
      <c r="CY389" s="19"/>
      <c r="CZ389" s="19"/>
      <c r="DA389" s="19"/>
      <c r="DB389" s="19"/>
      <c r="DC389" s="19"/>
      <c r="DD389" s="19" t="str">
        <f>$K389</f>
        <v>2026 Rivian R1T Dual Standard (20in)</v>
      </c>
      <c r="DE389" s="19"/>
      <c r="DF389" s="19"/>
      <c r="DG389" s="19"/>
      <c r="DH389" s="19"/>
      <c r="DI389" s="19"/>
      <c r="DJ389" s="19"/>
      <c r="DK389" s="19"/>
      <c r="DL389" s="19"/>
      <c r="DM389" s="19"/>
      <c r="DN389" s="19"/>
      <c r="DO389" s="19"/>
      <c r="DP389" s="19"/>
      <c r="DQ389" s="19"/>
      <c r="DR389" s="19"/>
      <c r="DS389" s="19"/>
      <c r="DT389" s="19"/>
      <c r="DU389" s="19" t="str">
        <f>$K389</f>
        <v>2026 Rivian R1T Dual Standard (20in)</v>
      </c>
      <c r="DV389" s="19"/>
      <c r="DW389" s="19"/>
      <c r="DX389" s="19"/>
      <c r="DY389" s="19"/>
      <c r="DZ389" s="19"/>
      <c r="EA389" s="117"/>
      <c r="EB389" s="19"/>
      <c r="EC389" s="19"/>
      <c r="ED389" s="19"/>
      <c r="EE389" s="19"/>
      <c r="EF389" s="19"/>
      <c r="EG389"/>
      <c r="EH389"/>
      <c r="EI389"/>
      <c r="EJ389"/>
      <c r="EK389"/>
      <c r="EL389"/>
      <c r="EM389"/>
      <c r="EN389"/>
      <c r="EO389"/>
      <c r="EP389"/>
      <c r="EQ389"/>
      <c r="ER389"/>
      <c r="ES389"/>
      <c r="ET389"/>
      <c r="EU389"/>
      <c r="EV389"/>
      <c r="EW389"/>
      <c r="EX389" s="19" t="s">
        <v>2048</v>
      </c>
      <c r="EY389"/>
      <c r="EZ389"/>
      <c r="FA389"/>
      <c r="FB389"/>
      <c r="FC389"/>
      <c r="FD389"/>
      <c r="FE389"/>
      <c r="FF389"/>
      <c r="FG389"/>
      <c r="FH389"/>
      <c r="FI389"/>
    </row>
    <row r="390" spans="1:165" s="66" customFormat="1" x14ac:dyDescent="0.35">
      <c r="A390">
        <v>2026</v>
      </c>
      <c r="B390" t="s">
        <v>1553</v>
      </c>
      <c r="C390" s="112" t="s">
        <v>1554</v>
      </c>
      <c r="D390" t="s">
        <v>1561</v>
      </c>
      <c r="E390" t="s">
        <v>1556</v>
      </c>
      <c r="F390">
        <v>61</v>
      </c>
      <c r="G390" s="113">
        <v>0</v>
      </c>
      <c r="H390"/>
      <c r="I390" t="s">
        <v>1391</v>
      </c>
      <c r="J390">
        <v>85</v>
      </c>
      <c r="K390">
        <v>72</v>
      </c>
      <c r="L390">
        <v>79</v>
      </c>
      <c r="M390">
        <v>116.8</v>
      </c>
      <c r="N390">
        <v>98.9</v>
      </c>
      <c r="O390">
        <v>108.00360000000001</v>
      </c>
      <c r="P390">
        <v>85.028099999999995</v>
      </c>
      <c r="Q390">
        <v>71.997200000000007</v>
      </c>
      <c r="R390">
        <v>78.624499999999998</v>
      </c>
      <c r="S390"/>
      <c r="T390"/>
      <c r="U390"/>
      <c r="V390" t="s">
        <v>170</v>
      </c>
      <c r="W390" t="s">
        <v>171</v>
      </c>
      <c r="X390"/>
      <c r="Y390">
        <v>1</v>
      </c>
      <c r="Z390" t="s">
        <v>173</v>
      </c>
      <c r="AA390" t="s">
        <v>173</v>
      </c>
      <c r="AB390" t="s">
        <v>769</v>
      </c>
      <c r="AC390" t="s">
        <v>770</v>
      </c>
      <c r="AD390"/>
      <c r="AE390"/>
      <c r="AF390">
        <v>258</v>
      </c>
      <c r="AG390" t="s">
        <v>1392</v>
      </c>
      <c r="AH390" t="s">
        <v>1393</v>
      </c>
      <c r="AI390" t="s">
        <v>178</v>
      </c>
      <c r="AJ390" t="s">
        <v>179</v>
      </c>
      <c r="AK390">
        <v>4</v>
      </c>
      <c r="AL390" t="s">
        <v>1394</v>
      </c>
      <c r="AM390"/>
      <c r="AN390"/>
      <c r="AO390"/>
      <c r="AP390"/>
      <c r="AQ390"/>
      <c r="AR390"/>
      <c r="AS390">
        <v>1100</v>
      </c>
      <c r="AT390">
        <v>1100</v>
      </c>
      <c r="AU390"/>
      <c r="AV390"/>
      <c r="AW390"/>
      <c r="AX390"/>
      <c r="AY390"/>
      <c r="AZ390"/>
      <c r="BA390"/>
      <c r="BB390"/>
      <c r="BC390"/>
      <c r="BD390"/>
      <c r="BE390"/>
      <c r="BF390"/>
      <c r="BG390"/>
      <c r="BH390"/>
      <c r="BI390"/>
      <c r="BJ390"/>
      <c r="BK390"/>
      <c r="BL390"/>
      <c r="BM390"/>
      <c r="BN390" s="114"/>
      <c r="BO390"/>
      <c r="BP390"/>
      <c r="BQ390">
        <v>13</v>
      </c>
      <c r="BR390" t="s">
        <v>712</v>
      </c>
      <c r="BS390"/>
      <c r="BT390" t="s">
        <v>1402</v>
      </c>
      <c r="BU390" s="115">
        <v>45792</v>
      </c>
      <c r="BV390">
        <v>36467</v>
      </c>
      <c r="BW390" s="116"/>
      <c r="BX390"/>
      <c r="BY390" t="s">
        <v>173</v>
      </c>
      <c r="BZ390"/>
      <c r="CA390"/>
      <c r="CB390" t="s">
        <v>173</v>
      </c>
      <c r="CC390" t="s">
        <v>173</v>
      </c>
      <c r="CD390"/>
      <c r="CE390"/>
      <c r="CF390"/>
      <c r="CG390"/>
      <c r="CH390"/>
      <c r="CI390"/>
      <c r="CJ390"/>
      <c r="CK390" t="s">
        <v>259</v>
      </c>
      <c r="CL390"/>
      <c r="CM390">
        <v>1</v>
      </c>
      <c r="CN390" t="s">
        <v>307</v>
      </c>
      <c r="CO390" t="s">
        <v>1557</v>
      </c>
      <c r="CP390">
        <v>403</v>
      </c>
      <c r="CQ390">
        <v>235</v>
      </c>
      <c r="CR390">
        <v>130</v>
      </c>
      <c r="CS390" t="s">
        <v>1437</v>
      </c>
      <c r="CT390"/>
      <c r="CU390"/>
      <c r="CV390" t="s">
        <v>262</v>
      </c>
      <c r="CW390"/>
      <c r="CX390" t="s">
        <v>263</v>
      </c>
      <c r="CY390" t="s">
        <v>172</v>
      </c>
      <c r="CZ390"/>
      <c r="DA390"/>
      <c r="DB390"/>
      <c r="DC390" t="s">
        <v>1558</v>
      </c>
      <c r="DD390">
        <v>2</v>
      </c>
      <c r="DE390" t="s">
        <v>307</v>
      </c>
      <c r="DF390" t="s">
        <v>988</v>
      </c>
      <c r="DG390">
        <v>208</v>
      </c>
      <c r="DH390"/>
      <c r="DI390"/>
      <c r="DJ390"/>
      <c r="DK390"/>
      <c r="DL390" t="s">
        <v>173</v>
      </c>
      <c r="DM390" t="s">
        <v>172</v>
      </c>
      <c r="DN390"/>
      <c r="DO390"/>
      <c r="DP390" t="s">
        <v>173</v>
      </c>
      <c r="DQ390" t="s">
        <v>189</v>
      </c>
      <c r="DR390" t="s">
        <v>1562</v>
      </c>
      <c r="DS390"/>
      <c r="DT390"/>
      <c r="DU390"/>
      <c r="DV390"/>
      <c r="DW390"/>
      <c r="DX390"/>
      <c r="DY390"/>
      <c r="DZ390"/>
      <c r="EA390" s="117"/>
      <c r="EB390">
        <v>9</v>
      </c>
      <c r="EC390">
        <v>10</v>
      </c>
      <c r="ED390"/>
      <c r="EE390" t="s">
        <v>1560</v>
      </c>
      <c r="EF390">
        <v>10</v>
      </c>
      <c r="EG390"/>
      <c r="EH390"/>
      <c r="EI390"/>
      <c r="EJ390"/>
      <c r="EK390"/>
      <c r="EL390"/>
      <c r="EM390"/>
      <c r="EN390"/>
      <c r="EO390"/>
      <c r="EP390"/>
      <c r="EQ390"/>
      <c r="ER390"/>
      <c r="ES390"/>
      <c r="ET390"/>
      <c r="EU390">
        <v>3000</v>
      </c>
      <c r="EV390"/>
      <c r="EW390">
        <v>0</v>
      </c>
      <c r="EX390">
        <v>0</v>
      </c>
      <c r="EY390">
        <v>0</v>
      </c>
      <c r="EZ390"/>
      <c r="FA390">
        <v>9.5</v>
      </c>
      <c r="FB390"/>
      <c r="FC390"/>
      <c r="FD390"/>
      <c r="FE390"/>
      <c r="FF390"/>
      <c r="FG390" s="94">
        <v>277</v>
      </c>
      <c r="FH390" s="94">
        <v>235</v>
      </c>
      <c r="FI390" s="94">
        <v>258</v>
      </c>
    </row>
    <row r="391" spans="1:165" s="66" customFormat="1" x14ac:dyDescent="0.35">
      <c r="A391">
        <v>2026</v>
      </c>
      <c r="B391" t="s">
        <v>1553</v>
      </c>
      <c r="C391" s="112" t="s">
        <v>1554</v>
      </c>
      <c r="D391" t="s">
        <v>1561</v>
      </c>
      <c r="E391" t="s">
        <v>1556</v>
      </c>
      <c r="F391">
        <v>61</v>
      </c>
      <c r="G391" s="113">
        <v>0</v>
      </c>
      <c r="H391"/>
      <c r="I391" t="s">
        <v>1391</v>
      </c>
      <c r="J391">
        <v>40</v>
      </c>
      <c r="K391">
        <v>47</v>
      </c>
      <c r="L391">
        <v>43</v>
      </c>
      <c r="M391">
        <v>28.861499999999999</v>
      </c>
      <c r="N391">
        <v>34.089100000000002</v>
      </c>
      <c r="O391">
        <v>31.213899999999999</v>
      </c>
      <c r="P391">
        <v>39.639899999999997</v>
      </c>
      <c r="Q391">
        <v>46.814300000000003</v>
      </c>
      <c r="R391">
        <v>42.868299999999998</v>
      </c>
      <c r="S391"/>
      <c r="T391"/>
      <c r="U391"/>
      <c r="V391" t="s">
        <v>170</v>
      </c>
      <c r="W391" t="s">
        <v>171</v>
      </c>
      <c r="X391"/>
      <c r="Y391">
        <v>1</v>
      </c>
      <c r="Z391" t="s">
        <v>173</v>
      </c>
      <c r="AA391" t="s">
        <v>173</v>
      </c>
      <c r="AB391" t="s">
        <v>769</v>
      </c>
      <c r="AC391" t="s">
        <v>770</v>
      </c>
      <c r="AD391"/>
      <c r="AE391"/>
      <c r="AF391">
        <v>258</v>
      </c>
      <c r="AG391" t="s">
        <v>1392</v>
      </c>
      <c r="AH391" t="s">
        <v>1393</v>
      </c>
      <c r="AI391" t="s">
        <v>1399</v>
      </c>
      <c r="AJ391" t="s">
        <v>1400</v>
      </c>
      <c r="AK391">
        <v>4</v>
      </c>
      <c r="AL391" t="s">
        <v>1394</v>
      </c>
      <c r="AM391"/>
      <c r="AN391"/>
      <c r="AO391"/>
      <c r="AP391"/>
      <c r="AQ391"/>
      <c r="AR391"/>
      <c r="AS391">
        <v>1100</v>
      </c>
      <c r="AT391">
        <v>1100</v>
      </c>
      <c r="AU391"/>
      <c r="AV391"/>
      <c r="AW391"/>
      <c r="AX391"/>
      <c r="AY391"/>
      <c r="AZ391"/>
      <c r="BA391"/>
      <c r="BB391"/>
      <c r="BC391"/>
      <c r="BD391"/>
      <c r="BE391"/>
      <c r="BF391"/>
      <c r="BG391"/>
      <c r="BH391"/>
      <c r="BI391"/>
      <c r="BJ391"/>
      <c r="BK391"/>
      <c r="BL391"/>
      <c r="BM391"/>
      <c r="BN391" s="114"/>
      <c r="BO391"/>
      <c r="BP391"/>
      <c r="BQ391">
        <v>13</v>
      </c>
      <c r="BR391" t="s">
        <v>712</v>
      </c>
      <c r="BS391"/>
      <c r="BT391" t="s">
        <v>1402</v>
      </c>
      <c r="BU391" s="115">
        <v>45792</v>
      </c>
      <c r="BV391">
        <v>36467</v>
      </c>
      <c r="BW391" s="116"/>
      <c r="BX391"/>
      <c r="BY391" t="s">
        <v>173</v>
      </c>
      <c r="BZ391"/>
      <c r="CA391"/>
      <c r="CB391" t="s">
        <v>173</v>
      </c>
      <c r="CC391" t="s">
        <v>173</v>
      </c>
      <c r="CD391"/>
      <c r="CE391"/>
      <c r="CF391"/>
      <c r="CG391"/>
      <c r="CH391"/>
      <c r="CI391"/>
      <c r="CJ391"/>
      <c r="CK391" t="s">
        <v>259</v>
      </c>
      <c r="CL391"/>
      <c r="CM391">
        <v>1</v>
      </c>
      <c r="CN391" t="s">
        <v>307</v>
      </c>
      <c r="CO391" t="s">
        <v>1557</v>
      </c>
      <c r="CP391">
        <v>403</v>
      </c>
      <c r="CQ391">
        <v>235</v>
      </c>
      <c r="CR391">
        <v>130</v>
      </c>
      <c r="CS391" t="s">
        <v>1437</v>
      </c>
      <c r="CT391"/>
      <c r="CU391"/>
      <c r="CV391" t="s">
        <v>262</v>
      </c>
      <c r="CW391"/>
      <c r="CX391" t="s">
        <v>263</v>
      </c>
      <c r="CY391" t="s">
        <v>172</v>
      </c>
      <c r="CZ391"/>
      <c r="DA391"/>
      <c r="DB391"/>
      <c r="DC391" t="s">
        <v>1558</v>
      </c>
      <c r="DD391">
        <v>2</v>
      </c>
      <c r="DE391" t="s">
        <v>307</v>
      </c>
      <c r="DF391" t="s">
        <v>988</v>
      </c>
      <c r="DG391">
        <v>208</v>
      </c>
      <c r="DH391"/>
      <c r="DI391"/>
      <c r="DJ391"/>
      <c r="DK391"/>
      <c r="DL391" t="s">
        <v>173</v>
      </c>
      <c r="DM391" t="s">
        <v>172</v>
      </c>
      <c r="DN391"/>
      <c r="DO391"/>
      <c r="DP391" t="s">
        <v>173</v>
      </c>
      <c r="DQ391" t="s">
        <v>189</v>
      </c>
      <c r="DR391" t="s">
        <v>1562</v>
      </c>
      <c r="DS391"/>
      <c r="DT391"/>
      <c r="DU391"/>
      <c r="DV391"/>
      <c r="DW391"/>
      <c r="DX391"/>
      <c r="DY391"/>
      <c r="DZ391"/>
      <c r="EA391" s="117"/>
      <c r="EB391">
        <v>9</v>
      </c>
      <c r="EC391">
        <v>10</v>
      </c>
      <c r="ED391"/>
      <c r="EE391" t="s">
        <v>1560</v>
      </c>
      <c r="EF391">
        <v>10</v>
      </c>
      <c r="EG391"/>
      <c r="EH391"/>
      <c r="EI391"/>
      <c r="EJ391"/>
      <c r="EK391"/>
      <c r="EL391"/>
      <c r="EM391"/>
      <c r="EN391"/>
      <c r="EO391"/>
      <c r="EP391"/>
      <c r="EQ391"/>
      <c r="ER391"/>
      <c r="ES391"/>
      <c r="ET391"/>
      <c r="EU391">
        <v>3000</v>
      </c>
      <c r="EV391"/>
      <c r="EW391">
        <v>0</v>
      </c>
      <c r="EX391">
        <v>0</v>
      </c>
      <c r="EY391">
        <v>0</v>
      </c>
      <c r="EZ391"/>
      <c r="FA391">
        <v>9.5</v>
      </c>
      <c r="FB391"/>
      <c r="FC391"/>
      <c r="FD391"/>
      <c r="FE391"/>
      <c r="FF391"/>
      <c r="FG391" s="94">
        <v>277</v>
      </c>
      <c r="FH391" s="94">
        <v>235</v>
      </c>
      <c r="FI391" s="94">
        <v>258</v>
      </c>
    </row>
    <row r="392" spans="1:165" x14ac:dyDescent="0.35">
      <c r="A392" s="19"/>
      <c r="B392" s="19"/>
      <c r="C392" s="19"/>
      <c r="D392" s="19"/>
      <c r="E392" s="19"/>
      <c r="F392" s="128"/>
      <c r="G392" s="19"/>
      <c r="H392" s="19"/>
      <c r="I392" s="19"/>
      <c r="J392" s="19"/>
      <c r="K392" s="19" t="str">
        <f>_xlfn.CONCAT(A393," ",C393," ",D393)</f>
        <v>2026 Rivian R1T Dual Standard (22in)</v>
      </c>
      <c r="L392" s="19"/>
      <c r="M392" s="19"/>
      <c r="N392" s="19"/>
      <c r="O392" s="19"/>
      <c r="P392" s="19"/>
      <c r="Q392" s="19"/>
      <c r="R392" s="19"/>
      <c r="S392" s="19"/>
      <c r="T392" s="19"/>
      <c r="U392" s="19"/>
      <c r="V392" s="19"/>
      <c r="W392" s="19"/>
      <c r="X392" s="19"/>
      <c r="Y392" s="19"/>
      <c r="Z392" s="19"/>
      <c r="AA392" s="19"/>
      <c r="AB392" s="19" t="str">
        <f>$K392</f>
        <v>2026 Rivian R1T Dual Standard (22in)</v>
      </c>
      <c r="AC392" s="19"/>
      <c r="AD392" s="19"/>
      <c r="AE392" s="19"/>
      <c r="AF392" s="19"/>
      <c r="AG392" s="19"/>
      <c r="AH392" s="19"/>
      <c r="AI392" s="19"/>
      <c r="AJ392" s="19"/>
      <c r="AK392" s="19"/>
      <c r="AL392" s="19"/>
      <c r="AM392" s="19"/>
      <c r="AN392" s="19"/>
      <c r="AO392" s="19"/>
      <c r="AP392" s="19"/>
      <c r="AQ392" s="19"/>
      <c r="AR392" s="19" t="str">
        <f>$K392</f>
        <v>2026 Rivian R1T Dual Standard (22in)</v>
      </c>
      <c r="AS392" s="19"/>
      <c r="AT392" s="19"/>
      <c r="AU392" s="19"/>
      <c r="AV392" s="19"/>
      <c r="AW392" s="19"/>
      <c r="AX392" s="19"/>
      <c r="AY392" s="19"/>
      <c r="AZ392" s="19"/>
      <c r="BA392" s="19"/>
      <c r="BB392" s="19"/>
      <c r="BC392" s="19"/>
      <c r="BD392" s="19"/>
      <c r="BE392" s="19"/>
      <c r="BF392" s="19"/>
      <c r="BG392" s="19" t="str">
        <f>$K392</f>
        <v>2026 Rivian R1T Dual Standard (22in)</v>
      </c>
      <c r="BH392" s="19"/>
      <c r="BI392" s="19"/>
      <c r="BJ392" s="19"/>
      <c r="BK392" s="19"/>
      <c r="BL392" s="19"/>
      <c r="BM392" s="129"/>
      <c r="BN392" s="19"/>
      <c r="BO392" s="19"/>
      <c r="BP392" s="19"/>
      <c r="BQ392" s="19"/>
      <c r="BR392" s="19"/>
      <c r="BS392" s="19"/>
      <c r="BT392" s="130"/>
      <c r="BU392" s="19"/>
      <c r="BV392" s="19"/>
      <c r="BW392" s="116"/>
      <c r="BX392" s="19"/>
      <c r="BY392" s="19"/>
      <c r="BZ392" s="19"/>
      <c r="CA392" s="19"/>
      <c r="CB392" s="19"/>
      <c r="CC392" s="19"/>
      <c r="CD392" s="19"/>
      <c r="CE392" s="19"/>
      <c r="CF392" s="19"/>
      <c r="CG392" s="19"/>
      <c r="CH392" s="19"/>
      <c r="CI392" s="19"/>
      <c r="CJ392" s="19"/>
      <c r="CK392" s="19"/>
      <c r="CL392" s="19"/>
      <c r="CM392" s="19" t="str">
        <f>$K392</f>
        <v>2026 Rivian R1T Dual Standard (22in)</v>
      </c>
      <c r="CN392" s="19"/>
      <c r="CO392" s="19"/>
      <c r="CP392" s="19"/>
      <c r="CQ392" s="19"/>
      <c r="CR392" s="19"/>
      <c r="CS392" s="19"/>
      <c r="CT392" s="19"/>
      <c r="CU392" s="19"/>
      <c r="CV392" s="19"/>
      <c r="CW392" s="19"/>
      <c r="CX392" s="19"/>
      <c r="CY392" s="19"/>
      <c r="CZ392" s="19"/>
      <c r="DA392" s="19"/>
      <c r="DB392" s="19"/>
      <c r="DC392" s="19"/>
      <c r="DD392" s="19" t="str">
        <f>$K392</f>
        <v>2026 Rivian R1T Dual Standard (22in)</v>
      </c>
      <c r="DE392" s="19"/>
      <c r="DF392" s="19"/>
      <c r="DG392" s="19"/>
      <c r="DH392" s="19"/>
      <c r="DI392" s="19"/>
      <c r="DJ392" s="19"/>
      <c r="DK392" s="19"/>
      <c r="DL392" s="19"/>
      <c r="DM392" s="19"/>
      <c r="DN392" s="19"/>
      <c r="DO392" s="19"/>
      <c r="DP392" s="19"/>
      <c r="DQ392" s="19"/>
      <c r="DR392" s="19"/>
      <c r="DS392" s="19"/>
      <c r="DT392" s="19"/>
      <c r="DU392" s="19" t="str">
        <f>$K392</f>
        <v>2026 Rivian R1T Dual Standard (22in)</v>
      </c>
      <c r="DV392" s="19"/>
      <c r="DW392" s="19"/>
      <c r="DX392" s="19"/>
      <c r="DY392" s="19"/>
      <c r="DZ392" s="19"/>
      <c r="EA392" s="117"/>
      <c r="EB392" s="19"/>
      <c r="EC392" s="19"/>
      <c r="ED392" s="19"/>
      <c r="EE392" s="19"/>
      <c r="EF392" s="19"/>
      <c r="EX392" s="19" t="s">
        <v>2049</v>
      </c>
    </row>
    <row r="393" spans="1:165" x14ac:dyDescent="0.35">
      <c r="A393">
        <v>2026</v>
      </c>
      <c r="B393" t="s">
        <v>1553</v>
      </c>
      <c r="C393" s="112" t="s">
        <v>1554</v>
      </c>
      <c r="D393" t="s">
        <v>1555</v>
      </c>
      <c r="E393" t="s">
        <v>1556</v>
      </c>
      <c r="F393">
        <v>59</v>
      </c>
      <c r="G393" s="113">
        <v>0</v>
      </c>
      <c r="I393" t="s">
        <v>1391</v>
      </c>
      <c r="J393">
        <v>92</v>
      </c>
      <c r="K393">
        <v>77</v>
      </c>
      <c r="L393">
        <v>85</v>
      </c>
      <c r="M393">
        <v>127.7</v>
      </c>
      <c r="N393">
        <v>107.1</v>
      </c>
      <c r="O393">
        <v>117.5275</v>
      </c>
      <c r="P393">
        <v>91.818899999999999</v>
      </c>
      <c r="Q393">
        <v>77.007000000000005</v>
      </c>
      <c r="R393">
        <v>84.504599999999996</v>
      </c>
      <c r="V393" t="s">
        <v>170</v>
      </c>
      <c r="W393" t="s">
        <v>171</v>
      </c>
      <c r="Y393">
        <v>1</v>
      </c>
      <c r="Z393" t="s">
        <v>173</v>
      </c>
      <c r="AA393" t="s">
        <v>173</v>
      </c>
      <c r="AB393" t="s">
        <v>769</v>
      </c>
      <c r="AC393" t="s">
        <v>770</v>
      </c>
      <c r="AF393">
        <v>270</v>
      </c>
      <c r="AG393" t="s">
        <v>1392</v>
      </c>
      <c r="AH393" t="s">
        <v>1393</v>
      </c>
      <c r="AI393" t="s">
        <v>178</v>
      </c>
      <c r="AJ393" t="s">
        <v>179</v>
      </c>
      <c r="AK393">
        <v>4</v>
      </c>
      <c r="AL393" t="s">
        <v>1394</v>
      </c>
      <c r="AS393">
        <v>1000</v>
      </c>
      <c r="AT393">
        <v>1000</v>
      </c>
      <c r="BN393" s="114"/>
      <c r="BQ393">
        <v>13</v>
      </c>
      <c r="BR393" t="s">
        <v>712</v>
      </c>
      <c r="BT393" t="s">
        <v>1402</v>
      </c>
      <c r="BU393" s="115">
        <v>45792</v>
      </c>
      <c r="BV393">
        <v>36465</v>
      </c>
      <c r="BW393" s="116"/>
      <c r="BY393" t="s">
        <v>173</v>
      </c>
      <c r="CB393" t="s">
        <v>173</v>
      </c>
      <c r="CC393" t="s">
        <v>173</v>
      </c>
      <c r="CK393" t="s">
        <v>259</v>
      </c>
      <c r="CM393">
        <v>1</v>
      </c>
      <c r="CN393" t="s">
        <v>307</v>
      </c>
      <c r="CO393" t="s">
        <v>1557</v>
      </c>
      <c r="CP393">
        <v>403</v>
      </c>
      <c r="CQ393">
        <v>235</v>
      </c>
      <c r="CR393">
        <v>130</v>
      </c>
      <c r="CS393" t="s">
        <v>1437</v>
      </c>
      <c r="CV393" t="s">
        <v>262</v>
      </c>
      <c r="CX393" t="s">
        <v>263</v>
      </c>
      <c r="CY393" t="s">
        <v>172</v>
      </c>
      <c r="DC393" t="s">
        <v>1558</v>
      </c>
      <c r="DD393">
        <v>2</v>
      </c>
      <c r="DE393" t="s">
        <v>307</v>
      </c>
      <c r="DF393" t="s">
        <v>988</v>
      </c>
      <c r="DG393">
        <v>208</v>
      </c>
      <c r="DL393" t="s">
        <v>173</v>
      </c>
      <c r="DM393" t="s">
        <v>172</v>
      </c>
      <c r="DP393" t="s">
        <v>173</v>
      </c>
      <c r="DQ393" t="s">
        <v>189</v>
      </c>
      <c r="DR393" t="s">
        <v>1559</v>
      </c>
      <c r="EA393" s="117"/>
      <c r="EB393">
        <v>9</v>
      </c>
      <c r="EC393">
        <v>10</v>
      </c>
      <c r="EE393" t="s">
        <v>1560</v>
      </c>
      <c r="EF393">
        <v>10</v>
      </c>
      <c r="EU393">
        <v>3500</v>
      </c>
      <c r="EW393">
        <v>0</v>
      </c>
      <c r="EX393">
        <v>0</v>
      </c>
      <c r="EY393">
        <v>0</v>
      </c>
      <c r="FA393">
        <v>9.5</v>
      </c>
      <c r="FG393" s="94">
        <v>291</v>
      </c>
      <c r="FH393" s="94">
        <v>244</v>
      </c>
      <c r="FI393" s="94">
        <v>270</v>
      </c>
    </row>
    <row r="394" spans="1:165" x14ac:dyDescent="0.35">
      <c r="A394">
        <v>2026</v>
      </c>
      <c r="B394" t="s">
        <v>1553</v>
      </c>
      <c r="C394" s="112" t="s">
        <v>1554</v>
      </c>
      <c r="D394" t="s">
        <v>1555</v>
      </c>
      <c r="E394" t="s">
        <v>1556</v>
      </c>
      <c r="F394">
        <v>59</v>
      </c>
      <c r="G394" s="113">
        <v>0</v>
      </c>
      <c r="I394" t="s">
        <v>1391</v>
      </c>
      <c r="J394">
        <v>37</v>
      </c>
      <c r="K394">
        <v>44</v>
      </c>
      <c r="L394">
        <v>40</v>
      </c>
      <c r="M394">
        <v>26.3842</v>
      </c>
      <c r="N394">
        <v>31.461099999999998</v>
      </c>
      <c r="O394">
        <v>28.668800000000001</v>
      </c>
      <c r="P394">
        <v>36.708100000000002</v>
      </c>
      <c r="Q394">
        <v>43.768700000000003</v>
      </c>
      <c r="R394">
        <v>39.885399999999997</v>
      </c>
      <c r="V394" t="s">
        <v>170</v>
      </c>
      <c r="W394" t="s">
        <v>171</v>
      </c>
      <c r="Y394">
        <v>1</v>
      </c>
      <c r="Z394" t="s">
        <v>173</v>
      </c>
      <c r="AA394" t="s">
        <v>173</v>
      </c>
      <c r="AB394" t="s">
        <v>769</v>
      </c>
      <c r="AC394" t="s">
        <v>770</v>
      </c>
      <c r="AF394">
        <v>270</v>
      </c>
      <c r="AG394" t="s">
        <v>1392</v>
      </c>
      <c r="AH394" t="s">
        <v>1393</v>
      </c>
      <c r="AI394" t="s">
        <v>1399</v>
      </c>
      <c r="AJ394" t="s">
        <v>1400</v>
      </c>
      <c r="AK394">
        <v>4</v>
      </c>
      <c r="AL394" t="s">
        <v>1394</v>
      </c>
      <c r="AS394">
        <v>1000</v>
      </c>
      <c r="AT394">
        <v>1000</v>
      </c>
      <c r="BN394" s="114"/>
      <c r="BQ394">
        <v>13</v>
      </c>
      <c r="BR394" t="s">
        <v>712</v>
      </c>
      <c r="BT394" t="s">
        <v>1402</v>
      </c>
      <c r="BU394" s="115">
        <v>45792</v>
      </c>
      <c r="BV394">
        <v>36465</v>
      </c>
      <c r="BW394" s="116"/>
      <c r="BY394" t="s">
        <v>173</v>
      </c>
      <c r="CB394" t="s">
        <v>173</v>
      </c>
      <c r="CC394" t="s">
        <v>173</v>
      </c>
      <c r="CK394" t="s">
        <v>259</v>
      </c>
      <c r="CM394">
        <v>1</v>
      </c>
      <c r="CN394" t="s">
        <v>307</v>
      </c>
      <c r="CO394" t="s">
        <v>1557</v>
      </c>
      <c r="CP394">
        <v>403</v>
      </c>
      <c r="CQ394">
        <v>235</v>
      </c>
      <c r="CR394">
        <v>130</v>
      </c>
      <c r="CS394" t="s">
        <v>1437</v>
      </c>
      <c r="CV394" t="s">
        <v>262</v>
      </c>
      <c r="CX394" t="s">
        <v>263</v>
      </c>
      <c r="CY394" t="s">
        <v>172</v>
      </c>
      <c r="DC394" t="s">
        <v>1558</v>
      </c>
      <c r="DD394">
        <v>2</v>
      </c>
      <c r="DE394" t="s">
        <v>307</v>
      </c>
      <c r="DF394" t="s">
        <v>988</v>
      </c>
      <c r="DG394">
        <v>208</v>
      </c>
      <c r="DL394" t="s">
        <v>173</v>
      </c>
      <c r="DM394" t="s">
        <v>172</v>
      </c>
      <c r="DP394" t="s">
        <v>173</v>
      </c>
      <c r="DQ394" t="s">
        <v>189</v>
      </c>
      <c r="DR394" t="s">
        <v>1559</v>
      </c>
      <c r="EA394" s="117"/>
      <c r="EB394">
        <v>9</v>
      </c>
      <c r="EC394">
        <v>10</v>
      </c>
      <c r="EE394" t="s">
        <v>1560</v>
      </c>
      <c r="EF394">
        <v>10</v>
      </c>
      <c r="EU394">
        <v>3500</v>
      </c>
      <c r="EW394">
        <v>0</v>
      </c>
      <c r="EX394">
        <v>0</v>
      </c>
      <c r="EY394">
        <v>0</v>
      </c>
      <c r="FA394">
        <v>9.5</v>
      </c>
      <c r="FG394" s="94">
        <v>291</v>
      </c>
      <c r="FH394" s="94">
        <v>244</v>
      </c>
      <c r="FI394" s="94">
        <v>270</v>
      </c>
    </row>
    <row r="395" spans="1:165" x14ac:dyDescent="0.35">
      <c r="A395" s="19"/>
      <c r="B395" s="19"/>
      <c r="C395" s="19"/>
      <c r="D395" s="19"/>
      <c r="E395" s="19"/>
      <c r="F395" s="128"/>
      <c r="G395" s="19"/>
      <c r="H395" s="19"/>
      <c r="I395" s="19"/>
      <c r="J395" s="19"/>
      <c r="K395" s="19" t="str">
        <f>_xlfn.CONCAT(A396," ",C396," ",D396)</f>
        <v>2026 Rivian R1T Performance Dual Large (20in)</v>
      </c>
      <c r="L395" s="19"/>
      <c r="M395" s="19"/>
      <c r="N395" s="19"/>
      <c r="O395" s="19"/>
      <c r="P395" s="19"/>
      <c r="Q395" s="19"/>
      <c r="R395" s="19"/>
      <c r="S395" s="19"/>
      <c r="T395" s="19"/>
      <c r="U395" s="19"/>
      <c r="V395" s="19"/>
      <c r="W395" s="19"/>
      <c r="X395" s="19"/>
      <c r="Y395" s="19"/>
      <c r="Z395" s="19"/>
      <c r="AA395" s="19"/>
      <c r="AB395" s="19" t="str">
        <f>$K395</f>
        <v>2026 Rivian R1T Performance Dual Large (20in)</v>
      </c>
      <c r="AC395" s="19"/>
      <c r="AD395" s="19"/>
      <c r="AE395" s="19"/>
      <c r="AF395" s="19"/>
      <c r="AG395" s="19"/>
      <c r="AH395" s="19"/>
      <c r="AI395" s="19"/>
      <c r="AJ395" s="19"/>
      <c r="AK395" s="19"/>
      <c r="AL395" s="19"/>
      <c r="AM395" s="19"/>
      <c r="AN395" s="19"/>
      <c r="AO395" s="19"/>
      <c r="AP395" s="19"/>
      <c r="AQ395" s="19"/>
      <c r="AR395" s="19" t="str">
        <f>$K395</f>
        <v>2026 Rivian R1T Performance Dual Large (20in)</v>
      </c>
      <c r="AS395" s="19"/>
      <c r="AT395" s="19"/>
      <c r="AU395" s="19"/>
      <c r="AV395" s="19"/>
      <c r="AW395" s="19"/>
      <c r="AX395" s="19"/>
      <c r="AY395" s="19"/>
      <c r="AZ395" s="19"/>
      <c r="BA395" s="19"/>
      <c r="BB395" s="19"/>
      <c r="BC395" s="19"/>
      <c r="BD395" s="19"/>
      <c r="BE395" s="19"/>
      <c r="BF395" s="19"/>
      <c r="BG395" s="19" t="str">
        <f>$K395</f>
        <v>2026 Rivian R1T Performance Dual Large (20in)</v>
      </c>
      <c r="BH395" s="19"/>
      <c r="BI395" s="19"/>
      <c r="BJ395" s="19"/>
      <c r="BK395" s="19"/>
      <c r="BL395" s="19"/>
      <c r="BM395" s="129"/>
      <c r="BN395" s="19"/>
      <c r="BO395" s="19"/>
      <c r="BP395" s="19"/>
      <c r="BQ395" s="19"/>
      <c r="BR395" s="19"/>
      <c r="BS395" s="19"/>
      <c r="BT395" s="130"/>
      <c r="BU395" s="19"/>
      <c r="BV395" s="19"/>
      <c r="BW395" s="116"/>
      <c r="BX395" s="19"/>
      <c r="BY395" s="19"/>
      <c r="BZ395" s="19"/>
      <c r="CA395" s="19"/>
      <c r="CB395" s="19"/>
      <c r="CC395" s="19"/>
      <c r="CD395" s="19"/>
      <c r="CE395" s="19"/>
      <c r="CF395" s="19"/>
      <c r="CG395" s="19"/>
      <c r="CH395" s="19"/>
      <c r="CI395" s="19"/>
      <c r="CJ395" s="19"/>
      <c r="CK395" s="19"/>
      <c r="CL395" s="19"/>
      <c r="CM395" s="19" t="str">
        <f>$K395</f>
        <v>2026 Rivian R1T Performance Dual Large (20in)</v>
      </c>
      <c r="CN395" s="19"/>
      <c r="CO395" s="19"/>
      <c r="CP395" s="19"/>
      <c r="CQ395" s="19"/>
      <c r="CR395" s="19"/>
      <c r="CS395" s="19"/>
      <c r="CT395" s="19"/>
      <c r="CU395" s="19"/>
      <c r="CV395" s="19"/>
      <c r="CW395" s="19"/>
      <c r="CX395" s="19"/>
      <c r="CY395" s="19"/>
      <c r="CZ395" s="19"/>
      <c r="DA395" s="19"/>
      <c r="DB395" s="19"/>
      <c r="DC395" s="19"/>
      <c r="DD395" s="19" t="str">
        <f>$K395</f>
        <v>2026 Rivian R1T Performance Dual Large (20in)</v>
      </c>
      <c r="DE395" s="19"/>
      <c r="DF395" s="19"/>
      <c r="DG395" s="19"/>
      <c r="DH395" s="19"/>
      <c r="DI395" s="19"/>
      <c r="DJ395" s="19"/>
      <c r="DK395" s="19"/>
      <c r="DL395" s="19"/>
      <c r="DM395" s="19"/>
      <c r="DN395" s="19"/>
      <c r="DO395" s="19"/>
      <c r="DP395" s="19"/>
      <c r="DQ395" s="19"/>
      <c r="DR395" s="19"/>
      <c r="DS395" s="19"/>
      <c r="DT395" s="19"/>
      <c r="DU395" s="19" t="str">
        <f>$K395</f>
        <v>2026 Rivian R1T Performance Dual Large (20in)</v>
      </c>
      <c r="DV395" s="19"/>
      <c r="DW395" s="19"/>
      <c r="DX395" s="19"/>
      <c r="DY395" s="19"/>
      <c r="DZ395" s="19"/>
      <c r="EA395" s="117"/>
      <c r="EB395" s="19"/>
      <c r="EC395" s="19"/>
      <c r="ED395" s="19"/>
      <c r="EE395" s="19"/>
      <c r="EF395" s="19"/>
      <c r="EX395" s="19" t="s">
        <v>2050</v>
      </c>
    </row>
    <row r="396" spans="1:165" x14ac:dyDescent="0.35">
      <c r="A396">
        <v>2026</v>
      </c>
      <c r="B396" t="s">
        <v>1553</v>
      </c>
      <c r="C396" s="112" t="s">
        <v>1554</v>
      </c>
      <c r="D396" t="s">
        <v>1605</v>
      </c>
      <c r="E396" t="s">
        <v>1556</v>
      </c>
      <c r="F396">
        <v>99</v>
      </c>
      <c r="G396" s="113">
        <v>0</v>
      </c>
      <c r="I396" t="s">
        <v>1391</v>
      </c>
      <c r="J396">
        <v>85</v>
      </c>
      <c r="K396">
        <v>72</v>
      </c>
      <c r="L396">
        <v>79</v>
      </c>
      <c r="M396">
        <v>121</v>
      </c>
      <c r="N396">
        <v>103</v>
      </c>
      <c r="O396">
        <v>112.3134</v>
      </c>
      <c r="P396">
        <v>84.98</v>
      </c>
      <c r="Q396">
        <v>72.03</v>
      </c>
      <c r="R396">
        <v>78.619399999999999</v>
      </c>
      <c r="V396" t="s">
        <v>170</v>
      </c>
      <c r="W396" t="s">
        <v>171</v>
      </c>
      <c r="Y396">
        <v>1</v>
      </c>
      <c r="Z396" t="s">
        <v>173</v>
      </c>
      <c r="AA396" t="s">
        <v>173</v>
      </c>
      <c r="AB396">
        <v>4</v>
      </c>
      <c r="AC396" t="s">
        <v>423</v>
      </c>
      <c r="AF396">
        <v>300</v>
      </c>
      <c r="AG396" t="s">
        <v>1392</v>
      </c>
      <c r="AH396" t="s">
        <v>1393</v>
      </c>
      <c r="AI396" t="s">
        <v>178</v>
      </c>
      <c r="AJ396" t="s">
        <v>179</v>
      </c>
      <c r="AK396">
        <v>4</v>
      </c>
      <c r="AL396" t="s">
        <v>1394</v>
      </c>
      <c r="AS396">
        <v>1100</v>
      </c>
      <c r="AT396">
        <v>1100</v>
      </c>
      <c r="BN396" s="114"/>
      <c r="BQ396">
        <v>13</v>
      </c>
      <c r="BR396" t="s">
        <v>712</v>
      </c>
      <c r="BT396" t="s">
        <v>1402</v>
      </c>
      <c r="BU396" s="115">
        <v>45792</v>
      </c>
      <c r="BV396">
        <v>36521</v>
      </c>
      <c r="BW396" s="116"/>
      <c r="BY396" t="s">
        <v>173</v>
      </c>
      <c r="CB396" t="s">
        <v>173</v>
      </c>
      <c r="CC396" t="s">
        <v>173</v>
      </c>
      <c r="CK396" t="s">
        <v>259</v>
      </c>
      <c r="CM396">
        <v>1</v>
      </c>
      <c r="CN396" t="s">
        <v>260</v>
      </c>
      <c r="CP396">
        <v>406</v>
      </c>
      <c r="CQ396">
        <v>286</v>
      </c>
      <c r="CR396">
        <v>273</v>
      </c>
      <c r="CS396" t="s">
        <v>1437</v>
      </c>
      <c r="CV396" t="s">
        <v>262</v>
      </c>
      <c r="CX396" t="s">
        <v>263</v>
      </c>
      <c r="CY396" t="s">
        <v>172</v>
      </c>
      <c r="DC396" t="s">
        <v>1596</v>
      </c>
      <c r="DD396">
        <v>2</v>
      </c>
      <c r="DE396" t="s">
        <v>307</v>
      </c>
      <c r="DF396" t="s">
        <v>988</v>
      </c>
      <c r="DG396">
        <v>264</v>
      </c>
      <c r="DL396" t="s">
        <v>173</v>
      </c>
      <c r="DM396" t="s">
        <v>172</v>
      </c>
      <c r="DP396" t="s">
        <v>173</v>
      </c>
      <c r="DQ396" t="s">
        <v>189</v>
      </c>
      <c r="DR396" t="s">
        <v>1606</v>
      </c>
      <c r="EA396" s="117"/>
      <c r="EB396">
        <v>9</v>
      </c>
      <c r="EC396">
        <v>10</v>
      </c>
      <c r="EE396" t="s">
        <v>1598</v>
      </c>
      <c r="EF396">
        <v>10</v>
      </c>
      <c r="EU396">
        <v>3000</v>
      </c>
      <c r="EW396">
        <v>0</v>
      </c>
      <c r="EX396">
        <v>0</v>
      </c>
      <c r="EY396">
        <v>0</v>
      </c>
      <c r="FA396">
        <v>12</v>
      </c>
      <c r="FG396" s="94">
        <v>322</v>
      </c>
      <c r="FH396" s="94">
        <v>273</v>
      </c>
      <c r="FI396" s="94">
        <v>300</v>
      </c>
    </row>
    <row r="397" spans="1:165" x14ac:dyDescent="0.35">
      <c r="A397">
        <v>2026</v>
      </c>
      <c r="B397" t="s">
        <v>1553</v>
      </c>
      <c r="C397" s="112" t="s">
        <v>1554</v>
      </c>
      <c r="D397" t="s">
        <v>1605</v>
      </c>
      <c r="E397" t="s">
        <v>1556</v>
      </c>
      <c r="F397">
        <v>99</v>
      </c>
      <c r="G397" s="113">
        <v>0</v>
      </c>
      <c r="I397" t="s">
        <v>1391</v>
      </c>
      <c r="J397">
        <v>40</v>
      </c>
      <c r="K397">
        <v>47</v>
      </c>
      <c r="L397">
        <v>43</v>
      </c>
      <c r="M397">
        <v>27.772099999999998</v>
      </c>
      <c r="N397">
        <v>32.760199999999998</v>
      </c>
      <c r="O397">
        <v>30.0167</v>
      </c>
      <c r="P397">
        <v>39.662300000000002</v>
      </c>
      <c r="Q397">
        <v>46.792999999999999</v>
      </c>
      <c r="R397">
        <v>42.871099999999998</v>
      </c>
      <c r="V397" t="s">
        <v>170</v>
      </c>
      <c r="W397" t="s">
        <v>171</v>
      </c>
      <c r="Y397">
        <v>1</v>
      </c>
      <c r="Z397" t="s">
        <v>173</v>
      </c>
      <c r="AA397" t="s">
        <v>173</v>
      </c>
      <c r="AB397">
        <v>4</v>
      </c>
      <c r="AC397" t="s">
        <v>423</v>
      </c>
      <c r="AF397">
        <v>300</v>
      </c>
      <c r="AG397" t="s">
        <v>1392</v>
      </c>
      <c r="AH397" t="s">
        <v>1393</v>
      </c>
      <c r="AI397" t="s">
        <v>1399</v>
      </c>
      <c r="AJ397" t="s">
        <v>1400</v>
      </c>
      <c r="AK397">
        <v>4</v>
      </c>
      <c r="AL397" t="s">
        <v>1394</v>
      </c>
      <c r="AS397">
        <v>1100</v>
      </c>
      <c r="AT397">
        <v>1100</v>
      </c>
      <c r="BN397" s="114"/>
      <c r="BQ397">
        <v>13</v>
      </c>
      <c r="BR397" t="s">
        <v>712</v>
      </c>
      <c r="BT397" t="s">
        <v>1402</v>
      </c>
      <c r="BU397" s="115">
        <v>45792</v>
      </c>
      <c r="BV397">
        <v>36521</v>
      </c>
      <c r="BW397" s="116"/>
      <c r="BY397" t="s">
        <v>173</v>
      </c>
      <c r="CB397" t="s">
        <v>173</v>
      </c>
      <c r="CC397" t="s">
        <v>173</v>
      </c>
      <c r="CK397" t="s">
        <v>259</v>
      </c>
      <c r="CM397">
        <v>1</v>
      </c>
      <c r="CN397" t="s">
        <v>260</v>
      </c>
      <c r="CP397">
        <v>406</v>
      </c>
      <c r="CQ397">
        <v>286</v>
      </c>
      <c r="CR397">
        <v>273</v>
      </c>
      <c r="CS397" t="s">
        <v>1437</v>
      </c>
      <c r="CV397" t="s">
        <v>262</v>
      </c>
      <c r="CX397" t="s">
        <v>263</v>
      </c>
      <c r="CY397" t="s">
        <v>172</v>
      </c>
      <c r="DC397" t="s">
        <v>1596</v>
      </c>
      <c r="DD397">
        <v>2</v>
      </c>
      <c r="DE397" t="s">
        <v>307</v>
      </c>
      <c r="DF397" t="s">
        <v>988</v>
      </c>
      <c r="DG397">
        <v>264</v>
      </c>
      <c r="DL397" t="s">
        <v>173</v>
      </c>
      <c r="DM397" t="s">
        <v>172</v>
      </c>
      <c r="DP397" t="s">
        <v>173</v>
      </c>
      <c r="DQ397" t="s">
        <v>189</v>
      </c>
      <c r="DR397" t="s">
        <v>1606</v>
      </c>
      <c r="EA397" s="117"/>
      <c r="EB397">
        <v>9</v>
      </c>
      <c r="EC397">
        <v>10</v>
      </c>
      <c r="EE397" t="s">
        <v>1598</v>
      </c>
      <c r="EF397">
        <v>10</v>
      </c>
      <c r="EU397">
        <v>3000</v>
      </c>
      <c r="EW397">
        <v>0</v>
      </c>
      <c r="EX397">
        <v>0</v>
      </c>
      <c r="EY397">
        <v>0</v>
      </c>
      <c r="FA397">
        <v>12</v>
      </c>
      <c r="FG397" s="94">
        <v>322</v>
      </c>
      <c r="FH397" s="94">
        <v>273</v>
      </c>
      <c r="FI397" s="94">
        <v>300</v>
      </c>
    </row>
    <row r="398" spans="1:165" x14ac:dyDescent="0.35">
      <c r="A398" s="19"/>
      <c r="B398" s="19"/>
      <c r="C398" s="19"/>
      <c r="D398" s="19"/>
      <c r="E398" s="19"/>
      <c r="F398" s="128"/>
      <c r="G398" s="19"/>
      <c r="H398" s="19"/>
      <c r="I398" s="19"/>
      <c r="J398" s="19"/>
      <c r="K398" s="19" t="str">
        <f>_xlfn.CONCAT(A399," ",C399," ",D399)</f>
        <v>2026 Rivian R1T Performance Dual Large (22in)</v>
      </c>
      <c r="L398" s="19"/>
      <c r="M398" s="19"/>
      <c r="N398" s="19"/>
      <c r="O398" s="19"/>
      <c r="P398" s="19"/>
      <c r="Q398" s="19"/>
      <c r="R398" s="19"/>
      <c r="S398" s="19"/>
      <c r="T398" s="19"/>
      <c r="U398" s="19"/>
      <c r="V398" s="19"/>
      <c r="W398" s="19"/>
      <c r="X398" s="19"/>
      <c r="Y398" s="19"/>
      <c r="Z398" s="19"/>
      <c r="AA398" s="19"/>
      <c r="AB398" s="19" t="str">
        <f>$K398</f>
        <v>2026 Rivian R1T Performance Dual Large (22in)</v>
      </c>
      <c r="AC398" s="19"/>
      <c r="AD398" s="19"/>
      <c r="AE398" s="19"/>
      <c r="AF398" s="19"/>
      <c r="AG398" s="19"/>
      <c r="AH398" s="19"/>
      <c r="AI398" s="19"/>
      <c r="AJ398" s="19"/>
      <c r="AK398" s="19"/>
      <c r="AL398" s="19"/>
      <c r="AM398" s="19"/>
      <c r="AN398" s="19"/>
      <c r="AO398" s="19"/>
      <c r="AP398" s="19"/>
      <c r="AQ398" s="19"/>
      <c r="AR398" s="19" t="str">
        <f>$K398</f>
        <v>2026 Rivian R1T Performance Dual Large (22in)</v>
      </c>
      <c r="AS398" s="19"/>
      <c r="AT398" s="19"/>
      <c r="AU398" s="19"/>
      <c r="AV398" s="19"/>
      <c r="AW398" s="19"/>
      <c r="AX398" s="19"/>
      <c r="AY398" s="19"/>
      <c r="AZ398" s="19"/>
      <c r="BA398" s="19"/>
      <c r="BB398" s="19"/>
      <c r="BC398" s="19"/>
      <c r="BD398" s="19"/>
      <c r="BE398" s="19"/>
      <c r="BF398" s="19"/>
      <c r="BG398" s="19" t="str">
        <f>$K398</f>
        <v>2026 Rivian R1T Performance Dual Large (22in)</v>
      </c>
      <c r="BH398" s="19"/>
      <c r="BI398" s="19"/>
      <c r="BJ398" s="19"/>
      <c r="BK398" s="19"/>
      <c r="BL398" s="19"/>
      <c r="BM398" s="129"/>
      <c r="BN398" s="19"/>
      <c r="BO398" s="19"/>
      <c r="BP398" s="19"/>
      <c r="BQ398" s="19"/>
      <c r="BR398" s="19"/>
      <c r="BS398" s="19"/>
      <c r="BT398" s="130"/>
      <c r="BU398" s="19"/>
      <c r="BV398" s="19"/>
      <c r="BW398" s="116"/>
      <c r="BX398" s="19"/>
      <c r="BY398" s="19"/>
      <c r="BZ398" s="19"/>
      <c r="CA398" s="19"/>
      <c r="CB398" s="19"/>
      <c r="CC398" s="19"/>
      <c r="CD398" s="19"/>
      <c r="CE398" s="19"/>
      <c r="CF398" s="19"/>
      <c r="CG398" s="19"/>
      <c r="CH398" s="19"/>
      <c r="CI398" s="19"/>
      <c r="CJ398" s="19"/>
      <c r="CK398" s="19"/>
      <c r="CL398" s="19"/>
      <c r="CM398" s="19" t="str">
        <f>$K398</f>
        <v>2026 Rivian R1T Performance Dual Large (22in)</v>
      </c>
      <c r="CN398" s="19"/>
      <c r="CO398" s="19"/>
      <c r="CP398" s="19"/>
      <c r="CQ398" s="19"/>
      <c r="CR398" s="19"/>
      <c r="CS398" s="19"/>
      <c r="CT398" s="19"/>
      <c r="CU398" s="19"/>
      <c r="CV398" s="19"/>
      <c r="CW398" s="19"/>
      <c r="CX398" s="19"/>
      <c r="CY398" s="19"/>
      <c r="CZ398" s="19"/>
      <c r="DA398" s="19"/>
      <c r="DB398" s="19"/>
      <c r="DC398" s="19"/>
      <c r="DD398" s="19" t="str">
        <f>$K398</f>
        <v>2026 Rivian R1T Performance Dual Large (22in)</v>
      </c>
      <c r="DE398" s="19"/>
      <c r="DF398" s="19"/>
      <c r="DG398" s="19"/>
      <c r="DH398" s="19"/>
      <c r="DI398" s="19"/>
      <c r="DJ398" s="19"/>
      <c r="DK398" s="19"/>
      <c r="DL398" s="19"/>
      <c r="DM398" s="19"/>
      <c r="DN398" s="19"/>
      <c r="DO398" s="19"/>
      <c r="DP398" s="19"/>
      <c r="DQ398" s="19"/>
      <c r="DR398" s="19"/>
      <c r="DS398" s="19"/>
      <c r="DT398" s="19"/>
      <c r="DU398" s="19" t="str">
        <f>$K398</f>
        <v>2026 Rivian R1T Performance Dual Large (22in)</v>
      </c>
      <c r="DV398" s="19"/>
      <c r="DW398" s="19"/>
      <c r="DX398" s="19"/>
      <c r="DY398" s="19"/>
      <c r="DZ398" s="19"/>
      <c r="EA398" s="117"/>
      <c r="EB398" s="19"/>
      <c r="EC398" s="19"/>
      <c r="ED398" s="19"/>
      <c r="EE398" s="19"/>
      <c r="EF398" s="19"/>
      <c r="EX398" s="19" t="s">
        <v>2051</v>
      </c>
    </row>
    <row r="399" spans="1:165" x14ac:dyDescent="0.35">
      <c r="A399">
        <v>2026</v>
      </c>
      <c r="B399" t="s">
        <v>1553</v>
      </c>
      <c r="C399" s="112" t="s">
        <v>1554</v>
      </c>
      <c r="D399" t="s">
        <v>1603</v>
      </c>
      <c r="E399" t="s">
        <v>1556</v>
      </c>
      <c r="F399">
        <v>97</v>
      </c>
      <c r="G399" s="113">
        <v>0</v>
      </c>
      <c r="I399" t="s">
        <v>1391</v>
      </c>
      <c r="J399">
        <v>94</v>
      </c>
      <c r="K399">
        <v>77</v>
      </c>
      <c r="L399">
        <v>85</v>
      </c>
      <c r="M399">
        <v>133</v>
      </c>
      <c r="N399">
        <v>109</v>
      </c>
      <c r="O399">
        <v>121.101</v>
      </c>
      <c r="P399">
        <v>93.919300000000007</v>
      </c>
      <c r="Q399">
        <v>76.855900000000005</v>
      </c>
      <c r="R399">
        <v>85.388300000000001</v>
      </c>
      <c r="V399" t="s">
        <v>170</v>
      </c>
      <c r="W399" t="s">
        <v>171</v>
      </c>
      <c r="Y399">
        <v>1</v>
      </c>
      <c r="Z399" t="s">
        <v>173</v>
      </c>
      <c r="AA399" t="s">
        <v>173</v>
      </c>
      <c r="AB399">
        <v>4</v>
      </c>
      <c r="AC399" t="s">
        <v>423</v>
      </c>
      <c r="AF399">
        <v>329</v>
      </c>
      <c r="AG399" t="s">
        <v>1392</v>
      </c>
      <c r="AH399" t="s">
        <v>1393</v>
      </c>
      <c r="AI399" t="s">
        <v>178</v>
      </c>
      <c r="AJ399" t="s">
        <v>179</v>
      </c>
      <c r="AK399">
        <v>4</v>
      </c>
      <c r="AL399" t="s">
        <v>1394</v>
      </c>
      <c r="AS399">
        <v>1000</v>
      </c>
      <c r="AT399">
        <v>1000</v>
      </c>
      <c r="BN399" s="114"/>
      <c r="BQ399">
        <v>13</v>
      </c>
      <c r="BR399" t="s">
        <v>712</v>
      </c>
      <c r="BT399" t="s">
        <v>1402</v>
      </c>
      <c r="BU399" s="115">
        <v>45792</v>
      </c>
      <c r="BV399">
        <v>36519</v>
      </c>
      <c r="BW399" s="116"/>
      <c r="BY399" t="s">
        <v>173</v>
      </c>
      <c r="CB399" t="s">
        <v>173</v>
      </c>
      <c r="CC399" t="s">
        <v>173</v>
      </c>
      <c r="CK399" t="s">
        <v>259</v>
      </c>
      <c r="CM399">
        <v>1</v>
      </c>
      <c r="CN399" t="s">
        <v>260</v>
      </c>
      <c r="CP399">
        <v>406</v>
      </c>
      <c r="CQ399">
        <v>286</v>
      </c>
      <c r="CR399">
        <v>273</v>
      </c>
      <c r="CS399" t="s">
        <v>1437</v>
      </c>
      <c r="CV399" t="s">
        <v>262</v>
      </c>
      <c r="CX399" t="s">
        <v>263</v>
      </c>
      <c r="CY399" t="s">
        <v>172</v>
      </c>
      <c r="DC399" t="s">
        <v>1596</v>
      </c>
      <c r="DD399">
        <v>2</v>
      </c>
      <c r="DE399" t="s">
        <v>307</v>
      </c>
      <c r="DF399" t="s">
        <v>988</v>
      </c>
      <c r="DG399">
        <v>264</v>
      </c>
      <c r="DL399" t="s">
        <v>173</v>
      </c>
      <c r="DM399" t="s">
        <v>172</v>
      </c>
      <c r="DP399" t="s">
        <v>173</v>
      </c>
      <c r="DQ399" t="s">
        <v>189</v>
      </c>
      <c r="DR399" t="s">
        <v>1604</v>
      </c>
      <c r="EA399" s="117"/>
      <c r="EB399">
        <v>9</v>
      </c>
      <c r="EC399">
        <v>10</v>
      </c>
      <c r="EE399" t="s">
        <v>1598</v>
      </c>
      <c r="EF399">
        <v>10</v>
      </c>
      <c r="EU399">
        <v>3500</v>
      </c>
      <c r="EW399">
        <v>0</v>
      </c>
      <c r="EX399">
        <v>0</v>
      </c>
      <c r="EY399">
        <v>0</v>
      </c>
      <c r="FA399">
        <v>12</v>
      </c>
      <c r="FG399" s="94">
        <v>358</v>
      </c>
      <c r="FH399" s="94">
        <v>293</v>
      </c>
      <c r="FI399" s="94">
        <v>329</v>
      </c>
    </row>
    <row r="400" spans="1:165" x14ac:dyDescent="0.35">
      <c r="A400">
        <v>2026</v>
      </c>
      <c r="B400" t="s">
        <v>1553</v>
      </c>
      <c r="C400" s="112" t="s">
        <v>1554</v>
      </c>
      <c r="D400" t="s">
        <v>1603</v>
      </c>
      <c r="E400" t="s">
        <v>1556</v>
      </c>
      <c r="F400">
        <v>97</v>
      </c>
      <c r="G400" s="113">
        <v>0</v>
      </c>
      <c r="I400" t="s">
        <v>1391</v>
      </c>
      <c r="J400">
        <v>36</v>
      </c>
      <c r="K400">
        <v>44</v>
      </c>
      <c r="L400">
        <v>39</v>
      </c>
      <c r="M400">
        <v>25.3094</v>
      </c>
      <c r="N400">
        <v>30.915800000000001</v>
      </c>
      <c r="O400">
        <v>27.8323</v>
      </c>
      <c r="P400">
        <v>35.8872</v>
      </c>
      <c r="Q400">
        <v>43.854799999999997</v>
      </c>
      <c r="R400">
        <v>39.4726</v>
      </c>
      <c r="V400" t="s">
        <v>170</v>
      </c>
      <c r="W400" t="s">
        <v>171</v>
      </c>
      <c r="Y400">
        <v>1</v>
      </c>
      <c r="Z400" t="s">
        <v>173</v>
      </c>
      <c r="AA400" t="s">
        <v>173</v>
      </c>
      <c r="AB400">
        <v>4</v>
      </c>
      <c r="AC400" t="s">
        <v>423</v>
      </c>
      <c r="AF400">
        <v>329</v>
      </c>
      <c r="AG400" t="s">
        <v>1392</v>
      </c>
      <c r="AH400" t="s">
        <v>1393</v>
      </c>
      <c r="AI400" t="s">
        <v>1399</v>
      </c>
      <c r="AJ400" t="s">
        <v>1400</v>
      </c>
      <c r="AK400">
        <v>4</v>
      </c>
      <c r="AL400" t="s">
        <v>1394</v>
      </c>
      <c r="AS400">
        <v>1000</v>
      </c>
      <c r="AT400">
        <v>1000</v>
      </c>
      <c r="BN400" s="114"/>
      <c r="BQ400">
        <v>13</v>
      </c>
      <c r="BR400" t="s">
        <v>712</v>
      </c>
      <c r="BT400" t="s">
        <v>1402</v>
      </c>
      <c r="BU400" s="115">
        <v>45792</v>
      </c>
      <c r="BV400">
        <v>36519</v>
      </c>
      <c r="BW400" s="116"/>
      <c r="BY400" t="s">
        <v>173</v>
      </c>
      <c r="CB400" t="s">
        <v>173</v>
      </c>
      <c r="CC400" t="s">
        <v>173</v>
      </c>
      <c r="CK400" t="s">
        <v>259</v>
      </c>
      <c r="CM400">
        <v>1</v>
      </c>
      <c r="CN400" t="s">
        <v>260</v>
      </c>
      <c r="CP400">
        <v>406</v>
      </c>
      <c r="CQ400">
        <v>286</v>
      </c>
      <c r="CR400">
        <v>273</v>
      </c>
      <c r="CS400" t="s">
        <v>1437</v>
      </c>
      <c r="CV400" t="s">
        <v>262</v>
      </c>
      <c r="CX400" t="s">
        <v>263</v>
      </c>
      <c r="CY400" t="s">
        <v>172</v>
      </c>
      <c r="DC400" t="s">
        <v>1596</v>
      </c>
      <c r="DD400">
        <v>2</v>
      </c>
      <c r="DE400" t="s">
        <v>307</v>
      </c>
      <c r="DF400" t="s">
        <v>988</v>
      </c>
      <c r="DG400">
        <v>264</v>
      </c>
      <c r="DL400" t="s">
        <v>173</v>
      </c>
      <c r="DM400" t="s">
        <v>172</v>
      </c>
      <c r="DP400" t="s">
        <v>173</v>
      </c>
      <c r="DQ400" t="s">
        <v>189</v>
      </c>
      <c r="DR400" t="s">
        <v>1604</v>
      </c>
      <c r="EA400" s="117"/>
      <c r="EB400">
        <v>9</v>
      </c>
      <c r="EC400">
        <v>10</v>
      </c>
      <c r="EE400" t="s">
        <v>1598</v>
      </c>
      <c r="EF400">
        <v>10</v>
      </c>
      <c r="EU400">
        <v>3500</v>
      </c>
      <c r="EW400">
        <v>0</v>
      </c>
      <c r="EX400">
        <v>0</v>
      </c>
      <c r="EY400">
        <v>0</v>
      </c>
      <c r="FA400">
        <v>12</v>
      </c>
      <c r="FG400" s="94">
        <v>358</v>
      </c>
      <c r="FH400" s="94">
        <v>293</v>
      </c>
      <c r="FI400" s="94">
        <v>329</v>
      </c>
    </row>
    <row r="401" spans="1:165" x14ac:dyDescent="0.35">
      <c r="A401" s="19"/>
      <c r="B401" s="19"/>
      <c r="C401" s="19"/>
      <c r="D401" s="19"/>
      <c r="E401" s="19"/>
      <c r="F401" s="128"/>
      <c r="G401" s="19"/>
      <c r="H401" s="19"/>
      <c r="I401" s="19"/>
      <c r="J401" s="19"/>
      <c r="K401" s="19" t="str">
        <f>_xlfn.CONCAT(A402," ",C402," ",D402)</f>
        <v>2026 Rivian R1T Performance Dual Large Plus (20in)</v>
      </c>
      <c r="L401" s="19"/>
      <c r="M401" s="19"/>
      <c r="N401" s="19"/>
      <c r="O401" s="19"/>
      <c r="P401" s="19"/>
      <c r="Q401" s="19"/>
      <c r="R401" s="19"/>
      <c r="S401" s="19"/>
      <c r="T401" s="19"/>
      <c r="U401" s="19"/>
      <c r="V401" s="19"/>
      <c r="W401" s="19"/>
      <c r="X401" s="19"/>
      <c r="Y401" s="19"/>
      <c r="Z401" s="19"/>
      <c r="AA401" s="19"/>
      <c r="AB401" s="19" t="str">
        <f>$K401</f>
        <v>2026 Rivian R1T Performance Dual Large Plus (20in)</v>
      </c>
      <c r="AC401" s="19"/>
      <c r="AD401" s="19"/>
      <c r="AE401" s="19"/>
      <c r="AF401" s="19"/>
      <c r="AG401" s="19"/>
      <c r="AH401" s="19"/>
      <c r="AI401" s="19"/>
      <c r="AJ401" s="19"/>
      <c r="AK401" s="19"/>
      <c r="AL401" s="19"/>
      <c r="AM401" s="19"/>
      <c r="AN401" s="19"/>
      <c r="AO401" s="19"/>
      <c r="AP401" s="19"/>
      <c r="AQ401" s="19"/>
      <c r="AR401" s="19" t="str">
        <f>$K401</f>
        <v>2026 Rivian R1T Performance Dual Large Plus (20in)</v>
      </c>
      <c r="AS401" s="19"/>
      <c r="AT401" s="19"/>
      <c r="AU401" s="19"/>
      <c r="AV401" s="19"/>
      <c r="AW401" s="19"/>
      <c r="AX401" s="19"/>
      <c r="AY401" s="19"/>
      <c r="AZ401" s="19"/>
      <c r="BA401" s="19"/>
      <c r="BB401" s="19"/>
      <c r="BC401" s="19"/>
      <c r="BD401" s="19"/>
      <c r="BE401" s="19"/>
      <c r="BF401" s="19"/>
      <c r="BG401" s="19" t="str">
        <f>$K401</f>
        <v>2026 Rivian R1T Performance Dual Large Plus (20in)</v>
      </c>
      <c r="BH401" s="19"/>
      <c r="BI401" s="19"/>
      <c r="BJ401" s="19"/>
      <c r="BK401" s="19"/>
      <c r="BL401" s="19"/>
      <c r="BM401" s="129"/>
      <c r="BN401" s="19"/>
      <c r="BO401" s="19"/>
      <c r="BP401" s="19"/>
      <c r="BQ401" s="19"/>
      <c r="BR401" s="19"/>
      <c r="BS401" s="19"/>
      <c r="BT401" s="130"/>
      <c r="BU401" s="19"/>
      <c r="BV401" s="19"/>
      <c r="BW401" s="116"/>
      <c r="BX401" s="19"/>
      <c r="BY401" s="19"/>
      <c r="BZ401" s="19"/>
      <c r="CA401" s="19"/>
      <c r="CB401" s="19"/>
      <c r="CC401" s="19"/>
      <c r="CD401" s="19"/>
      <c r="CE401" s="19"/>
      <c r="CF401" s="19"/>
      <c r="CG401" s="19"/>
      <c r="CH401" s="19"/>
      <c r="CI401" s="19"/>
      <c r="CJ401" s="19"/>
      <c r="CK401" s="19"/>
      <c r="CL401" s="19"/>
      <c r="CM401" s="19" t="str">
        <f>$K401</f>
        <v>2026 Rivian R1T Performance Dual Large Plus (20in)</v>
      </c>
      <c r="CN401" s="19"/>
      <c r="CO401" s="19"/>
      <c r="CP401" s="19"/>
      <c r="CQ401" s="19"/>
      <c r="CR401" s="19"/>
      <c r="CS401" s="19"/>
      <c r="CT401" s="19"/>
      <c r="CU401" s="19"/>
      <c r="CV401" s="19"/>
      <c r="CW401" s="19"/>
      <c r="CX401" s="19"/>
      <c r="CY401" s="19"/>
      <c r="CZ401" s="19"/>
      <c r="DA401" s="19"/>
      <c r="DB401" s="19"/>
      <c r="DC401" s="19"/>
      <c r="DD401" s="19" t="str">
        <f>$K401</f>
        <v>2026 Rivian R1T Performance Dual Large Plus (20in)</v>
      </c>
      <c r="DE401" s="19"/>
      <c r="DF401" s="19"/>
      <c r="DG401" s="19"/>
      <c r="DH401" s="19"/>
      <c r="DI401" s="19"/>
      <c r="DJ401" s="19"/>
      <c r="DK401" s="19"/>
      <c r="DL401" s="19"/>
      <c r="DM401" s="19"/>
      <c r="DN401" s="19"/>
      <c r="DO401" s="19"/>
      <c r="DP401" s="19"/>
      <c r="DQ401" s="19"/>
      <c r="DR401" s="19"/>
      <c r="DS401" s="19"/>
      <c r="DT401" s="19"/>
      <c r="DU401" s="19" t="str">
        <f>$K401</f>
        <v>2026 Rivian R1T Performance Dual Large Plus (20in)</v>
      </c>
      <c r="DV401" s="19"/>
      <c r="DW401" s="19"/>
      <c r="DX401" s="19"/>
      <c r="DY401" s="19"/>
      <c r="DZ401" s="19"/>
      <c r="EA401" s="117"/>
      <c r="EB401" s="19"/>
      <c r="EC401" s="19"/>
      <c r="ED401" s="19"/>
      <c r="EE401" s="19"/>
      <c r="EF401" s="19"/>
      <c r="EX401" s="19" t="s">
        <v>2052</v>
      </c>
    </row>
    <row r="402" spans="1:165" x14ac:dyDescent="0.35">
      <c r="A402">
        <v>2026</v>
      </c>
      <c r="B402" t="s">
        <v>1553</v>
      </c>
      <c r="C402" s="112" t="s">
        <v>1554</v>
      </c>
      <c r="D402" t="s">
        <v>1586</v>
      </c>
      <c r="E402" t="s">
        <v>1556</v>
      </c>
      <c r="F402">
        <v>85</v>
      </c>
      <c r="G402" s="113">
        <v>0</v>
      </c>
      <c r="I402" t="s">
        <v>1391</v>
      </c>
      <c r="J402">
        <v>85</v>
      </c>
      <c r="K402">
        <v>72</v>
      </c>
      <c r="L402">
        <v>78</v>
      </c>
      <c r="M402">
        <v>120.8</v>
      </c>
      <c r="N402">
        <v>102.2</v>
      </c>
      <c r="O402">
        <v>111.65560000000001</v>
      </c>
      <c r="P402">
        <v>84.56</v>
      </c>
      <c r="Q402">
        <v>71.540000000000006</v>
      </c>
      <c r="R402">
        <v>78.158900000000003</v>
      </c>
      <c r="V402" t="s">
        <v>170</v>
      </c>
      <c r="W402" t="s">
        <v>171</v>
      </c>
      <c r="Y402">
        <v>1</v>
      </c>
      <c r="Z402" t="s">
        <v>173</v>
      </c>
      <c r="AA402" t="s">
        <v>173</v>
      </c>
      <c r="AB402">
        <v>4</v>
      </c>
      <c r="AC402" t="s">
        <v>423</v>
      </c>
      <c r="AF402">
        <v>317</v>
      </c>
      <c r="AG402" t="s">
        <v>1392</v>
      </c>
      <c r="AH402" t="s">
        <v>1393</v>
      </c>
      <c r="AI402" t="s">
        <v>178</v>
      </c>
      <c r="AJ402" t="s">
        <v>179</v>
      </c>
      <c r="AK402">
        <v>4</v>
      </c>
      <c r="AL402" t="s">
        <v>1394</v>
      </c>
      <c r="AS402">
        <v>1100</v>
      </c>
      <c r="AT402">
        <v>1100</v>
      </c>
      <c r="BN402" s="114"/>
      <c r="BQ402">
        <v>13</v>
      </c>
      <c r="BR402" t="s">
        <v>712</v>
      </c>
      <c r="BT402" t="s">
        <v>1402</v>
      </c>
      <c r="BU402" s="115">
        <v>45792</v>
      </c>
      <c r="BV402">
        <v>36508</v>
      </c>
      <c r="BW402" s="116"/>
      <c r="BY402" t="s">
        <v>173</v>
      </c>
      <c r="CB402" t="s">
        <v>173</v>
      </c>
      <c r="CC402" t="s">
        <v>173</v>
      </c>
      <c r="CK402" t="s">
        <v>259</v>
      </c>
      <c r="CM402">
        <v>1</v>
      </c>
      <c r="CN402" t="s">
        <v>260</v>
      </c>
      <c r="CP402">
        <v>392</v>
      </c>
      <c r="CQ402">
        <v>382</v>
      </c>
      <c r="CR402">
        <v>190</v>
      </c>
      <c r="CS402" t="s">
        <v>1437</v>
      </c>
      <c r="CV402" t="s">
        <v>262</v>
      </c>
      <c r="CX402" t="s">
        <v>263</v>
      </c>
      <c r="CY402" t="s">
        <v>172</v>
      </c>
      <c r="DC402" t="s">
        <v>1558</v>
      </c>
      <c r="DD402">
        <v>2</v>
      </c>
      <c r="DE402" t="s">
        <v>307</v>
      </c>
      <c r="DF402" t="s">
        <v>988</v>
      </c>
      <c r="DG402">
        <v>264</v>
      </c>
      <c r="DL402" t="s">
        <v>173</v>
      </c>
      <c r="DM402" t="s">
        <v>172</v>
      </c>
      <c r="DP402" t="s">
        <v>173</v>
      </c>
      <c r="DQ402" t="s">
        <v>189</v>
      </c>
      <c r="DR402" t="s">
        <v>1587</v>
      </c>
      <c r="EA402" s="117"/>
      <c r="EB402">
        <v>9</v>
      </c>
      <c r="EC402">
        <v>10</v>
      </c>
      <c r="EE402" t="s">
        <v>1565</v>
      </c>
      <c r="EF402">
        <v>10</v>
      </c>
      <c r="EU402">
        <v>3000</v>
      </c>
      <c r="EW402">
        <v>0</v>
      </c>
      <c r="EX402">
        <v>0</v>
      </c>
      <c r="EY402">
        <v>0</v>
      </c>
      <c r="FA402">
        <v>12</v>
      </c>
      <c r="FG402" s="94">
        <v>341</v>
      </c>
      <c r="FH402" s="94">
        <v>288</v>
      </c>
      <c r="FI402" s="94">
        <v>317</v>
      </c>
    </row>
    <row r="403" spans="1:165" x14ac:dyDescent="0.35">
      <c r="A403">
        <v>2026</v>
      </c>
      <c r="B403" t="s">
        <v>1553</v>
      </c>
      <c r="C403" s="112" t="s">
        <v>1554</v>
      </c>
      <c r="D403" t="s">
        <v>1586</v>
      </c>
      <c r="E403" t="s">
        <v>1556</v>
      </c>
      <c r="F403">
        <v>85</v>
      </c>
      <c r="G403" s="113">
        <v>0</v>
      </c>
      <c r="I403" t="s">
        <v>1391</v>
      </c>
      <c r="J403">
        <v>40</v>
      </c>
      <c r="K403">
        <v>47</v>
      </c>
      <c r="L403">
        <v>43</v>
      </c>
      <c r="M403">
        <v>27.901399999999999</v>
      </c>
      <c r="N403">
        <v>32.988999999999997</v>
      </c>
      <c r="O403">
        <v>30.190799999999999</v>
      </c>
      <c r="P403">
        <v>39.859299999999998</v>
      </c>
      <c r="Q403">
        <v>47.113500000000002</v>
      </c>
      <c r="R403">
        <v>43.123699999999999</v>
      </c>
      <c r="V403" t="s">
        <v>170</v>
      </c>
      <c r="W403" t="s">
        <v>171</v>
      </c>
      <c r="Y403">
        <v>1</v>
      </c>
      <c r="Z403" t="s">
        <v>173</v>
      </c>
      <c r="AA403" t="s">
        <v>173</v>
      </c>
      <c r="AB403">
        <v>4</v>
      </c>
      <c r="AC403" t="s">
        <v>423</v>
      </c>
      <c r="AF403">
        <v>317</v>
      </c>
      <c r="AG403" t="s">
        <v>1392</v>
      </c>
      <c r="AH403" t="s">
        <v>1393</v>
      </c>
      <c r="AI403" t="s">
        <v>1399</v>
      </c>
      <c r="AJ403" t="s">
        <v>1400</v>
      </c>
      <c r="AK403">
        <v>4</v>
      </c>
      <c r="AL403" t="s">
        <v>1394</v>
      </c>
      <c r="AS403">
        <v>1100</v>
      </c>
      <c r="AT403">
        <v>1100</v>
      </c>
      <c r="BN403" s="114"/>
      <c r="BQ403">
        <v>13</v>
      </c>
      <c r="BR403" t="s">
        <v>712</v>
      </c>
      <c r="BT403" t="s">
        <v>1402</v>
      </c>
      <c r="BU403" s="115">
        <v>45792</v>
      </c>
      <c r="BV403">
        <v>36508</v>
      </c>
      <c r="BW403" s="116"/>
      <c r="BY403" t="s">
        <v>173</v>
      </c>
      <c r="CB403" t="s">
        <v>173</v>
      </c>
      <c r="CC403" t="s">
        <v>173</v>
      </c>
      <c r="CK403" t="s">
        <v>259</v>
      </c>
      <c r="CM403">
        <v>1</v>
      </c>
      <c r="CN403" t="s">
        <v>260</v>
      </c>
      <c r="CP403">
        <v>392</v>
      </c>
      <c r="CQ403">
        <v>382</v>
      </c>
      <c r="CR403">
        <v>190</v>
      </c>
      <c r="CS403" t="s">
        <v>1437</v>
      </c>
      <c r="CV403" t="s">
        <v>262</v>
      </c>
      <c r="CX403" t="s">
        <v>263</v>
      </c>
      <c r="CY403" t="s">
        <v>172</v>
      </c>
      <c r="DC403" t="s">
        <v>1558</v>
      </c>
      <c r="DD403">
        <v>2</v>
      </c>
      <c r="DE403" t="s">
        <v>307</v>
      </c>
      <c r="DF403" t="s">
        <v>988</v>
      </c>
      <c r="DG403">
        <v>264</v>
      </c>
      <c r="DL403" t="s">
        <v>173</v>
      </c>
      <c r="DM403" t="s">
        <v>172</v>
      </c>
      <c r="DP403" t="s">
        <v>173</v>
      </c>
      <c r="DQ403" t="s">
        <v>189</v>
      </c>
      <c r="DR403" t="s">
        <v>1587</v>
      </c>
      <c r="EA403" s="117"/>
      <c r="EB403">
        <v>9</v>
      </c>
      <c r="EC403">
        <v>10</v>
      </c>
      <c r="EE403" t="s">
        <v>1565</v>
      </c>
      <c r="EF403">
        <v>10</v>
      </c>
      <c r="EU403">
        <v>3000</v>
      </c>
      <c r="EW403">
        <v>0</v>
      </c>
      <c r="EX403">
        <v>0</v>
      </c>
      <c r="EY403">
        <v>0</v>
      </c>
      <c r="FA403">
        <v>12</v>
      </c>
      <c r="FG403" s="94">
        <v>341</v>
      </c>
      <c r="FH403" s="94">
        <v>288</v>
      </c>
      <c r="FI403" s="94">
        <v>317</v>
      </c>
    </row>
    <row r="404" spans="1:165" x14ac:dyDescent="0.35">
      <c r="A404" s="19"/>
      <c r="B404" s="19"/>
      <c r="C404" s="19"/>
      <c r="D404" s="19"/>
      <c r="E404" s="19"/>
      <c r="F404" s="128"/>
      <c r="G404" s="19"/>
      <c r="H404" s="19"/>
      <c r="I404" s="19"/>
      <c r="J404" s="19"/>
      <c r="K404" s="19" t="str">
        <f>_xlfn.CONCAT(A405," ",C405," ",D405)</f>
        <v>2026 Rivian R1T Performance Dual Large Plus (22in)</v>
      </c>
      <c r="L404" s="19"/>
      <c r="M404" s="19"/>
      <c r="N404" s="19"/>
      <c r="O404" s="19"/>
      <c r="P404" s="19"/>
      <c r="Q404" s="19"/>
      <c r="R404" s="19"/>
      <c r="S404" s="19"/>
      <c r="T404" s="19"/>
      <c r="U404" s="19"/>
      <c r="V404" s="19"/>
      <c r="W404" s="19"/>
      <c r="X404" s="19"/>
      <c r="Y404" s="19"/>
      <c r="Z404" s="19"/>
      <c r="AA404" s="19"/>
      <c r="AB404" s="19" t="str">
        <f>$K404</f>
        <v>2026 Rivian R1T Performance Dual Large Plus (22in)</v>
      </c>
      <c r="AC404" s="19"/>
      <c r="AD404" s="19"/>
      <c r="AE404" s="19"/>
      <c r="AF404" s="19"/>
      <c r="AG404" s="19"/>
      <c r="AH404" s="19"/>
      <c r="AI404" s="19"/>
      <c r="AJ404" s="19"/>
      <c r="AK404" s="19"/>
      <c r="AL404" s="19"/>
      <c r="AM404" s="19"/>
      <c r="AN404" s="19"/>
      <c r="AO404" s="19"/>
      <c r="AP404" s="19"/>
      <c r="AQ404" s="19"/>
      <c r="AR404" s="19" t="str">
        <f>$K404</f>
        <v>2026 Rivian R1T Performance Dual Large Plus (22in)</v>
      </c>
      <c r="AS404" s="19"/>
      <c r="AT404" s="19"/>
      <c r="AU404" s="19"/>
      <c r="AV404" s="19"/>
      <c r="AW404" s="19"/>
      <c r="AX404" s="19"/>
      <c r="AY404" s="19"/>
      <c r="AZ404" s="19"/>
      <c r="BA404" s="19"/>
      <c r="BB404" s="19"/>
      <c r="BC404" s="19"/>
      <c r="BD404" s="19"/>
      <c r="BE404" s="19"/>
      <c r="BF404" s="19"/>
      <c r="BG404" s="19" t="str">
        <f>$K404</f>
        <v>2026 Rivian R1T Performance Dual Large Plus (22in)</v>
      </c>
      <c r="BH404" s="19"/>
      <c r="BI404" s="19"/>
      <c r="BJ404" s="19"/>
      <c r="BK404" s="19"/>
      <c r="BL404" s="19"/>
      <c r="BM404" s="129"/>
      <c r="BN404" s="19"/>
      <c r="BO404" s="19"/>
      <c r="BP404" s="19"/>
      <c r="BQ404" s="19"/>
      <c r="BR404" s="19"/>
      <c r="BS404" s="19"/>
      <c r="BT404" s="130"/>
      <c r="BU404" s="19"/>
      <c r="BV404" s="19"/>
      <c r="BW404" s="116"/>
      <c r="BX404" s="19"/>
      <c r="BY404" s="19"/>
      <c r="BZ404" s="19"/>
      <c r="CA404" s="19"/>
      <c r="CB404" s="19"/>
      <c r="CC404" s="19"/>
      <c r="CD404" s="19"/>
      <c r="CE404" s="19"/>
      <c r="CF404" s="19"/>
      <c r="CG404" s="19"/>
      <c r="CH404" s="19"/>
      <c r="CI404" s="19"/>
      <c r="CJ404" s="19"/>
      <c r="CK404" s="19"/>
      <c r="CL404" s="19"/>
      <c r="CM404" s="19" t="str">
        <f>$K404</f>
        <v>2026 Rivian R1T Performance Dual Large Plus (22in)</v>
      </c>
      <c r="CN404" s="19"/>
      <c r="CO404" s="19"/>
      <c r="CP404" s="19"/>
      <c r="CQ404" s="19"/>
      <c r="CR404" s="19"/>
      <c r="CS404" s="19"/>
      <c r="CT404" s="19"/>
      <c r="CU404" s="19"/>
      <c r="CV404" s="19"/>
      <c r="CW404" s="19"/>
      <c r="CX404" s="19"/>
      <c r="CY404" s="19"/>
      <c r="CZ404" s="19"/>
      <c r="DA404" s="19"/>
      <c r="DB404" s="19"/>
      <c r="DC404" s="19"/>
      <c r="DD404" s="19" t="str">
        <f>$K404</f>
        <v>2026 Rivian R1T Performance Dual Large Plus (22in)</v>
      </c>
      <c r="DE404" s="19"/>
      <c r="DF404" s="19"/>
      <c r="DG404" s="19"/>
      <c r="DH404" s="19"/>
      <c r="DI404" s="19"/>
      <c r="DJ404" s="19"/>
      <c r="DK404" s="19"/>
      <c r="DL404" s="19"/>
      <c r="DM404" s="19"/>
      <c r="DN404" s="19"/>
      <c r="DO404" s="19"/>
      <c r="DP404" s="19"/>
      <c r="DQ404" s="19"/>
      <c r="DR404" s="19"/>
      <c r="DS404" s="19"/>
      <c r="DT404" s="19"/>
      <c r="DU404" s="19" t="str">
        <f>$K404</f>
        <v>2026 Rivian R1T Performance Dual Large Plus (22in)</v>
      </c>
      <c r="DV404" s="19"/>
      <c r="DW404" s="19"/>
      <c r="DX404" s="19"/>
      <c r="DY404" s="19"/>
      <c r="DZ404" s="19"/>
      <c r="EA404" s="117"/>
      <c r="EB404" s="19"/>
      <c r="EC404" s="19"/>
      <c r="ED404" s="19"/>
      <c r="EE404" s="19"/>
      <c r="EF404" s="19"/>
      <c r="EX404" s="19" t="s">
        <v>2053</v>
      </c>
    </row>
    <row r="405" spans="1:165" x14ac:dyDescent="0.35">
      <c r="A405">
        <v>2026</v>
      </c>
      <c r="B405" t="s">
        <v>1553</v>
      </c>
      <c r="C405" s="112" t="s">
        <v>1554</v>
      </c>
      <c r="D405" t="s">
        <v>1580</v>
      </c>
      <c r="E405" t="s">
        <v>1556</v>
      </c>
      <c r="F405">
        <v>79</v>
      </c>
      <c r="G405" s="113">
        <v>0</v>
      </c>
      <c r="I405" t="s">
        <v>1391</v>
      </c>
      <c r="J405">
        <v>89</v>
      </c>
      <c r="K405">
        <v>75</v>
      </c>
      <c r="L405">
        <v>82</v>
      </c>
      <c r="M405">
        <v>127.3</v>
      </c>
      <c r="N405">
        <v>107.8</v>
      </c>
      <c r="O405">
        <v>117.71769999999999</v>
      </c>
      <c r="P405">
        <v>89.11</v>
      </c>
      <c r="Q405">
        <v>75.459999999999994</v>
      </c>
      <c r="R405">
        <v>82.4024</v>
      </c>
      <c r="V405" t="s">
        <v>170</v>
      </c>
      <c r="W405" t="s">
        <v>171</v>
      </c>
      <c r="Y405">
        <v>1</v>
      </c>
      <c r="Z405" t="s">
        <v>173</v>
      </c>
      <c r="AA405" t="s">
        <v>173</v>
      </c>
      <c r="AB405">
        <v>4</v>
      </c>
      <c r="AC405" t="s">
        <v>423</v>
      </c>
      <c r="AF405">
        <v>330</v>
      </c>
      <c r="AG405" t="s">
        <v>1392</v>
      </c>
      <c r="AH405" t="s">
        <v>1393</v>
      </c>
      <c r="AI405" t="s">
        <v>178</v>
      </c>
      <c r="AJ405" t="s">
        <v>179</v>
      </c>
      <c r="AK405">
        <v>4</v>
      </c>
      <c r="AL405" t="s">
        <v>1394</v>
      </c>
      <c r="AS405">
        <v>1050</v>
      </c>
      <c r="AT405">
        <v>1050</v>
      </c>
      <c r="BN405" s="114"/>
      <c r="BQ405">
        <v>13</v>
      </c>
      <c r="BR405" t="s">
        <v>712</v>
      </c>
      <c r="BT405" t="s">
        <v>1402</v>
      </c>
      <c r="BU405" s="115">
        <v>45792</v>
      </c>
      <c r="BV405">
        <v>36501</v>
      </c>
      <c r="BW405" s="116"/>
      <c r="BY405" t="s">
        <v>173</v>
      </c>
      <c r="CB405" t="s">
        <v>173</v>
      </c>
      <c r="CC405" t="s">
        <v>173</v>
      </c>
      <c r="CK405" t="s">
        <v>259</v>
      </c>
      <c r="CM405">
        <v>1</v>
      </c>
      <c r="CN405" t="s">
        <v>260</v>
      </c>
      <c r="CP405">
        <v>392</v>
      </c>
      <c r="CQ405">
        <v>382</v>
      </c>
      <c r="CR405">
        <v>190</v>
      </c>
      <c r="CS405" t="s">
        <v>1437</v>
      </c>
      <c r="CV405" t="s">
        <v>262</v>
      </c>
      <c r="CX405" t="s">
        <v>263</v>
      </c>
      <c r="CY405" t="s">
        <v>172</v>
      </c>
      <c r="DC405" t="s">
        <v>1558</v>
      </c>
      <c r="DD405">
        <v>2</v>
      </c>
      <c r="DE405" t="s">
        <v>307</v>
      </c>
      <c r="DF405" t="s">
        <v>988</v>
      </c>
      <c r="DG405">
        <v>264</v>
      </c>
      <c r="DL405" t="s">
        <v>173</v>
      </c>
      <c r="DM405" t="s">
        <v>172</v>
      </c>
      <c r="DP405" t="s">
        <v>173</v>
      </c>
      <c r="DQ405" t="s">
        <v>189</v>
      </c>
      <c r="DR405" t="s">
        <v>1581</v>
      </c>
      <c r="EA405" s="117"/>
      <c r="EB405">
        <v>9</v>
      </c>
      <c r="EC405">
        <v>10</v>
      </c>
      <c r="EE405" t="s">
        <v>1565</v>
      </c>
      <c r="EF405">
        <v>10</v>
      </c>
      <c r="EU405">
        <v>3250</v>
      </c>
      <c r="EW405">
        <v>0</v>
      </c>
      <c r="EX405">
        <v>0</v>
      </c>
      <c r="EY405">
        <v>0</v>
      </c>
      <c r="FA405">
        <v>12</v>
      </c>
      <c r="FG405" s="94">
        <v>354</v>
      </c>
      <c r="FH405" s="94">
        <v>300</v>
      </c>
      <c r="FI405" s="94">
        <v>330</v>
      </c>
    </row>
    <row r="406" spans="1:165" x14ac:dyDescent="0.35">
      <c r="A406">
        <v>2026</v>
      </c>
      <c r="B406" t="s">
        <v>1553</v>
      </c>
      <c r="C406" s="112" t="s">
        <v>1554</v>
      </c>
      <c r="D406" t="s">
        <v>1580</v>
      </c>
      <c r="E406" t="s">
        <v>1556</v>
      </c>
      <c r="F406">
        <v>79</v>
      </c>
      <c r="G406" s="113">
        <v>0</v>
      </c>
      <c r="I406" t="s">
        <v>1391</v>
      </c>
      <c r="J406">
        <v>38</v>
      </c>
      <c r="K406">
        <v>45</v>
      </c>
      <c r="L406">
        <v>41</v>
      </c>
      <c r="M406">
        <v>26.478100000000001</v>
      </c>
      <c r="N406">
        <v>31.275300000000001</v>
      </c>
      <c r="O406">
        <v>28.636900000000001</v>
      </c>
      <c r="P406">
        <v>37.823999999999998</v>
      </c>
      <c r="Q406">
        <v>44.665999999999997</v>
      </c>
      <c r="R406">
        <v>40.902900000000002</v>
      </c>
      <c r="V406" t="s">
        <v>170</v>
      </c>
      <c r="W406" t="s">
        <v>171</v>
      </c>
      <c r="Y406">
        <v>1</v>
      </c>
      <c r="Z406" t="s">
        <v>173</v>
      </c>
      <c r="AA406" t="s">
        <v>173</v>
      </c>
      <c r="AB406">
        <v>4</v>
      </c>
      <c r="AC406" t="s">
        <v>423</v>
      </c>
      <c r="AF406">
        <v>330</v>
      </c>
      <c r="AG406" t="s">
        <v>1392</v>
      </c>
      <c r="AH406" t="s">
        <v>1393</v>
      </c>
      <c r="AI406" t="s">
        <v>1399</v>
      </c>
      <c r="AJ406" t="s">
        <v>1400</v>
      </c>
      <c r="AK406">
        <v>4</v>
      </c>
      <c r="AL406" t="s">
        <v>1394</v>
      </c>
      <c r="AS406">
        <v>1050</v>
      </c>
      <c r="AT406">
        <v>1050</v>
      </c>
      <c r="BN406" s="114"/>
      <c r="BQ406">
        <v>13</v>
      </c>
      <c r="BR406" t="s">
        <v>712</v>
      </c>
      <c r="BT406" t="s">
        <v>1402</v>
      </c>
      <c r="BU406" s="115">
        <v>45792</v>
      </c>
      <c r="BV406">
        <v>36501</v>
      </c>
      <c r="BW406" s="116"/>
      <c r="BY406" t="s">
        <v>173</v>
      </c>
      <c r="CB406" t="s">
        <v>173</v>
      </c>
      <c r="CC406" t="s">
        <v>173</v>
      </c>
      <c r="CK406" t="s">
        <v>259</v>
      </c>
      <c r="CM406">
        <v>1</v>
      </c>
      <c r="CN406" t="s">
        <v>260</v>
      </c>
      <c r="CP406">
        <v>392</v>
      </c>
      <c r="CQ406">
        <v>382</v>
      </c>
      <c r="CR406">
        <v>190</v>
      </c>
      <c r="CS406" t="s">
        <v>1437</v>
      </c>
      <c r="CV406" t="s">
        <v>262</v>
      </c>
      <c r="CX406" t="s">
        <v>263</v>
      </c>
      <c r="CY406" t="s">
        <v>172</v>
      </c>
      <c r="DC406" t="s">
        <v>1558</v>
      </c>
      <c r="DD406">
        <v>2</v>
      </c>
      <c r="DE406" t="s">
        <v>307</v>
      </c>
      <c r="DF406" t="s">
        <v>988</v>
      </c>
      <c r="DG406">
        <v>264</v>
      </c>
      <c r="DL406" t="s">
        <v>173</v>
      </c>
      <c r="DM406" t="s">
        <v>172</v>
      </c>
      <c r="DP406" t="s">
        <v>173</v>
      </c>
      <c r="DQ406" t="s">
        <v>189</v>
      </c>
      <c r="DR406" t="s">
        <v>1581</v>
      </c>
      <c r="EA406" s="117"/>
      <c r="EB406">
        <v>9</v>
      </c>
      <c r="EC406">
        <v>10</v>
      </c>
      <c r="EE406" t="s">
        <v>1565</v>
      </c>
      <c r="EF406">
        <v>10</v>
      </c>
      <c r="EU406">
        <v>3250</v>
      </c>
      <c r="EW406">
        <v>0</v>
      </c>
      <c r="EX406">
        <v>0</v>
      </c>
      <c r="EY406">
        <v>0</v>
      </c>
      <c r="FA406">
        <v>12</v>
      </c>
      <c r="FG406" s="94">
        <v>354</v>
      </c>
      <c r="FH406" s="94">
        <v>300</v>
      </c>
      <c r="FI406" s="94">
        <v>330</v>
      </c>
    </row>
    <row r="407" spans="1:165" x14ac:dyDescent="0.35">
      <c r="A407" s="19"/>
      <c r="B407" s="19"/>
      <c r="C407" s="19"/>
      <c r="D407" s="19"/>
      <c r="E407" s="19"/>
      <c r="F407" s="128"/>
      <c r="G407" s="19"/>
      <c r="H407" s="19"/>
      <c r="I407" s="19"/>
      <c r="J407" s="19"/>
      <c r="K407" s="19" t="str">
        <f>_xlfn.CONCAT(A408," ",C408," ",D408)</f>
        <v>2026 Rivian R1T Performance Dual Max (20in)</v>
      </c>
      <c r="L407" s="19"/>
      <c r="M407" s="19"/>
      <c r="N407" s="19"/>
      <c r="O407" s="19"/>
      <c r="P407" s="19"/>
      <c r="Q407" s="19"/>
      <c r="R407" s="19"/>
      <c r="S407" s="19"/>
      <c r="T407" s="19"/>
      <c r="U407" s="19"/>
      <c r="V407" s="19"/>
      <c r="W407" s="19"/>
      <c r="X407" s="19"/>
      <c r="Y407" s="19"/>
      <c r="Z407" s="19"/>
      <c r="AA407" s="19"/>
      <c r="AB407" s="19" t="str">
        <f>$K407</f>
        <v>2026 Rivian R1T Performance Dual Max (20in)</v>
      </c>
      <c r="AC407" s="19"/>
      <c r="AD407" s="19"/>
      <c r="AE407" s="19"/>
      <c r="AF407" s="19"/>
      <c r="AG407" s="19"/>
      <c r="AH407" s="19"/>
      <c r="AI407" s="19"/>
      <c r="AJ407" s="19"/>
      <c r="AK407" s="19"/>
      <c r="AL407" s="19"/>
      <c r="AM407" s="19"/>
      <c r="AN407" s="19"/>
      <c r="AO407" s="19"/>
      <c r="AP407" s="19"/>
      <c r="AQ407" s="19"/>
      <c r="AR407" s="19" t="str">
        <f>$K407</f>
        <v>2026 Rivian R1T Performance Dual Max (20in)</v>
      </c>
      <c r="AS407" s="19"/>
      <c r="AT407" s="19"/>
      <c r="AU407" s="19"/>
      <c r="AV407" s="19"/>
      <c r="AW407" s="19"/>
      <c r="AX407" s="19"/>
      <c r="AY407" s="19"/>
      <c r="AZ407" s="19"/>
      <c r="BA407" s="19"/>
      <c r="BB407" s="19"/>
      <c r="BC407" s="19"/>
      <c r="BD407" s="19"/>
      <c r="BE407" s="19"/>
      <c r="BF407" s="19"/>
      <c r="BG407" s="19" t="str">
        <f>$K407</f>
        <v>2026 Rivian R1T Performance Dual Max (20in)</v>
      </c>
      <c r="BH407" s="19"/>
      <c r="BI407" s="19"/>
      <c r="BJ407" s="19"/>
      <c r="BK407" s="19"/>
      <c r="BL407" s="19"/>
      <c r="BM407" s="129"/>
      <c r="BN407" s="19"/>
      <c r="BO407" s="19"/>
      <c r="BP407" s="19"/>
      <c r="BQ407" s="19"/>
      <c r="BR407" s="19"/>
      <c r="BS407" s="19"/>
      <c r="BT407" s="130"/>
      <c r="BU407" s="19"/>
      <c r="BV407" s="19"/>
      <c r="BW407" s="116"/>
      <c r="BX407" s="19"/>
      <c r="BY407" s="19"/>
      <c r="BZ407" s="19"/>
      <c r="CA407" s="19"/>
      <c r="CB407" s="19"/>
      <c r="CC407" s="19"/>
      <c r="CD407" s="19"/>
      <c r="CE407" s="19"/>
      <c r="CF407" s="19"/>
      <c r="CG407" s="19"/>
      <c r="CH407" s="19"/>
      <c r="CI407" s="19"/>
      <c r="CJ407" s="19"/>
      <c r="CK407" s="19"/>
      <c r="CL407" s="19"/>
      <c r="CM407" s="19" t="str">
        <f>$K407</f>
        <v>2026 Rivian R1T Performance Dual Max (20in)</v>
      </c>
      <c r="CN407" s="19"/>
      <c r="CO407" s="19"/>
      <c r="CP407" s="19"/>
      <c r="CQ407" s="19"/>
      <c r="CR407" s="19"/>
      <c r="CS407" s="19"/>
      <c r="CT407" s="19"/>
      <c r="CU407" s="19"/>
      <c r="CV407" s="19"/>
      <c r="CW407" s="19"/>
      <c r="CX407" s="19"/>
      <c r="CY407" s="19"/>
      <c r="CZ407" s="19"/>
      <c r="DA407" s="19"/>
      <c r="DB407" s="19"/>
      <c r="DC407" s="19"/>
      <c r="DD407" s="19" t="str">
        <f>$K407</f>
        <v>2026 Rivian R1T Performance Dual Max (20in)</v>
      </c>
      <c r="DE407" s="19"/>
      <c r="DF407" s="19"/>
      <c r="DG407" s="19"/>
      <c r="DH407" s="19"/>
      <c r="DI407" s="19"/>
      <c r="DJ407" s="19"/>
      <c r="DK407" s="19"/>
      <c r="DL407" s="19"/>
      <c r="DM407" s="19"/>
      <c r="DN407" s="19"/>
      <c r="DO407" s="19"/>
      <c r="DP407" s="19"/>
      <c r="DQ407" s="19"/>
      <c r="DR407" s="19"/>
      <c r="DS407" s="19"/>
      <c r="DT407" s="19"/>
      <c r="DU407" s="19" t="str">
        <f>$K407</f>
        <v>2026 Rivian R1T Performance Dual Max (20in)</v>
      </c>
      <c r="DV407" s="19"/>
      <c r="DW407" s="19"/>
      <c r="DX407" s="19"/>
      <c r="DY407" s="19"/>
      <c r="DZ407" s="19"/>
      <c r="EA407" s="117"/>
      <c r="EB407" s="19"/>
      <c r="EC407" s="19"/>
      <c r="ED407" s="19"/>
      <c r="EE407" s="19"/>
      <c r="EF407" s="19"/>
      <c r="EX407" s="19" t="s">
        <v>2054</v>
      </c>
    </row>
    <row r="408" spans="1:165" x14ac:dyDescent="0.35">
      <c r="A408">
        <v>2026</v>
      </c>
      <c r="B408" t="s">
        <v>1553</v>
      </c>
      <c r="C408" s="112" t="s">
        <v>1554</v>
      </c>
      <c r="D408" t="s">
        <v>1570</v>
      </c>
      <c r="E408" t="s">
        <v>1556</v>
      </c>
      <c r="F408">
        <v>69</v>
      </c>
      <c r="G408" s="113">
        <v>0</v>
      </c>
      <c r="I408" t="s">
        <v>1391</v>
      </c>
      <c r="J408">
        <v>86</v>
      </c>
      <c r="K408">
        <v>74</v>
      </c>
      <c r="L408">
        <v>80</v>
      </c>
      <c r="M408">
        <v>121.3</v>
      </c>
      <c r="N408">
        <v>103.7</v>
      </c>
      <c r="O408">
        <v>112.6932</v>
      </c>
      <c r="P408">
        <v>86.434700000000007</v>
      </c>
      <c r="Q408">
        <v>73.893500000000003</v>
      </c>
      <c r="R408">
        <v>80.3018</v>
      </c>
      <c r="V408" t="s">
        <v>170</v>
      </c>
      <c r="W408" t="s">
        <v>171</v>
      </c>
      <c r="Y408">
        <v>1</v>
      </c>
      <c r="Z408" t="s">
        <v>173</v>
      </c>
      <c r="AA408" t="s">
        <v>173</v>
      </c>
      <c r="AB408" t="s">
        <v>769</v>
      </c>
      <c r="AC408" t="s">
        <v>770</v>
      </c>
      <c r="AF408">
        <v>380</v>
      </c>
      <c r="AG408" t="s">
        <v>1392</v>
      </c>
      <c r="AH408" t="s">
        <v>1393</v>
      </c>
      <c r="AI408" t="s">
        <v>178</v>
      </c>
      <c r="AJ408" t="s">
        <v>179</v>
      </c>
      <c r="AK408">
        <v>4</v>
      </c>
      <c r="AL408" t="s">
        <v>1394</v>
      </c>
      <c r="AS408">
        <v>1050</v>
      </c>
      <c r="AT408">
        <v>1050</v>
      </c>
      <c r="BN408" s="114"/>
      <c r="BQ408">
        <v>13</v>
      </c>
      <c r="BR408" t="s">
        <v>712</v>
      </c>
      <c r="BT408" t="s">
        <v>1402</v>
      </c>
      <c r="BU408" s="115">
        <v>45792</v>
      </c>
      <c r="BV408">
        <v>36492</v>
      </c>
      <c r="BW408" s="116"/>
      <c r="BY408" t="s">
        <v>173</v>
      </c>
      <c r="CB408" t="s">
        <v>173</v>
      </c>
      <c r="CC408" t="s">
        <v>173</v>
      </c>
      <c r="CK408" t="s">
        <v>259</v>
      </c>
      <c r="CM408">
        <v>1</v>
      </c>
      <c r="CN408" t="s">
        <v>260</v>
      </c>
      <c r="CP408">
        <v>392</v>
      </c>
      <c r="CQ408">
        <v>382</v>
      </c>
      <c r="CR408">
        <v>190</v>
      </c>
      <c r="CS408" t="s">
        <v>1437</v>
      </c>
      <c r="CV408" t="s">
        <v>262</v>
      </c>
      <c r="CX408" t="s">
        <v>263</v>
      </c>
      <c r="CY408" t="s">
        <v>172</v>
      </c>
      <c r="DC408" t="s">
        <v>1558</v>
      </c>
      <c r="DD408">
        <v>2</v>
      </c>
      <c r="DE408" t="s">
        <v>307</v>
      </c>
      <c r="DF408" t="s">
        <v>988</v>
      </c>
      <c r="DG408">
        <v>264</v>
      </c>
      <c r="DL408" t="s">
        <v>173</v>
      </c>
      <c r="DM408" t="s">
        <v>172</v>
      </c>
      <c r="DP408" t="s">
        <v>173</v>
      </c>
      <c r="DQ408" t="s">
        <v>189</v>
      </c>
      <c r="DR408" t="s">
        <v>1571</v>
      </c>
      <c r="EA408" s="117"/>
      <c r="EB408">
        <v>9</v>
      </c>
      <c r="EC408">
        <v>10</v>
      </c>
      <c r="EE408" t="s">
        <v>1565</v>
      </c>
      <c r="EF408">
        <v>10</v>
      </c>
      <c r="EU408">
        <v>3250</v>
      </c>
      <c r="EW408">
        <v>0</v>
      </c>
      <c r="EX408">
        <v>0</v>
      </c>
      <c r="EY408">
        <v>0</v>
      </c>
      <c r="FA408">
        <v>15</v>
      </c>
      <c r="FG408" s="94">
        <v>407</v>
      </c>
      <c r="FH408" s="94">
        <v>348</v>
      </c>
      <c r="FI408" s="94">
        <v>380</v>
      </c>
    </row>
    <row r="409" spans="1:165" x14ac:dyDescent="0.35">
      <c r="A409">
        <v>2026</v>
      </c>
      <c r="B409" t="s">
        <v>1553</v>
      </c>
      <c r="C409" s="112" t="s">
        <v>1554</v>
      </c>
      <c r="D409" t="s">
        <v>1570</v>
      </c>
      <c r="E409" t="s">
        <v>1556</v>
      </c>
      <c r="F409">
        <v>69</v>
      </c>
      <c r="G409" s="113">
        <v>0</v>
      </c>
      <c r="I409" t="s">
        <v>1391</v>
      </c>
      <c r="J409">
        <v>39</v>
      </c>
      <c r="K409">
        <v>46</v>
      </c>
      <c r="L409">
        <v>42</v>
      </c>
      <c r="M409">
        <v>27.785599999999999</v>
      </c>
      <c r="N409">
        <v>32.517400000000002</v>
      </c>
      <c r="O409">
        <v>29.914899999999999</v>
      </c>
      <c r="P409">
        <v>38.994700000000002</v>
      </c>
      <c r="Q409">
        <v>45.612900000000003</v>
      </c>
      <c r="R409">
        <v>41.972900000000003</v>
      </c>
      <c r="V409" t="s">
        <v>170</v>
      </c>
      <c r="W409" t="s">
        <v>171</v>
      </c>
      <c r="Y409">
        <v>1</v>
      </c>
      <c r="Z409" t="s">
        <v>173</v>
      </c>
      <c r="AA409" t="s">
        <v>173</v>
      </c>
      <c r="AB409" t="s">
        <v>769</v>
      </c>
      <c r="AC409" t="s">
        <v>770</v>
      </c>
      <c r="AF409">
        <v>380</v>
      </c>
      <c r="AG409" t="s">
        <v>1392</v>
      </c>
      <c r="AH409" t="s">
        <v>1393</v>
      </c>
      <c r="AI409" t="s">
        <v>1399</v>
      </c>
      <c r="AJ409" t="s">
        <v>1400</v>
      </c>
      <c r="AK409">
        <v>4</v>
      </c>
      <c r="AL409" t="s">
        <v>1394</v>
      </c>
      <c r="AS409">
        <v>1050</v>
      </c>
      <c r="AT409">
        <v>1050</v>
      </c>
      <c r="BN409" s="114"/>
      <c r="BQ409">
        <v>13</v>
      </c>
      <c r="BR409" t="s">
        <v>712</v>
      </c>
      <c r="BT409" t="s">
        <v>1402</v>
      </c>
      <c r="BU409" s="115">
        <v>45792</v>
      </c>
      <c r="BV409">
        <v>36492</v>
      </c>
      <c r="BW409" s="116"/>
      <c r="BY409" t="s">
        <v>173</v>
      </c>
      <c r="CB409" t="s">
        <v>173</v>
      </c>
      <c r="CC409" t="s">
        <v>173</v>
      </c>
      <c r="CK409" t="s">
        <v>259</v>
      </c>
      <c r="CM409">
        <v>1</v>
      </c>
      <c r="CN409" t="s">
        <v>260</v>
      </c>
      <c r="CP409">
        <v>392</v>
      </c>
      <c r="CQ409">
        <v>382</v>
      </c>
      <c r="CR409">
        <v>190</v>
      </c>
      <c r="CS409" t="s">
        <v>1437</v>
      </c>
      <c r="CV409" t="s">
        <v>262</v>
      </c>
      <c r="CX409" t="s">
        <v>263</v>
      </c>
      <c r="CY409" t="s">
        <v>172</v>
      </c>
      <c r="DC409" t="s">
        <v>1558</v>
      </c>
      <c r="DD409">
        <v>2</v>
      </c>
      <c r="DE409" t="s">
        <v>307</v>
      </c>
      <c r="DF409" t="s">
        <v>988</v>
      </c>
      <c r="DG409">
        <v>264</v>
      </c>
      <c r="DL409" t="s">
        <v>173</v>
      </c>
      <c r="DM409" t="s">
        <v>172</v>
      </c>
      <c r="DP409" t="s">
        <v>173</v>
      </c>
      <c r="DQ409" t="s">
        <v>189</v>
      </c>
      <c r="DR409" t="s">
        <v>1571</v>
      </c>
      <c r="EA409" s="117"/>
      <c r="EB409">
        <v>9</v>
      </c>
      <c r="EC409">
        <v>10</v>
      </c>
      <c r="EE409" t="s">
        <v>1565</v>
      </c>
      <c r="EF409">
        <v>10</v>
      </c>
      <c r="EU409">
        <v>3250</v>
      </c>
      <c r="EW409">
        <v>0</v>
      </c>
      <c r="EX409">
        <v>0</v>
      </c>
      <c r="EY409">
        <v>0</v>
      </c>
      <c r="FA409">
        <v>15</v>
      </c>
      <c r="FG409" s="94">
        <v>407</v>
      </c>
      <c r="FH409" s="94">
        <v>348</v>
      </c>
      <c r="FI409" s="94">
        <v>380</v>
      </c>
    </row>
    <row r="410" spans="1:165" x14ac:dyDescent="0.35">
      <c r="A410" s="19"/>
      <c r="B410" s="19"/>
      <c r="C410" s="19"/>
      <c r="D410" s="19"/>
      <c r="E410" s="19"/>
      <c r="F410" s="128"/>
      <c r="G410" s="19"/>
      <c r="H410" s="19"/>
      <c r="I410" s="19"/>
      <c r="J410" s="19"/>
      <c r="K410" s="19" t="str">
        <f>_xlfn.CONCAT(A411," ",C411," ",D411)</f>
        <v>2026 Rivian R1T Performance Dual Max (22in)</v>
      </c>
      <c r="L410" s="19"/>
      <c r="M410" s="19"/>
      <c r="N410" s="19"/>
      <c r="O410" s="19"/>
      <c r="P410" s="19"/>
      <c r="Q410" s="19"/>
      <c r="R410" s="19"/>
      <c r="S410" s="19"/>
      <c r="T410" s="19"/>
      <c r="U410" s="19"/>
      <c r="V410" s="19"/>
      <c r="W410" s="19"/>
      <c r="X410" s="19"/>
      <c r="Y410" s="19"/>
      <c r="Z410" s="19"/>
      <c r="AA410" s="19"/>
      <c r="AB410" s="19" t="str">
        <f>$K410</f>
        <v>2026 Rivian R1T Performance Dual Max (22in)</v>
      </c>
      <c r="AC410" s="19"/>
      <c r="AD410" s="19"/>
      <c r="AE410" s="19"/>
      <c r="AF410" s="19"/>
      <c r="AG410" s="19"/>
      <c r="AH410" s="19"/>
      <c r="AI410" s="19"/>
      <c r="AJ410" s="19"/>
      <c r="AK410" s="19"/>
      <c r="AL410" s="19"/>
      <c r="AM410" s="19"/>
      <c r="AN410" s="19"/>
      <c r="AO410" s="19"/>
      <c r="AP410" s="19"/>
      <c r="AQ410" s="19"/>
      <c r="AR410" s="19" t="str">
        <f>$K410</f>
        <v>2026 Rivian R1T Performance Dual Max (22in)</v>
      </c>
      <c r="AS410" s="19"/>
      <c r="AT410" s="19"/>
      <c r="AU410" s="19"/>
      <c r="AV410" s="19"/>
      <c r="AW410" s="19"/>
      <c r="AX410" s="19"/>
      <c r="AY410" s="19"/>
      <c r="AZ410" s="19"/>
      <c r="BA410" s="19"/>
      <c r="BB410" s="19"/>
      <c r="BC410" s="19"/>
      <c r="BD410" s="19"/>
      <c r="BE410" s="19"/>
      <c r="BF410" s="19"/>
      <c r="BG410" s="19" t="str">
        <f>$K410</f>
        <v>2026 Rivian R1T Performance Dual Max (22in)</v>
      </c>
      <c r="BH410" s="19"/>
      <c r="BI410" s="19"/>
      <c r="BJ410" s="19"/>
      <c r="BK410" s="19"/>
      <c r="BL410" s="19"/>
      <c r="BM410" s="129"/>
      <c r="BN410" s="19"/>
      <c r="BO410" s="19"/>
      <c r="BP410" s="19"/>
      <c r="BQ410" s="19"/>
      <c r="BR410" s="19"/>
      <c r="BS410" s="19"/>
      <c r="BT410" s="130"/>
      <c r="BU410" s="19"/>
      <c r="BV410" s="19"/>
      <c r="BW410" s="116"/>
      <c r="BX410" s="19"/>
      <c r="BY410" s="19"/>
      <c r="BZ410" s="19"/>
      <c r="CA410" s="19"/>
      <c r="CB410" s="19"/>
      <c r="CC410" s="19"/>
      <c r="CD410" s="19"/>
      <c r="CE410" s="19"/>
      <c r="CF410" s="19"/>
      <c r="CG410" s="19"/>
      <c r="CH410" s="19"/>
      <c r="CI410" s="19"/>
      <c r="CJ410" s="19"/>
      <c r="CK410" s="19"/>
      <c r="CL410" s="19"/>
      <c r="CM410" s="19" t="str">
        <f>$K410</f>
        <v>2026 Rivian R1T Performance Dual Max (22in)</v>
      </c>
      <c r="CN410" s="19"/>
      <c r="CO410" s="19"/>
      <c r="CP410" s="19"/>
      <c r="CQ410" s="19"/>
      <c r="CR410" s="19"/>
      <c r="CS410" s="19"/>
      <c r="CT410" s="19"/>
      <c r="CU410" s="19"/>
      <c r="CV410" s="19"/>
      <c r="CW410" s="19"/>
      <c r="CX410" s="19"/>
      <c r="CY410" s="19"/>
      <c r="CZ410" s="19"/>
      <c r="DA410" s="19"/>
      <c r="DB410" s="19"/>
      <c r="DC410" s="19"/>
      <c r="DD410" s="19" t="str">
        <f>$K410</f>
        <v>2026 Rivian R1T Performance Dual Max (22in)</v>
      </c>
      <c r="DE410" s="19"/>
      <c r="DF410" s="19"/>
      <c r="DG410" s="19"/>
      <c r="DH410" s="19"/>
      <c r="DI410" s="19"/>
      <c r="DJ410" s="19"/>
      <c r="DK410" s="19"/>
      <c r="DL410" s="19"/>
      <c r="DM410" s="19"/>
      <c r="DN410" s="19"/>
      <c r="DO410" s="19"/>
      <c r="DP410" s="19"/>
      <c r="DQ410" s="19"/>
      <c r="DR410" s="19"/>
      <c r="DS410" s="19"/>
      <c r="DT410" s="19"/>
      <c r="DU410" s="19" t="str">
        <f>$K410</f>
        <v>2026 Rivian R1T Performance Dual Max (22in)</v>
      </c>
      <c r="DV410" s="19"/>
      <c r="DW410" s="19"/>
      <c r="DX410" s="19"/>
      <c r="DY410" s="19"/>
      <c r="DZ410" s="19"/>
      <c r="EA410" s="117"/>
      <c r="EB410" s="19"/>
      <c r="EC410" s="19"/>
      <c r="ED410" s="19"/>
      <c r="EE410" s="19"/>
      <c r="EF410" s="19"/>
      <c r="EX410" s="19" t="s">
        <v>2055</v>
      </c>
    </row>
    <row r="411" spans="1:165" x14ac:dyDescent="0.35">
      <c r="A411">
        <v>2026</v>
      </c>
      <c r="B411" t="s">
        <v>1553</v>
      </c>
      <c r="C411" s="112" t="s">
        <v>1554</v>
      </c>
      <c r="D411" t="s">
        <v>1572</v>
      </c>
      <c r="E411" t="s">
        <v>1556</v>
      </c>
      <c r="F411">
        <v>71</v>
      </c>
      <c r="G411" s="113">
        <v>0</v>
      </c>
      <c r="I411" t="s">
        <v>1391</v>
      </c>
      <c r="J411">
        <v>93</v>
      </c>
      <c r="K411">
        <v>80</v>
      </c>
      <c r="L411">
        <v>87</v>
      </c>
      <c r="M411">
        <v>131</v>
      </c>
      <c r="N411">
        <v>113</v>
      </c>
      <c r="O411">
        <v>122.23779999999999</v>
      </c>
      <c r="P411">
        <v>92.998199999999997</v>
      </c>
      <c r="Q411">
        <v>80.219800000000006</v>
      </c>
      <c r="R411">
        <v>86.777799999999999</v>
      </c>
      <c r="V411" t="s">
        <v>170</v>
      </c>
      <c r="W411" t="s">
        <v>171</v>
      </c>
      <c r="Y411">
        <v>1</v>
      </c>
      <c r="Z411" t="s">
        <v>173</v>
      </c>
      <c r="AA411" t="s">
        <v>173</v>
      </c>
      <c r="AB411" t="s">
        <v>769</v>
      </c>
      <c r="AC411" t="s">
        <v>770</v>
      </c>
      <c r="AF411">
        <v>420</v>
      </c>
      <c r="AG411" t="s">
        <v>1392</v>
      </c>
      <c r="AH411" t="s">
        <v>1393</v>
      </c>
      <c r="AI411" t="s">
        <v>178</v>
      </c>
      <c r="AJ411" t="s">
        <v>179</v>
      </c>
      <c r="AK411">
        <v>4</v>
      </c>
      <c r="AL411" t="s">
        <v>1394</v>
      </c>
      <c r="AS411">
        <v>1000</v>
      </c>
      <c r="AT411">
        <v>1000</v>
      </c>
      <c r="BN411" s="114"/>
      <c r="BQ411">
        <v>13</v>
      </c>
      <c r="BR411" t="s">
        <v>712</v>
      </c>
      <c r="BT411" t="s">
        <v>1402</v>
      </c>
      <c r="BU411" s="115">
        <v>45792</v>
      </c>
      <c r="BV411">
        <v>36494</v>
      </c>
      <c r="BW411" s="116"/>
      <c r="BY411" t="s">
        <v>173</v>
      </c>
      <c r="CB411" t="s">
        <v>173</v>
      </c>
      <c r="CC411" t="s">
        <v>173</v>
      </c>
      <c r="CK411" t="s">
        <v>259</v>
      </c>
      <c r="CM411">
        <v>1</v>
      </c>
      <c r="CN411" t="s">
        <v>260</v>
      </c>
      <c r="CP411">
        <v>392</v>
      </c>
      <c r="CQ411">
        <v>382</v>
      </c>
      <c r="CR411">
        <v>190</v>
      </c>
      <c r="CS411" t="s">
        <v>1437</v>
      </c>
      <c r="CV411" t="s">
        <v>262</v>
      </c>
      <c r="CX411" t="s">
        <v>263</v>
      </c>
      <c r="CY411" t="s">
        <v>172</v>
      </c>
      <c r="DC411" t="s">
        <v>1558</v>
      </c>
      <c r="DD411">
        <v>2</v>
      </c>
      <c r="DE411" t="s">
        <v>307</v>
      </c>
      <c r="DF411" t="s">
        <v>988</v>
      </c>
      <c r="DG411">
        <v>264</v>
      </c>
      <c r="DL411" t="s">
        <v>173</v>
      </c>
      <c r="DM411" t="s">
        <v>172</v>
      </c>
      <c r="DP411" t="s">
        <v>173</v>
      </c>
      <c r="DQ411" t="s">
        <v>189</v>
      </c>
      <c r="DR411" t="s">
        <v>1573</v>
      </c>
      <c r="EA411" s="117"/>
      <c r="EB411">
        <v>9</v>
      </c>
      <c r="EC411">
        <v>10</v>
      </c>
      <c r="EE411" t="s">
        <v>1565</v>
      </c>
      <c r="EF411">
        <v>10</v>
      </c>
      <c r="EU411">
        <v>3500</v>
      </c>
      <c r="EW411">
        <v>0</v>
      </c>
      <c r="EX411">
        <v>0</v>
      </c>
      <c r="EY411">
        <v>0</v>
      </c>
      <c r="FA411">
        <v>15</v>
      </c>
      <c r="FG411" s="94">
        <v>448</v>
      </c>
      <c r="FH411" s="94">
        <v>386</v>
      </c>
      <c r="FI411" s="94">
        <v>420</v>
      </c>
    </row>
    <row r="412" spans="1:165" x14ac:dyDescent="0.35">
      <c r="A412">
        <v>2026</v>
      </c>
      <c r="B412" t="s">
        <v>1553</v>
      </c>
      <c r="C412" s="112" t="s">
        <v>1554</v>
      </c>
      <c r="D412" t="s">
        <v>1572</v>
      </c>
      <c r="E412" t="s">
        <v>1556</v>
      </c>
      <c r="F412">
        <v>71</v>
      </c>
      <c r="G412" s="113">
        <v>0</v>
      </c>
      <c r="I412" t="s">
        <v>1391</v>
      </c>
      <c r="J412">
        <v>36</v>
      </c>
      <c r="K412">
        <v>42</v>
      </c>
      <c r="L412">
        <v>39</v>
      </c>
      <c r="M412">
        <v>25.728400000000001</v>
      </c>
      <c r="N412">
        <v>29.815799999999999</v>
      </c>
      <c r="O412">
        <v>27.567699999999999</v>
      </c>
      <c r="P412">
        <v>36.242600000000003</v>
      </c>
      <c r="Q412">
        <v>42.015799999999999</v>
      </c>
      <c r="R412">
        <v>38.840600000000002</v>
      </c>
      <c r="V412" t="s">
        <v>170</v>
      </c>
      <c r="W412" t="s">
        <v>171</v>
      </c>
      <c r="Y412">
        <v>1</v>
      </c>
      <c r="Z412" t="s">
        <v>173</v>
      </c>
      <c r="AA412" t="s">
        <v>173</v>
      </c>
      <c r="AB412" t="s">
        <v>769</v>
      </c>
      <c r="AC412" t="s">
        <v>770</v>
      </c>
      <c r="AF412">
        <v>420</v>
      </c>
      <c r="AG412" t="s">
        <v>1392</v>
      </c>
      <c r="AH412" t="s">
        <v>1393</v>
      </c>
      <c r="AI412" t="s">
        <v>1399</v>
      </c>
      <c r="AJ412" t="s">
        <v>1400</v>
      </c>
      <c r="AK412">
        <v>4</v>
      </c>
      <c r="AL412" t="s">
        <v>1394</v>
      </c>
      <c r="AS412">
        <v>1000</v>
      </c>
      <c r="AT412">
        <v>1000</v>
      </c>
      <c r="BN412" s="114"/>
      <c r="BQ412">
        <v>13</v>
      </c>
      <c r="BR412" t="s">
        <v>712</v>
      </c>
      <c r="BT412" t="s">
        <v>1402</v>
      </c>
      <c r="BU412" s="115">
        <v>45792</v>
      </c>
      <c r="BV412">
        <v>36494</v>
      </c>
      <c r="BW412" s="116"/>
      <c r="BY412" t="s">
        <v>173</v>
      </c>
      <c r="CB412" t="s">
        <v>173</v>
      </c>
      <c r="CC412" t="s">
        <v>173</v>
      </c>
      <c r="CK412" t="s">
        <v>259</v>
      </c>
      <c r="CM412">
        <v>1</v>
      </c>
      <c r="CN412" t="s">
        <v>260</v>
      </c>
      <c r="CP412">
        <v>392</v>
      </c>
      <c r="CQ412">
        <v>382</v>
      </c>
      <c r="CR412">
        <v>190</v>
      </c>
      <c r="CS412" t="s">
        <v>1437</v>
      </c>
      <c r="CV412" t="s">
        <v>262</v>
      </c>
      <c r="CX412" t="s">
        <v>263</v>
      </c>
      <c r="CY412" t="s">
        <v>172</v>
      </c>
      <c r="DC412" t="s">
        <v>1558</v>
      </c>
      <c r="DD412">
        <v>2</v>
      </c>
      <c r="DE412" t="s">
        <v>307</v>
      </c>
      <c r="DF412" t="s">
        <v>988</v>
      </c>
      <c r="DG412">
        <v>264</v>
      </c>
      <c r="DL412" t="s">
        <v>173</v>
      </c>
      <c r="DM412" t="s">
        <v>172</v>
      </c>
      <c r="DP412" t="s">
        <v>173</v>
      </c>
      <c r="DQ412" t="s">
        <v>189</v>
      </c>
      <c r="DR412" t="s">
        <v>1573</v>
      </c>
      <c r="EA412" s="117"/>
      <c r="EB412">
        <v>9</v>
      </c>
      <c r="EC412">
        <v>10</v>
      </c>
      <c r="EE412" t="s">
        <v>1565</v>
      </c>
      <c r="EF412">
        <v>10</v>
      </c>
      <c r="EU412">
        <v>3500</v>
      </c>
      <c r="EW412">
        <v>0</v>
      </c>
      <c r="EX412">
        <v>0</v>
      </c>
      <c r="EY412">
        <v>0</v>
      </c>
      <c r="FA412">
        <v>15</v>
      </c>
      <c r="FG412" s="94">
        <v>448</v>
      </c>
      <c r="FH412" s="94">
        <v>386</v>
      </c>
      <c r="FI412" s="94">
        <v>420</v>
      </c>
    </row>
    <row r="413" spans="1:165" x14ac:dyDescent="0.35">
      <c r="A413" s="19"/>
      <c r="B413" s="19"/>
      <c r="C413" s="19"/>
      <c r="D413" s="19"/>
      <c r="E413" s="19"/>
      <c r="F413" s="128"/>
      <c r="G413" s="19"/>
      <c r="H413" s="19"/>
      <c r="I413" s="19"/>
      <c r="J413" s="19"/>
      <c r="K413" s="19" t="str">
        <f>_xlfn.CONCAT(A414," ",C414," ",D414)</f>
        <v>2026 Rivian R1T Quad Max (20in AT)</v>
      </c>
      <c r="L413" s="19"/>
      <c r="M413" s="19"/>
      <c r="N413" s="19"/>
      <c r="O413" s="19"/>
      <c r="P413" s="19"/>
      <c r="Q413" s="19"/>
      <c r="R413" s="19"/>
      <c r="S413" s="19"/>
      <c r="T413" s="19"/>
      <c r="U413" s="19"/>
      <c r="V413" s="19"/>
      <c r="W413" s="19"/>
      <c r="X413" s="19"/>
      <c r="Y413" s="19"/>
      <c r="Z413" s="19"/>
      <c r="AA413" s="19"/>
      <c r="AB413" s="19" t="str">
        <f>$K413</f>
        <v>2026 Rivian R1T Quad Max (20in AT)</v>
      </c>
      <c r="AC413" s="19"/>
      <c r="AD413" s="19"/>
      <c r="AE413" s="19"/>
      <c r="AF413" s="19"/>
      <c r="AG413" s="19"/>
      <c r="AH413" s="19"/>
      <c r="AI413" s="19"/>
      <c r="AJ413" s="19"/>
      <c r="AK413" s="19"/>
      <c r="AL413" s="19"/>
      <c r="AM413" s="19"/>
      <c r="AN413" s="19"/>
      <c r="AO413" s="19"/>
      <c r="AP413" s="19"/>
      <c r="AQ413" s="19"/>
      <c r="AR413" s="19" t="str">
        <f>$K413</f>
        <v>2026 Rivian R1T Quad Max (20in AT)</v>
      </c>
      <c r="AS413" s="19"/>
      <c r="AT413" s="19"/>
      <c r="AU413" s="19"/>
      <c r="AV413" s="19"/>
      <c r="AW413" s="19"/>
      <c r="AX413" s="19"/>
      <c r="AY413" s="19"/>
      <c r="AZ413" s="19"/>
      <c r="BA413" s="19"/>
      <c r="BB413" s="19"/>
      <c r="BC413" s="19"/>
      <c r="BD413" s="19"/>
      <c r="BE413" s="19"/>
      <c r="BF413" s="19"/>
      <c r="BG413" s="19" t="str">
        <f>$K413</f>
        <v>2026 Rivian R1T Quad Max (20in AT)</v>
      </c>
      <c r="BH413" s="19"/>
      <c r="BI413" s="19"/>
      <c r="BJ413" s="19"/>
      <c r="BK413" s="19"/>
      <c r="BL413" s="19"/>
      <c r="BM413" s="129"/>
      <c r="BN413" s="19"/>
      <c r="BO413" s="19"/>
      <c r="BP413" s="19"/>
      <c r="BQ413" s="19"/>
      <c r="BR413" s="19"/>
      <c r="BS413" s="19"/>
      <c r="BT413" s="130"/>
      <c r="BU413" s="19"/>
      <c r="BV413" s="19"/>
      <c r="BW413" s="116"/>
      <c r="BX413" s="19"/>
      <c r="BY413" s="19"/>
      <c r="BZ413" s="19"/>
      <c r="CA413" s="19"/>
      <c r="CB413" s="19"/>
      <c r="CC413" s="19"/>
      <c r="CD413" s="19"/>
      <c r="CE413" s="19"/>
      <c r="CF413" s="19"/>
      <c r="CG413" s="19"/>
      <c r="CH413" s="19"/>
      <c r="CI413" s="19"/>
      <c r="CJ413" s="19"/>
      <c r="CK413" s="19"/>
      <c r="CL413" s="19"/>
      <c r="CM413" s="19" t="str">
        <f>$K413</f>
        <v>2026 Rivian R1T Quad Max (20in AT)</v>
      </c>
      <c r="CN413" s="19"/>
      <c r="CO413" s="19"/>
      <c r="CP413" s="19"/>
      <c r="CQ413" s="19"/>
      <c r="CR413" s="19"/>
      <c r="CS413" s="19"/>
      <c r="CT413" s="19"/>
      <c r="CU413" s="19"/>
      <c r="CV413" s="19"/>
      <c r="CW413" s="19"/>
      <c r="CX413" s="19"/>
      <c r="CY413" s="19"/>
      <c r="CZ413" s="19"/>
      <c r="DA413" s="19"/>
      <c r="DB413" s="19"/>
      <c r="DC413" s="19"/>
      <c r="DD413" s="19" t="str">
        <f>$K413</f>
        <v>2026 Rivian R1T Quad Max (20in AT)</v>
      </c>
      <c r="DE413" s="19"/>
      <c r="DF413" s="19"/>
      <c r="DG413" s="19"/>
      <c r="DH413" s="19"/>
      <c r="DI413" s="19"/>
      <c r="DJ413" s="19"/>
      <c r="DK413" s="19"/>
      <c r="DL413" s="19"/>
      <c r="DM413" s="19"/>
      <c r="DN413" s="19"/>
      <c r="DO413" s="19"/>
      <c r="DP413" s="19"/>
      <c r="DQ413" s="19"/>
      <c r="DR413" s="19"/>
      <c r="DS413" s="19"/>
      <c r="DT413" s="19"/>
      <c r="DU413" s="19" t="str">
        <f>$K413</f>
        <v>2026 Rivian R1T Quad Max (20in AT)</v>
      </c>
      <c r="DV413" s="19"/>
      <c r="DW413" s="19"/>
      <c r="DX413" s="19"/>
      <c r="DY413" s="19"/>
      <c r="DZ413" s="19"/>
      <c r="EA413" s="117"/>
      <c r="EB413" s="19"/>
      <c r="EC413" s="19"/>
      <c r="ED413" s="19"/>
      <c r="EE413" s="19"/>
      <c r="EF413" s="19"/>
      <c r="EX413" s="19" t="s">
        <v>2056</v>
      </c>
    </row>
    <row r="414" spans="1:165" x14ac:dyDescent="0.35">
      <c r="A414">
        <v>2026</v>
      </c>
      <c r="B414" t="s">
        <v>1553</v>
      </c>
      <c r="C414" s="112" t="s">
        <v>1554</v>
      </c>
      <c r="D414" t="s">
        <v>1612</v>
      </c>
      <c r="E414" t="s">
        <v>1556</v>
      </c>
      <c r="F414">
        <v>106</v>
      </c>
      <c r="G414" s="113">
        <v>0</v>
      </c>
      <c r="I414" t="s">
        <v>1391</v>
      </c>
      <c r="J414">
        <v>71</v>
      </c>
      <c r="K414">
        <v>63</v>
      </c>
      <c r="L414">
        <v>67</v>
      </c>
      <c r="M414">
        <v>97.5</v>
      </c>
      <c r="N414">
        <v>86.9</v>
      </c>
      <c r="O414">
        <v>92.426599999999993</v>
      </c>
      <c r="P414">
        <v>70.964399999999998</v>
      </c>
      <c r="Q414">
        <v>63.249299999999998</v>
      </c>
      <c r="R414">
        <v>67.271799999999999</v>
      </c>
      <c r="V414" t="s">
        <v>170</v>
      </c>
      <c r="W414" t="s">
        <v>171</v>
      </c>
      <c r="Y414">
        <v>1</v>
      </c>
      <c r="Z414" t="s">
        <v>173</v>
      </c>
      <c r="AA414" t="s">
        <v>173</v>
      </c>
      <c r="AB414">
        <v>4</v>
      </c>
      <c r="AC414" t="s">
        <v>423</v>
      </c>
      <c r="AF414">
        <v>325</v>
      </c>
      <c r="AG414" t="s">
        <v>1392</v>
      </c>
      <c r="AH414" t="s">
        <v>1393</v>
      </c>
      <c r="AI414" t="s">
        <v>178</v>
      </c>
      <c r="AJ414" t="s">
        <v>179</v>
      </c>
      <c r="AK414">
        <v>4</v>
      </c>
      <c r="AL414" t="s">
        <v>1394</v>
      </c>
      <c r="AS414">
        <v>1300</v>
      </c>
      <c r="AT414">
        <v>1300</v>
      </c>
      <c r="BN414" s="114"/>
      <c r="BQ414">
        <v>13</v>
      </c>
      <c r="BR414" t="s">
        <v>712</v>
      </c>
      <c r="BT414" t="s">
        <v>1402</v>
      </c>
      <c r="BU414" s="115">
        <v>45817</v>
      </c>
      <c r="BV414">
        <v>36672</v>
      </c>
      <c r="BW414" s="116"/>
      <c r="BY414" t="s">
        <v>173</v>
      </c>
      <c r="CB414" t="s">
        <v>173</v>
      </c>
      <c r="CC414" t="s">
        <v>173</v>
      </c>
      <c r="CK414" t="s">
        <v>259</v>
      </c>
      <c r="CM414">
        <v>1</v>
      </c>
      <c r="CN414" t="s">
        <v>260</v>
      </c>
      <c r="CP414">
        <v>392</v>
      </c>
      <c r="CQ414">
        <v>382</v>
      </c>
      <c r="CR414">
        <v>190</v>
      </c>
      <c r="CS414" t="s">
        <v>1437</v>
      </c>
      <c r="CV414" t="s">
        <v>262</v>
      </c>
      <c r="CX414" t="s">
        <v>263</v>
      </c>
      <c r="CY414" t="s">
        <v>172</v>
      </c>
      <c r="DC414" t="s">
        <v>1589</v>
      </c>
      <c r="DD414">
        <v>4</v>
      </c>
      <c r="DE414" t="s">
        <v>307</v>
      </c>
      <c r="DF414" t="s">
        <v>988</v>
      </c>
      <c r="DG414">
        <v>201</v>
      </c>
      <c r="DL414" t="s">
        <v>173</v>
      </c>
      <c r="DM414" t="s">
        <v>172</v>
      </c>
      <c r="DP414" t="s">
        <v>173</v>
      </c>
      <c r="DQ414" t="s">
        <v>189</v>
      </c>
      <c r="DR414" t="s">
        <v>1613</v>
      </c>
      <c r="EA414" s="117"/>
      <c r="EB414">
        <v>9</v>
      </c>
      <c r="EC414">
        <v>10</v>
      </c>
      <c r="EE414" t="s">
        <v>1611</v>
      </c>
      <c r="EF414">
        <v>10</v>
      </c>
      <c r="EU414">
        <v>2000</v>
      </c>
      <c r="EW414">
        <v>0</v>
      </c>
      <c r="EX414">
        <v>0</v>
      </c>
      <c r="EY414">
        <v>0</v>
      </c>
      <c r="FA414">
        <v>14</v>
      </c>
      <c r="FG414" s="94">
        <v>342</v>
      </c>
      <c r="FH414" s="94">
        <v>305</v>
      </c>
      <c r="FI414" s="94">
        <v>325</v>
      </c>
    </row>
    <row r="415" spans="1:165" x14ac:dyDescent="0.35">
      <c r="A415">
        <v>2026</v>
      </c>
      <c r="B415" t="s">
        <v>1553</v>
      </c>
      <c r="C415" s="112" t="s">
        <v>1554</v>
      </c>
      <c r="D415" t="s">
        <v>1612</v>
      </c>
      <c r="E415" t="s">
        <v>1556</v>
      </c>
      <c r="F415">
        <v>106</v>
      </c>
      <c r="G415" s="113">
        <v>0</v>
      </c>
      <c r="I415" t="s">
        <v>1391</v>
      </c>
      <c r="J415">
        <v>47</v>
      </c>
      <c r="K415">
        <v>53</v>
      </c>
      <c r="L415">
        <v>50</v>
      </c>
      <c r="M415">
        <v>34.558700000000002</v>
      </c>
      <c r="N415">
        <v>38.767600000000002</v>
      </c>
      <c r="O415">
        <v>36.4527</v>
      </c>
      <c r="P415">
        <v>47.495600000000003</v>
      </c>
      <c r="Q415">
        <v>53.289099999999998</v>
      </c>
      <c r="R415">
        <v>50.102699999999999</v>
      </c>
      <c r="V415" t="s">
        <v>170</v>
      </c>
      <c r="W415" t="s">
        <v>171</v>
      </c>
      <c r="Y415">
        <v>1</v>
      </c>
      <c r="Z415" t="s">
        <v>173</v>
      </c>
      <c r="AA415" t="s">
        <v>173</v>
      </c>
      <c r="AB415">
        <v>4</v>
      </c>
      <c r="AC415" t="s">
        <v>423</v>
      </c>
      <c r="AF415">
        <v>325</v>
      </c>
      <c r="AG415" t="s">
        <v>1392</v>
      </c>
      <c r="AH415" t="s">
        <v>1393</v>
      </c>
      <c r="AI415" t="s">
        <v>1399</v>
      </c>
      <c r="AJ415" t="s">
        <v>1400</v>
      </c>
      <c r="AK415">
        <v>4</v>
      </c>
      <c r="AL415" t="s">
        <v>1394</v>
      </c>
      <c r="AS415">
        <v>1300</v>
      </c>
      <c r="AT415">
        <v>1300</v>
      </c>
      <c r="BN415" s="114"/>
      <c r="BQ415">
        <v>13</v>
      </c>
      <c r="BR415" t="s">
        <v>712</v>
      </c>
      <c r="BT415" t="s">
        <v>1402</v>
      </c>
      <c r="BU415" s="115">
        <v>45817</v>
      </c>
      <c r="BV415">
        <v>36672</v>
      </c>
      <c r="BW415" s="116"/>
      <c r="BY415" t="s">
        <v>173</v>
      </c>
      <c r="CB415" t="s">
        <v>173</v>
      </c>
      <c r="CC415" t="s">
        <v>173</v>
      </c>
      <c r="CK415" t="s">
        <v>259</v>
      </c>
      <c r="CM415">
        <v>1</v>
      </c>
      <c r="CN415" t="s">
        <v>260</v>
      </c>
      <c r="CP415">
        <v>392</v>
      </c>
      <c r="CQ415">
        <v>382</v>
      </c>
      <c r="CR415">
        <v>190</v>
      </c>
      <c r="CS415" t="s">
        <v>1437</v>
      </c>
      <c r="CV415" t="s">
        <v>262</v>
      </c>
      <c r="CX415" t="s">
        <v>263</v>
      </c>
      <c r="CY415" t="s">
        <v>172</v>
      </c>
      <c r="DC415" t="s">
        <v>1589</v>
      </c>
      <c r="DD415">
        <v>4</v>
      </c>
      <c r="DE415" t="s">
        <v>307</v>
      </c>
      <c r="DF415" t="s">
        <v>988</v>
      </c>
      <c r="DG415">
        <v>201</v>
      </c>
      <c r="DL415" t="s">
        <v>173</v>
      </c>
      <c r="DM415" t="s">
        <v>172</v>
      </c>
      <c r="DP415" t="s">
        <v>173</v>
      </c>
      <c r="DQ415" t="s">
        <v>189</v>
      </c>
      <c r="DR415" t="s">
        <v>1613</v>
      </c>
      <c r="EA415" s="117"/>
      <c r="EB415">
        <v>9</v>
      </c>
      <c r="EC415">
        <v>10</v>
      </c>
      <c r="EE415" t="s">
        <v>1611</v>
      </c>
      <c r="EF415">
        <v>10</v>
      </c>
      <c r="EU415">
        <v>2000</v>
      </c>
      <c r="EW415">
        <v>0</v>
      </c>
      <c r="EX415">
        <v>0</v>
      </c>
      <c r="EY415">
        <v>0</v>
      </c>
      <c r="FA415">
        <v>14</v>
      </c>
      <c r="FG415" s="94">
        <v>342</v>
      </c>
      <c r="FH415" s="94">
        <v>305</v>
      </c>
      <c r="FI415" s="94">
        <v>325</v>
      </c>
    </row>
    <row r="416" spans="1:165" x14ac:dyDescent="0.35">
      <c r="A416" s="19"/>
      <c r="B416" s="19"/>
      <c r="C416" s="19"/>
      <c r="D416" s="19"/>
      <c r="E416" s="19"/>
      <c r="F416" s="128"/>
      <c r="G416" s="19"/>
      <c r="H416" s="19"/>
      <c r="I416" s="19"/>
      <c r="J416" s="19"/>
      <c r="K416" s="19" t="str">
        <f>_xlfn.CONCAT(A417," ",C417," ",D417)</f>
        <v>2026 Rivian R1T Quad Max (22in UHP)</v>
      </c>
      <c r="L416" s="19"/>
      <c r="M416" s="19"/>
      <c r="N416" s="19"/>
      <c r="O416" s="19"/>
      <c r="P416" s="19"/>
      <c r="Q416" s="19"/>
      <c r="R416" s="19"/>
      <c r="S416" s="19"/>
      <c r="T416" s="19"/>
      <c r="U416" s="19"/>
      <c r="V416" s="19"/>
      <c r="W416" s="19"/>
      <c r="X416" s="19"/>
      <c r="Y416" s="19"/>
      <c r="Z416" s="19"/>
      <c r="AA416" s="19"/>
      <c r="AB416" s="19" t="str">
        <f>$K416</f>
        <v>2026 Rivian R1T Quad Max (22in UHP)</v>
      </c>
      <c r="AC416" s="19"/>
      <c r="AD416" s="19"/>
      <c r="AE416" s="19"/>
      <c r="AF416" s="19"/>
      <c r="AG416" s="19"/>
      <c r="AH416" s="19"/>
      <c r="AI416" s="19"/>
      <c r="AJ416" s="19"/>
      <c r="AK416" s="19"/>
      <c r="AL416" s="19"/>
      <c r="AM416" s="19"/>
      <c r="AN416" s="19"/>
      <c r="AO416" s="19"/>
      <c r="AP416" s="19"/>
      <c r="AQ416" s="19"/>
      <c r="AR416" s="19" t="str">
        <f>$K416</f>
        <v>2026 Rivian R1T Quad Max (22in UHP)</v>
      </c>
      <c r="AS416" s="19"/>
      <c r="AT416" s="19"/>
      <c r="AU416" s="19"/>
      <c r="AV416" s="19"/>
      <c r="AW416" s="19"/>
      <c r="AX416" s="19"/>
      <c r="AY416" s="19"/>
      <c r="AZ416" s="19"/>
      <c r="BA416" s="19"/>
      <c r="BB416" s="19"/>
      <c r="BC416" s="19"/>
      <c r="BD416" s="19"/>
      <c r="BE416" s="19"/>
      <c r="BF416" s="19"/>
      <c r="BG416" s="19" t="str">
        <f>$K416</f>
        <v>2026 Rivian R1T Quad Max (22in UHP)</v>
      </c>
      <c r="BH416" s="19"/>
      <c r="BI416" s="19"/>
      <c r="BJ416" s="19"/>
      <c r="BK416" s="19"/>
      <c r="BL416" s="19"/>
      <c r="BM416" s="129"/>
      <c r="BN416" s="19"/>
      <c r="BO416" s="19"/>
      <c r="BP416" s="19"/>
      <c r="BQ416" s="19"/>
      <c r="BR416" s="19"/>
      <c r="BS416" s="19"/>
      <c r="BT416" s="130"/>
      <c r="BU416" s="19"/>
      <c r="BV416" s="19"/>
      <c r="BW416" s="116"/>
      <c r="BX416" s="19"/>
      <c r="BY416" s="19"/>
      <c r="BZ416" s="19"/>
      <c r="CA416" s="19"/>
      <c r="CB416" s="19"/>
      <c r="CC416" s="19"/>
      <c r="CD416" s="19"/>
      <c r="CE416" s="19"/>
      <c r="CF416" s="19"/>
      <c r="CG416" s="19"/>
      <c r="CH416" s="19"/>
      <c r="CI416" s="19"/>
      <c r="CJ416" s="19"/>
      <c r="CK416" s="19"/>
      <c r="CL416" s="19"/>
      <c r="CM416" s="19" t="str">
        <f>$K416</f>
        <v>2026 Rivian R1T Quad Max (22in UHP)</v>
      </c>
      <c r="CN416" s="19"/>
      <c r="CO416" s="19"/>
      <c r="CP416" s="19"/>
      <c r="CQ416" s="19"/>
      <c r="CR416" s="19"/>
      <c r="CS416" s="19"/>
      <c r="CT416" s="19"/>
      <c r="CU416" s="19"/>
      <c r="CV416" s="19"/>
      <c r="CW416" s="19"/>
      <c r="CX416" s="19"/>
      <c r="CY416" s="19"/>
      <c r="CZ416" s="19"/>
      <c r="DA416" s="19"/>
      <c r="DB416" s="19"/>
      <c r="DC416" s="19"/>
      <c r="DD416" s="19" t="str">
        <f>$K416</f>
        <v>2026 Rivian R1T Quad Max (22in UHP)</v>
      </c>
      <c r="DE416" s="19"/>
      <c r="DF416" s="19"/>
      <c r="DG416" s="19"/>
      <c r="DH416" s="19"/>
      <c r="DI416" s="19"/>
      <c r="DJ416" s="19"/>
      <c r="DK416" s="19"/>
      <c r="DL416" s="19"/>
      <c r="DM416" s="19"/>
      <c r="DN416" s="19"/>
      <c r="DO416" s="19"/>
      <c r="DP416" s="19"/>
      <c r="DQ416" s="19"/>
      <c r="DR416" s="19"/>
      <c r="DS416" s="19"/>
      <c r="DT416" s="19"/>
      <c r="DU416" s="19" t="str">
        <f>$K416</f>
        <v>2026 Rivian R1T Quad Max (22in UHP)</v>
      </c>
      <c r="DV416" s="19"/>
      <c r="DW416" s="19"/>
      <c r="DX416" s="19"/>
      <c r="DY416" s="19"/>
      <c r="DZ416" s="19"/>
      <c r="EA416" s="117"/>
      <c r="EB416" s="19"/>
      <c r="EC416" s="19"/>
      <c r="ED416" s="19"/>
      <c r="EE416" s="19"/>
      <c r="EF416" s="19"/>
      <c r="EX416" s="19" t="s">
        <v>2057</v>
      </c>
    </row>
    <row r="417" spans="1:165" x14ac:dyDescent="0.35">
      <c r="A417">
        <v>2026</v>
      </c>
      <c r="B417" t="s">
        <v>1553</v>
      </c>
      <c r="C417" s="112" t="s">
        <v>1554</v>
      </c>
      <c r="D417" t="s">
        <v>1609</v>
      </c>
      <c r="E417" t="s">
        <v>1556</v>
      </c>
      <c r="F417">
        <v>104</v>
      </c>
      <c r="G417" s="113">
        <v>0</v>
      </c>
      <c r="I417" t="s">
        <v>1391</v>
      </c>
      <c r="J417">
        <v>75</v>
      </c>
      <c r="K417">
        <v>67</v>
      </c>
      <c r="L417">
        <v>71</v>
      </c>
      <c r="M417">
        <v>106</v>
      </c>
      <c r="N417">
        <v>93.6</v>
      </c>
      <c r="O417">
        <v>100.0363</v>
      </c>
      <c r="P417">
        <v>75.431700000000006</v>
      </c>
      <c r="Q417">
        <v>66.607600000000005</v>
      </c>
      <c r="R417">
        <v>71.187799999999996</v>
      </c>
      <c r="V417" t="s">
        <v>170</v>
      </c>
      <c r="W417" t="s">
        <v>171</v>
      </c>
      <c r="Y417">
        <v>1</v>
      </c>
      <c r="Z417" t="s">
        <v>173</v>
      </c>
      <c r="AA417" t="s">
        <v>173</v>
      </c>
      <c r="AB417">
        <v>4</v>
      </c>
      <c r="AC417" t="s">
        <v>423</v>
      </c>
      <c r="AF417">
        <v>338</v>
      </c>
      <c r="AG417" t="s">
        <v>1392</v>
      </c>
      <c r="AH417" t="s">
        <v>1393</v>
      </c>
      <c r="AI417" t="s">
        <v>178</v>
      </c>
      <c r="AJ417" t="s">
        <v>179</v>
      </c>
      <c r="AK417">
        <v>4</v>
      </c>
      <c r="AL417" t="s">
        <v>1394</v>
      </c>
      <c r="AS417">
        <v>1200</v>
      </c>
      <c r="AT417">
        <v>1200</v>
      </c>
      <c r="BN417" s="114"/>
      <c r="BQ417">
        <v>13</v>
      </c>
      <c r="BR417" t="s">
        <v>712</v>
      </c>
      <c r="BT417" t="s">
        <v>1402</v>
      </c>
      <c r="BU417" s="115">
        <v>45817</v>
      </c>
      <c r="BV417">
        <v>36669</v>
      </c>
      <c r="BW417" s="116"/>
      <c r="BY417" t="s">
        <v>173</v>
      </c>
      <c r="CB417" t="s">
        <v>173</v>
      </c>
      <c r="CC417" t="s">
        <v>173</v>
      </c>
      <c r="CK417" t="s">
        <v>259</v>
      </c>
      <c r="CM417">
        <v>1</v>
      </c>
      <c r="CN417" t="s">
        <v>260</v>
      </c>
      <c r="CP417">
        <v>392</v>
      </c>
      <c r="CQ417">
        <v>382</v>
      </c>
      <c r="CR417">
        <v>190</v>
      </c>
      <c r="CS417" t="s">
        <v>1437</v>
      </c>
      <c r="CV417" t="s">
        <v>262</v>
      </c>
      <c r="CX417" t="s">
        <v>263</v>
      </c>
      <c r="CY417" t="s">
        <v>172</v>
      </c>
      <c r="DC417" t="s">
        <v>1589</v>
      </c>
      <c r="DD417">
        <v>4</v>
      </c>
      <c r="DE417" t="s">
        <v>307</v>
      </c>
      <c r="DF417" t="s">
        <v>988</v>
      </c>
      <c r="DG417">
        <v>201</v>
      </c>
      <c r="DL417" t="s">
        <v>173</v>
      </c>
      <c r="DM417" t="s">
        <v>172</v>
      </c>
      <c r="DP417" t="s">
        <v>173</v>
      </c>
      <c r="DQ417" t="s">
        <v>189</v>
      </c>
      <c r="DR417" t="s">
        <v>1610</v>
      </c>
      <c r="EA417" s="117"/>
      <c r="EB417">
        <v>9</v>
      </c>
      <c r="EC417">
        <v>10</v>
      </c>
      <c r="EE417" t="s">
        <v>1611</v>
      </c>
      <c r="EF417">
        <v>10</v>
      </c>
      <c r="EU417">
        <v>2500</v>
      </c>
      <c r="EW417">
        <v>0</v>
      </c>
      <c r="EX417">
        <v>0</v>
      </c>
      <c r="EY417">
        <v>0</v>
      </c>
      <c r="FA417">
        <v>14</v>
      </c>
      <c r="FG417" s="94">
        <v>357</v>
      </c>
      <c r="FH417" s="94">
        <v>315</v>
      </c>
      <c r="FI417" s="94">
        <v>338</v>
      </c>
    </row>
    <row r="418" spans="1:165" x14ac:dyDescent="0.35">
      <c r="A418">
        <v>2026</v>
      </c>
      <c r="B418" t="s">
        <v>1553</v>
      </c>
      <c r="C418" s="112" t="s">
        <v>1554</v>
      </c>
      <c r="D418" t="s">
        <v>1609</v>
      </c>
      <c r="E418" t="s">
        <v>1556</v>
      </c>
      <c r="F418">
        <v>104</v>
      </c>
      <c r="G418" s="113">
        <v>0</v>
      </c>
      <c r="I418" t="s">
        <v>1391</v>
      </c>
      <c r="J418">
        <v>45</v>
      </c>
      <c r="K418">
        <v>51</v>
      </c>
      <c r="L418">
        <v>47</v>
      </c>
      <c r="M418">
        <v>31.783200000000001</v>
      </c>
      <c r="N418">
        <v>36.023200000000003</v>
      </c>
      <c r="O418">
        <v>33.691200000000002</v>
      </c>
      <c r="P418">
        <v>44.6828</v>
      </c>
      <c r="Q418">
        <v>50.6023</v>
      </c>
      <c r="R418">
        <v>47.346600000000002</v>
      </c>
      <c r="V418" t="s">
        <v>170</v>
      </c>
      <c r="W418" t="s">
        <v>171</v>
      </c>
      <c r="Y418">
        <v>1</v>
      </c>
      <c r="Z418" t="s">
        <v>173</v>
      </c>
      <c r="AA418" t="s">
        <v>173</v>
      </c>
      <c r="AB418">
        <v>4</v>
      </c>
      <c r="AC418" t="s">
        <v>423</v>
      </c>
      <c r="AF418">
        <v>338</v>
      </c>
      <c r="AG418" t="s">
        <v>1392</v>
      </c>
      <c r="AH418" t="s">
        <v>1393</v>
      </c>
      <c r="AI418" t="s">
        <v>1399</v>
      </c>
      <c r="AJ418" t="s">
        <v>1400</v>
      </c>
      <c r="AK418">
        <v>4</v>
      </c>
      <c r="AL418" t="s">
        <v>1394</v>
      </c>
      <c r="AS418">
        <v>1200</v>
      </c>
      <c r="AT418">
        <v>1200</v>
      </c>
      <c r="BN418" s="114"/>
      <c r="BQ418">
        <v>13</v>
      </c>
      <c r="BR418" t="s">
        <v>712</v>
      </c>
      <c r="BT418" t="s">
        <v>1402</v>
      </c>
      <c r="BU418" s="115">
        <v>45817</v>
      </c>
      <c r="BV418">
        <v>36669</v>
      </c>
      <c r="BW418" s="116"/>
      <c r="BY418" t="s">
        <v>173</v>
      </c>
      <c r="CB418" t="s">
        <v>173</v>
      </c>
      <c r="CC418" t="s">
        <v>173</v>
      </c>
      <c r="CK418" t="s">
        <v>259</v>
      </c>
      <c r="CM418">
        <v>1</v>
      </c>
      <c r="CN418" t="s">
        <v>260</v>
      </c>
      <c r="CP418">
        <v>392</v>
      </c>
      <c r="CQ418">
        <v>382</v>
      </c>
      <c r="CR418">
        <v>190</v>
      </c>
      <c r="CS418" t="s">
        <v>1437</v>
      </c>
      <c r="CV418" t="s">
        <v>262</v>
      </c>
      <c r="CX418" t="s">
        <v>263</v>
      </c>
      <c r="CY418" t="s">
        <v>172</v>
      </c>
      <c r="DC418" t="s">
        <v>1589</v>
      </c>
      <c r="DD418">
        <v>4</v>
      </c>
      <c r="DE418" t="s">
        <v>307</v>
      </c>
      <c r="DF418" t="s">
        <v>988</v>
      </c>
      <c r="DG418">
        <v>201</v>
      </c>
      <c r="DL418" t="s">
        <v>173</v>
      </c>
      <c r="DM418" t="s">
        <v>172</v>
      </c>
      <c r="DP418" t="s">
        <v>173</v>
      </c>
      <c r="DQ418" t="s">
        <v>189</v>
      </c>
      <c r="DR418" t="s">
        <v>1610</v>
      </c>
      <c r="EA418" s="117"/>
      <c r="EB418">
        <v>9</v>
      </c>
      <c r="EC418">
        <v>10</v>
      </c>
      <c r="EE418" t="s">
        <v>1611</v>
      </c>
      <c r="EF418">
        <v>10</v>
      </c>
      <c r="EU418">
        <v>2500</v>
      </c>
      <c r="EW418">
        <v>0</v>
      </c>
      <c r="EX418">
        <v>0</v>
      </c>
      <c r="EY418">
        <v>0</v>
      </c>
      <c r="FA418">
        <v>14</v>
      </c>
      <c r="FG418" s="94">
        <v>357</v>
      </c>
      <c r="FH418" s="94">
        <v>315</v>
      </c>
      <c r="FI418" s="94">
        <v>338</v>
      </c>
    </row>
    <row r="419" spans="1:165" x14ac:dyDescent="0.35">
      <c r="A419" s="19"/>
      <c r="B419" s="19"/>
      <c r="C419" s="19"/>
      <c r="D419" s="19"/>
      <c r="E419" s="19"/>
      <c r="F419" s="128"/>
      <c r="G419" s="19"/>
      <c r="H419" s="19"/>
      <c r="I419" s="19"/>
      <c r="J419" s="19"/>
      <c r="K419" s="19" t="str">
        <f>_xlfn.CONCAT(A420," ",C420," ",D420)</f>
        <v>2026 Rivian R1T Quad Max (22in)</v>
      </c>
      <c r="L419" s="19"/>
      <c r="M419" s="19"/>
      <c r="N419" s="19"/>
      <c r="O419" s="19"/>
      <c r="P419" s="19"/>
      <c r="Q419" s="19"/>
      <c r="R419" s="19"/>
      <c r="S419" s="19"/>
      <c r="T419" s="19"/>
      <c r="U419" s="19"/>
      <c r="V419" s="19"/>
      <c r="W419" s="19"/>
      <c r="X419" s="19"/>
      <c r="Y419" s="19"/>
      <c r="Z419" s="19"/>
      <c r="AA419" s="19"/>
      <c r="AB419" s="19" t="str">
        <f>$K419</f>
        <v>2026 Rivian R1T Quad Max (22in)</v>
      </c>
      <c r="AC419" s="19"/>
      <c r="AD419" s="19"/>
      <c r="AE419" s="19"/>
      <c r="AF419" s="19"/>
      <c r="AG419" s="19"/>
      <c r="AH419" s="19"/>
      <c r="AI419" s="19"/>
      <c r="AJ419" s="19"/>
      <c r="AK419" s="19"/>
      <c r="AL419" s="19"/>
      <c r="AM419" s="19"/>
      <c r="AN419" s="19"/>
      <c r="AO419" s="19"/>
      <c r="AP419" s="19"/>
      <c r="AQ419" s="19"/>
      <c r="AR419" s="19" t="str">
        <f>$K419</f>
        <v>2026 Rivian R1T Quad Max (22in)</v>
      </c>
      <c r="AS419" s="19"/>
      <c r="AT419" s="19"/>
      <c r="AU419" s="19"/>
      <c r="AV419" s="19"/>
      <c r="AW419" s="19"/>
      <c r="AX419" s="19"/>
      <c r="AY419" s="19"/>
      <c r="AZ419" s="19"/>
      <c r="BA419" s="19"/>
      <c r="BB419" s="19"/>
      <c r="BC419" s="19"/>
      <c r="BD419" s="19"/>
      <c r="BE419" s="19"/>
      <c r="BF419" s="19"/>
      <c r="BG419" s="19" t="str">
        <f>$K419</f>
        <v>2026 Rivian R1T Quad Max (22in)</v>
      </c>
      <c r="BH419" s="19"/>
      <c r="BI419" s="19"/>
      <c r="BJ419" s="19"/>
      <c r="BK419" s="19"/>
      <c r="BL419" s="19"/>
      <c r="BM419" s="129"/>
      <c r="BN419" s="19"/>
      <c r="BO419" s="19"/>
      <c r="BP419" s="19"/>
      <c r="BQ419" s="19"/>
      <c r="BR419" s="19"/>
      <c r="BS419" s="19"/>
      <c r="BT419" s="130"/>
      <c r="BU419" s="19"/>
      <c r="BV419" s="19"/>
      <c r="BW419" s="116"/>
      <c r="BX419" s="19"/>
      <c r="BY419" s="19"/>
      <c r="BZ419" s="19"/>
      <c r="CA419" s="19"/>
      <c r="CB419" s="19"/>
      <c r="CC419" s="19"/>
      <c r="CD419" s="19"/>
      <c r="CE419" s="19"/>
      <c r="CF419" s="19"/>
      <c r="CG419" s="19"/>
      <c r="CH419" s="19"/>
      <c r="CI419" s="19"/>
      <c r="CJ419" s="19"/>
      <c r="CK419" s="19"/>
      <c r="CL419" s="19"/>
      <c r="CM419" s="19" t="str">
        <f>$K419</f>
        <v>2026 Rivian R1T Quad Max (22in)</v>
      </c>
      <c r="CN419" s="19"/>
      <c r="CO419" s="19"/>
      <c r="CP419" s="19"/>
      <c r="CQ419" s="19"/>
      <c r="CR419" s="19"/>
      <c r="CS419" s="19"/>
      <c r="CT419" s="19"/>
      <c r="CU419" s="19"/>
      <c r="CV419" s="19"/>
      <c r="CW419" s="19"/>
      <c r="CX419" s="19"/>
      <c r="CY419" s="19"/>
      <c r="CZ419" s="19"/>
      <c r="DA419" s="19"/>
      <c r="DB419" s="19"/>
      <c r="DC419" s="19"/>
      <c r="DD419" s="19" t="str">
        <f>$K419</f>
        <v>2026 Rivian R1T Quad Max (22in)</v>
      </c>
      <c r="DE419" s="19"/>
      <c r="DF419" s="19"/>
      <c r="DG419" s="19"/>
      <c r="DH419" s="19"/>
      <c r="DI419" s="19"/>
      <c r="DJ419" s="19"/>
      <c r="DK419" s="19"/>
      <c r="DL419" s="19"/>
      <c r="DM419" s="19"/>
      <c r="DN419" s="19"/>
      <c r="DO419" s="19"/>
      <c r="DP419" s="19"/>
      <c r="DQ419" s="19"/>
      <c r="DR419" s="19"/>
      <c r="DS419" s="19"/>
      <c r="DT419" s="19"/>
      <c r="DU419" s="19" t="str">
        <f>$K419</f>
        <v>2026 Rivian R1T Quad Max (22in)</v>
      </c>
      <c r="DV419" s="19"/>
      <c r="DW419" s="19"/>
      <c r="DX419" s="19"/>
      <c r="DY419" s="19"/>
      <c r="DZ419" s="19"/>
      <c r="EA419" s="117"/>
      <c r="EB419" s="19"/>
      <c r="EC419" s="19"/>
      <c r="ED419" s="19"/>
      <c r="EE419" s="19"/>
      <c r="EF419" s="19"/>
      <c r="EX419" s="19" t="s">
        <v>2058</v>
      </c>
    </row>
    <row r="420" spans="1:165" x14ac:dyDescent="0.35">
      <c r="A420">
        <v>2026</v>
      </c>
      <c r="B420" t="s">
        <v>1553</v>
      </c>
      <c r="C420" s="112" t="s">
        <v>1554</v>
      </c>
      <c r="D420" t="s">
        <v>1614</v>
      </c>
      <c r="E420" t="s">
        <v>1556</v>
      </c>
      <c r="F420">
        <v>108</v>
      </c>
      <c r="G420" s="113">
        <v>0</v>
      </c>
      <c r="I420" t="s">
        <v>1391</v>
      </c>
      <c r="J420">
        <v>80</v>
      </c>
      <c r="K420">
        <v>71</v>
      </c>
      <c r="L420">
        <v>76</v>
      </c>
      <c r="M420">
        <v>110.4</v>
      </c>
      <c r="N420">
        <v>97.9</v>
      </c>
      <c r="O420">
        <v>104.4014</v>
      </c>
      <c r="P420">
        <v>80.324799999999996</v>
      </c>
      <c r="Q420">
        <v>71.230099999999993</v>
      </c>
      <c r="R420">
        <v>75.960400000000007</v>
      </c>
      <c r="V420" t="s">
        <v>170</v>
      </c>
      <c r="W420" t="s">
        <v>171</v>
      </c>
      <c r="Y420">
        <v>1</v>
      </c>
      <c r="Z420" t="s">
        <v>173</v>
      </c>
      <c r="AA420" t="s">
        <v>173</v>
      </c>
      <c r="AB420">
        <v>4</v>
      </c>
      <c r="AC420" t="s">
        <v>423</v>
      </c>
      <c r="AF420">
        <v>374</v>
      </c>
      <c r="AG420" t="s">
        <v>1392</v>
      </c>
      <c r="AH420" t="s">
        <v>1393</v>
      </c>
      <c r="AI420" t="s">
        <v>178</v>
      </c>
      <c r="AJ420" t="s">
        <v>179</v>
      </c>
      <c r="AK420">
        <v>4</v>
      </c>
      <c r="AL420" t="s">
        <v>1394</v>
      </c>
      <c r="AS420">
        <v>1150</v>
      </c>
      <c r="AT420">
        <v>1150</v>
      </c>
      <c r="BN420" s="114"/>
      <c r="BQ420">
        <v>13</v>
      </c>
      <c r="BR420" t="s">
        <v>712</v>
      </c>
      <c r="BT420" t="s">
        <v>1402</v>
      </c>
      <c r="BU420" s="115">
        <v>45838</v>
      </c>
      <c r="BV420">
        <v>36897</v>
      </c>
      <c r="BW420" s="116"/>
      <c r="BY420" t="s">
        <v>173</v>
      </c>
      <c r="CB420" t="s">
        <v>173</v>
      </c>
      <c r="CC420" t="s">
        <v>173</v>
      </c>
      <c r="CK420" t="s">
        <v>259</v>
      </c>
      <c r="CM420">
        <v>1</v>
      </c>
      <c r="CN420" t="s">
        <v>260</v>
      </c>
      <c r="CP420">
        <v>392</v>
      </c>
      <c r="CQ420">
        <v>382</v>
      </c>
      <c r="CR420">
        <v>190</v>
      </c>
      <c r="CS420" t="s">
        <v>1437</v>
      </c>
      <c r="CV420" t="s">
        <v>262</v>
      </c>
      <c r="CX420" t="s">
        <v>263</v>
      </c>
      <c r="CY420" t="s">
        <v>172</v>
      </c>
      <c r="DC420" t="s">
        <v>1589</v>
      </c>
      <c r="DD420">
        <v>4</v>
      </c>
      <c r="DE420" t="s">
        <v>307</v>
      </c>
      <c r="DF420" t="s">
        <v>988</v>
      </c>
      <c r="DG420">
        <v>201</v>
      </c>
      <c r="DL420" t="s">
        <v>173</v>
      </c>
      <c r="DM420" t="s">
        <v>172</v>
      </c>
      <c r="DP420" t="s">
        <v>173</v>
      </c>
      <c r="DQ420" t="s">
        <v>189</v>
      </c>
      <c r="DR420" t="s">
        <v>1615</v>
      </c>
      <c r="EA420" s="117"/>
      <c r="EB420">
        <v>9</v>
      </c>
      <c r="EC420">
        <v>10</v>
      </c>
      <c r="EE420" t="s">
        <v>1611</v>
      </c>
      <c r="EF420">
        <v>10</v>
      </c>
      <c r="EU420">
        <v>2750</v>
      </c>
      <c r="EW420">
        <v>0</v>
      </c>
      <c r="EX420">
        <v>0</v>
      </c>
      <c r="EY420">
        <v>0</v>
      </c>
      <c r="FA420">
        <v>14</v>
      </c>
      <c r="FG420" s="94">
        <v>394</v>
      </c>
      <c r="FH420" s="94">
        <v>349</v>
      </c>
      <c r="FI420" s="94">
        <v>374</v>
      </c>
    </row>
    <row r="421" spans="1:165" x14ac:dyDescent="0.35">
      <c r="A421">
        <v>2026</v>
      </c>
      <c r="B421" t="s">
        <v>1553</v>
      </c>
      <c r="C421" s="112" t="s">
        <v>1554</v>
      </c>
      <c r="D421" t="s">
        <v>1614</v>
      </c>
      <c r="E421" t="s">
        <v>1556</v>
      </c>
      <c r="F421">
        <v>108</v>
      </c>
      <c r="G421" s="113">
        <v>0</v>
      </c>
      <c r="I421" t="s">
        <v>1391</v>
      </c>
      <c r="J421">
        <v>42</v>
      </c>
      <c r="K421">
        <v>47</v>
      </c>
      <c r="L421">
        <v>44</v>
      </c>
      <c r="M421">
        <v>30.529399999999999</v>
      </c>
      <c r="N421">
        <v>34.430900000000001</v>
      </c>
      <c r="O421">
        <v>32.2851</v>
      </c>
      <c r="P421">
        <v>41.960900000000002</v>
      </c>
      <c r="Q421">
        <v>47.3185</v>
      </c>
      <c r="R421">
        <v>44.3718</v>
      </c>
      <c r="V421" t="s">
        <v>170</v>
      </c>
      <c r="W421" t="s">
        <v>171</v>
      </c>
      <c r="Y421">
        <v>1</v>
      </c>
      <c r="Z421" t="s">
        <v>173</v>
      </c>
      <c r="AA421" t="s">
        <v>173</v>
      </c>
      <c r="AB421">
        <v>4</v>
      </c>
      <c r="AC421" t="s">
        <v>423</v>
      </c>
      <c r="AF421">
        <v>374</v>
      </c>
      <c r="AG421" t="s">
        <v>1392</v>
      </c>
      <c r="AH421" t="s">
        <v>1393</v>
      </c>
      <c r="AI421" t="s">
        <v>1399</v>
      </c>
      <c r="AJ421" t="s">
        <v>1400</v>
      </c>
      <c r="AK421">
        <v>4</v>
      </c>
      <c r="AL421" t="s">
        <v>1394</v>
      </c>
      <c r="AS421">
        <v>1150</v>
      </c>
      <c r="AT421">
        <v>1150</v>
      </c>
      <c r="BN421" s="114"/>
      <c r="BQ421">
        <v>13</v>
      </c>
      <c r="BR421" t="s">
        <v>712</v>
      </c>
      <c r="BT421" t="s">
        <v>1402</v>
      </c>
      <c r="BU421" s="115">
        <v>45838</v>
      </c>
      <c r="BV421">
        <v>36897</v>
      </c>
      <c r="BW421" s="116"/>
      <c r="BY421" t="s">
        <v>173</v>
      </c>
      <c r="CB421" t="s">
        <v>173</v>
      </c>
      <c r="CC421" t="s">
        <v>173</v>
      </c>
      <c r="CK421" t="s">
        <v>259</v>
      </c>
      <c r="CM421">
        <v>1</v>
      </c>
      <c r="CN421" t="s">
        <v>260</v>
      </c>
      <c r="CP421">
        <v>392</v>
      </c>
      <c r="CQ421">
        <v>382</v>
      </c>
      <c r="CR421">
        <v>190</v>
      </c>
      <c r="CS421" t="s">
        <v>1437</v>
      </c>
      <c r="CV421" t="s">
        <v>262</v>
      </c>
      <c r="CX421" t="s">
        <v>263</v>
      </c>
      <c r="CY421" t="s">
        <v>172</v>
      </c>
      <c r="DC421" t="s">
        <v>1589</v>
      </c>
      <c r="DD421">
        <v>4</v>
      </c>
      <c r="DE421" t="s">
        <v>307</v>
      </c>
      <c r="DF421" t="s">
        <v>988</v>
      </c>
      <c r="DG421">
        <v>201</v>
      </c>
      <c r="DL421" t="s">
        <v>173</v>
      </c>
      <c r="DM421" t="s">
        <v>172</v>
      </c>
      <c r="DP421" t="s">
        <v>173</v>
      </c>
      <c r="DQ421" t="s">
        <v>189</v>
      </c>
      <c r="DR421" t="s">
        <v>1615</v>
      </c>
      <c r="EA421" s="117"/>
      <c r="EB421">
        <v>9</v>
      </c>
      <c r="EC421">
        <v>10</v>
      </c>
      <c r="EE421" t="s">
        <v>1611</v>
      </c>
      <c r="EF421">
        <v>10</v>
      </c>
      <c r="EU421">
        <v>2750</v>
      </c>
      <c r="EW421">
        <v>0</v>
      </c>
      <c r="EX421">
        <v>0</v>
      </c>
      <c r="EY421">
        <v>0</v>
      </c>
      <c r="FA421">
        <v>14</v>
      </c>
      <c r="FG421" s="94">
        <v>394</v>
      </c>
      <c r="FH421" s="94">
        <v>349</v>
      </c>
      <c r="FI421" s="94">
        <v>374</v>
      </c>
    </row>
    <row r="422" spans="1:165" x14ac:dyDescent="0.35">
      <c r="A422" s="19"/>
      <c r="B422" s="19"/>
      <c r="C422" s="19"/>
      <c r="D422" s="19"/>
      <c r="E422" s="19"/>
      <c r="F422" s="128"/>
      <c r="G422" s="19"/>
      <c r="H422" s="19"/>
      <c r="I422" s="19"/>
      <c r="J422" s="19"/>
      <c r="K422" s="19" t="str">
        <f>_xlfn.CONCAT(A423," ",C423," ",D423)</f>
        <v>2026 Rivian R1T Tri Max (22in)</v>
      </c>
      <c r="L422" s="19"/>
      <c r="M422" s="19"/>
      <c r="N422" s="19"/>
      <c r="O422" s="19"/>
      <c r="P422" s="19"/>
      <c r="Q422" s="19"/>
      <c r="R422" s="19"/>
      <c r="S422" s="19"/>
      <c r="T422" s="19"/>
      <c r="U422" s="19"/>
      <c r="V422" s="19"/>
      <c r="W422" s="19"/>
      <c r="X422" s="19"/>
      <c r="Y422" s="19"/>
      <c r="Z422" s="19"/>
      <c r="AA422" s="19"/>
      <c r="AB422" s="19" t="str">
        <f>$K422</f>
        <v>2026 Rivian R1T Tri Max (22in)</v>
      </c>
      <c r="AC422" s="19"/>
      <c r="AD422" s="19"/>
      <c r="AE422" s="19"/>
      <c r="AF422" s="19"/>
      <c r="AG422" s="19"/>
      <c r="AH422" s="19"/>
      <c r="AI422" s="19"/>
      <c r="AJ422" s="19"/>
      <c r="AK422" s="19"/>
      <c r="AL422" s="19"/>
      <c r="AM422" s="19"/>
      <c r="AN422" s="19"/>
      <c r="AO422" s="19"/>
      <c r="AP422" s="19"/>
      <c r="AQ422" s="19"/>
      <c r="AR422" s="19" t="str">
        <f>$K422</f>
        <v>2026 Rivian R1T Tri Max (22in)</v>
      </c>
      <c r="AS422" s="19"/>
      <c r="AT422" s="19"/>
      <c r="AU422" s="19"/>
      <c r="AV422" s="19"/>
      <c r="AW422" s="19"/>
      <c r="AX422" s="19"/>
      <c r="AY422" s="19"/>
      <c r="AZ422" s="19"/>
      <c r="BA422" s="19"/>
      <c r="BB422" s="19"/>
      <c r="BC422" s="19"/>
      <c r="BD422" s="19"/>
      <c r="BE422" s="19"/>
      <c r="BF422" s="19"/>
      <c r="BG422" s="19" t="str">
        <f>$K422</f>
        <v>2026 Rivian R1T Tri Max (22in)</v>
      </c>
      <c r="BH422" s="19"/>
      <c r="BI422" s="19"/>
      <c r="BJ422" s="19"/>
      <c r="BK422" s="19"/>
      <c r="BL422" s="19"/>
      <c r="BM422" s="129"/>
      <c r="BN422" s="19"/>
      <c r="BO422" s="19"/>
      <c r="BP422" s="19"/>
      <c r="BQ422" s="19"/>
      <c r="BR422" s="19"/>
      <c r="BS422" s="19"/>
      <c r="BT422" s="130"/>
      <c r="BU422" s="19"/>
      <c r="BV422" s="19"/>
      <c r="BW422" s="116"/>
      <c r="BX422" s="19"/>
      <c r="BY422" s="19"/>
      <c r="BZ422" s="19"/>
      <c r="CA422" s="19"/>
      <c r="CB422" s="19"/>
      <c r="CC422" s="19"/>
      <c r="CD422" s="19"/>
      <c r="CE422" s="19"/>
      <c r="CF422" s="19"/>
      <c r="CG422" s="19"/>
      <c r="CH422" s="19"/>
      <c r="CI422" s="19"/>
      <c r="CJ422" s="19"/>
      <c r="CK422" s="19"/>
      <c r="CL422" s="19"/>
      <c r="CM422" s="19" t="str">
        <f>$K422</f>
        <v>2026 Rivian R1T Tri Max (22in)</v>
      </c>
      <c r="CN422" s="19"/>
      <c r="CO422" s="19"/>
      <c r="CP422" s="19"/>
      <c r="CQ422" s="19"/>
      <c r="CR422" s="19"/>
      <c r="CS422" s="19"/>
      <c r="CT422" s="19"/>
      <c r="CU422" s="19"/>
      <c r="CV422" s="19"/>
      <c r="CW422" s="19"/>
      <c r="CX422" s="19"/>
      <c r="CY422" s="19"/>
      <c r="CZ422" s="19"/>
      <c r="DA422" s="19"/>
      <c r="DB422" s="19"/>
      <c r="DC422" s="19"/>
      <c r="DD422" s="19" t="str">
        <f>$K422</f>
        <v>2026 Rivian R1T Tri Max (22in)</v>
      </c>
      <c r="DE422" s="19"/>
      <c r="DF422" s="19"/>
      <c r="DG422" s="19"/>
      <c r="DH422" s="19"/>
      <c r="DI422" s="19"/>
      <c r="DJ422" s="19"/>
      <c r="DK422" s="19"/>
      <c r="DL422" s="19"/>
      <c r="DM422" s="19"/>
      <c r="DN422" s="19"/>
      <c r="DO422" s="19"/>
      <c r="DP422" s="19"/>
      <c r="DQ422" s="19"/>
      <c r="DR422" s="19"/>
      <c r="DS422" s="19"/>
      <c r="DT422" s="19"/>
      <c r="DU422" s="19" t="str">
        <f>$K422</f>
        <v>2026 Rivian R1T Tri Max (22in)</v>
      </c>
      <c r="DV422" s="19"/>
      <c r="DW422" s="19"/>
      <c r="DX422" s="19"/>
      <c r="DY422" s="19"/>
      <c r="DZ422" s="19"/>
      <c r="EA422" s="117"/>
      <c r="EB422" s="19"/>
      <c r="EC422" s="19"/>
      <c r="ED422" s="19"/>
      <c r="EE422" s="19"/>
      <c r="EF422" s="19"/>
      <c r="EX422" s="19" t="s">
        <v>2059</v>
      </c>
    </row>
    <row r="423" spans="1:165" x14ac:dyDescent="0.35">
      <c r="A423">
        <v>2026</v>
      </c>
      <c r="B423" t="s">
        <v>1553</v>
      </c>
      <c r="C423" s="112" t="s">
        <v>1554</v>
      </c>
      <c r="D423" t="s">
        <v>1588</v>
      </c>
      <c r="E423" t="s">
        <v>1556</v>
      </c>
      <c r="F423">
        <v>87</v>
      </c>
      <c r="G423" s="113">
        <v>0</v>
      </c>
      <c r="I423" t="s">
        <v>1391</v>
      </c>
      <c r="J423">
        <v>81</v>
      </c>
      <c r="K423">
        <v>70</v>
      </c>
      <c r="L423">
        <v>76</v>
      </c>
      <c r="M423">
        <v>113.6</v>
      </c>
      <c r="N423">
        <v>98</v>
      </c>
      <c r="O423">
        <v>106.0065</v>
      </c>
      <c r="P423">
        <v>81.036600000000007</v>
      </c>
      <c r="Q423">
        <v>69.908299999999997</v>
      </c>
      <c r="R423">
        <v>75.619699999999995</v>
      </c>
      <c r="V423" t="s">
        <v>170</v>
      </c>
      <c r="W423" t="s">
        <v>171</v>
      </c>
      <c r="Y423">
        <v>1</v>
      </c>
      <c r="Z423" t="s">
        <v>173</v>
      </c>
      <c r="AA423" t="s">
        <v>173</v>
      </c>
      <c r="AB423">
        <v>4</v>
      </c>
      <c r="AC423" t="s">
        <v>423</v>
      </c>
      <c r="AF423">
        <v>371</v>
      </c>
      <c r="AG423" t="s">
        <v>1392</v>
      </c>
      <c r="AH423" t="s">
        <v>1393</v>
      </c>
      <c r="AI423" t="s">
        <v>178</v>
      </c>
      <c r="AJ423" t="s">
        <v>179</v>
      </c>
      <c r="AK423">
        <v>4</v>
      </c>
      <c r="AL423" t="s">
        <v>1394</v>
      </c>
      <c r="AS423">
        <v>1150</v>
      </c>
      <c r="AT423">
        <v>1150</v>
      </c>
      <c r="BN423" s="114"/>
      <c r="BQ423">
        <v>13</v>
      </c>
      <c r="BR423" t="s">
        <v>712</v>
      </c>
      <c r="BT423" t="s">
        <v>1402</v>
      </c>
      <c r="BU423" s="115">
        <v>45792</v>
      </c>
      <c r="BV423">
        <v>36510</v>
      </c>
      <c r="BW423" s="116"/>
      <c r="BY423" t="s">
        <v>173</v>
      </c>
      <c r="CB423" t="s">
        <v>173</v>
      </c>
      <c r="CC423" t="s">
        <v>173</v>
      </c>
      <c r="CK423" t="s">
        <v>259</v>
      </c>
      <c r="CM423">
        <v>1</v>
      </c>
      <c r="CN423" t="s">
        <v>260</v>
      </c>
      <c r="CP423">
        <v>392</v>
      </c>
      <c r="CQ423">
        <v>382</v>
      </c>
      <c r="CR423">
        <v>190</v>
      </c>
      <c r="CS423" t="s">
        <v>1437</v>
      </c>
      <c r="CV423" t="s">
        <v>262</v>
      </c>
      <c r="CX423" t="s">
        <v>263</v>
      </c>
      <c r="CY423" t="s">
        <v>172</v>
      </c>
      <c r="DC423" t="s">
        <v>1589</v>
      </c>
      <c r="DD423">
        <v>3</v>
      </c>
      <c r="DE423" t="s">
        <v>307</v>
      </c>
      <c r="DF423" t="s">
        <v>988</v>
      </c>
      <c r="DG423" t="s">
        <v>1590</v>
      </c>
      <c r="DL423" t="s">
        <v>173</v>
      </c>
      <c r="DM423" t="s">
        <v>172</v>
      </c>
      <c r="DP423" t="s">
        <v>173</v>
      </c>
      <c r="DQ423" t="s">
        <v>189</v>
      </c>
      <c r="DR423" t="s">
        <v>1591</v>
      </c>
      <c r="EA423" s="117"/>
      <c r="EB423">
        <v>9</v>
      </c>
      <c r="EC423">
        <v>10</v>
      </c>
      <c r="EE423" t="s">
        <v>1592</v>
      </c>
      <c r="EF423">
        <v>10</v>
      </c>
      <c r="EU423">
        <v>2750</v>
      </c>
      <c r="EW423">
        <v>0</v>
      </c>
      <c r="EX423">
        <v>0</v>
      </c>
      <c r="EY423">
        <v>0</v>
      </c>
      <c r="FA423">
        <v>15</v>
      </c>
      <c r="FG423" s="94">
        <v>395</v>
      </c>
      <c r="FH423" s="94">
        <v>341</v>
      </c>
      <c r="FI423" s="94">
        <v>371</v>
      </c>
    </row>
    <row r="424" spans="1:165" x14ac:dyDescent="0.35">
      <c r="A424">
        <v>2026</v>
      </c>
      <c r="B424" t="s">
        <v>1553</v>
      </c>
      <c r="C424" s="112" t="s">
        <v>1554</v>
      </c>
      <c r="D424" t="s">
        <v>1588</v>
      </c>
      <c r="E424" t="s">
        <v>1556</v>
      </c>
      <c r="F424">
        <v>87</v>
      </c>
      <c r="G424" s="113">
        <v>0</v>
      </c>
      <c r="I424" t="s">
        <v>1391</v>
      </c>
      <c r="J424">
        <v>42</v>
      </c>
      <c r="K424">
        <v>48</v>
      </c>
      <c r="L424">
        <v>45</v>
      </c>
      <c r="M424">
        <v>29.6723</v>
      </c>
      <c r="N424">
        <v>34.404600000000002</v>
      </c>
      <c r="O424">
        <v>31.802199999999999</v>
      </c>
      <c r="P424">
        <v>41.592300000000002</v>
      </c>
      <c r="Q424">
        <v>48.213200000000001</v>
      </c>
      <c r="R424">
        <v>44.5717</v>
      </c>
      <c r="V424" t="s">
        <v>170</v>
      </c>
      <c r="W424" t="s">
        <v>171</v>
      </c>
      <c r="Y424">
        <v>1</v>
      </c>
      <c r="Z424" t="s">
        <v>173</v>
      </c>
      <c r="AA424" t="s">
        <v>173</v>
      </c>
      <c r="AB424">
        <v>4</v>
      </c>
      <c r="AC424" t="s">
        <v>423</v>
      </c>
      <c r="AF424">
        <v>371</v>
      </c>
      <c r="AG424" t="s">
        <v>1392</v>
      </c>
      <c r="AH424" t="s">
        <v>1393</v>
      </c>
      <c r="AI424" t="s">
        <v>1399</v>
      </c>
      <c r="AJ424" t="s">
        <v>1400</v>
      </c>
      <c r="AK424">
        <v>4</v>
      </c>
      <c r="AL424" t="s">
        <v>1394</v>
      </c>
      <c r="AS424">
        <v>1150</v>
      </c>
      <c r="AT424">
        <v>1150</v>
      </c>
      <c r="BN424" s="114"/>
      <c r="BQ424">
        <v>13</v>
      </c>
      <c r="BR424" t="s">
        <v>712</v>
      </c>
      <c r="BT424" t="s">
        <v>1402</v>
      </c>
      <c r="BU424" s="115">
        <v>45792</v>
      </c>
      <c r="BV424">
        <v>36510</v>
      </c>
      <c r="BW424" s="116"/>
      <c r="BY424" t="s">
        <v>173</v>
      </c>
      <c r="CB424" t="s">
        <v>173</v>
      </c>
      <c r="CC424" t="s">
        <v>173</v>
      </c>
      <c r="CK424" t="s">
        <v>259</v>
      </c>
      <c r="CM424">
        <v>1</v>
      </c>
      <c r="CN424" t="s">
        <v>260</v>
      </c>
      <c r="CP424">
        <v>392</v>
      </c>
      <c r="CQ424">
        <v>382</v>
      </c>
      <c r="CR424">
        <v>190</v>
      </c>
      <c r="CS424" t="s">
        <v>1437</v>
      </c>
      <c r="CV424" t="s">
        <v>262</v>
      </c>
      <c r="CX424" t="s">
        <v>263</v>
      </c>
      <c r="CY424" t="s">
        <v>172</v>
      </c>
      <c r="DC424" t="s">
        <v>1589</v>
      </c>
      <c r="DD424">
        <v>3</v>
      </c>
      <c r="DE424" t="s">
        <v>307</v>
      </c>
      <c r="DF424" t="s">
        <v>988</v>
      </c>
      <c r="DG424" t="s">
        <v>1590</v>
      </c>
      <c r="DL424" t="s">
        <v>173</v>
      </c>
      <c r="DM424" t="s">
        <v>172</v>
      </c>
      <c r="DP424" t="s">
        <v>173</v>
      </c>
      <c r="DQ424" t="s">
        <v>189</v>
      </c>
      <c r="DR424" t="s">
        <v>1591</v>
      </c>
      <c r="EA424" s="117"/>
      <c r="EB424">
        <v>9</v>
      </c>
      <c r="EC424">
        <v>10</v>
      </c>
      <c r="EE424" t="s">
        <v>1592</v>
      </c>
      <c r="EF424">
        <v>10</v>
      </c>
      <c r="EU424">
        <v>2750</v>
      </c>
      <c r="EW424">
        <v>0</v>
      </c>
      <c r="EX424">
        <v>0</v>
      </c>
      <c r="EY424">
        <v>0</v>
      </c>
      <c r="FA424">
        <v>15</v>
      </c>
      <c r="FG424" s="94">
        <v>395</v>
      </c>
      <c r="FH424" s="94">
        <v>341</v>
      </c>
      <c r="FI424" s="94">
        <v>371</v>
      </c>
    </row>
    <row r="425" spans="1:165" x14ac:dyDescent="0.35">
      <c r="A425" s="19"/>
      <c r="B425" s="19"/>
      <c r="C425" s="19"/>
      <c r="D425" s="19"/>
      <c r="E425" s="19"/>
      <c r="F425" s="128"/>
      <c r="G425" s="19"/>
      <c r="H425" s="19"/>
      <c r="I425" s="19"/>
      <c r="J425" s="19"/>
      <c r="K425" s="19" t="str">
        <f>_xlfn.CONCAT(A426," ",C426," ",D426)</f>
        <v>2026 Rivian R1S All-Terrain Dual Large (20in)</v>
      </c>
      <c r="L425" s="19"/>
      <c r="M425" s="19"/>
      <c r="N425" s="19"/>
      <c r="O425" s="19"/>
      <c r="P425" s="19"/>
      <c r="Q425" s="19"/>
      <c r="R425" s="19"/>
      <c r="S425" s="19"/>
      <c r="T425" s="19"/>
      <c r="U425" s="19"/>
      <c r="V425" s="19"/>
      <c r="W425" s="19"/>
      <c r="X425" s="19"/>
      <c r="Y425" s="19"/>
      <c r="Z425" s="19"/>
      <c r="AA425" s="19"/>
      <c r="AB425" s="19" t="str">
        <f>$K425</f>
        <v>2026 Rivian R1S All-Terrain Dual Large (20in)</v>
      </c>
      <c r="AC425" s="19"/>
      <c r="AD425" s="19"/>
      <c r="AE425" s="19"/>
      <c r="AF425" s="19"/>
      <c r="AG425" s="19"/>
      <c r="AH425" s="19"/>
      <c r="AI425" s="19"/>
      <c r="AJ425" s="19"/>
      <c r="AK425" s="19"/>
      <c r="AL425" s="19"/>
      <c r="AM425" s="19"/>
      <c r="AN425" s="19"/>
      <c r="AO425" s="19"/>
      <c r="AP425" s="19"/>
      <c r="AQ425" s="19"/>
      <c r="AR425" s="19" t="str">
        <f>$K425</f>
        <v>2026 Rivian R1S All-Terrain Dual Large (20in)</v>
      </c>
      <c r="AS425" s="19"/>
      <c r="AT425" s="19"/>
      <c r="AU425" s="19"/>
      <c r="AV425" s="19"/>
      <c r="AW425" s="19"/>
      <c r="AX425" s="19"/>
      <c r="AY425" s="19"/>
      <c r="AZ425" s="19"/>
      <c r="BA425" s="19"/>
      <c r="BB425" s="19"/>
      <c r="BC425" s="19"/>
      <c r="BD425" s="19"/>
      <c r="BE425" s="19"/>
      <c r="BF425" s="19"/>
      <c r="BG425" s="19" t="str">
        <f>$K425</f>
        <v>2026 Rivian R1S All-Terrain Dual Large (20in)</v>
      </c>
      <c r="BH425" s="19"/>
      <c r="BI425" s="19"/>
      <c r="BJ425" s="19"/>
      <c r="BK425" s="19"/>
      <c r="BL425" s="19"/>
      <c r="BM425" s="129"/>
      <c r="BN425" s="19"/>
      <c r="BO425" s="19"/>
      <c r="BP425" s="19"/>
      <c r="BQ425" s="19"/>
      <c r="BR425" s="19"/>
      <c r="BS425" s="19"/>
      <c r="BT425" s="130"/>
      <c r="BU425" s="19"/>
      <c r="BV425" s="19"/>
      <c r="BW425" s="116"/>
      <c r="BX425" s="19"/>
      <c r="BY425" s="19"/>
      <c r="BZ425" s="19"/>
      <c r="CA425" s="19"/>
      <c r="CB425" s="19"/>
      <c r="CC425" s="19"/>
      <c r="CD425" s="19"/>
      <c r="CE425" s="19"/>
      <c r="CF425" s="19"/>
      <c r="CG425" s="19"/>
      <c r="CH425" s="19"/>
      <c r="CI425" s="19"/>
      <c r="CJ425" s="19"/>
      <c r="CK425" s="19"/>
      <c r="CL425" s="19"/>
      <c r="CM425" s="19" t="str">
        <f>$K425</f>
        <v>2026 Rivian R1S All-Terrain Dual Large (20in)</v>
      </c>
      <c r="CN425" s="19"/>
      <c r="CO425" s="19"/>
      <c r="CP425" s="19"/>
      <c r="CQ425" s="19"/>
      <c r="CR425" s="19"/>
      <c r="CS425" s="19"/>
      <c r="CT425" s="19"/>
      <c r="CU425" s="19"/>
      <c r="CV425" s="19"/>
      <c r="CW425" s="19"/>
      <c r="CX425" s="19"/>
      <c r="CY425" s="19"/>
      <c r="CZ425" s="19"/>
      <c r="DA425" s="19"/>
      <c r="DB425" s="19"/>
      <c r="DC425" s="19"/>
      <c r="DD425" s="19" t="str">
        <f>$K425</f>
        <v>2026 Rivian R1S All-Terrain Dual Large (20in)</v>
      </c>
      <c r="DE425" s="19"/>
      <c r="DF425" s="19"/>
      <c r="DG425" s="19"/>
      <c r="DH425" s="19"/>
      <c r="DI425" s="19"/>
      <c r="DJ425" s="19"/>
      <c r="DK425" s="19"/>
      <c r="DL425" s="19"/>
      <c r="DM425" s="19"/>
      <c r="DN425" s="19"/>
      <c r="DO425" s="19"/>
      <c r="DP425" s="19"/>
      <c r="DQ425" s="19"/>
      <c r="DR425" s="19"/>
      <c r="DS425" s="19"/>
      <c r="DT425" s="19"/>
      <c r="DU425" s="19" t="str">
        <f>$K425</f>
        <v>2026 Rivian R1S All-Terrain Dual Large (20in)</v>
      </c>
      <c r="DV425" s="19"/>
      <c r="DW425" s="19"/>
      <c r="DX425" s="19"/>
      <c r="DY425" s="19"/>
      <c r="DZ425" s="19"/>
      <c r="EA425" s="117"/>
      <c r="EB425" s="19"/>
      <c r="EC425" s="19"/>
      <c r="ED425" s="19"/>
      <c r="EE425" s="19"/>
      <c r="EF425" s="19"/>
      <c r="EX425" s="19" t="s">
        <v>2060</v>
      </c>
    </row>
    <row r="426" spans="1:165" x14ac:dyDescent="0.35">
      <c r="A426">
        <v>2026</v>
      </c>
      <c r="B426" t="s">
        <v>1553</v>
      </c>
      <c r="C426" s="112" t="s">
        <v>1554</v>
      </c>
      <c r="D426" t="s">
        <v>1652</v>
      </c>
      <c r="E426" t="s">
        <v>1556</v>
      </c>
      <c r="F426">
        <v>96</v>
      </c>
      <c r="G426" s="113">
        <v>0</v>
      </c>
      <c r="I426" t="s">
        <v>1391</v>
      </c>
      <c r="J426">
        <v>82</v>
      </c>
      <c r="K426">
        <v>70</v>
      </c>
      <c r="L426">
        <v>76</v>
      </c>
      <c r="M426">
        <v>114</v>
      </c>
      <c r="N426">
        <v>97</v>
      </c>
      <c r="O426">
        <v>105.5719</v>
      </c>
      <c r="P426">
        <v>81.898399999999995</v>
      </c>
      <c r="Q426">
        <v>69.808000000000007</v>
      </c>
      <c r="R426">
        <v>75.976900000000001</v>
      </c>
      <c r="V426" t="s">
        <v>170</v>
      </c>
      <c r="W426" t="s">
        <v>171</v>
      </c>
      <c r="Y426">
        <v>1</v>
      </c>
      <c r="Z426" t="s">
        <v>173</v>
      </c>
      <c r="AA426" t="s">
        <v>173</v>
      </c>
      <c r="AB426">
        <v>4</v>
      </c>
      <c r="AC426" t="s">
        <v>423</v>
      </c>
      <c r="AF426">
        <v>289</v>
      </c>
      <c r="AG426" t="s">
        <v>1392</v>
      </c>
      <c r="AH426" t="s">
        <v>1393</v>
      </c>
      <c r="AI426" t="s">
        <v>178</v>
      </c>
      <c r="AJ426" t="s">
        <v>179</v>
      </c>
      <c r="AK426">
        <v>4</v>
      </c>
      <c r="AL426" t="s">
        <v>1394</v>
      </c>
      <c r="AS426">
        <v>1150</v>
      </c>
      <c r="AT426">
        <v>1150</v>
      </c>
      <c r="BN426" s="114"/>
      <c r="BQ426">
        <v>33</v>
      </c>
      <c r="BR426" t="s">
        <v>1062</v>
      </c>
      <c r="BT426" t="s">
        <v>1402</v>
      </c>
      <c r="BU426" s="115">
        <v>45792</v>
      </c>
      <c r="BV426">
        <v>36518</v>
      </c>
      <c r="BW426" s="116"/>
      <c r="BY426" t="s">
        <v>173</v>
      </c>
      <c r="CB426" t="s">
        <v>173</v>
      </c>
      <c r="CC426" t="s">
        <v>173</v>
      </c>
      <c r="CK426" t="s">
        <v>259</v>
      </c>
      <c r="CM426">
        <v>1</v>
      </c>
      <c r="CN426" t="s">
        <v>260</v>
      </c>
      <c r="CP426">
        <v>406</v>
      </c>
      <c r="CQ426">
        <v>286</v>
      </c>
      <c r="CR426">
        <v>273</v>
      </c>
      <c r="CS426" t="s">
        <v>1437</v>
      </c>
      <c r="CV426" t="s">
        <v>262</v>
      </c>
      <c r="CX426" t="s">
        <v>263</v>
      </c>
      <c r="CY426" t="s">
        <v>172</v>
      </c>
      <c r="DC426" t="s">
        <v>1596</v>
      </c>
      <c r="DD426">
        <v>2</v>
      </c>
      <c r="DE426" t="s">
        <v>307</v>
      </c>
      <c r="DF426" t="s">
        <v>988</v>
      </c>
      <c r="DG426">
        <v>264</v>
      </c>
      <c r="DL426" t="s">
        <v>173</v>
      </c>
      <c r="DM426" t="s">
        <v>172</v>
      </c>
      <c r="DP426" t="s">
        <v>173</v>
      </c>
      <c r="DQ426" t="s">
        <v>189</v>
      </c>
      <c r="DR426" t="s">
        <v>1653</v>
      </c>
      <c r="EA426" s="117"/>
      <c r="EB426">
        <v>9</v>
      </c>
      <c r="EC426">
        <v>10</v>
      </c>
      <c r="EE426" t="s">
        <v>1598</v>
      </c>
      <c r="EF426">
        <v>10</v>
      </c>
      <c r="EU426">
        <v>2750</v>
      </c>
      <c r="EW426">
        <v>0</v>
      </c>
      <c r="EX426">
        <v>0</v>
      </c>
      <c r="EY426">
        <v>0</v>
      </c>
      <c r="FA426">
        <v>12</v>
      </c>
      <c r="FG426" s="94">
        <v>310</v>
      </c>
      <c r="FH426" s="94">
        <v>264</v>
      </c>
      <c r="FI426" s="94">
        <v>289</v>
      </c>
    </row>
    <row r="427" spans="1:165" x14ac:dyDescent="0.35">
      <c r="A427">
        <v>2026</v>
      </c>
      <c r="B427" t="s">
        <v>1553</v>
      </c>
      <c r="C427" s="112" t="s">
        <v>1554</v>
      </c>
      <c r="D427" t="s">
        <v>1652</v>
      </c>
      <c r="E427" t="s">
        <v>1556</v>
      </c>
      <c r="F427">
        <v>96</v>
      </c>
      <c r="G427" s="113">
        <v>0</v>
      </c>
      <c r="I427" t="s">
        <v>1391</v>
      </c>
      <c r="J427">
        <v>41</v>
      </c>
      <c r="K427">
        <v>48</v>
      </c>
      <c r="L427">
        <v>44</v>
      </c>
      <c r="M427">
        <v>29.616800000000001</v>
      </c>
      <c r="N427">
        <v>34.755899999999997</v>
      </c>
      <c r="O427">
        <v>31.929400000000001</v>
      </c>
      <c r="P427">
        <v>41.154600000000002</v>
      </c>
      <c r="Q427">
        <v>48.282400000000003</v>
      </c>
      <c r="R427">
        <v>44.362200000000001</v>
      </c>
      <c r="V427" t="s">
        <v>170</v>
      </c>
      <c r="W427" t="s">
        <v>171</v>
      </c>
      <c r="Y427">
        <v>1</v>
      </c>
      <c r="Z427" t="s">
        <v>173</v>
      </c>
      <c r="AA427" t="s">
        <v>173</v>
      </c>
      <c r="AB427">
        <v>4</v>
      </c>
      <c r="AC427" t="s">
        <v>423</v>
      </c>
      <c r="AF427">
        <v>289</v>
      </c>
      <c r="AG427" t="s">
        <v>1392</v>
      </c>
      <c r="AH427" t="s">
        <v>1393</v>
      </c>
      <c r="AI427" t="s">
        <v>1399</v>
      </c>
      <c r="AJ427" t="s">
        <v>1400</v>
      </c>
      <c r="AK427">
        <v>4</v>
      </c>
      <c r="AL427" t="s">
        <v>1394</v>
      </c>
      <c r="AS427">
        <v>1150</v>
      </c>
      <c r="AT427">
        <v>1150</v>
      </c>
      <c r="BN427" s="114"/>
      <c r="BQ427">
        <v>33</v>
      </c>
      <c r="BR427" t="s">
        <v>1062</v>
      </c>
      <c r="BT427" t="s">
        <v>1402</v>
      </c>
      <c r="BU427" s="115">
        <v>45792</v>
      </c>
      <c r="BV427">
        <v>36518</v>
      </c>
      <c r="BW427" s="116"/>
      <c r="BY427" t="s">
        <v>173</v>
      </c>
      <c r="CB427" t="s">
        <v>173</v>
      </c>
      <c r="CC427" t="s">
        <v>173</v>
      </c>
      <c r="CK427" t="s">
        <v>259</v>
      </c>
      <c r="CM427">
        <v>1</v>
      </c>
      <c r="CN427" t="s">
        <v>260</v>
      </c>
      <c r="CP427">
        <v>406</v>
      </c>
      <c r="CQ427">
        <v>286</v>
      </c>
      <c r="CR427">
        <v>273</v>
      </c>
      <c r="CS427" t="s">
        <v>1437</v>
      </c>
      <c r="CV427" t="s">
        <v>262</v>
      </c>
      <c r="CX427" t="s">
        <v>263</v>
      </c>
      <c r="CY427" t="s">
        <v>172</v>
      </c>
      <c r="DC427" t="s">
        <v>1596</v>
      </c>
      <c r="DD427">
        <v>2</v>
      </c>
      <c r="DE427" t="s">
        <v>307</v>
      </c>
      <c r="DF427" t="s">
        <v>988</v>
      </c>
      <c r="DG427">
        <v>264</v>
      </c>
      <c r="DL427" t="s">
        <v>173</v>
      </c>
      <c r="DM427" t="s">
        <v>172</v>
      </c>
      <c r="DP427" t="s">
        <v>173</v>
      </c>
      <c r="DQ427" t="s">
        <v>189</v>
      </c>
      <c r="DR427" t="s">
        <v>1653</v>
      </c>
      <c r="EA427" s="117"/>
      <c r="EB427">
        <v>9</v>
      </c>
      <c r="EC427">
        <v>10</v>
      </c>
      <c r="EE427" t="s">
        <v>1598</v>
      </c>
      <c r="EF427">
        <v>10</v>
      </c>
      <c r="EU427">
        <v>2750</v>
      </c>
      <c r="EW427">
        <v>0</v>
      </c>
      <c r="EX427">
        <v>0</v>
      </c>
      <c r="EY427">
        <v>0</v>
      </c>
      <c r="FA427">
        <v>12</v>
      </c>
      <c r="FG427" s="94">
        <v>310</v>
      </c>
      <c r="FH427" s="94">
        <v>264</v>
      </c>
      <c r="FI427" s="94">
        <v>289</v>
      </c>
    </row>
    <row r="428" spans="1:165" x14ac:dyDescent="0.35">
      <c r="A428" s="19"/>
      <c r="B428" s="19"/>
      <c r="C428" s="19"/>
      <c r="D428" s="19"/>
      <c r="E428" s="19"/>
      <c r="F428" s="128"/>
      <c r="G428" s="19"/>
      <c r="H428" s="19"/>
      <c r="I428" s="19"/>
      <c r="J428" s="19"/>
      <c r="K428" s="19" t="str">
        <f>_xlfn.CONCAT(A429," ",C429," ",D429)</f>
        <v>2026 Rivian R1S All-Terrain Dual Large Plus (20in)</v>
      </c>
      <c r="L428" s="19"/>
      <c r="M428" s="19"/>
      <c r="N428" s="19"/>
      <c r="O428" s="19"/>
      <c r="P428" s="19"/>
      <c r="Q428" s="19"/>
      <c r="R428" s="19"/>
      <c r="S428" s="19"/>
      <c r="T428" s="19"/>
      <c r="U428" s="19"/>
      <c r="V428" s="19"/>
      <c r="W428" s="19"/>
      <c r="X428" s="19"/>
      <c r="Y428" s="19"/>
      <c r="Z428" s="19"/>
      <c r="AA428" s="19"/>
      <c r="AB428" s="19" t="str">
        <f>$K428</f>
        <v>2026 Rivian R1S All-Terrain Dual Large Plus (20in)</v>
      </c>
      <c r="AC428" s="19"/>
      <c r="AD428" s="19"/>
      <c r="AE428" s="19"/>
      <c r="AF428" s="19"/>
      <c r="AG428" s="19"/>
      <c r="AH428" s="19"/>
      <c r="AI428" s="19"/>
      <c r="AJ428" s="19"/>
      <c r="AK428" s="19"/>
      <c r="AL428" s="19"/>
      <c r="AM428" s="19"/>
      <c r="AN428" s="19"/>
      <c r="AO428" s="19"/>
      <c r="AP428" s="19"/>
      <c r="AQ428" s="19"/>
      <c r="AR428" s="19" t="str">
        <f>$K428</f>
        <v>2026 Rivian R1S All-Terrain Dual Large Plus (20in)</v>
      </c>
      <c r="AS428" s="19"/>
      <c r="AT428" s="19"/>
      <c r="AU428" s="19"/>
      <c r="AV428" s="19"/>
      <c r="AW428" s="19"/>
      <c r="AX428" s="19"/>
      <c r="AY428" s="19"/>
      <c r="AZ428" s="19"/>
      <c r="BA428" s="19"/>
      <c r="BB428" s="19"/>
      <c r="BC428" s="19"/>
      <c r="BD428" s="19"/>
      <c r="BE428" s="19"/>
      <c r="BF428" s="19"/>
      <c r="BG428" s="19" t="str">
        <f>$K428</f>
        <v>2026 Rivian R1S All-Terrain Dual Large Plus (20in)</v>
      </c>
      <c r="BH428" s="19"/>
      <c r="BI428" s="19"/>
      <c r="BJ428" s="19"/>
      <c r="BK428" s="19"/>
      <c r="BL428" s="19"/>
      <c r="BM428" s="129"/>
      <c r="BN428" s="19"/>
      <c r="BO428" s="19"/>
      <c r="BP428" s="19"/>
      <c r="BQ428" s="19"/>
      <c r="BR428" s="19"/>
      <c r="BS428" s="19"/>
      <c r="BT428" s="130"/>
      <c r="BU428" s="19"/>
      <c r="BV428" s="19"/>
      <c r="BW428" s="116"/>
      <c r="BX428" s="19"/>
      <c r="BY428" s="19"/>
      <c r="BZ428" s="19"/>
      <c r="CA428" s="19"/>
      <c r="CB428" s="19"/>
      <c r="CC428" s="19"/>
      <c r="CD428" s="19"/>
      <c r="CE428" s="19"/>
      <c r="CF428" s="19"/>
      <c r="CG428" s="19"/>
      <c r="CH428" s="19"/>
      <c r="CI428" s="19"/>
      <c r="CJ428" s="19"/>
      <c r="CK428" s="19"/>
      <c r="CL428" s="19"/>
      <c r="CM428" s="19" t="str">
        <f>$K428</f>
        <v>2026 Rivian R1S All-Terrain Dual Large Plus (20in)</v>
      </c>
      <c r="CN428" s="19"/>
      <c r="CO428" s="19"/>
      <c r="CP428" s="19"/>
      <c r="CQ428" s="19"/>
      <c r="CR428" s="19"/>
      <c r="CS428" s="19"/>
      <c r="CT428" s="19"/>
      <c r="CU428" s="19"/>
      <c r="CV428" s="19"/>
      <c r="CW428" s="19"/>
      <c r="CX428" s="19"/>
      <c r="CY428" s="19"/>
      <c r="CZ428" s="19"/>
      <c r="DA428" s="19"/>
      <c r="DB428" s="19"/>
      <c r="DC428" s="19"/>
      <c r="DD428" s="19" t="str">
        <f>$K428</f>
        <v>2026 Rivian R1S All-Terrain Dual Large Plus (20in)</v>
      </c>
      <c r="DE428" s="19"/>
      <c r="DF428" s="19"/>
      <c r="DG428" s="19"/>
      <c r="DH428" s="19"/>
      <c r="DI428" s="19"/>
      <c r="DJ428" s="19"/>
      <c r="DK428" s="19"/>
      <c r="DL428" s="19"/>
      <c r="DM428" s="19"/>
      <c r="DN428" s="19"/>
      <c r="DO428" s="19"/>
      <c r="DP428" s="19"/>
      <c r="DQ428" s="19"/>
      <c r="DR428" s="19"/>
      <c r="DS428" s="19"/>
      <c r="DT428" s="19"/>
      <c r="DU428" s="19" t="str">
        <f>$K428</f>
        <v>2026 Rivian R1S All-Terrain Dual Large Plus (20in)</v>
      </c>
      <c r="DV428" s="19"/>
      <c r="DW428" s="19"/>
      <c r="DX428" s="19"/>
      <c r="DY428" s="19"/>
      <c r="DZ428" s="19"/>
      <c r="EA428" s="117"/>
      <c r="EB428" s="19"/>
      <c r="EC428" s="19"/>
      <c r="ED428" s="19"/>
      <c r="EE428" s="19"/>
      <c r="EF428" s="19"/>
      <c r="EX428" s="19" t="s">
        <v>2061</v>
      </c>
    </row>
    <row r="429" spans="1:165" x14ac:dyDescent="0.35">
      <c r="A429">
        <v>2026</v>
      </c>
      <c r="B429" t="s">
        <v>1553</v>
      </c>
      <c r="C429" s="112" t="s">
        <v>1554</v>
      </c>
      <c r="D429" t="s">
        <v>1634</v>
      </c>
      <c r="E429" t="s">
        <v>1556</v>
      </c>
      <c r="F429">
        <v>78</v>
      </c>
      <c r="G429" s="113">
        <v>0</v>
      </c>
      <c r="I429" t="s">
        <v>1391</v>
      </c>
      <c r="J429">
        <v>76</v>
      </c>
      <c r="K429">
        <v>67</v>
      </c>
      <c r="L429">
        <v>72</v>
      </c>
      <c r="M429">
        <v>108.8</v>
      </c>
      <c r="N429">
        <v>96.1</v>
      </c>
      <c r="O429">
        <v>102.69289999999999</v>
      </c>
      <c r="P429">
        <v>76.16</v>
      </c>
      <c r="Q429">
        <v>67.27</v>
      </c>
      <c r="R429">
        <v>71.885000000000005</v>
      </c>
      <c r="V429" t="s">
        <v>170</v>
      </c>
      <c r="W429" t="s">
        <v>171</v>
      </c>
      <c r="Y429">
        <v>1</v>
      </c>
      <c r="Z429" t="s">
        <v>173</v>
      </c>
      <c r="AA429" t="s">
        <v>173</v>
      </c>
      <c r="AB429">
        <v>4</v>
      </c>
      <c r="AC429" t="s">
        <v>423</v>
      </c>
      <c r="AF429">
        <v>292</v>
      </c>
      <c r="AG429" t="s">
        <v>1392</v>
      </c>
      <c r="AH429" t="s">
        <v>1393</v>
      </c>
      <c r="AI429" t="s">
        <v>178</v>
      </c>
      <c r="AJ429" t="s">
        <v>179</v>
      </c>
      <c r="AK429">
        <v>4</v>
      </c>
      <c r="AL429" t="s">
        <v>1394</v>
      </c>
      <c r="AS429">
        <v>1200</v>
      </c>
      <c r="AT429">
        <v>1200</v>
      </c>
      <c r="BN429" s="114"/>
      <c r="BQ429">
        <v>33</v>
      </c>
      <c r="BR429" t="s">
        <v>1062</v>
      </c>
      <c r="BT429" t="s">
        <v>1402</v>
      </c>
      <c r="BU429" s="115">
        <v>45792</v>
      </c>
      <c r="BV429">
        <v>36500</v>
      </c>
      <c r="BW429" s="116"/>
      <c r="BY429" t="s">
        <v>173</v>
      </c>
      <c r="CB429" t="s">
        <v>173</v>
      </c>
      <c r="CC429" t="s">
        <v>173</v>
      </c>
      <c r="CK429" t="s">
        <v>259</v>
      </c>
      <c r="CM429">
        <v>1</v>
      </c>
      <c r="CN429" t="s">
        <v>260</v>
      </c>
      <c r="CP429">
        <v>392</v>
      </c>
      <c r="CQ429">
        <v>382</v>
      </c>
      <c r="CR429">
        <v>190</v>
      </c>
      <c r="CS429" t="s">
        <v>1437</v>
      </c>
      <c r="CV429" t="s">
        <v>262</v>
      </c>
      <c r="CX429" t="s">
        <v>263</v>
      </c>
      <c r="CY429" t="s">
        <v>172</v>
      </c>
      <c r="DC429" t="s">
        <v>1558</v>
      </c>
      <c r="DD429">
        <v>2</v>
      </c>
      <c r="DE429" t="s">
        <v>307</v>
      </c>
      <c r="DF429" t="s">
        <v>988</v>
      </c>
      <c r="DG429">
        <v>264</v>
      </c>
      <c r="DL429" t="s">
        <v>173</v>
      </c>
      <c r="DM429" t="s">
        <v>172</v>
      </c>
      <c r="DP429" t="s">
        <v>173</v>
      </c>
      <c r="DQ429" t="s">
        <v>189</v>
      </c>
      <c r="DR429" t="s">
        <v>1635</v>
      </c>
      <c r="EA429" s="117"/>
      <c r="EB429">
        <v>9</v>
      </c>
      <c r="EC429">
        <v>10</v>
      </c>
      <c r="EE429" t="s">
        <v>1565</v>
      </c>
      <c r="EF429">
        <v>10</v>
      </c>
      <c r="EU429">
        <v>2500</v>
      </c>
      <c r="EW429">
        <v>0</v>
      </c>
      <c r="EX429">
        <v>0</v>
      </c>
      <c r="EY429">
        <v>0</v>
      </c>
      <c r="FA429">
        <v>12</v>
      </c>
      <c r="FG429" s="94">
        <v>308</v>
      </c>
      <c r="FH429" s="94">
        <v>272</v>
      </c>
      <c r="FI429" s="94">
        <v>292</v>
      </c>
    </row>
    <row r="430" spans="1:165" x14ac:dyDescent="0.35">
      <c r="A430">
        <v>2026</v>
      </c>
      <c r="B430" t="s">
        <v>1553</v>
      </c>
      <c r="C430" s="112" t="s">
        <v>1554</v>
      </c>
      <c r="D430" t="s">
        <v>1634</v>
      </c>
      <c r="E430" t="s">
        <v>1556</v>
      </c>
      <c r="F430">
        <v>78</v>
      </c>
      <c r="G430" s="113">
        <v>0</v>
      </c>
      <c r="I430" t="s">
        <v>1391</v>
      </c>
      <c r="J430">
        <v>44</v>
      </c>
      <c r="K430">
        <v>50</v>
      </c>
      <c r="L430">
        <v>47</v>
      </c>
      <c r="M430">
        <v>30.986000000000001</v>
      </c>
      <c r="N430">
        <v>35.058500000000002</v>
      </c>
      <c r="O430">
        <v>32.818600000000004</v>
      </c>
      <c r="P430">
        <v>44.255499999999998</v>
      </c>
      <c r="Q430">
        <v>50.104100000000003</v>
      </c>
      <c r="R430">
        <v>46.8874</v>
      </c>
      <c r="V430" t="s">
        <v>170</v>
      </c>
      <c r="W430" t="s">
        <v>171</v>
      </c>
      <c r="Y430">
        <v>1</v>
      </c>
      <c r="Z430" t="s">
        <v>173</v>
      </c>
      <c r="AA430" t="s">
        <v>173</v>
      </c>
      <c r="AB430">
        <v>4</v>
      </c>
      <c r="AC430" t="s">
        <v>423</v>
      </c>
      <c r="AF430">
        <v>292</v>
      </c>
      <c r="AG430" t="s">
        <v>1392</v>
      </c>
      <c r="AH430" t="s">
        <v>1393</v>
      </c>
      <c r="AI430" t="s">
        <v>1399</v>
      </c>
      <c r="AJ430" t="s">
        <v>1400</v>
      </c>
      <c r="AK430">
        <v>4</v>
      </c>
      <c r="AL430" t="s">
        <v>1394</v>
      </c>
      <c r="AS430">
        <v>1200</v>
      </c>
      <c r="AT430">
        <v>1200</v>
      </c>
      <c r="BN430" s="114"/>
      <c r="BQ430">
        <v>33</v>
      </c>
      <c r="BR430" t="s">
        <v>1062</v>
      </c>
      <c r="BT430" t="s">
        <v>1402</v>
      </c>
      <c r="BU430" s="115">
        <v>45792</v>
      </c>
      <c r="BV430">
        <v>36500</v>
      </c>
      <c r="BW430" s="116"/>
      <c r="BY430" t="s">
        <v>173</v>
      </c>
      <c r="CB430" t="s">
        <v>173</v>
      </c>
      <c r="CC430" t="s">
        <v>173</v>
      </c>
      <c r="CK430" t="s">
        <v>259</v>
      </c>
      <c r="CM430">
        <v>1</v>
      </c>
      <c r="CN430" t="s">
        <v>260</v>
      </c>
      <c r="CP430">
        <v>392</v>
      </c>
      <c r="CQ430">
        <v>382</v>
      </c>
      <c r="CR430">
        <v>190</v>
      </c>
      <c r="CS430" t="s">
        <v>1437</v>
      </c>
      <c r="CV430" t="s">
        <v>262</v>
      </c>
      <c r="CX430" t="s">
        <v>263</v>
      </c>
      <c r="CY430" t="s">
        <v>172</v>
      </c>
      <c r="DC430" t="s">
        <v>1558</v>
      </c>
      <c r="DD430">
        <v>2</v>
      </c>
      <c r="DE430" t="s">
        <v>307</v>
      </c>
      <c r="DF430" t="s">
        <v>988</v>
      </c>
      <c r="DG430">
        <v>264</v>
      </c>
      <c r="DL430" t="s">
        <v>173</v>
      </c>
      <c r="DM430" t="s">
        <v>172</v>
      </c>
      <c r="DP430" t="s">
        <v>173</v>
      </c>
      <c r="DQ430" t="s">
        <v>189</v>
      </c>
      <c r="DR430" t="s">
        <v>1635</v>
      </c>
      <c r="EA430" s="117"/>
      <c r="EB430">
        <v>9</v>
      </c>
      <c r="EC430">
        <v>10</v>
      </c>
      <c r="EE430" t="s">
        <v>1565</v>
      </c>
      <c r="EF430">
        <v>10</v>
      </c>
      <c r="EU430">
        <v>2500</v>
      </c>
      <c r="EW430">
        <v>0</v>
      </c>
      <c r="EX430">
        <v>0</v>
      </c>
      <c r="EY430">
        <v>0</v>
      </c>
      <c r="FA430">
        <v>12</v>
      </c>
      <c r="FG430" s="94">
        <v>308</v>
      </c>
      <c r="FH430" s="94">
        <v>272</v>
      </c>
      <c r="FI430" s="94">
        <v>292</v>
      </c>
    </row>
    <row r="431" spans="1:165" x14ac:dyDescent="0.35">
      <c r="A431" s="19"/>
      <c r="B431" s="19"/>
      <c r="C431" s="19"/>
      <c r="D431" s="19"/>
      <c r="E431" s="19"/>
      <c r="F431" s="128"/>
      <c r="G431" s="19"/>
      <c r="H431" s="19"/>
      <c r="I431" s="19"/>
      <c r="J431" s="19"/>
      <c r="K431" s="19" t="str">
        <f>_xlfn.CONCAT(A432," ",C432," ",D432)</f>
        <v>2026 Rivian R1S All-Terrain Dual Max (20in)</v>
      </c>
      <c r="L431" s="19"/>
      <c r="M431" s="19"/>
      <c r="N431" s="19"/>
      <c r="O431" s="19"/>
      <c r="P431" s="19"/>
      <c r="Q431" s="19"/>
      <c r="R431" s="19"/>
      <c r="S431" s="19"/>
      <c r="T431" s="19"/>
      <c r="U431" s="19"/>
      <c r="V431" s="19"/>
      <c r="W431" s="19"/>
      <c r="X431" s="19"/>
      <c r="Y431" s="19"/>
      <c r="Z431" s="19"/>
      <c r="AA431" s="19"/>
      <c r="AB431" s="19" t="str">
        <f>$K431</f>
        <v>2026 Rivian R1S All-Terrain Dual Max (20in)</v>
      </c>
      <c r="AC431" s="19"/>
      <c r="AD431" s="19"/>
      <c r="AE431" s="19"/>
      <c r="AF431" s="19"/>
      <c r="AG431" s="19"/>
      <c r="AH431" s="19"/>
      <c r="AI431" s="19"/>
      <c r="AJ431" s="19"/>
      <c r="AK431" s="19"/>
      <c r="AL431" s="19"/>
      <c r="AM431" s="19"/>
      <c r="AN431" s="19"/>
      <c r="AO431" s="19"/>
      <c r="AP431" s="19"/>
      <c r="AQ431" s="19"/>
      <c r="AR431" s="19" t="str">
        <f>$K431</f>
        <v>2026 Rivian R1S All-Terrain Dual Max (20in)</v>
      </c>
      <c r="AS431" s="19"/>
      <c r="AT431" s="19"/>
      <c r="AU431" s="19"/>
      <c r="AV431" s="19"/>
      <c r="AW431" s="19"/>
      <c r="AX431" s="19"/>
      <c r="AY431" s="19"/>
      <c r="AZ431" s="19"/>
      <c r="BA431" s="19"/>
      <c r="BB431" s="19"/>
      <c r="BC431" s="19"/>
      <c r="BD431" s="19"/>
      <c r="BE431" s="19"/>
      <c r="BF431" s="19"/>
      <c r="BG431" s="19" t="str">
        <f>$K431</f>
        <v>2026 Rivian R1S All-Terrain Dual Max (20in)</v>
      </c>
      <c r="BH431" s="19"/>
      <c r="BI431" s="19"/>
      <c r="BJ431" s="19"/>
      <c r="BK431" s="19"/>
      <c r="BL431" s="19"/>
      <c r="BM431" s="129"/>
      <c r="BN431" s="19"/>
      <c r="BO431" s="19"/>
      <c r="BP431" s="19"/>
      <c r="BQ431" s="19"/>
      <c r="BR431" s="19"/>
      <c r="BS431" s="19"/>
      <c r="BT431" s="130"/>
      <c r="BU431" s="19"/>
      <c r="BV431" s="19"/>
      <c r="BW431" s="116"/>
      <c r="BX431" s="19"/>
      <c r="BY431" s="19"/>
      <c r="BZ431" s="19"/>
      <c r="CA431" s="19"/>
      <c r="CB431" s="19"/>
      <c r="CC431" s="19"/>
      <c r="CD431" s="19"/>
      <c r="CE431" s="19"/>
      <c r="CF431" s="19"/>
      <c r="CG431" s="19"/>
      <c r="CH431" s="19"/>
      <c r="CI431" s="19"/>
      <c r="CJ431" s="19"/>
      <c r="CK431" s="19"/>
      <c r="CL431" s="19"/>
      <c r="CM431" s="19" t="str">
        <f>$K431</f>
        <v>2026 Rivian R1S All-Terrain Dual Max (20in)</v>
      </c>
      <c r="CN431" s="19"/>
      <c r="CO431" s="19"/>
      <c r="CP431" s="19"/>
      <c r="CQ431" s="19"/>
      <c r="CR431" s="19"/>
      <c r="CS431" s="19"/>
      <c r="CT431" s="19"/>
      <c r="CU431" s="19"/>
      <c r="CV431" s="19"/>
      <c r="CW431" s="19"/>
      <c r="CX431" s="19"/>
      <c r="CY431" s="19"/>
      <c r="CZ431" s="19"/>
      <c r="DA431" s="19"/>
      <c r="DB431" s="19"/>
      <c r="DC431" s="19"/>
      <c r="DD431" s="19" t="str">
        <f>$K431</f>
        <v>2026 Rivian R1S All-Terrain Dual Max (20in)</v>
      </c>
      <c r="DE431" s="19"/>
      <c r="DF431" s="19"/>
      <c r="DG431" s="19"/>
      <c r="DH431" s="19"/>
      <c r="DI431" s="19"/>
      <c r="DJ431" s="19"/>
      <c r="DK431" s="19"/>
      <c r="DL431" s="19"/>
      <c r="DM431" s="19"/>
      <c r="DN431" s="19"/>
      <c r="DO431" s="19"/>
      <c r="DP431" s="19"/>
      <c r="DQ431" s="19"/>
      <c r="DR431" s="19"/>
      <c r="DS431" s="19"/>
      <c r="DT431" s="19"/>
      <c r="DU431" s="19" t="str">
        <f>$K431</f>
        <v>2026 Rivian R1S All-Terrain Dual Max (20in)</v>
      </c>
      <c r="DV431" s="19"/>
      <c r="DW431" s="19"/>
      <c r="DX431" s="19"/>
      <c r="DY431" s="19"/>
      <c r="DZ431" s="19"/>
      <c r="EA431" s="117"/>
      <c r="EB431" s="19"/>
      <c r="EC431" s="19"/>
      <c r="ED431" s="19"/>
      <c r="EE431" s="19"/>
      <c r="EF431" s="19"/>
      <c r="EX431" s="19" t="s">
        <v>2062</v>
      </c>
    </row>
    <row r="432" spans="1:165" x14ac:dyDescent="0.35">
      <c r="A432">
        <v>2026</v>
      </c>
      <c r="B432" t="s">
        <v>1553</v>
      </c>
      <c r="C432" s="112" t="s">
        <v>1554</v>
      </c>
      <c r="D432" t="s">
        <v>1624</v>
      </c>
      <c r="E432" t="s">
        <v>1556</v>
      </c>
      <c r="F432">
        <v>68</v>
      </c>
      <c r="G432" s="113">
        <v>0</v>
      </c>
      <c r="I432" t="s">
        <v>1391</v>
      </c>
      <c r="J432">
        <v>82</v>
      </c>
      <c r="K432">
        <v>73</v>
      </c>
      <c r="L432">
        <v>78</v>
      </c>
      <c r="M432">
        <v>112</v>
      </c>
      <c r="N432">
        <v>100.1</v>
      </c>
      <c r="O432">
        <v>106.3126</v>
      </c>
      <c r="P432">
        <v>82.147499999999994</v>
      </c>
      <c r="Q432">
        <v>73.419300000000007</v>
      </c>
      <c r="R432">
        <v>77.975999999999999</v>
      </c>
      <c r="V432" t="s">
        <v>170</v>
      </c>
      <c r="W432" t="s">
        <v>171</v>
      </c>
      <c r="Y432">
        <v>1</v>
      </c>
      <c r="Z432" t="s">
        <v>173</v>
      </c>
      <c r="AA432" t="s">
        <v>173</v>
      </c>
      <c r="AB432" t="s">
        <v>769</v>
      </c>
      <c r="AC432" t="s">
        <v>770</v>
      </c>
      <c r="AF432">
        <v>370</v>
      </c>
      <c r="AG432" t="s">
        <v>1392</v>
      </c>
      <c r="AH432" t="s">
        <v>1393</v>
      </c>
      <c r="AI432" t="s">
        <v>178</v>
      </c>
      <c r="AJ432" t="s">
        <v>179</v>
      </c>
      <c r="AK432">
        <v>4</v>
      </c>
      <c r="AL432" t="s">
        <v>1394</v>
      </c>
      <c r="AS432">
        <v>1100</v>
      </c>
      <c r="AT432">
        <v>1100</v>
      </c>
      <c r="BN432" s="114"/>
      <c r="BQ432">
        <v>33</v>
      </c>
      <c r="BR432" t="s">
        <v>1062</v>
      </c>
      <c r="BT432" t="s">
        <v>1402</v>
      </c>
      <c r="BU432" s="115">
        <v>45792</v>
      </c>
      <c r="BV432">
        <v>36491</v>
      </c>
      <c r="BW432" s="116"/>
      <c r="BY432" t="s">
        <v>173</v>
      </c>
      <c r="CB432" t="s">
        <v>173</v>
      </c>
      <c r="CC432" t="s">
        <v>173</v>
      </c>
      <c r="CK432" t="s">
        <v>259</v>
      </c>
      <c r="CM432">
        <v>1</v>
      </c>
      <c r="CN432" t="s">
        <v>260</v>
      </c>
      <c r="CP432">
        <v>392</v>
      </c>
      <c r="CQ432">
        <v>382</v>
      </c>
      <c r="CR432">
        <v>190</v>
      </c>
      <c r="CS432" t="s">
        <v>1437</v>
      </c>
      <c r="CV432" t="s">
        <v>262</v>
      </c>
      <c r="CX432" t="s">
        <v>263</v>
      </c>
      <c r="CY432" t="s">
        <v>172</v>
      </c>
      <c r="DC432" t="s">
        <v>1558</v>
      </c>
      <c r="DD432">
        <v>2</v>
      </c>
      <c r="DE432" t="s">
        <v>307</v>
      </c>
      <c r="DF432" t="s">
        <v>988</v>
      </c>
      <c r="DG432">
        <v>264</v>
      </c>
      <c r="DL432" t="s">
        <v>173</v>
      </c>
      <c r="DM432" t="s">
        <v>172</v>
      </c>
      <c r="DP432" t="s">
        <v>173</v>
      </c>
      <c r="DQ432" t="s">
        <v>189</v>
      </c>
      <c r="DR432" t="s">
        <v>1625</v>
      </c>
      <c r="EA432" s="117"/>
      <c r="EB432">
        <v>9</v>
      </c>
      <c r="EC432">
        <v>10</v>
      </c>
      <c r="EE432" t="s">
        <v>1565</v>
      </c>
      <c r="EF432">
        <v>10</v>
      </c>
      <c r="EU432">
        <v>3000</v>
      </c>
      <c r="EW432">
        <v>0</v>
      </c>
      <c r="EX432">
        <v>0</v>
      </c>
      <c r="EY432">
        <v>0</v>
      </c>
      <c r="FA432">
        <v>15</v>
      </c>
      <c r="FG432" s="94">
        <v>389</v>
      </c>
      <c r="FH432" s="94">
        <v>347</v>
      </c>
      <c r="FI432" s="94">
        <v>370</v>
      </c>
    </row>
    <row r="433" spans="1:165" x14ac:dyDescent="0.35">
      <c r="A433">
        <v>2026</v>
      </c>
      <c r="B433" t="s">
        <v>1553</v>
      </c>
      <c r="C433" s="112" t="s">
        <v>1554</v>
      </c>
      <c r="D433" t="s">
        <v>1624</v>
      </c>
      <c r="E433" t="s">
        <v>1556</v>
      </c>
      <c r="F433">
        <v>68</v>
      </c>
      <c r="G433" s="113">
        <v>0</v>
      </c>
      <c r="I433" t="s">
        <v>1391</v>
      </c>
      <c r="J433">
        <v>41</v>
      </c>
      <c r="K433">
        <v>46</v>
      </c>
      <c r="L433">
        <v>43</v>
      </c>
      <c r="M433">
        <v>30.099299999999999</v>
      </c>
      <c r="N433">
        <v>33.672800000000002</v>
      </c>
      <c r="O433">
        <v>31.7074</v>
      </c>
      <c r="P433">
        <v>41.029800000000002</v>
      </c>
      <c r="Q433">
        <v>45.907499999999999</v>
      </c>
      <c r="R433">
        <v>43.224800000000002</v>
      </c>
      <c r="V433" t="s">
        <v>170</v>
      </c>
      <c r="W433" t="s">
        <v>171</v>
      </c>
      <c r="Y433">
        <v>1</v>
      </c>
      <c r="Z433" t="s">
        <v>173</v>
      </c>
      <c r="AA433" t="s">
        <v>173</v>
      </c>
      <c r="AB433" t="s">
        <v>769</v>
      </c>
      <c r="AC433" t="s">
        <v>770</v>
      </c>
      <c r="AF433">
        <v>370</v>
      </c>
      <c r="AG433" t="s">
        <v>1392</v>
      </c>
      <c r="AH433" t="s">
        <v>1393</v>
      </c>
      <c r="AI433" t="s">
        <v>1399</v>
      </c>
      <c r="AJ433" t="s">
        <v>1400</v>
      </c>
      <c r="AK433">
        <v>4</v>
      </c>
      <c r="AL433" t="s">
        <v>1394</v>
      </c>
      <c r="AS433">
        <v>1100</v>
      </c>
      <c r="AT433">
        <v>1100</v>
      </c>
      <c r="BN433" s="114"/>
      <c r="BQ433">
        <v>33</v>
      </c>
      <c r="BR433" t="s">
        <v>1062</v>
      </c>
      <c r="BT433" t="s">
        <v>1402</v>
      </c>
      <c r="BU433" s="115">
        <v>45792</v>
      </c>
      <c r="BV433">
        <v>36491</v>
      </c>
      <c r="BW433" s="116"/>
      <c r="BY433" t="s">
        <v>173</v>
      </c>
      <c r="CB433" t="s">
        <v>173</v>
      </c>
      <c r="CC433" t="s">
        <v>173</v>
      </c>
      <c r="CK433" t="s">
        <v>259</v>
      </c>
      <c r="CM433">
        <v>1</v>
      </c>
      <c r="CN433" t="s">
        <v>260</v>
      </c>
      <c r="CP433">
        <v>392</v>
      </c>
      <c r="CQ433">
        <v>382</v>
      </c>
      <c r="CR433">
        <v>190</v>
      </c>
      <c r="CS433" t="s">
        <v>1437</v>
      </c>
      <c r="CV433" t="s">
        <v>262</v>
      </c>
      <c r="CX433" t="s">
        <v>263</v>
      </c>
      <c r="CY433" t="s">
        <v>172</v>
      </c>
      <c r="DC433" t="s">
        <v>1558</v>
      </c>
      <c r="DD433">
        <v>2</v>
      </c>
      <c r="DE433" t="s">
        <v>307</v>
      </c>
      <c r="DF433" t="s">
        <v>988</v>
      </c>
      <c r="DG433">
        <v>264</v>
      </c>
      <c r="DL433" t="s">
        <v>173</v>
      </c>
      <c r="DM433" t="s">
        <v>172</v>
      </c>
      <c r="DP433" t="s">
        <v>173</v>
      </c>
      <c r="DQ433" t="s">
        <v>189</v>
      </c>
      <c r="DR433" t="s">
        <v>1625</v>
      </c>
      <c r="EA433" s="117"/>
      <c r="EB433">
        <v>9</v>
      </c>
      <c r="EC433">
        <v>10</v>
      </c>
      <c r="EE433" t="s">
        <v>1565</v>
      </c>
      <c r="EF433">
        <v>10</v>
      </c>
      <c r="EU433">
        <v>3000</v>
      </c>
      <c r="EW433">
        <v>0</v>
      </c>
      <c r="EX433">
        <v>0</v>
      </c>
      <c r="EY433">
        <v>0</v>
      </c>
      <c r="FA433">
        <v>15</v>
      </c>
      <c r="FG433" s="94">
        <v>389</v>
      </c>
      <c r="FH433" s="94">
        <v>347</v>
      </c>
      <c r="FI433" s="94">
        <v>370</v>
      </c>
    </row>
    <row r="434" spans="1:165" x14ac:dyDescent="0.35">
      <c r="A434" s="19"/>
      <c r="B434" s="19"/>
      <c r="C434" s="19"/>
      <c r="D434" s="19"/>
      <c r="E434" s="19"/>
      <c r="F434" s="128"/>
      <c r="G434" s="19"/>
      <c r="H434" s="19"/>
      <c r="I434" s="19"/>
      <c r="J434" s="19"/>
      <c r="K434" s="19" t="str">
        <f>_xlfn.CONCAT(A435," ",C435," ",D435)</f>
        <v>2026 Rivian R1S All-Terrain Performance  Dual Max (20in)</v>
      </c>
      <c r="L434" s="19"/>
      <c r="M434" s="19"/>
      <c r="N434" s="19"/>
      <c r="O434" s="19"/>
      <c r="P434" s="19"/>
      <c r="Q434" s="19"/>
      <c r="R434" s="19"/>
      <c r="S434" s="19"/>
      <c r="T434" s="19"/>
      <c r="U434" s="19"/>
      <c r="V434" s="19"/>
      <c r="W434" s="19"/>
      <c r="X434" s="19"/>
      <c r="Y434" s="19"/>
      <c r="Z434" s="19"/>
      <c r="AA434" s="19"/>
      <c r="AB434" s="19" t="str">
        <f>$K434</f>
        <v>2026 Rivian R1S All-Terrain Performance  Dual Max (20in)</v>
      </c>
      <c r="AC434" s="19"/>
      <c r="AD434" s="19"/>
      <c r="AE434" s="19"/>
      <c r="AF434" s="19"/>
      <c r="AG434" s="19"/>
      <c r="AH434" s="19"/>
      <c r="AI434" s="19"/>
      <c r="AJ434" s="19"/>
      <c r="AK434" s="19"/>
      <c r="AL434" s="19"/>
      <c r="AM434" s="19"/>
      <c r="AN434" s="19"/>
      <c r="AO434" s="19"/>
      <c r="AP434" s="19"/>
      <c r="AQ434" s="19"/>
      <c r="AR434" s="19" t="str">
        <f>$K434</f>
        <v>2026 Rivian R1S All-Terrain Performance  Dual Max (20in)</v>
      </c>
      <c r="AS434" s="19"/>
      <c r="AT434" s="19"/>
      <c r="AU434" s="19"/>
      <c r="AV434" s="19"/>
      <c r="AW434" s="19"/>
      <c r="AX434" s="19"/>
      <c r="AY434" s="19"/>
      <c r="AZ434" s="19"/>
      <c r="BA434" s="19"/>
      <c r="BB434" s="19"/>
      <c r="BC434" s="19"/>
      <c r="BD434" s="19"/>
      <c r="BE434" s="19"/>
      <c r="BF434" s="19"/>
      <c r="BG434" s="19" t="str">
        <f>$K434</f>
        <v>2026 Rivian R1S All-Terrain Performance  Dual Max (20in)</v>
      </c>
      <c r="BH434" s="19"/>
      <c r="BI434" s="19"/>
      <c r="BJ434" s="19"/>
      <c r="BK434" s="19"/>
      <c r="BL434" s="19"/>
      <c r="BM434" s="129"/>
      <c r="BN434" s="19"/>
      <c r="BO434" s="19"/>
      <c r="BP434" s="19"/>
      <c r="BQ434" s="19"/>
      <c r="BR434" s="19"/>
      <c r="BS434" s="19"/>
      <c r="BT434" s="130"/>
      <c r="BU434" s="19"/>
      <c r="BV434" s="19"/>
      <c r="BW434" s="116"/>
      <c r="BX434" s="19"/>
      <c r="BY434" s="19"/>
      <c r="BZ434" s="19"/>
      <c r="CA434" s="19"/>
      <c r="CB434" s="19"/>
      <c r="CC434" s="19"/>
      <c r="CD434" s="19"/>
      <c r="CE434" s="19"/>
      <c r="CF434" s="19"/>
      <c r="CG434" s="19"/>
      <c r="CH434" s="19"/>
      <c r="CI434" s="19"/>
      <c r="CJ434" s="19"/>
      <c r="CK434" s="19"/>
      <c r="CL434" s="19"/>
      <c r="CM434" s="19" t="str">
        <f>$K434</f>
        <v>2026 Rivian R1S All-Terrain Performance  Dual Max (20in)</v>
      </c>
      <c r="CN434" s="19"/>
      <c r="CO434" s="19"/>
      <c r="CP434" s="19"/>
      <c r="CQ434" s="19"/>
      <c r="CR434" s="19"/>
      <c r="CS434" s="19"/>
      <c r="CT434" s="19"/>
      <c r="CU434" s="19"/>
      <c r="CV434" s="19"/>
      <c r="CW434" s="19"/>
      <c r="CX434" s="19"/>
      <c r="CY434" s="19"/>
      <c r="CZ434" s="19"/>
      <c r="DA434" s="19"/>
      <c r="DB434" s="19"/>
      <c r="DC434" s="19"/>
      <c r="DD434" s="19" t="str">
        <f>$K434</f>
        <v>2026 Rivian R1S All-Terrain Performance  Dual Max (20in)</v>
      </c>
      <c r="DE434" s="19"/>
      <c r="DF434" s="19"/>
      <c r="DG434" s="19"/>
      <c r="DH434" s="19"/>
      <c r="DI434" s="19"/>
      <c r="DJ434" s="19"/>
      <c r="DK434" s="19"/>
      <c r="DL434" s="19"/>
      <c r="DM434" s="19"/>
      <c r="DN434" s="19"/>
      <c r="DO434" s="19"/>
      <c r="DP434" s="19"/>
      <c r="DQ434" s="19"/>
      <c r="DR434" s="19"/>
      <c r="DS434" s="19"/>
      <c r="DT434" s="19"/>
      <c r="DU434" s="19" t="str">
        <f>$K434</f>
        <v>2026 Rivian R1S All-Terrain Performance  Dual Max (20in)</v>
      </c>
      <c r="DV434" s="19"/>
      <c r="DW434" s="19"/>
      <c r="DX434" s="19"/>
      <c r="DY434" s="19"/>
      <c r="DZ434" s="19"/>
      <c r="EA434" s="117"/>
      <c r="EB434" s="19"/>
      <c r="EC434" s="19"/>
      <c r="ED434" s="19"/>
      <c r="EE434" s="19"/>
      <c r="EF434" s="19"/>
      <c r="EX434" s="19" t="s">
        <v>2063</v>
      </c>
    </row>
    <row r="435" spans="1:165" x14ac:dyDescent="0.35">
      <c r="A435">
        <v>2026</v>
      </c>
      <c r="B435" t="s">
        <v>1553</v>
      </c>
      <c r="C435" s="112" t="s">
        <v>1554</v>
      </c>
      <c r="D435" t="s">
        <v>1630</v>
      </c>
      <c r="E435" t="s">
        <v>1556</v>
      </c>
      <c r="F435">
        <v>74</v>
      </c>
      <c r="G435" s="113">
        <v>0</v>
      </c>
      <c r="I435" t="s">
        <v>1391</v>
      </c>
      <c r="J435">
        <v>82</v>
      </c>
      <c r="K435">
        <v>73</v>
      </c>
      <c r="L435">
        <v>78</v>
      </c>
      <c r="M435">
        <v>112</v>
      </c>
      <c r="N435">
        <v>100.1</v>
      </c>
      <c r="O435">
        <v>106.3126</v>
      </c>
      <c r="P435">
        <v>82.147499999999994</v>
      </c>
      <c r="Q435">
        <v>73.419300000000007</v>
      </c>
      <c r="R435">
        <v>77.975999999999999</v>
      </c>
      <c r="V435" t="s">
        <v>170</v>
      </c>
      <c r="W435" t="s">
        <v>171</v>
      </c>
      <c r="Y435">
        <v>1</v>
      </c>
      <c r="Z435" t="s">
        <v>173</v>
      </c>
      <c r="AA435" t="s">
        <v>173</v>
      </c>
      <c r="AB435" t="s">
        <v>769</v>
      </c>
      <c r="AC435" t="s">
        <v>770</v>
      </c>
      <c r="AF435">
        <v>370</v>
      </c>
      <c r="AG435" t="s">
        <v>1392</v>
      </c>
      <c r="AH435" t="s">
        <v>1393</v>
      </c>
      <c r="AI435" t="s">
        <v>178</v>
      </c>
      <c r="AJ435" t="s">
        <v>179</v>
      </c>
      <c r="AK435">
        <v>4</v>
      </c>
      <c r="AL435" t="s">
        <v>1394</v>
      </c>
      <c r="AS435">
        <v>1100</v>
      </c>
      <c r="AT435">
        <v>1100</v>
      </c>
      <c r="BN435" s="114"/>
      <c r="BQ435">
        <v>33</v>
      </c>
      <c r="BR435" t="s">
        <v>1062</v>
      </c>
      <c r="BT435" t="s">
        <v>1402</v>
      </c>
      <c r="BU435" s="115">
        <v>45792</v>
      </c>
      <c r="BV435">
        <v>36497</v>
      </c>
      <c r="BW435" s="116"/>
      <c r="BY435" t="s">
        <v>173</v>
      </c>
      <c r="CB435" t="s">
        <v>173</v>
      </c>
      <c r="CC435" t="s">
        <v>173</v>
      </c>
      <c r="CK435" t="s">
        <v>259</v>
      </c>
      <c r="CM435">
        <v>1</v>
      </c>
      <c r="CN435" t="s">
        <v>260</v>
      </c>
      <c r="CP435">
        <v>392</v>
      </c>
      <c r="CQ435">
        <v>382</v>
      </c>
      <c r="CR435">
        <v>190</v>
      </c>
      <c r="CS435" t="s">
        <v>1437</v>
      </c>
      <c r="CV435" t="s">
        <v>262</v>
      </c>
      <c r="CX435" t="s">
        <v>263</v>
      </c>
      <c r="CY435" t="s">
        <v>172</v>
      </c>
      <c r="DC435" t="s">
        <v>1558</v>
      </c>
      <c r="DD435">
        <v>2</v>
      </c>
      <c r="DE435" t="s">
        <v>307</v>
      </c>
      <c r="DF435" t="s">
        <v>988</v>
      </c>
      <c r="DG435">
        <v>264</v>
      </c>
      <c r="DL435" t="s">
        <v>173</v>
      </c>
      <c r="DM435" t="s">
        <v>172</v>
      </c>
      <c r="DP435" t="s">
        <v>173</v>
      </c>
      <c r="DQ435" t="s">
        <v>189</v>
      </c>
      <c r="DR435" t="s">
        <v>1631</v>
      </c>
      <c r="EA435" s="117"/>
      <c r="EB435">
        <v>9</v>
      </c>
      <c r="EC435">
        <v>10</v>
      </c>
      <c r="EE435" t="s">
        <v>1565</v>
      </c>
      <c r="EF435">
        <v>10</v>
      </c>
      <c r="EU435">
        <v>3000</v>
      </c>
      <c r="EW435">
        <v>0</v>
      </c>
      <c r="EX435">
        <v>0</v>
      </c>
      <c r="EY435">
        <v>0</v>
      </c>
      <c r="FA435">
        <v>15</v>
      </c>
      <c r="FG435" s="94">
        <v>389</v>
      </c>
      <c r="FH435" s="94">
        <v>347</v>
      </c>
      <c r="FI435" s="94">
        <v>370</v>
      </c>
    </row>
    <row r="436" spans="1:165" x14ac:dyDescent="0.35">
      <c r="A436">
        <v>2026</v>
      </c>
      <c r="B436" t="s">
        <v>1553</v>
      </c>
      <c r="C436" s="112" t="s">
        <v>1554</v>
      </c>
      <c r="D436" t="s">
        <v>1630</v>
      </c>
      <c r="E436" t="s">
        <v>1556</v>
      </c>
      <c r="F436">
        <v>74</v>
      </c>
      <c r="G436" s="113">
        <v>0</v>
      </c>
      <c r="I436" t="s">
        <v>1391</v>
      </c>
      <c r="J436">
        <v>41</v>
      </c>
      <c r="K436">
        <v>46</v>
      </c>
      <c r="L436">
        <v>43</v>
      </c>
      <c r="M436">
        <v>30.099299999999999</v>
      </c>
      <c r="N436">
        <v>33.672800000000002</v>
      </c>
      <c r="O436">
        <v>31.7074</v>
      </c>
      <c r="P436">
        <v>41.029800000000002</v>
      </c>
      <c r="Q436">
        <v>45.907499999999999</v>
      </c>
      <c r="R436">
        <v>43.224800000000002</v>
      </c>
      <c r="V436" t="s">
        <v>170</v>
      </c>
      <c r="W436" t="s">
        <v>171</v>
      </c>
      <c r="Y436">
        <v>1</v>
      </c>
      <c r="Z436" t="s">
        <v>173</v>
      </c>
      <c r="AA436" t="s">
        <v>173</v>
      </c>
      <c r="AB436" t="s">
        <v>769</v>
      </c>
      <c r="AC436" t="s">
        <v>770</v>
      </c>
      <c r="AF436">
        <v>370</v>
      </c>
      <c r="AG436" t="s">
        <v>1392</v>
      </c>
      <c r="AH436" t="s">
        <v>1393</v>
      </c>
      <c r="AI436" t="s">
        <v>1399</v>
      </c>
      <c r="AJ436" t="s">
        <v>1400</v>
      </c>
      <c r="AK436">
        <v>4</v>
      </c>
      <c r="AL436" t="s">
        <v>1394</v>
      </c>
      <c r="AS436">
        <v>1100</v>
      </c>
      <c r="AT436">
        <v>1100</v>
      </c>
      <c r="BN436" s="114"/>
      <c r="BQ436">
        <v>33</v>
      </c>
      <c r="BR436" t="s">
        <v>1062</v>
      </c>
      <c r="BT436" t="s">
        <v>1402</v>
      </c>
      <c r="BU436" s="115">
        <v>45792</v>
      </c>
      <c r="BV436">
        <v>36497</v>
      </c>
      <c r="BW436" s="116"/>
      <c r="BY436" t="s">
        <v>173</v>
      </c>
      <c r="CB436" t="s">
        <v>173</v>
      </c>
      <c r="CC436" t="s">
        <v>173</v>
      </c>
      <c r="CK436" t="s">
        <v>259</v>
      </c>
      <c r="CM436">
        <v>1</v>
      </c>
      <c r="CN436" t="s">
        <v>260</v>
      </c>
      <c r="CP436">
        <v>392</v>
      </c>
      <c r="CQ436">
        <v>382</v>
      </c>
      <c r="CR436">
        <v>190</v>
      </c>
      <c r="CS436" t="s">
        <v>1437</v>
      </c>
      <c r="CV436" t="s">
        <v>262</v>
      </c>
      <c r="CX436" t="s">
        <v>263</v>
      </c>
      <c r="CY436" t="s">
        <v>172</v>
      </c>
      <c r="DC436" t="s">
        <v>1558</v>
      </c>
      <c r="DD436">
        <v>2</v>
      </c>
      <c r="DE436" t="s">
        <v>307</v>
      </c>
      <c r="DF436" t="s">
        <v>988</v>
      </c>
      <c r="DG436">
        <v>264</v>
      </c>
      <c r="DL436" t="s">
        <v>173</v>
      </c>
      <c r="DM436" t="s">
        <v>172</v>
      </c>
      <c r="DP436" t="s">
        <v>173</v>
      </c>
      <c r="DQ436" t="s">
        <v>189</v>
      </c>
      <c r="DR436" t="s">
        <v>1631</v>
      </c>
      <c r="EA436" s="117"/>
      <c r="EB436">
        <v>9</v>
      </c>
      <c r="EC436">
        <v>10</v>
      </c>
      <c r="EE436" t="s">
        <v>1565</v>
      </c>
      <c r="EF436">
        <v>10</v>
      </c>
      <c r="EU436">
        <v>3000</v>
      </c>
      <c r="EW436">
        <v>0</v>
      </c>
      <c r="EX436">
        <v>0</v>
      </c>
      <c r="EY436">
        <v>0</v>
      </c>
      <c r="FA436">
        <v>15</v>
      </c>
      <c r="FG436" s="94">
        <v>389</v>
      </c>
      <c r="FH436" s="94">
        <v>347</v>
      </c>
      <c r="FI436" s="94">
        <v>370</v>
      </c>
    </row>
    <row r="437" spans="1:165" x14ac:dyDescent="0.35">
      <c r="A437" s="19"/>
      <c r="B437" s="19"/>
      <c r="C437" s="19"/>
      <c r="D437" s="19"/>
      <c r="E437" s="19"/>
      <c r="F437" s="128"/>
      <c r="G437" s="19"/>
      <c r="H437" s="19"/>
      <c r="I437" s="19"/>
      <c r="J437" s="19"/>
      <c r="K437" s="19" t="str">
        <f>_xlfn.CONCAT(A438," ",C438," ",D438)</f>
        <v>2026 Rivian R1S All-Terrain Performance Dual Large (20in)</v>
      </c>
      <c r="L437" s="19"/>
      <c r="M437" s="19"/>
      <c r="N437" s="19"/>
      <c r="O437" s="19"/>
      <c r="P437" s="19"/>
      <c r="Q437" s="19"/>
      <c r="R437" s="19"/>
      <c r="S437" s="19"/>
      <c r="T437" s="19"/>
      <c r="U437" s="19"/>
      <c r="V437" s="19"/>
      <c r="W437" s="19"/>
      <c r="X437" s="19"/>
      <c r="Y437" s="19"/>
      <c r="Z437" s="19"/>
      <c r="AA437" s="19"/>
      <c r="AB437" s="19" t="str">
        <f>$K437</f>
        <v>2026 Rivian R1S All-Terrain Performance Dual Large (20in)</v>
      </c>
      <c r="AC437" s="19"/>
      <c r="AD437" s="19"/>
      <c r="AE437" s="19"/>
      <c r="AF437" s="19"/>
      <c r="AG437" s="19"/>
      <c r="AH437" s="19"/>
      <c r="AI437" s="19"/>
      <c r="AJ437" s="19"/>
      <c r="AK437" s="19"/>
      <c r="AL437" s="19"/>
      <c r="AM437" s="19"/>
      <c r="AN437" s="19"/>
      <c r="AO437" s="19"/>
      <c r="AP437" s="19"/>
      <c r="AQ437" s="19"/>
      <c r="AR437" s="19" t="str">
        <f>$K437</f>
        <v>2026 Rivian R1S All-Terrain Performance Dual Large (20in)</v>
      </c>
      <c r="AS437" s="19"/>
      <c r="AT437" s="19"/>
      <c r="AU437" s="19"/>
      <c r="AV437" s="19"/>
      <c r="AW437" s="19"/>
      <c r="AX437" s="19"/>
      <c r="AY437" s="19"/>
      <c r="AZ437" s="19"/>
      <c r="BA437" s="19"/>
      <c r="BB437" s="19"/>
      <c r="BC437" s="19"/>
      <c r="BD437" s="19"/>
      <c r="BE437" s="19"/>
      <c r="BF437" s="19"/>
      <c r="BG437" s="19" t="str">
        <f>$K437</f>
        <v>2026 Rivian R1S All-Terrain Performance Dual Large (20in)</v>
      </c>
      <c r="BH437" s="19"/>
      <c r="BI437" s="19"/>
      <c r="BJ437" s="19"/>
      <c r="BK437" s="19"/>
      <c r="BL437" s="19"/>
      <c r="BM437" s="129"/>
      <c r="BN437" s="19"/>
      <c r="BO437" s="19"/>
      <c r="BP437" s="19"/>
      <c r="BQ437" s="19"/>
      <c r="BR437" s="19"/>
      <c r="BS437" s="19"/>
      <c r="BT437" s="130"/>
      <c r="BU437" s="19"/>
      <c r="BV437" s="19"/>
      <c r="BW437" s="116"/>
      <c r="BX437" s="19"/>
      <c r="BY437" s="19"/>
      <c r="BZ437" s="19"/>
      <c r="CA437" s="19"/>
      <c r="CB437" s="19"/>
      <c r="CC437" s="19"/>
      <c r="CD437" s="19"/>
      <c r="CE437" s="19"/>
      <c r="CF437" s="19"/>
      <c r="CG437" s="19"/>
      <c r="CH437" s="19"/>
      <c r="CI437" s="19"/>
      <c r="CJ437" s="19"/>
      <c r="CK437" s="19"/>
      <c r="CL437" s="19"/>
      <c r="CM437" s="19" t="str">
        <f>$K437</f>
        <v>2026 Rivian R1S All-Terrain Performance Dual Large (20in)</v>
      </c>
      <c r="CN437" s="19"/>
      <c r="CO437" s="19"/>
      <c r="CP437" s="19"/>
      <c r="CQ437" s="19"/>
      <c r="CR437" s="19"/>
      <c r="CS437" s="19"/>
      <c r="CT437" s="19"/>
      <c r="CU437" s="19"/>
      <c r="CV437" s="19"/>
      <c r="CW437" s="19"/>
      <c r="CX437" s="19"/>
      <c r="CY437" s="19"/>
      <c r="CZ437" s="19"/>
      <c r="DA437" s="19"/>
      <c r="DB437" s="19"/>
      <c r="DC437" s="19"/>
      <c r="DD437" s="19" t="str">
        <f>$K437</f>
        <v>2026 Rivian R1S All-Terrain Performance Dual Large (20in)</v>
      </c>
      <c r="DE437" s="19"/>
      <c r="DF437" s="19"/>
      <c r="DG437" s="19"/>
      <c r="DH437" s="19"/>
      <c r="DI437" s="19"/>
      <c r="DJ437" s="19"/>
      <c r="DK437" s="19"/>
      <c r="DL437" s="19"/>
      <c r="DM437" s="19"/>
      <c r="DN437" s="19"/>
      <c r="DO437" s="19"/>
      <c r="DP437" s="19"/>
      <c r="DQ437" s="19"/>
      <c r="DR437" s="19"/>
      <c r="DS437" s="19"/>
      <c r="DT437" s="19"/>
      <c r="DU437" s="19" t="str">
        <f>$K437</f>
        <v>2026 Rivian R1S All-Terrain Performance Dual Large (20in)</v>
      </c>
      <c r="DV437" s="19"/>
      <c r="DW437" s="19"/>
      <c r="DX437" s="19"/>
      <c r="DY437" s="19"/>
      <c r="DZ437" s="19"/>
      <c r="EA437" s="117"/>
      <c r="EB437" s="19"/>
      <c r="EC437" s="19"/>
      <c r="ED437" s="19"/>
      <c r="EE437" s="19"/>
      <c r="EF437" s="19"/>
      <c r="EX437" s="19" t="s">
        <v>2064</v>
      </c>
    </row>
    <row r="438" spans="1:165" x14ac:dyDescent="0.35">
      <c r="A438">
        <v>2026</v>
      </c>
      <c r="B438" t="s">
        <v>1553</v>
      </c>
      <c r="C438" s="112" t="s">
        <v>1554</v>
      </c>
      <c r="D438" t="s">
        <v>1658</v>
      </c>
      <c r="E438" t="s">
        <v>1556</v>
      </c>
      <c r="F438">
        <v>102</v>
      </c>
      <c r="G438" s="113">
        <v>0</v>
      </c>
      <c r="I438" t="s">
        <v>1391</v>
      </c>
      <c r="J438">
        <v>82</v>
      </c>
      <c r="K438">
        <v>70</v>
      </c>
      <c r="L438">
        <v>76</v>
      </c>
      <c r="M438">
        <v>114</v>
      </c>
      <c r="N438">
        <v>97</v>
      </c>
      <c r="O438">
        <v>105.5719</v>
      </c>
      <c r="P438">
        <v>81.898399999999995</v>
      </c>
      <c r="Q438">
        <v>69.808000000000007</v>
      </c>
      <c r="R438">
        <v>75.976900000000001</v>
      </c>
      <c r="V438" t="s">
        <v>170</v>
      </c>
      <c r="W438" t="s">
        <v>171</v>
      </c>
      <c r="Y438">
        <v>1</v>
      </c>
      <c r="Z438" t="s">
        <v>173</v>
      </c>
      <c r="AA438" t="s">
        <v>173</v>
      </c>
      <c r="AB438">
        <v>4</v>
      </c>
      <c r="AC438" t="s">
        <v>423</v>
      </c>
      <c r="AF438">
        <v>289</v>
      </c>
      <c r="AG438" t="s">
        <v>1392</v>
      </c>
      <c r="AH438" t="s">
        <v>1393</v>
      </c>
      <c r="AI438" t="s">
        <v>178</v>
      </c>
      <c r="AJ438" t="s">
        <v>179</v>
      </c>
      <c r="AK438">
        <v>4</v>
      </c>
      <c r="AL438" t="s">
        <v>1394</v>
      </c>
      <c r="AS438">
        <v>1150</v>
      </c>
      <c r="AT438">
        <v>1150</v>
      </c>
      <c r="BN438" s="114"/>
      <c r="BQ438">
        <v>33</v>
      </c>
      <c r="BR438" t="s">
        <v>1062</v>
      </c>
      <c r="BT438" t="s">
        <v>1402</v>
      </c>
      <c r="BU438" s="115">
        <v>45792</v>
      </c>
      <c r="BV438">
        <v>36524</v>
      </c>
      <c r="BW438" s="116"/>
      <c r="BY438" t="s">
        <v>173</v>
      </c>
      <c r="CB438" t="s">
        <v>173</v>
      </c>
      <c r="CC438" t="s">
        <v>173</v>
      </c>
      <c r="CK438" t="s">
        <v>259</v>
      </c>
      <c r="CM438">
        <v>1</v>
      </c>
      <c r="CN438" t="s">
        <v>260</v>
      </c>
      <c r="CP438">
        <v>406</v>
      </c>
      <c r="CQ438">
        <v>286</v>
      </c>
      <c r="CR438">
        <v>273</v>
      </c>
      <c r="CS438" t="s">
        <v>1437</v>
      </c>
      <c r="CV438" t="s">
        <v>262</v>
      </c>
      <c r="CX438" t="s">
        <v>263</v>
      </c>
      <c r="CY438" t="s">
        <v>172</v>
      </c>
      <c r="DC438" t="s">
        <v>1596</v>
      </c>
      <c r="DD438">
        <v>2</v>
      </c>
      <c r="DE438" t="s">
        <v>307</v>
      </c>
      <c r="DF438" t="s">
        <v>988</v>
      </c>
      <c r="DG438">
        <v>264</v>
      </c>
      <c r="DL438" t="s">
        <v>173</v>
      </c>
      <c r="DM438" t="s">
        <v>172</v>
      </c>
      <c r="DP438" t="s">
        <v>173</v>
      </c>
      <c r="DQ438" t="s">
        <v>189</v>
      </c>
      <c r="DR438" t="s">
        <v>1659</v>
      </c>
      <c r="EA438" s="117"/>
      <c r="EB438">
        <v>9</v>
      </c>
      <c r="EC438">
        <v>10</v>
      </c>
      <c r="EE438" t="s">
        <v>1598</v>
      </c>
      <c r="EF438">
        <v>10</v>
      </c>
      <c r="EU438">
        <v>2750</v>
      </c>
      <c r="EW438">
        <v>0</v>
      </c>
      <c r="EX438">
        <v>0</v>
      </c>
      <c r="EY438">
        <v>0</v>
      </c>
      <c r="FA438">
        <v>12</v>
      </c>
      <c r="FG438" s="94">
        <v>310</v>
      </c>
      <c r="FH438" s="94">
        <v>264</v>
      </c>
      <c r="FI438" s="94">
        <v>289</v>
      </c>
    </row>
    <row r="439" spans="1:165" x14ac:dyDescent="0.35">
      <c r="A439">
        <v>2026</v>
      </c>
      <c r="B439" t="s">
        <v>1553</v>
      </c>
      <c r="C439" s="112" t="s">
        <v>1554</v>
      </c>
      <c r="D439" t="s">
        <v>1658</v>
      </c>
      <c r="E439" t="s">
        <v>1556</v>
      </c>
      <c r="F439">
        <v>102</v>
      </c>
      <c r="G439" s="113">
        <v>0</v>
      </c>
      <c r="I439" t="s">
        <v>1391</v>
      </c>
      <c r="J439">
        <v>41</v>
      </c>
      <c r="K439">
        <v>48</v>
      </c>
      <c r="L439">
        <v>44</v>
      </c>
      <c r="M439">
        <v>29.616800000000001</v>
      </c>
      <c r="N439">
        <v>34.755899999999997</v>
      </c>
      <c r="O439">
        <v>31.929400000000001</v>
      </c>
      <c r="P439">
        <v>41.154600000000002</v>
      </c>
      <c r="Q439">
        <v>48.282400000000003</v>
      </c>
      <c r="R439">
        <v>44.362200000000001</v>
      </c>
      <c r="V439" t="s">
        <v>170</v>
      </c>
      <c r="W439" t="s">
        <v>171</v>
      </c>
      <c r="Y439">
        <v>1</v>
      </c>
      <c r="Z439" t="s">
        <v>173</v>
      </c>
      <c r="AA439" t="s">
        <v>173</v>
      </c>
      <c r="AB439">
        <v>4</v>
      </c>
      <c r="AC439" t="s">
        <v>423</v>
      </c>
      <c r="AF439">
        <v>289</v>
      </c>
      <c r="AG439" t="s">
        <v>1392</v>
      </c>
      <c r="AH439" t="s">
        <v>1393</v>
      </c>
      <c r="AI439" t="s">
        <v>1399</v>
      </c>
      <c r="AJ439" t="s">
        <v>1400</v>
      </c>
      <c r="AK439">
        <v>4</v>
      </c>
      <c r="AL439" t="s">
        <v>1394</v>
      </c>
      <c r="AS439">
        <v>1150</v>
      </c>
      <c r="AT439">
        <v>1150</v>
      </c>
      <c r="BN439" s="114"/>
      <c r="BQ439">
        <v>33</v>
      </c>
      <c r="BR439" t="s">
        <v>1062</v>
      </c>
      <c r="BT439" t="s">
        <v>1402</v>
      </c>
      <c r="BU439" s="115">
        <v>45792</v>
      </c>
      <c r="BV439">
        <v>36524</v>
      </c>
      <c r="BW439" s="116"/>
      <c r="BY439" t="s">
        <v>173</v>
      </c>
      <c r="CB439" t="s">
        <v>173</v>
      </c>
      <c r="CC439" t="s">
        <v>173</v>
      </c>
      <c r="CK439" t="s">
        <v>259</v>
      </c>
      <c r="CM439">
        <v>1</v>
      </c>
      <c r="CN439" t="s">
        <v>260</v>
      </c>
      <c r="CP439">
        <v>406</v>
      </c>
      <c r="CQ439">
        <v>286</v>
      </c>
      <c r="CR439">
        <v>273</v>
      </c>
      <c r="CS439" t="s">
        <v>1437</v>
      </c>
      <c r="CV439" t="s">
        <v>262</v>
      </c>
      <c r="CX439" t="s">
        <v>263</v>
      </c>
      <c r="CY439" t="s">
        <v>172</v>
      </c>
      <c r="DC439" t="s">
        <v>1596</v>
      </c>
      <c r="DD439">
        <v>2</v>
      </c>
      <c r="DE439" t="s">
        <v>307</v>
      </c>
      <c r="DF439" t="s">
        <v>988</v>
      </c>
      <c r="DG439">
        <v>264</v>
      </c>
      <c r="DL439" t="s">
        <v>173</v>
      </c>
      <c r="DM439" t="s">
        <v>172</v>
      </c>
      <c r="DP439" t="s">
        <v>173</v>
      </c>
      <c r="DQ439" t="s">
        <v>189</v>
      </c>
      <c r="DR439" t="s">
        <v>1659</v>
      </c>
      <c r="EA439" s="117"/>
      <c r="EB439">
        <v>9</v>
      </c>
      <c r="EC439">
        <v>10</v>
      </c>
      <c r="EE439" t="s">
        <v>1598</v>
      </c>
      <c r="EF439">
        <v>10</v>
      </c>
      <c r="EU439">
        <v>2750</v>
      </c>
      <c r="EW439">
        <v>0</v>
      </c>
      <c r="EX439">
        <v>0</v>
      </c>
      <c r="EY439">
        <v>0</v>
      </c>
      <c r="FA439">
        <v>12</v>
      </c>
      <c r="FG439" s="94">
        <v>310</v>
      </c>
      <c r="FH439" s="94">
        <v>264</v>
      </c>
      <c r="FI439" s="94">
        <v>289</v>
      </c>
    </row>
    <row r="440" spans="1:165" x14ac:dyDescent="0.35">
      <c r="A440" s="19"/>
      <c r="B440" s="19"/>
      <c r="C440" s="19"/>
      <c r="D440" s="19"/>
      <c r="E440" s="19"/>
      <c r="F440" s="128"/>
      <c r="G440" s="19"/>
      <c r="H440" s="19"/>
      <c r="I440" s="19"/>
      <c r="J440" s="19"/>
      <c r="K440" s="19" t="str">
        <f>_xlfn.CONCAT(A441," ",C441," ",D441)</f>
        <v>2026 Rivian R1S All-Terrain Performance Dual Large Plus (20in)</v>
      </c>
      <c r="L440" s="19"/>
      <c r="M440" s="19"/>
      <c r="N440" s="19"/>
      <c r="O440" s="19"/>
      <c r="P440" s="19"/>
      <c r="Q440" s="19"/>
      <c r="R440" s="19"/>
      <c r="S440" s="19"/>
      <c r="T440" s="19"/>
      <c r="U440" s="19"/>
      <c r="V440" s="19"/>
      <c r="W440" s="19"/>
      <c r="X440" s="19"/>
      <c r="Y440" s="19"/>
      <c r="Z440" s="19"/>
      <c r="AA440" s="19"/>
      <c r="AB440" s="19" t="str">
        <f>$K440</f>
        <v>2026 Rivian R1S All-Terrain Performance Dual Large Plus (20in)</v>
      </c>
      <c r="AC440" s="19"/>
      <c r="AD440" s="19"/>
      <c r="AE440" s="19"/>
      <c r="AF440" s="19"/>
      <c r="AG440" s="19"/>
      <c r="AH440" s="19"/>
      <c r="AI440" s="19"/>
      <c r="AJ440" s="19"/>
      <c r="AK440" s="19"/>
      <c r="AL440" s="19"/>
      <c r="AM440" s="19"/>
      <c r="AN440" s="19"/>
      <c r="AO440" s="19"/>
      <c r="AP440" s="19"/>
      <c r="AQ440" s="19"/>
      <c r="AR440" s="19" t="str">
        <f>$K440</f>
        <v>2026 Rivian R1S All-Terrain Performance Dual Large Plus (20in)</v>
      </c>
      <c r="AS440" s="19"/>
      <c r="AT440" s="19"/>
      <c r="AU440" s="19"/>
      <c r="AV440" s="19"/>
      <c r="AW440" s="19"/>
      <c r="AX440" s="19"/>
      <c r="AY440" s="19"/>
      <c r="AZ440" s="19"/>
      <c r="BA440" s="19"/>
      <c r="BB440" s="19"/>
      <c r="BC440" s="19"/>
      <c r="BD440" s="19"/>
      <c r="BE440" s="19"/>
      <c r="BF440" s="19"/>
      <c r="BG440" s="19" t="str">
        <f>$K440</f>
        <v>2026 Rivian R1S All-Terrain Performance Dual Large Plus (20in)</v>
      </c>
      <c r="BH440" s="19"/>
      <c r="BI440" s="19"/>
      <c r="BJ440" s="19"/>
      <c r="BK440" s="19"/>
      <c r="BL440" s="19"/>
      <c r="BM440" s="129"/>
      <c r="BN440" s="19"/>
      <c r="BO440" s="19"/>
      <c r="BP440" s="19"/>
      <c r="BQ440" s="19"/>
      <c r="BR440" s="19"/>
      <c r="BS440" s="19"/>
      <c r="BT440" s="130"/>
      <c r="BU440" s="19"/>
      <c r="BV440" s="19"/>
      <c r="BW440" s="116"/>
      <c r="BX440" s="19"/>
      <c r="BY440" s="19"/>
      <c r="BZ440" s="19"/>
      <c r="CA440" s="19"/>
      <c r="CB440" s="19"/>
      <c r="CC440" s="19"/>
      <c r="CD440" s="19"/>
      <c r="CE440" s="19"/>
      <c r="CF440" s="19"/>
      <c r="CG440" s="19"/>
      <c r="CH440" s="19"/>
      <c r="CI440" s="19"/>
      <c r="CJ440" s="19"/>
      <c r="CK440" s="19"/>
      <c r="CL440" s="19"/>
      <c r="CM440" s="19" t="str">
        <f>$K440</f>
        <v>2026 Rivian R1S All-Terrain Performance Dual Large Plus (20in)</v>
      </c>
      <c r="CN440" s="19"/>
      <c r="CO440" s="19"/>
      <c r="CP440" s="19"/>
      <c r="CQ440" s="19"/>
      <c r="CR440" s="19"/>
      <c r="CS440" s="19"/>
      <c r="CT440" s="19"/>
      <c r="CU440" s="19"/>
      <c r="CV440" s="19"/>
      <c r="CW440" s="19"/>
      <c r="CX440" s="19"/>
      <c r="CY440" s="19"/>
      <c r="CZ440" s="19"/>
      <c r="DA440" s="19"/>
      <c r="DB440" s="19"/>
      <c r="DC440" s="19"/>
      <c r="DD440" s="19" t="str">
        <f>$K440</f>
        <v>2026 Rivian R1S All-Terrain Performance Dual Large Plus (20in)</v>
      </c>
      <c r="DE440" s="19"/>
      <c r="DF440" s="19"/>
      <c r="DG440" s="19"/>
      <c r="DH440" s="19"/>
      <c r="DI440" s="19"/>
      <c r="DJ440" s="19"/>
      <c r="DK440" s="19"/>
      <c r="DL440" s="19"/>
      <c r="DM440" s="19"/>
      <c r="DN440" s="19"/>
      <c r="DO440" s="19"/>
      <c r="DP440" s="19"/>
      <c r="DQ440" s="19"/>
      <c r="DR440" s="19"/>
      <c r="DS440" s="19"/>
      <c r="DT440" s="19"/>
      <c r="DU440" s="19" t="str">
        <f>$K440</f>
        <v>2026 Rivian R1S All-Terrain Performance Dual Large Plus (20in)</v>
      </c>
      <c r="DV440" s="19"/>
      <c r="DW440" s="19"/>
      <c r="DX440" s="19"/>
      <c r="DY440" s="19"/>
      <c r="DZ440" s="19"/>
      <c r="EA440" s="117"/>
      <c r="EB440" s="19"/>
      <c r="EC440" s="19"/>
      <c r="ED440" s="19"/>
      <c r="EE440" s="19"/>
      <c r="EF440" s="19"/>
      <c r="EX440" s="19" t="s">
        <v>2065</v>
      </c>
    </row>
    <row r="441" spans="1:165" x14ac:dyDescent="0.35">
      <c r="A441">
        <v>2026</v>
      </c>
      <c r="B441" t="s">
        <v>1553</v>
      </c>
      <c r="C441" s="112" t="s">
        <v>1554</v>
      </c>
      <c r="D441" t="s">
        <v>1638</v>
      </c>
      <c r="E441" t="s">
        <v>1556</v>
      </c>
      <c r="F441">
        <v>82</v>
      </c>
      <c r="G441" s="113">
        <v>0</v>
      </c>
      <c r="I441" t="s">
        <v>1391</v>
      </c>
      <c r="J441">
        <v>76</v>
      </c>
      <c r="K441">
        <v>67</v>
      </c>
      <c r="L441">
        <v>72</v>
      </c>
      <c r="M441">
        <v>108.8</v>
      </c>
      <c r="N441">
        <v>96.1</v>
      </c>
      <c r="O441">
        <v>102.69289999999999</v>
      </c>
      <c r="P441">
        <v>76.16</v>
      </c>
      <c r="Q441">
        <v>67.27</v>
      </c>
      <c r="R441">
        <v>71.885000000000005</v>
      </c>
      <c r="V441" t="s">
        <v>170</v>
      </c>
      <c r="W441" t="s">
        <v>171</v>
      </c>
      <c r="Y441">
        <v>1</v>
      </c>
      <c r="Z441" t="s">
        <v>173</v>
      </c>
      <c r="AA441" t="s">
        <v>173</v>
      </c>
      <c r="AB441">
        <v>4</v>
      </c>
      <c r="AC441" t="s">
        <v>423</v>
      </c>
      <c r="AF441">
        <v>292</v>
      </c>
      <c r="AG441" t="s">
        <v>1392</v>
      </c>
      <c r="AH441" t="s">
        <v>1393</v>
      </c>
      <c r="AI441" t="s">
        <v>178</v>
      </c>
      <c r="AJ441" t="s">
        <v>179</v>
      </c>
      <c r="AK441">
        <v>4</v>
      </c>
      <c r="AL441" t="s">
        <v>1394</v>
      </c>
      <c r="AS441">
        <v>1200</v>
      </c>
      <c r="AT441">
        <v>1200</v>
      </c>
      <c r="BN441" s="114"/>
      <c r="BQ441">
        <v>33</v>
      </c>
      <c r="BR441" t="s">
        <v>1062</v>
      </c>
      <c r="BT441" t="s">
        <v>1402</v>
      </c>
      <c r="BU441" s="115">
        <v>45792</v>
      </c>
      <c r="BV441">
        <v>36504</v>
      </c>
      <c r="BW441" s="116"/>
      <c r="BY441" t="s">
        <v>173</v>
      </c>
      <c r="CB441" t="s">
        <v>173</v>
      </c>
      <c r="CC441" t="s">
        <v>173</v>
      </c>
      <c r="CK441" t="s">
        <v>259</v>
      </c>
      <c r="CM441">
        <v>1</v>
      </c>
      <c r="CN441" t="s">
        <v>260</v>
      </c>
      <c r="CP441">
        <v>392</v>
      </c>
      <c r="CQ441">
        <v>382</v>
      </c>
      <c r="CR441">
        <v>190</v>
      </c>
      <c r="CS441" t="s">
        <v>1437</v>
      </c>
      <c r="CV441" t="s">
        <v>262</v>
      </c>
      <c r="CX441" t="s">
        <v>263</v>
      </c>
      <c r="CY441" t="s">
        <v>172</v>
      </c>
      <c r="DC441" t="s">
        <v>1558</v>
      </c>
      <c r="DD441">
        <v>2</v>
      </c>
      <c r="DE441" t="s">
        <v>307</v>
      </c>
      <c r="DF441" t="s">
        <v>988</v>
      </c>
      <c r="DG441">
        <v>264</v>
      </c>
      <c r="DL441" t="s">
        <v>173</v>
      </c>
      <c r="DM441" t="s">
        <v>172</v>
      </c>
      <c r="DP441" t="s">
        <v>173</v>
      </c>
      <c r="DQ441" t="s">
        <v>189</v>
      </c>
      <c r="DR441" t="s">
        <v>1639</v>
      </c>
      <c r="EA441" s="117"/>
      <c r="EB441">
        <v>9</v>
      </c>
      <c r="EC441">
        <v>10</v>
      </c>
      <c r="EE441" t="s">
        <v>1565</v>
      </c>
      <c r="EF441">
        <v>10</v>
      </c>
      <c r="EU441">
        <v>2500</v>
      </c>
      <c r="EW441">
        <v>0</v>
      </c>
      <c r="EX441">
        <v>0</v>
      </c>
      <c r="EY441">
        <v>0</v>
      </c>
      <c r="FA441">
        <v>12</v>
      </c>
      <c r="FG441" s="94">
        <v>308</v>
      </c>
      <c r="FH441" s="94">
        <v>272</v>
      </c>
      <c r="FI441" s="94">
        <v>292</v>
      </c>
    </row>
    <row r="442" spans="1:165" x14ac:dyDescent="0.35">
      <c r="A442">
        <v>2026</v>
      </c>
      <c r="B442" t="s">
        <v>1553</v>
      </c>
      <c r="C442" s="112" t="s">
        <v>1554</v>
      </c>
      <c r="D442" t="s">
        <v>1638</v>
      </c>
      <c r="E442" t="s">
        <v>1556</v>
      </c>
      <c r="F442">
        <v>82</v>
      </c>
      <c r="G442" s="113">
        <v>0</v>
      </c>
      <c r="I442" t="s">
        <v>1391</v>
      </c>
      <c r="J442">
        <v>44</v>
      </c>
      <c r="K442">
        <v>50</v>
      </c>
      <c r="L442">
        <v>47</v>
      </c>
      <c r="M442">
        <v>30.986000000000001</v>
      </c>
      <c r="N442">
        <v>35.058500000000002</v>
      </c>
      <c r="O442">
        <v>32.818600000000004</v>
      </c>
      <c r="P442">
        <v>44.255499999999998</v>
      </c>
      <c r="Q442">
        <v>50.104100000000003</v>
      </c>
      <c r="R442">
        <v>46.8874</v>
      </c>
      <c r="V442" t="s">
        <v>170</v>
      </c>
      <c r="W442" t="s">
        <v>171</v>
      </c>
      <c r="Y442">
        <v>1</v>
      </c>
      <c r="Z442" t="s">
        <v>173</v>
      </c>
      <c r="AA442" t="s">
        <v>173</v>
      </c>
      <c r="AB442">
        <v>4</v>
      </c>
      <c r="AC442" t="s">
        <v>423</v>
      </c>
      <c r="AF442">
        <v>292</v>
      </c>
      <c r="AG442" t="s">
        <v>1392</v>
      </c>
      <c r="AH442" t="s">
        <v>1393</v>
      </c>
      <c r="AI442" t="s">
        <v>1399</v>
      </c>
      <c r="AJ442" t="s">
        <v>1400</v>
      </c>
      <c r="AK442">
        <v>4</v>
      </c>
      <c r="AL442" t="s">
        <v>1394</v>
      </c>
      <c r="AS442">
        <v>1200</v>
      </c>
      <c r="AT442">
        <v>1200</v>
      </c>
      <c r="BN442" s="114"/>
      <c r="BQ442">
        <v>33</v>
      </c>
      <c r="BR442" t="s">
        <v>1062</v>
      </c>
      <c r="BT442" t="s">
        <v>1402</v>
      </c>
      <c r="BU442" s="115">
        <v>45792</v>
      </c>
      <c r="BV442">
        <v>36504</v>
      </c>
      <c r="BW442" s="116"/>
      <c r="BY442" t="s">
        <v>173</v>
      </c>
      <c r="CB442" t="s">
        <v>173</v>
      </c>
      <c r="CC442" t="s">
        <v>173</v>
      </c>
      <c r="CK442" t="s">
        <v>259</v>
      </c>
      <c r="CM442">
        <v>1</v>
      </c>
      <c r="CN442" t="s">
        <v>260</v>
      </c>
      <c r="CP442">
        <v>392</v>
      </c>
      <c r="CQ442">
        <v>382</v>
      </c>
      <c r="CR442">
        <v>190</v>
      </c>
      <c r="CS442" t="s">
        <v>1437</v>
      </c>
      <c r="CV442" t="s">
        <v>262</v>
      </c>
      <c r="CX442" t="s">
        <v>263</v>
      </c>
      <c r="CY442" t="s">
        <v>172</v>
      </c>
      <c r="DC442" t="s">
        <v>1558</v>
      </c>
      <c r="DD442">
        <v>2</v>
      </c>
      <c r="DE442" t="s">
        <v>307</v>
      </c>
      <c r="DF442" t="s">
        <v>988</v>
      </c>
      <c r="DG442">
        <v>264</v>
      </c>
      <c r="DL442" t="s">
        <v>173</v>
      </c>
      <c r="DM442" t="s">
        <v>172</v>
      </c>
      <c r="DP442" t="s">
        <v>173</v>
      </c>
      <c r="DQ442" t="s">
        <v>189</v>
      </c>
      <c r="DR442" t="s">
        <v>1639</v>
      </c>
      <c r="EA442" s="117"/>
      <c r="EB442">
        <v>9</v>
      </c>
      <c r="EC442">
        <v>10</v>
      </c>
      <c r="EE442" t="s">
        <v>1565</v>
      </c>
      <c r="EF442">
        <v>10</v>
      </c>
      <c r="EU442">
        <v>2500</v>
      </c>
      <c r="EW442">
        <v>0</v>
      </c>
      <c r="EX442">
        <v>0</v>
      </c>
      <c r="EY442">
        <v>0</v>
      </c>
      <c r="FA442">
        <v>12</v>
      </c>
      <c r="FG442" s="94">
        <v>308</v>
      </c>
      <c r="FH442" s="94">
        <v>272</v>
      </c>
      <c r="FI442" s="94">
        <v>292</v>
      </c>
    </row>
    <row r="443" spans="1:165" x14ac:dyDescent="0.35">
      <c r="A443" s="19"/>
      <c r="B443" s="19"/>
      <c r="C443" s="19"/>
      <c r="D443" s="19"/>
      <c r="E443" s="19"/>
      <c r="F443" s="128"/>
      <c r="G443" s="19"/>
      <c r="H443" s="19"/>
      <c r="I443" s="19"/>
      <c r="J443" s="19"/>
      <c r="K443" s="19" t="str">
        <f>_xlfn.CONCAT(A444," ",C444," ",D444)</f>
        <v>2026 Rivian R1S All-Terrain Tri Max (20in)</v>
      </c>
      <c r="L443" s="19"/>
      <c r="M443" s="19"/>
      <c r="N443" s="19"/>
      <c r="O443" s="19"/>
      <c r="P443" s="19"/>
      <c r="Q443" s="19"/>
      <c r="R443" s="19"/>
      <c r="S443" s="19"/>
      <c r="T443" s="19"/>
      <c r="U443" s="19"/>
      <c r="V443" s="19"/>
      <c r="W443" s="19"/>
      <c r="X443" s="19"/>
      <c r="Y443" s="19"/>
      <c r="Z443" s="19"/>
      <c r="AA443" s="19"/>
      <c r="AB443" s="19" t="str">
        <f>$K443</f>
        <v>2026 Rivian R1S All-Terrain Tri Max (20in)</v>
      </c>
      <c r="AC443" s="19"/>
      <c r="AD443" s="19"/>
      <c r="AE443" s="19"/>
      <c r="AF443" s="19"/>
      <c r="AG443" s="19"/>
      <c r="AH443" s="19"/>
      <c r="AI443" s="19"/>
      <c r="AJ443" s="19"/>
      <c r="AK443" s="19"/>
      <c r="AL443" s="19"/>
      <c r="AM443" s="19"/>
      <c r="AN443" s="19"/>
      <c r="AO443" s="19"/>
      <c r="AP443" s="19"/>
      <c r="AQ443" s="19"/>
      <c r="AR443" s="19" t="str">
        <f>$K443</f>
        <v>2026 Rivian R1S All-Terrain Tri Max (20in)</v>
      </c>
      <c r="AS443" s="19"/>
      <c r="AT443" s="19"/>
      <c r="AU443" s="19"/>
      <c r="AV443" s="19"/>
      <c r="AW443" s="19"/>
      <c r="AX443" s="19"/>
      <c r="AY443" s="19"/>
      <c r="AZ443" s="19"/>
      <c r="BA443" s="19"/>
      <c r="BB443" s="19"/>
      <c r="BC443" s="19"/>
      <c r="BD443" s="19"/>
      <c r="BE443" s="19"/>
      <c r="BF443" s="19"/>
      <c r="BG443" s="19" t="str">
        <f>$K443</f>
        <v>2026 Rivian R1S All-Terrain Tri Max (20in)</v>
      </c>
      <c r="BH443" s="19"/>
      <c r="BI443" s="19"/>
      <c r="BJ443" s="19"/>
      <c r="BK443" s="19"/>
      <c r="BL443" s="19"/>
      <c r="BM443" s="129"/>
      <c r="BN443" s="19"/>
      <c r="BO443" s="19"/>
      <c r="BP443" s="19"/>
      <c r="BQ443" s="19"/>
      <c r="BR443" s="19"/>
      <c r="BS443" s="19"/>
      <c r="BT443" s="130"/>
      <c r="BU443" s="19"/>
      <c r="BV443" s="19"/>
      <c r="BW443" s="116"/>
      <c r="BX443" s="19"/>
      <c r="BY443" s="19"/>
      <c r="BZ443" s="19"/>
      <c r="CA443" s="19"/>
      <c r="CB443" s="19"/>
      <c r="CC443" s="19"/>
      <c r="CD443" s="19"/>
      <c r="CE443" s="19"/>
      <c r="CF443" s="19"/>
      <c r="CG443" s="19"/>
      <c r="CH443" s="19"/>
      <c r="CI443" s="19"/>
      <c r="CJ443" s="19"/>
      <c r="CK443" s="19"/>
      <c r="CL443" s="19"/>
      <c r="CM443" s="19" t="str">
        <f>$K443</f>
        <v>2026 Rivian R1S All-Terrain Tri Max (20in)</v>
      </c>
      <c r="CN443" s="19"/>
      <c r="CO443" s="19"/>
      <c r="CP443" s="19"/>
      <c r="CQ443" s="19"/>
      <c r="CR443" s="19"/>
      <c r="CS443" s="19"/>
      <c r="CT443" s="19"/>
      <c r="CU443" s="19"/>
      <c r="CV443" s="19"/>
      <c r="CW443" s="19"/>
      <c r="CX443" s="19"/>
      <c r="CY443" s="19"/>
      <c r="CZ443" s="19"/>
      <c r="DA443" s="19"/>
      <c r="DB443" s="19"/>
      <c r="DC443" s="19"/>
      <c r="DD443" s="19" t="str">
        <f>$K443</f>
        <v>2026 Rivian R1S All-Terrain Tri Max (20in)</v>
      </c>
      <c r="DE443" s="19"/>
      <c r="DF443" s="19"/>
      <c r="DG443" s="19"/>
      <c r="DH443" s="19"/>
      <c r="DI443" s="19"/>
      <c r="DJ443" s="19"/>
      <c r="DK443" s="19"/>
      <c r="DL443" s="19"/>
      <c r="DM443" s="19"/>
      <c r="DN443" s="19"/>
      <c r="DO443" s="19"/>
      <c r="DP443" s="19"/>
      <c r="DQ443" s="19"/>
      <c r="DR443" s="19"/>
      <c r="DS443" s="19"/>
      <c r="DT443" s="19"/>
      <c r="DU443" s="19" t="str">
        <f>$K443</f>
        <v>2026 Rivian R1S All-Terrain Tri Max (20in)</v>
      </c>
      <c r="DV443" s="19"/>
      <c r="DW443" s="19"/>
      <c r="DX443" s="19"/>
      <c r="DY443" s="19"/>
      <c r="DZ443" s="19"/>
      <c r="EA443" s="117"/>
      <c r="EB443" s="19"/>
      <c r="EC443" s="19"/>
      <c r="ED443" s="19"/>
      <c r="EE443" s="19"/>
      <c r="EF443" s="19"/>
      <c r="EX443" s="19" t="s">
        <v>2066</v>
      </c>
    </row>
    <row r="444" spans="1:165" x14ac:dyDescent="0.35">
      <c r="A444">
        <v>2026</v>
      </c>
      <c r="B444" t="s">
        <v>1553</v>
      </c>
      <c r="C444" s="112" t="s">
        <v>1554</v>
      </c>
      <c r="D444" t="s">
        <v>1646</v>
      </c>
      <c r="E444" t="s">
        <v>1556</v>
      </c>
      <c r="F444">
        <v>90</v>
      </c>
      <c r="G444" s="113">
        <v>0</v>
      </c>
      <c r="I444" t="s">
        <v>1391</v>
      </c>
      <c r="J444">
        <v>72</v>
      </c>
      <c r="K444">
        <v>63</v>
      </c>
      <c r="L444">
        <v>68</v>
      </c>
      <c r="M444">
        <v>97.3</v>
      </c>
      <c r="N444">
        <v>85.6</v>
      </c>
      <c r="O444">
        <v>91.662099999999995</v>
      </c>
      <c r="P444">
        <v>71.793800000000005</v>
      </c>
      <c r="Q444">
        <v>63.160800000000002</v>
      </c>
      <c r="R444">
        <v>67.633799999999994</v>
      </c>
      <c r="V444" t="s">
        <v>170</v>
      </c>
      <c r="W444" t="s">
        <v>171</v>
      </c>
      <c r="Y444">
        <v>1</v>
      </c>
      <c r="Z444" t="s">
        <v>173</v>
      </c>
      <c r="AA444" t="s">
        <v>173</v>
      </c>
      <c r="AB444">
        <v>4</v>
      </c>
      <c r="AC444" t="s">
        <v>423</v>
      </c>
      <c r="AF444">
        <v>329</v>
      </c>
      <c r="AG444" t="s">
        <v>1392</v>
      </c>
      <c r="AH444" t="s">
        <v>1393</v>
      </c>
      <c r="AI444" t="s">
        <v>178</v>
      </c>
      <c r="AJ444" t="s">
        <v>179</v>
      </c>
      <c r="AK444">
        <v>4</v>
      </c>
      <c r="AL444" t="s">
        <v>1394</v>
      </c>
      <c r="AS444">
        <v>1250</v>
      </c>
      <c r="AT444">
        <v>1250</v>
      </c>
      <c r="BN444" s="114"/>
      <c r="BQ444">
        <v>33</v>
      </c>
      <c r="BR444" t="s">
        <v>1062</v>
      </c>
      <c r="BT444" t="s">
        <v>1402</v>
      </c>
      <c r="BU444" s="115">
        <v>45792</v>
      </c>
      <c r="BV444">
        <v>36513</v>
      </c>
      <c r="BW444" s="116"/>
      <c r="BY444" t="s">
        <v>173</v>
      </c>
      <c r="CB444" t="s">
        <v>173</v>
      </c>
      <c r="CC444" t="s">
        <v>173</v>
      </c>
      <c r="CK444" t="s">
        <v>259</v>
      </c>
      <c r="CM444">
        <v>1</v>
      </c>
      <c r="CN444" t="s">
        <v>260</v>
      </c>
      <c r="CP444">
        <v>392</v>
      </c>
      <c r="CQ444">
        <v>382</v>
      </c>
      <c r="CR444">
        <v>190</v>
      </c>
      <c r="CS444" t="s">
        <v>1437</v>
      </c>
      <c r="CV444" t="s">
        <v>262</v>
      </c>
      <c r="CX444" t="s">
        <v>263</v>
      </c>
      <c r="CY444" t="s">
        <v>172</v>
      </c>
      <c r="DC444" t="s">
        <v>1589</v>
      </c>
      <c r="DD444">
        <v>3</v>
      </c>
      <c r="DE444" t="s">
        <v>307</v>
      </c>
      <c r="DF444" t="s">
        <v>988</v>
      </c>
      <c r="DG444" t="s">
        <v>1590</v>
      </c>
      <c r="DL444" t="s">
        <v>173</v>
      </c>
      <c r="DM444" t="s">
        <v>172</v>
      </c>
      <c r="DP444" t="s">
        <v>173</v>
      </c>
      <c r="DQ444" t="s">
        <v>189</v>
      </c>
      <c r="DR444" t="s">
        <v>1647</v>
      </c>
      <c r="EA444" s="117"/>
      <c r="EB444">
        <v>9</v>
      </c>
      <c r="EC444">
        <v>10</v>
      </c>
      <c r="EE444" t="s">
        <v>1592</v>
      </c>
      <c r="EF444">
        <v>10</v>
      </c>
      <c r="EU444">
        <v>2250</v>
      </c>
      <c r="EW444">
        <v>0</v>
      </c>
      <c r="EX444">
        <v>0</v>
      </c>
      <c r="EY444">
        <v>0</v>
      </c>
      <c r="FA444">
        <v>15</v>
      </c>
      <c r="FG444" s="94">
        <v>348</v>
      </c>
      <c r="FH444" s="94">
        <v>306</v>
      </c>
      <c r="FI444" s="94">
        <v>329</v>
      </c>
    </row>
    <row r="445" spans="1:165" x14ac:dyDescent="0.35">
      <c r="A445">
        <v>2026</v>
      </c>
      <c r="B445" t="s">
        <v>1553</v>
      </c>
      <c r="C445" s="112" t="s">
        <v>1554</v>
      </c>
      <c r="D445" t="s">
        <v>1646</v>
      </c>
      <c r="E445" t="s">
        <v>1556</v>
      </c>
      <c r="F445">
        <v>90</v>
      </c>
      <c r="G445" s="113">
        <v>0</v>
      </c>
      <c r="I445" t="s">
        <v>1391</v>
      </c>
      <c r="J445">
        <v>47</v>
      </c>
      <c r="K445">
        <v>53</v>
      </c>
      <c r="L445">
        <v>50</v>
      </c>
      <c r="M445">
        <v>34.642800000000001</v>
      </c>
      <c r="N445">
        <v>39.365000000000002</v>
      </c>
      <c r="O445">
        <v>36.767800000000001</v>
      </c>
      <c r="P445">
        <v>46.947000000000003</v>
      </c>
      <c r="Q445">
        <v>53.363799999999998</v>
      </c>
      <c r="R445">
        <v>49.834600000000002</v>
      </c>
      <c r="V445" t="s">
        <v>170</v>
      </c>
      <c r="W445" t="s">
        <v>171</v>
      </c>
      <c r="Y445">
        <v>1</v>
      </c>
      <c r="Z445" t="s">
        <v>173</v>
      </c>
      <c r="AA445" t="s">
        <v>173</v>
      </c>
      <c r="AB445">
        <v>4</v>
      </c>
      <c r="AC445" t="s">
        <v>423</v>
      </c>
      <c r="AF445">
        <v>329</v>
      </c>
      <c r="AG445" t="s">
        <v>1392</v>
      </c>
      <c r="AH445" t="s">
        <v>1393</v>
      </c>
      <c r="AI445" t="s">
        <v>1399</v>
      </c>
      <c r="AJ445" t="s">
        <v>1400</v>
      </c>
      <c r="AK445">
        <v>4</v>
      </c>
      <c r="AL445" t="s">
        <v>1394</v>
      </c>
      <c r="AS445">
        <v>1250</v>
      </c>
      <c r="AT445">
        <v>1250</v>
      </c>
      <c r="BN445" s="114"/>
      <c r="BQ445">
        <v>33</v>
      </c>
      <c r="BR445" t="s">
        <v>1062</v>
      </c>
      <c r="BT445" t="s">
        <v>1402</v>
      </c>
      <c r="BU445" s="115">
        <v>45792</v>
      </c>
      <c r="BV445">
        <v>36513</v>
      </c>
      <c r="BW445" s="116"/>
      <c r="BY445" t="s">
        <v>173</v>
      </c>
      <c r="CB445" t="s">
        <v>173</v>
      </c>
      <c r="CC445" t="s">
        <v>173</v>
      </c>
      <c r="CK445" t="s">
        <v>259</v>
      </c>
      <c r="CM445">
        <v>1</v>
      </c>
      <c r="CN445" t="s">
        <v>260</v>
      </c>
      <c r="CP445">
        <v>392</v>
      </c>
      <c r="CQ445">
        <v>382</v>
      </c>
      <c r="CR445">
        <v>190</v>
      </c>
      <c r="CS445" t="s">
        <v>1437</v>
      </c>
      <c r="CV445" t="s">
        <v>262</v>
      </c>
      <c r="CX445" t="s">
        <v>263</v>
      </c>
      <c r="CY445" t="s">
        <v>172</v>
      </c>
      <c r="DC445" t="s">
        <v>1589</v>
      </c>
      <c r="DD445">
        <v>3</v>
      </c>
      <c r="DE445" t="s">
        <v>307</v>
      </c>
      <c r="DF445" t="s">
        <v>988</v>
      </c>
      <c r="DG445" t="s">
        <v>1590</v>
      </c>
      <c r="DL445" t="s">
        <v>173</v>
      </c>
      <c r="DM445" t="s">
        <v>172</v>
      </c>
      <c r="DP445" t="s">
        <v>173</v>
      </c>
      <c r="DQ445" t="s">
        <v>189</v>
      </c>
      <c r="DR445" t="s">
        <v>1647</v>
      </c>
      <c r="EA445" s="117"/>
      <c r="EB445">
        <v>9</v>
      </c>
      <c r="EC445">
        <v>10</v>
      </c>
      <c r="EE445" t="s">
        <v>1592</v>
      </c>
      <c r="EF445">
        <v>10</v>
      </c>
      <c r="EU445">
        <v>2250</v>
      </c>
      <c r="EW445">
        <v>0</v>
      </c>
      <c r="EX445">
        <v>0</v>
      </c>
      <c r="EY445">
        <v>0</v>
      </c>
      <c r="FA445">
        <v>15</v>
      </c>
      <c r="FG445" s="94">
        <v>348</v>
      </c>
      <c r="FH445" s="94">
        <v>306</v>
      </c>
      <c r="FI445" s="94">
        <v>329</v>
      </c>
    </row>
    <row r="446" spans="1:165" x14ac:dyDescent="0.35">
      <c r="A446" s="19"/>
      <c r="B446" s="19"/>
      <c r="C446" s="19"/>
      <c r="D446" s="19"/>
      <c r="E446" s="19"/>
      <c r="F446" s="128"/>
      <c r="G446" s="19"/>
      <c r="H446" s="19"/>
      <c r="I446" s="19"/>
      <c r="J446" s="19"/>
      <c r="K446" s="19" t="str">
        <f>_xlfn.CONCAT(A447," ",C447," ",D447)</f>
        <v>2026 Rivian R1S Dual Large (20in)</v>
      </c>
      <c r="L446" s="19"/>
      <c r="M446" s="19"/>
      <c r="N446" s="19"/>
      <c r="O446" s="19"/>
      <c r="P446" s="19"/>
      <c r="Q446" s="19"/>
      <c r="R446" s="19"/>
      <c r="S446" s="19"/>
      <c r="T446" s="19"/>
      <c r="U446" s="19"/>
      <c r="V446" s="19"/>
      <c r="W446" s="19"/>
      <c r="X446" s="19"/>
      <c r="Y446" s="19"/>
      <c r="Z446" s="19"/>
      <c r="AA446" s="19"/>
      <c r="AB446" s="19" t="str">
        <f>$K446</f>
        <v>2026 Rivian R1S Dual Large (20in)</v>
      </c>
      <c r="AC446" s="19"/>
      <c r="AD446" s="19"/>
      <c r="AE446" s="19"/>
      <c r="AF446" s="19"/>
      <c r="AG446" s="19"/>
      <c r="AH446" s="19"/>
      <c r="AI446" s="19"/>
      <c r="AJ446" s="19"/>
      <c r="AK446" s="19"/>
      <c r="AL446" s="19"/>
      <c r="AM446" s="19"/>
      <c r="AN446" s="19"/>
      <c r="AO446" s="19"/>
      <c r="AP446" s="19"/>
      <c r="AQ446" s="19"/>
      <c r="AR446" s="19" t="str">
        <f>$K446</f>
        <v>2026 Rivian R1S Dual Large (20in)</v>
      </c>
      <c r="AS446" s="19"/>
      <c r="AT446" s="19"/>
      <c r="AU446" s="19"/>
      <c r="AV446" s="19"/>
      <c r="AW446" s="19"/>
      <c r="AX446" s="19"/>
      <c r="AY446" s="19"/>
      <c r="AZ446" s="19"/>
      <c r="BA446" s="19"/>
      <c r="BB446" s="19"/>
      <c r="BC446" s="19"/>
      <c r="BD446" s="19"/>
      <c r="BE446" s="19"/>
      <c r="BF446" s="19"/>
      <c r="BG446" s="19" t="str">
        <f>$K446</f>
        <v>2026 Rivian R1S Dual Large (20in)</v>
      </c>
      <c r="BH446" s="19"/>
      <c r="BI446" s="19"/>
      <c r="BJ446" s="19"/>
      <c r="BK446" s="19"/>
      <c r="BL446" s="19"/>
      <c r="BM446" s="129"/>
      <c r="BN446" s="19"/>
      <c r="BO446" s="19"/>
      <c r="BP446" s="19"/>
      <c r="BQ446" s="19"/>
      <c r="BR446" s="19"/>
      <c r="BS446" s="19"/>
      <c r="BT446" s="130"/>
      <c r="BU446" s="19"/>
      <c r="BV446" s="19"/>
      <c r="BW446" s="116"/>
      <c r="BX446" s="19"/>
      <c r="BY446" s="19"/>
      <c r="BZ446" s="19"/>
      <c r="CA446" s="19"/>
      <c r="CB446" s="19"/>
      <c r="CC446" s="19"/>
      <c r="CD446" s="19"/>
      <c r="CE446" s="19"/>
      <c r="CF446" s="19"/>
      <c r="CG446" s="19"/>
      <c r="CH446" s="19"/>
      <c r="CI446" s="19"/>
      <c r="CJ446" s="19"/>
      <c r="CK446" s="19"/>
      <c r="CL446" s="19"/>
      <c r="CM446" s="19" t="str">
        <f>$K446</f>
        <v>2026 Rivian R1S Dual Large (20in)</v>
      </c>
      <c r="CN446" s="19"/>
      <c r="CO446" s="19"/>
      <c r="CP446" s="19"/>
      <c r="CQ446" s="19"/>
      <c r="CR446" s="19"/>
      <c r="CS446" s="19"/>
      <c r="CT446" s="19"/>
      <c r="CU446" s="19"/>
      <c r="CV446" s="19"/>
      <c r="CW446" s="19"/>
      <c r="CX446" s="19"/>
      <c r="CY446" s="19"/>
      <c r="CZ446" s="19"/>
      <c r="DA446" s="19"/>
      <c r="DB446" s="19"/>
      <c r="DC446" s="19"/>
      <c r="DD446" s="19" t="str">
        <f>$K446</f>
        <v>2026 Rivian R1S Dual Large (20in)</v>
      </c>
      <c r="DE446" s="19"/>
      <c r="DF446" s="19"/>
      <c r="DG446" s="19"/>
      <c r="DH446" s="19"/>
      <c r="DI446" s="19"/>
      <c r="DJ446" s="19"/>
      <c r="DK446" s="19"/>
      <c r="DL446" s="19"/>
      <c r="DM446" s="19"/>
      <c r="DN446" s="19"/>
      <c r="DO446" s="19"/>
      <c r="DP446" s="19"/>
      <c r="DQ446" s="19"/>
      <c r="DR446" s="19"/>
      <c r="DS446" s="19"/>
      <c r="DT446" s="19"/>
      <c r="DU446" s="19" t="str">
        <f>$K446</f>
        <v>2026 Rivian R1S Dual Large (20in)</v>
      </c>
      <c r="DV446" s="19"/>
      <c r="DW446" s="19"/>
      <c r="DX446" s="19"/>
      <c r="DY446" s="19"/>
      <c r="DZ446" s="19"/>
      <c r="EA446" s="117"/>
      <c r="EB446" s="19"/>
      <c r="EC446" s="19"/>
      <c r="ED446" s="19"/>
      <c r="EE446" s="19"/>
      <c r="EF446" s="19"/>
      <c r="EX446" s="19" t="s">
        <v>2067</v>
      </c>
    </row>
    <row r="447" spans="1:165" x14ac:dyDescent="0.35">
      <c r="A447">
        <v>2026</v>
      </c>
      <c r="B447" t="s">
        <v>1553</v>
      </c>
      <c r="C447" s="112" t="s">
        <v>1554</v>
      </c>
      <c r="D447" t="s">
        <v>1650</v>
      </c>
      <c r="E447" t="s">
        <v>1556</v>
      </c>
      <c r="F447">
        <v>94</v>
      </c>
      <c r="G447" s="113">
        <v>0</v>
      </c>
      <c r="I447" t="s">
        <v>1391</v>
      </c>
      <c r="J447">
        <v>85</v>
      </c>
      <c r="K447">
        <v>72</v>
      </c>
      <c r="L447">
        <v>79</v>
      </c>
      <c r="M447">
        <v>121</v>
      </c>
      <c r="N447">
        <v>103</v>
      </c>
      <c r="O447">
        <v>112.3134</v>
      </c>
      <c r="P447">
        <v>84.98</v>
      </c>
      <c r="Q447">
        <v>72.03</v>
      </c>
      <c r="R447">
        <v>78.619399999999999</v>
      </c>
      <c r="V447" t="s">
        <v>170</v>
      </c>
      <c r="W447" t="s">
        <v>171</v>
      </c>
      <c r="Y447">
        <v>1</v>
      </c>
      <c r="Z447" t="s">
        <v>173</v>
      </c>
      <c r="AA447" t="s">
        <v>173</v>
      </c>
      <c r="AB447">
        <v>4</v>
      </c>
      <c r="AC447" t="s">
        <v>423</v>
      </c>
      <c r="AF447">
        <v>300</v>
      </c>
      <c r="AG447" t="s">
        <v>1392</v>
      </c>
      <c r="AH447" t="s">
        <v>1393</v>
      </c>
      <c r="AI447" t="s">
        <v>178</v>
      </c>
      <c r="AJ447" t="s">
        <v>179</v>
      </c>
      <c r="AK447">
        <v>4</v>
      </c>
      <c r="AL447" t="s">
        <v>1394</v>
      </c>
      <c r="AS447">
        <v>1100</v>
      </c>
      <c r="AT447">
        <v>1100</v>
      </c>
      <c r="BN447" s="114"/>
      <c r="BQ447">
        <v>33</v>
      </c>
      <c r="BR447" t="s">
        <v>1062</v>
      </c>
      <c r="BT447" t="s">
        <v>1402</v>
      </c>
      <c r="BU447" s="115">
        <v>45792</v>
      </c>
      <c r="BV447">
        <v>36517</v>
      </c>
      <c r="BW447" s="116"/>
      <c r="BY447" t="s">
        <v>173</v>
      </c>
      <c r="CB447" t="s">
        <v>173</v>
      </c>
      <c r="CC447" t="s">
        <v>173</v>
      </c>
      <c r="CK447" t="s">
        <v>259</v>
      </c>
      <c r="CM447">
        <v>1</v>
      </c>
      <c r="CN447" t="s">
        <v>260</v>
      </c>
      <c r="CP447">
        <v>406</v>
      </c>
      <c r="CQ447">
        <v>286</v>
      </c>
      <c r="CR447">
        <v>273</v>
      </c>
      <c r="CS447" t="s">
        <v>1437</v>
      </c>
      <c r="CV447" t="s">
        <v>262</v>
      </c>
      <c r="CX447" t="s">
        <v>263</v>
      </c>
      <c r="CY447" t="s">
        <v>172</v>
      </c>
      <c r="DC447" t="s">
        <v>1596</v>
      </c>
      <c r="DD447">
        <v>2</v>
      </c>
      <c r="DE447" t="s">
        <v>307</v>
      </c>
      <c r="DF447" t="s">
        <v>988</v>
      </c>
      <c r="DG447">
        <v>264</v>
      </c>
      <c r="DL447" t="s">
        <v>173</v>
      </c>
      <c r="DM447" t="s">
        <v>172</v>
      </c>
      <c r="DP447" t="s">
        <v>173</v>
      </c>
      <c r="DQ447" t="s">
        <v>189</v>
      </c>
      <c r="DR447" t="s">
        <v>1651</v>
      </c>
      <c r="EA447" s="117"/>
      <c r="EB447">
        <v>9</v>
      </c>
      <c r="EC447">
        <v>10</v>
      </c>
      <c r="EE447" t="s">
        <v>1598</v>
      </c>
      <c r="EF447">
        <v>10</v>
      </c>
      <c r="EU447">
        <v>3000</v>
      </c>
      <c r="EW447">
        <v>0</v>
      </c>
      <c r="EX447">
        <v>0</v>
      </c>
      <c r="EY447">
        <v>0</v>
      </c>
      <c r="FA447">
        <v>12</v>
      </c>
      <c r="FG447" s="94">
        <v>322</v>
      </c>
      <c r="FH447" s="94">
        <v>273</v>
      </c>
      <c r="FI447" s="94">
        <v>300</v>
      </c>
    </row>
    <row r="448" spans="1:165" x14ac:dyDescent="0.35">
      <c r="A448">
        <v>2026</v>
      </c>
      <c r="B448" t="s">
        <v>1553</v>
      </c>
      <c r="C448" s="112" t="s">
        <v>1554</v>
      </c>
      <c r="D448" t="s">
        <v>1650</v>
      </c>
      <c r="E448" t="s">
        <v>1556</v>
      </c>
      <c r="F448">
        <v>94</v>
      </c>
      <c r="G448" s="113">
        <v>0</v>
      </c>
      <c r="I448" t="s">
        <v>1391</v>
      </c>
      <c r="J448">
        <v>40</v>
      </c>
      <c r="K448">
        <v>47</v>
      </c>
      <c r="L448">
        <v>43</v>
      </c>
      <c r="M448">
        <v>27.772099999999998</v>
      </c>
      <c r="N448">
        <v>32.760199999999998</v>
      </c>
      <c r="O448">
        <v>30.0167</v>
      </c>
      <c r="P448">
        <v>39.662300000000002</v>
      </c>
      <c r="Q448">
        <v>46.792999999999999</v>
      </c>
      <c r="R448">
        <v>42.871099999999998</v>
      </c>
      <c r="V448" t="s">
        <v>170</v>
      </c>
      <c r="W448" t="s">
        <v>171</v>
      </c>
      <c r="Y448">
        <v>1</v>
      </c>
      <c r="Z448" t="s">
        <v>173</v>
      </c>
      <c r="AA448" t="s">
        <v>173</v>
      </c>
      <c r="AB448">
        <v>4</v>
      </c>
      <c r="AC448" t="s">
        <v>423</v>
      </c>
      <c r="AF448">
        <v>300</v>
      </c>
      <c r="AG448" t="s">
        <v>1392</v>
      </c>
      <c r="AH448" t="s">
        <v>1393</v>
      </c>
      <c r="AI448" t="s">
        <v>1399</v>
      </c>
      <c r="AJ448" t="s">
        <v>1400</v>
      </c>
      <c r="AK448">
        <v>4</v>
      </c>
      <c r="AL448" t="s">
        <v>1394</v>
      </c>
      <c r="AS448">
        <v>1100</v>
      </c>
      <c r="AT448">
        <v>1100</v>
      </c>
      <c r="BN448" s="114"/>
      <c r="BQ448">
        <v>33</v>
      </c>
      <c r="BR448" t="s">
        <v>1062</v>
      </c>
      <c r="BT448" t="s">
        <v>1402</v>
      </c>
      <c r="BU448" s="115">
        <v>45792</v>
      </c>
      <c r="BV448">
        <v>36517</v>
      </c>
      <c r="BW448" s="116"/>
      <c r="BY448" t="s">
        <v>173</v>
      </c>
      <c r="CB448" t="s">
        <v>173</v>
      </c>
      <c r="CC448" t="s">
        <v>173</v>
      </c>
      <c r="CK448" t="s">
        <v>259</v>
      </c>
      <c r="CM448">
        <v>1</v>
      </c>
      <c r="CN448" t="s">
        <v>260</v>
      </c>
      <c r="CP448">
        <v>406</v>
      </c>
      <c r="CQ448">
        <v>286</v>
      </c>
      <c r="CR448">
        <v>273</v>
      </c>
      <c r="CS448" t="s">
        <v>1437</v>
      </c>
      <c r="CV448" t="s">
        <v>262</v>
      </c>
      <c r="CX448" t="s">
        <v>263</v>
      </c>
      <c r="CY448" t="s">
        <v>172</v>
      </c>
      <c r="DC448" t="s">
        <v>1596</v>
      </c>
      <c r="DD448">
        <v>2</v>
      </c>
      <c r="DE448" t="s">
        <v>307</v>
      </c>
      <c r="DF448" t="s">
        <v>988</v>
      </c>
      <c r="DG448">
        <v>264</v>
      </c>
      <c r="DL448" t="s">
        <v>173</v>
      </c>
      <c r="DM448" t="s">
        <v>172</v>
      </c>
      <c r="DP448" t="s">
        <v>173</v>
      </c>
      <c r="DQ448" t="s">
        <v>189</v>
      </c>
      <c r="DR448" t="s">
        <v>1651</v>
      </c>
      <c r="EA448" s="117"/>
      <c r="EB448">
        <v>9</v>
      </c>
      <c r="EC448">
        <v>10</v>
      </c>
      <c r="EE448" t="s">
        <v>1598</v>
      </c>
      <c r="EF448">
        <v>10</v>
      </c>
      <c r="EU448">
        <v>3000</v>
      </c>
      <c r="EW448">
        <v>0</v>
      </c>
      <c r="EX448">
        <v>0</v>
      </c>
      <c r="EY448">
        <v>0</v>
      </c>
      <c r="FA448">
        <v>12</v>
      </c>
      <c r="FG448" s="94">
        <v>322</v>
      </c>
      <c r="FH448" s="94">
        <v>273</v>
      </c>
      <c r="FI448" s="94">
        <v>300</v>
      </c>
    </row>
    <row r="449" spans="1:165" x14ac:dyDescent="0.35">
      <c r="A449" s="19"/>
      <c r="B449" s="19"/>
      <c r="C449" s="19"/>
      <c r="D449" s="19"/>
      <c r="E449" s="19"/>
      <c r="F449" s="128"/>
      <c r="G449" s="19"/>
      <c r="H449" s="19"/>
      <c r="I449" s="19"/>
      <c r="J449" s="19"/>
      <c r="K449" s="19" t="str">
        <f>_xlfn.CONCAT(A450," ",C450," ",D450)</f>
        <v>2026 Rivian R1S Dual Large (22in)</v>
      </c>
      <c r="L449" s="19"/>
      <c r="M449" s="19"/>
      <c r="N449" s="19"/>
      <c r="O449" s="19"/>
      <c r="P449" s="19"/>
      <c r="Q449" s="19"/>
      <c r="R449" s="19"/>
      <c r="S449" s="19"/>
      <c r="T449" s="19"/>
      <c r="U449" s="19"/>
      <c r="V449" s="19"/>
      <c r="W449" s="19"/>
      <c r="X449" s="19"/>
      <c r="Y449" s="19"/>
      <c r="Z449" s="19"/>
      <c r="AA449" s="19"/>
      <c r="AB449" s="19" t="str">
        <f>$K449</f>
        <v>2026 Rivian R1S Dual Large (22in)</v>
      </c>
      <c r="AC449" s="19"/>
      <c r="AD449" s="19"/>
      <c r="AE449" s="19"/>
      <c r="AF449" s="19"/>
      <c r="AG449" s="19"/>
      <c r="AH449" s="19"/>
      <c r="AI449" s="19"/>
      <c r="AJ449" s="19"/>
      <c r="AK449" s="19"/>
      <c r="AL449" s="19"/>
      <c r="AM449" s="19"/>
      <c r="AN449" s="19"/>
      <c r="AO449" s="19"/>
      <c r="AP449" s="19"/>
      <c r="AQ449" s="19"/>
      <c r="AR449" s="19" t="str">
        <f>$K449</f>
        <v>2026 Rivian R1S Dual Large (22in)</v>
      </c>
      <c r="AS449" s="19"/>
      <c r="AT449" s="19"/>
      <c r="AU449" s="19"/>
      <c r="AV449" s="19"/>
      <c r="AW449" s="19"/>
      <c r="AX449" s="19"/>
      <c r="AY449" s="19"/>
      <c r="AZ449" s="19"/>
      <c r="BA449" s="19"/>
      <c r="BB449" s="19"/>
      <c r="BC449" s="19"/>
      <c r="BD449" s="19"/>
      <c r="BE449" s="19"/>
      <c r="BF449" s="19"/>
      <c r="BG449" s="19" t="str">
        <f>$K449</f>
        <v>2026 Rivian R1S Dual Large (22in)</v>
      </c>
      <c r="BH449" s="19"/>
      <c r="BI449" s="19"/>
      <c r="BJ449" s="19"/>
      <c r="BK449" s="19"/>
      <c r="BL449" s="19"/>
      <c r="BM449" s="129"/>
      <c r="BN449" s="19"/>
      <c r="BO449" s="19"/>
      <c r="BP449" s="19"/>
      <c r="BQ449" s="19"/>
      <c r="BR449" s="19"/>
      <c r="BS449" s="19"/>
      <c r="BT449" s="130"/>
      <c r="BU449" s="19"/>
      <c r="BV449" s="19"/>
      <c r="BW449" s="116"/>
      <c r="BX449" s="19"/>
      <c r="BY449" s="19"/>
      <c r="BZ449" s="19"/>
      <c r="CA449" s="19"/>
      <c r="CB449" s="19"/>
      <c r="CC449" s="19"/>
      <c r="CD449" s="19"/>
      <c r="CE449" s="19"/>
      <c r="CF449" s="19"/>
      <c r="CG449" s="19"/>
      <c r="CH449" s="19"/>
      <c r="CI449" s="19"/>
      <c r="CJ449" s="19"/>
      <c r="CK449" s="19"/>
      <c r="CL449" s="19"/>
      <c r="CM449" s="19" t="str">
        <f>$K449</f>
        <v>2026 Rivian R1S Dual Large (22in)</v>
      </c>
      <c r="CN449" s="19"/>
      <c r="CO449" s="19"/>
      <c r="CP449" s="19"/>
      <c r="CQ449" s="19"/>
      <c r="CR449" s="19"/>
      <c r="CS449" s="19"/>
      <c r="CT449" s="19"/>
      <c r="CU449" s="19"/>
      <c r="CV449" s="19"/>
      <c r="CW449" s="19"/>
      <c r="CX449" s="19"/>
      <c r="CY449" s="19"/>
      <c r="CZ449" s="19"/>
      <c r="DA449" s="19"/>
      <c r="DB449" s="19"/>
      <c r="DC449" s="19"/>
      <c r="DD449" s="19" t="str">
        <f>$K449</f>
        <v>2026 Rivian R1S Dual Large (22in)</v>
      </c>
      <c r="DE449" s="19"/>
      <c r="DF449" s="19"/>
      <c r="DG449" s="19"/>
      <c r="DH449" s="19"/>
      <c r="DI449" s="19"/>
      <c r="DJ449" s="19"/>
      <c r="DK449" s="19"/>
      <c r="DL449" s="19"/>
      <c r="DM449" s="19"/>
      <c r="DN449" s="19"/>
      <c r="DO449" s="19"/>
      <c r="DP449" s="19"/>
      <c r="DQ449" s="19"/>
      <c r="DR449" s="19"/>
      <c r="DS449" s="19"/>
      <c r="DT449" s="19"/>
      <c r="DU449" s="19" t="str">
        <f>$K449</f>
        <v>2026 Rivian R1S Dual Large (22in)</v>
      </c>
      <c r="DV449" s="19"/>
      <c r="DW449" s="19"/>
      <c r="DX449" s="19"/>
      <c r="DY449" s="19"/>
      <c r="DZ449" s="19"/>
      <c r="EA449" s="117"/>
      <c r="EB449" s="19"/>
      <c r="EC449" s="19"/>
      <c r="ED449" s="19"/>
      <c r="EE449" s="19"/>
      <c r="EF449" s="19"/>
      <c r="EX449" s="19" t="s">
        <v>2068</v>
      </c>
    </row>
    <row r="450" spans="1:165" x14ac:dyDescent="0.35">
      <c r="A450">
        <v>2026</v>
      </c>
      <c r="B450" t="s">
        <v>1553</v>
      </c>
      <c r="C450" s="112" t="s">
        <v>1554</v>
      </c>
      <c r="D450" t="s">
        <v>1648</v>
      </c>
      <c r="E450" t="s">
        <v>1556</v>
      </c>
      <c r="F450">
        <v>92</v>
      </c>
      <c r="G450" s="113">
        <v>0</v>
      </c>
      <c r="I450" t="s">
        <v>1391</v>
      </c>
      <c r="J450">
        <v>94</v>
      </c>
      <c r="K450">
        <v>77</v>
      </c>
      <c r="L450">
        <v>85</v>
      </c>
      <c r="M450">
        <v>133</v>
      </c>
      <c r="N450">
        <v>109</v>
      </c>
      <c r="O450">
        <v>121.101</v>
      </c>
      <c r="P450">
        <v>93.919300000000007</v>
      </c>
      <c r="Q450">
        <v>76.855900000000005</v>
      </c>
      <c r="R450">
        <v>85.388300000000001</v>
      </c>
      <c r="V450" t="s">
        <v>170</v>
      </c>
      <c r="W450" t="s">
        <v>171</v>
      </c>
      <c r="Y450">
        <v>1</v>
      </c>
      <c r="Z450" t="s">
        <v>173</v>
      </c>
      <c r="AA450" t="s">
        <v>173</v>
      </c>
      <c r="AB450">
        <v>4</v>
      </c>
      <c r="AC450" t="s">
        <v>423</v>
      </c>
      <c r="AF450">
        <v>329</v>
      </c>
      <c r="AG450" t="s">
        <v>1392</v>
      </c>
      <c r="AH450" t="s">
        <v>1393</v>
      </c>
      <c r="AI450" t="s">
        <v>178</v>
      </c>
      <c r="AJ450" t="s">
        <v>179</v>
      </c>
      <c r="AK450">
        <v>4</v>
      </c>
      <c r="AL450" t="s">
        <v>1394</v>
      </c>
      <c r="AS450">
        <v>1000</v>
      </c>
      <c r="AT450">
        <v>1000</v>
      </c>
      <c r="BN450" s="114"/>
      <c r="BQ450">
        <v>33</v>
      </c>
      <c r="BR450" t="s">
        <v>1062</v>
      </c>
      <c r="BT450" t="s">
        <v>1402</v>
      </c>
      <c r="BU450" s="115">
        <v>45792</v>
      </c>
      <c r="BV450">
        <v>36516</v>
      </c>
      <c r="BW450" s="116"/>
      <c r="BY450" t="s">
        <v>173</v>
      </c>
      <c r="CB450" t="s">
        <v>173</v>
      </c>
      <c r="CC450" t="s">
        <v>173</v>
      </c>
      <c r="CK450" t="s">
        <v>259</v>
      </c>
      <c r="CM450">
        <v>1</v>
      </c>
      <c r="CN450" t="s">
        <v>260</v>
      </c>
      <c r="CP450">
        <v>406</v>
      </c>
      <c r="CQ450">
        <v>286</v>
      </c>
      <c r="CR450">
        <v>273</v>
      </c>
      <c r="CS450" t="s">
        <v>1437</v>
      </c>
      <c r="CV450" t="s">
        <v>262</v>
      </c>
      <c r="CX450" t="s">
        <v>263</v>
      </c>
      <c r="CY450" t="s">
        <v>172</v>
      </c>
      <c r="DC450" t="s">
        <v>1596</v>
      </c>
      <c r="DD450">
        <v>2</v>
      </c>
      <c r="DE450" t="s">
        <v>307</v>
      </c>
      <c r="DF450" t="s">
        <v>988</v>
      </c>
      <c r="DG450">
        <v>264</v>
      </c>
      <c r="DL450" t="s">
        <v>173</v>
      </c>
      <c r="DM450" t="s">
        <v>172</v>
      </c>
      <c r="DP450" t="s">
        <v>173</v>
      </c>
      <c r="DQ450" t="s">
        <v>189</v>
      </c>
      <c r="DR450" t="s">
        <v>1649</v>
      </c>
      <c r="EA450" s="117"/>
      <c r="EB450">
        <v>9</v>
      </c>
      <c r="EC450">
        <v>10</v>
      </c>
      <c r="EE450" t="s">
        <v>1598</v>
      </c>
      <c r="EF450">
        <v>10</v>
      </c>
      <c r="EU450">
        <v>3500</v>
      </c>
      <c r="EW450">
        <v>0</v>
      </c>
      <c r="EX450">
        <v>0</v>
      </c>
      <c r="EY450">
        <v>0</v>
      </c>
      <c r="FA450">
        <v>12</v>
      </c>
      <c r="FG450" s="94">
        <v>358</v>
      </c>
      <c r="FH450" s="94">
        <v>293</v>
      </c>
      <c r="FI450" s="94">
        <v>329</v>
      </c>
    </row>
    <row r="451" spans="1:165" x14ac:dyDescent="0.35">
      <c r="A451">
        <v>2026</v>
      </c>
      <c r="B451" t="s">
        <v>1553</v>
      </c>
      <c r="C451" s="112" t="s">
        <v>1554</v>
      </c>
      <c r="D451" t="s">
        <v>1648</v>
      </c>
      <c r="E451" t="s">
        <v>1556</v>
      </c>
      <c r="F451">
        <v>92</v>
      </c>
      <c r="G451" s="113">
        <v>0</v>
      </c>
      <c r="I451" t="s">
        <v>1391</v>
      </c>
      <c r="J451">
        <v>36</v>
      </c>
      <c r="K451">
        <v>44</v>
      </c>
      <c r="L451">
        <v>39</v>
      </c>
      <c r="M451">
        <v>25.3094</v>
      </c>
      <c r="N451">
        <v>30.915800000000001</v>
      </c>
      <c r="O451">
        <v>27.8323</v>
      </c>
      <c r="P451">
        <v>35.8872</v>
      </c>
      <c r="Q451">
        <v>43.854799999999997</v>
      </c>
      <c r="R451">
        <v>39.4726</v>
      </c>
      <c r="V451" t="s">
        <v>170</v>
      </c>
      <c r="W451" t="s">
        <v>171</v>
      </c>
      <c r="Y451">
        <v>1</v>
      </c>
      <c r="Z451" t="s">
        <v>173</v>
      </c>
      <c r="AA451" t="s">
        <v>173</v>
      </c>
      <c r="AB451">
        <v>4</v>
      </c>
      <c r="AC451" t="s">
        <v>423</v>
      </c>
      <c r="AF451">
        <v>329</v>
      </c>
      <c r="AG451" t="s">
        <v>1392</v>
      </c>
      <c r="AH451" t="s">
        <v>1393</v>
      </c>
      <c r="AI451" t="s">
        <v>1399</v>
      </c>
      <c r="AJ451" t="s">
        <v>1400</v>
      </c>
      <c r="AK451">
        <v>4</v>
      </c>
      <c r="AL451" t="s">
        <v>1394</v>
      </c>
      <c r="AS451">
        <v>1000</v>
      </c>
      <c r="AT451">
        <v>1000</v>
      </c>
      <c r="BN451" s="114"/>
      <c r="BQ451">
        <v>33</v>
      </c>
      <c r="BR451" t="s">
        <v>1062</v>
      </c>
      <c r="BT451" t="s">
        <v>1402</v>
      </c>
      <c r="BU451" s="115">
        <v>45792</v>
      </c>
      <c r="BV451">
        <v>36516</v>
      </c>
      <c r="BW451" s="116"/>
      <c r="BY451" t="s">
        <v>173</v>
      </c>
      <c r="CB451" t="s">
        <v>173</v>
      </c>
      <c r="CC451" t="s">
        <v>173</v>
      </c>
      <c r="CK451" t="s">
        <v>259</v>
      </c>
      <c r="CM451">
        <v>1</v>
      </c>
      <c r="CN451" t="s">
        <v>260</v>
      </c>
      <c r="CP451">
        <v>406</v>
      </c>
      <c r="CQ451">
        <v>286</v>
      </c>
      <c r="CR451">
        <v>273</v>
      </c>
      <c r="CS451" t="s">
        <v>1437</v>
      </c>
      <c r="CV451" t="s">
        <v>262</v>
      </c>
      <c r="CX451" t="s">
        <v>263</v>
      </c>
      <c r="CY451" t="s">
        <v>172</v>
      </c>
      <c r="DC451" t="s">
        <v>1596</v>
      </c>
      <c r="DD451">
        <v>2</v>
      </c>
      <c r="DE451" t="s">
        <v>307</v>
      </c>
      <c r="DF451" t="s">
        <v>988</v>
      </c>
      <c r="DG451">
        <v>264</v>
      </c>
      <c r="DL451" t="s">
        <v>173</v>
      </c>
      <c r="DM451" t="s">
        <v>172</v>
      </c>
      <c r="DP451" t="s">
        <v>173</v>
      </c>
      <c r="DQ451" t="s">
        <v>189</v>
      </c>
      <c r="DR451" t="s">
        <v>1649</v>
      </c>
      <c r="EA451" s="117"/>
      <c r="EB451">
        <v>9</v>
      </c>
      <c r="EC451">
        <v>10</v>
      </c>
      <c r="EE451" t="s">
        <v>1598</v>
      </c>
      <c r="EF451">
        <v>10</v>
      </c>
      <c r="EU451">
        <v>3500</v>
      </c>
      <c r="EW451">
        <v>0</v>
      </c>
      <c r="EX451">
        <v>0</v>
      </c>
      <c r="EY451">
        <v>0</v>
      </c>
      <c r="FA451">
        <v>12</v>
      </c>
      <c r="FG451" s="94">
        <v>358</v>
      </c>
      <c r="FH451" s="94">
        <v>293</v>
      </c>
      <c r="FI451" s="94">
        <v>329</v>
      </c>
    </row>
    <row r="452" spans="1:165" x14ac:dyDescent="0.35">
      <c r="A452" s="19"/>
      <c r="B452" s="19"/>
      <c r="C452" s="19"/>
      <c r="D452" s="19"/>
      <c r="E452" s="19"/>
      <c r="F452" s="128"/>
      <c r="G452" s="19"/>
      <c r="H452" s="19"/>
      <c r="I452" s="19"/>
      <c r="J452" s="19"/>
      <c r="K452" s="19" t="str">
        <f>_xlfn.CONCAT(A453," ",C453," ",D453)</f>
        <v>2026 Rivian R1S Dual Large Plus (20in)</v>
      </c>
      <c r="L452" s="19"/>
      <c r="M452" s="19"/>
      <c r="N452" s="19"/>
      <c r="O452" s="19"/>
      <c r="P452" s="19"/>
      <c r="Q452" s="19"/>
      <c r="R452" s="19"/>
      <c r="S452" s="19"/>
      <c r="T452" s="19"/>
      <c r="U452" s="19"/>
      <c r="V452" s="19"/>
      <c r="W452" s="19"/>
      <c r="X452" s="19"/>
      <c r="Y452" s="19"/>
      <c r="Z452" s="19"/>
      <c r="AA452" s="19"/>
      <c r="AB452" s="19" t="str">
        <f>$K452</f>
        <v>2026 Rivian R1S Dual Large Plus (20in)</v>
      </c>
      <c r="AC452" s="19"/>
      <c r="AD452" s="19"/>
      <c r="AE452" s="19"/>
      <c r="AF452" s="19"/>
      <c r="AG452" s="19"/>
      <c r="AH452" s="19"/>
      <c r="AI452" s="19"/>
      <c r="AJ452" s="19"/>
      <c r="AK452" s="19"/>
      <c r="AL452" s="19"/>
      <c r="AM452" s="19"/>
      <c r="AN452" s="19"/>
      <c r="AO452" s="19"/>
      <c r="AP452" s="19"/>
      <c r="AQ452" s="19"/>
      <c r="AR452" s="19" t="str">
        <f>$K452</f>
        <v>2026 Rivian R1S Dual Large Plus (20in)</v>
      </c>
      <c r="AS452" s="19"/>
      <c r="AT452" s="19"/>
      <c r="AU452" s="19"/>
      <c r="AV452" s="19"/>
      <c r="AW452" s="19"/>
      <c r="AX452" s="19"/>
      <c r="AY452" s="19"/>
      <c r="AZ452" s="19"/>
      <c r="BA452" s="19"/>
      <c r="BB452" s="19"/>
      <c r="BC452" s="19"/>
      <c r="BD452" s="19"/>
      <c r="BE452" s="19"/>
      <c r="BF452" s="19"/>
      <c r="BG452" s="19" t="str">
        <f>$K452</f>
        <v>2026 Rivian R1S Dual Large Plus (20in)</v>
      </c>
      <c r="BH452" s="19"/>
      <c r="BI452" s="19"/>
      <c r="BJ452" s="19"/>
      <c r="BK452" s="19"/>
      <c r="BL452" s="19"/>
      <c r="BM452" s="129"/>
      <c r="BN452" s="19"/>
      <c r="BO452" s="19"/>
      <c r="BP452" s="19"/>
      <c r="BQ452" s="19"/>
      <c r="BR452" s="19"/>
      <c r="BS452" s="19"/>
      <c r="BT452" s="130"/>
      <c r="BU452" s="19"/>
      <c r="BV452" s="19"/>
      <c r="BW452" s="116"/>
      <c r="BX452" s="19"/>
      <c r="BY452" s="19"/>
      <c r="BZ452" s="19"/>
      <c r="CA452" s="19"/>
      <c r="CB452" s="19"/>
      <c r="CC452" s="19"/>
      <c r="CD452" s="19"/>
      <c r="CE452" s="19"/>
      <c r="CF452" s="19"/>
      <c r="CG452" s="19"/>
      <c r="CH452" s="19"/>
      <c r="CI452" s="19"/>
      <c r="CJ452" s="19"/>
      <c r="CK452" s="19"/>
      <c r="CL452" s="19"/>
      <c r="CM452" s="19" t="str">
        <f>$K452</f>
        <v>2026 Rivian R1S Dual Large Plus (20in)</v>
      </c>
      <c r="CN452" s="19"/>
      <c r="CO452" s="19"/>
      <c r="CP452" s="19"/>
      <c r="CQ452" s="19"/>
      <c r="CR452" s="19"/>
      <c r="CS452" s="19"/>
      <c r="CT452" s="19"/>
      <c r="CU452" s="19"/>
      <c r="CV452" s="19"/>
      <c r="CW452" s="19"/>
      <c r="CX452" s="19"/>
      <c r="CY452" s="19"/>
      <c r="CZ452" s="19"/>
      <c r="DA452" s="19"/>
      <c r="DB452" s="19"/>
      <c r="DC452" s="19"/>
      <c r="DD452" s="19" t="str">
        <f>$K452</f>
        <v>2026 Rivian R1S Dual Large Plus (20in)</v>
      </c>
      <c r="DE452" s="19"/>
      <c r="DF452" s="19"/>
      <c r="DG452" s="19"/>
      <c r="DH452" s="19"/>
      <c r="DI452" s="19"/>
      <c r="DJ452" s="19"/>
      <c r="DK452" s="19"/>
      <c r="DL452" s="19"/>
      <c r="DM452" s="19"/>
      <c r="DN452" s="19"/>
      <c r="DO452" s="19"/>
      <c r="DP452" s="19"/>
      <c r="DQ452" s="19"/>
      <c r="DR452" s="19"/>
      <c r="DS452" s="19"/>
      <c r="DT452" s="19"/>
      <c r="DU452" s="19" t="str">
        <f>$K452</f>
        <v>2026 Rivian R1S Dual Large Plus (20in)</v>
      </c>
      <c r="DV452" s="19"/>
      <c r="DW452" s="19"/>
      <c r="DX452" s="19"/>
      <c r="DY452" s="19"/>
      <c r="DZ452" s="19"/>
      <c r="EA452" s="117"/>
      <c r="EB452" s="19"/>
      <c r="EC452" s="19"/>
      <c r="ED452" s="19"/>
      <c r="EE452" s="19"/>
      <c r="EF452" s="19"/>
      <c r="EX452" s="19" t="s">
        <v>2069</v>
      </c>
    </row>
    <row r="453" spans="1:165" x14ac:dyDescent="0.35">
      <c r="A453">
        <v>2026</v>
      </c>
      <c r="B453" t="s">
        <v>1553</v>
      </c>
      <c r="C453" s="112" t="s">
        <v>1554</v>
      </c>
      <c r="D453" t="s">
        <v>1640</v>
      </c>
      <c r="E453" t="s">
        <v>1556</v>
      </c>
      <c r="F453">
        <v>84</v>
      </c>
      <c r="G453" s="113">
        <v>0</v>
      </c>
      <c r="I453" t="s">
        <v>1391</v>
      </c>
      <c r="J453">
        <v>85</v>
      </c>
      <c r="K453">
        <v>72</v>
      </c>
      <c r="L453">
        <v>78</v>
      </c>
      <c r="M453">
        <v>120.8</v>
      </c>
      <c r="N453">
        <v>102.2</v>
      </c>
      <c r="O453">
        <v>111.65560000000001</v>
      </c>
      <c r="P453">
        <v>84.56</v>
      </c>
      <c r="Q453">
        <v>71.540000000000006</v>
      </c>
      <c r="R453">
        <v>78.158900000000003</v>
      </c>
      <c r="V453" t="s">
        <v>170</v>
      </c>
      <c r="W453" t="s">
        <v>171</v>
      </c>
      <c r="Y453">
        <v>1</v>
      </c>
      <c r="Z453" t="s">
        <v>173</v>
      </c>
      <c r="AA453" t="s">
        <v>173</v>
      </c>
      <c r="AB453">
        <v>4</v>
      </c>
      <c r="AC453" t="s">
        <v>423</v>
      </c>
      <c r="AF453">
        <v>317</v>
      </c>
      <c r="AG453" t="s">
        <v>1392</v>
      </c>
      <c r="AH453" t="s">
        <v>1393</v>
      </c>
      <c r="AI453" t="s">
        <v>178</v>
      </c>
      <c r="AJ453" t="s">
        <v>179</v>
      </c>
      <c r="AK453">
        <v>4</v>
      </c>
      <c r="AL453" t="s">
        <v>1394</v>
      </c>
      <c r="AS453">
        <v>1100</v>
      </c>
      <c r="AT453">
        <v>1100</v>
      </c>
      <c r="BN453" s="114"/>
      <c r="BQ453">
        <v>33</v>
      </c>
      <c r="BR453" t="s">
        <v>1062</v>
      </c>
      <c r="BT453" t="s">
        <v>1402</v>
      </c>
      <c r="BU453" s="115">
        <v>45792</v>
      </c>
      <c r="BV453">
        <v>36507</v>
      </c>
      <c r="BW453" s="116"/>
      <c r="BY453" t="s">
        <v>173</v>
      </c>
      <c r="CB453" t="s">
        <v>173</v>
      </c>
      <c r="CC453" t="s">
        <v>173</v>
      </c>
      <c r="CK453" t="s">
        <v>259</v>
      </c>
      <c r="CM453">
        <v>1</v>
      </c>
      <c r="CN453" t="s">
        <v>260</v>
      </c>
      <c r="CP453">
        <v>392</v>
      </c>
      <c r="CQ453">
        <v>382</v>
      </c>
      <c r="CR453">
        <v>190</v>
      </c>
      <c r="CS453" t="s">
        <v>1437</v>
      </c>
      <c r="CV453" t="s">
        <v>262</v>
      </c>
      <c r="CX453" t="s">
        <v>263</v>
      </c>
      <c r="CY453" t="s">
        <v>172</v>
      </c>
      <c r="DC453" t="s">
        <v>1558</v>
      </c>
      <c r="DD453">
        <v>2</v>
      </c>
      <c r="DE453" t="s">
        <v>307</v>
      </c>
      <c r="DF453" t="s">
        <v>988</v>
      </c>
      <c r="DG453">
        <v>264</v>
      </c>
      <c r="DL453" t="s">
        <v>173</v>
      </c>
      <c r="DM453" t="s">
        <v>172</v>
      </c>
      <c r="DP453" t="s">
        <v>173</v>
      </c>
      <c r="DQ453" t="s">
        <v>189</v>
      </c>
      <c r="DR453" t="s">
        <v>1641</v>
      </c>
      <c r="EA453" s="117"/>
      <c r="EB453">
        <v>9</v>
      </c>
      <c r="EC453">
        <v>10</v>
      </c>
      <c r="EE453" t="s">
        <v>1565</v>
      </c>
      <c r="EF453">
        <v>10</v>
      </c>
      <c r="EU453">
        <v>3000</v>
      </c>
      <c r="EW453">
        <v>0</v>
      </c>
      <c r="EX453">
        <v>0</v>
      </c>
      <c r="EY453">
        <v>0</v>
      </c>
      <c r="FA453">
        <v>12</v>
      </c>
      <c r="FG453" s="94">
        <v>341</v>
      </c>
      <c r="FH453" s="94">
        <v>288</v>
      </c>
      <c r="FI453" s="94">
        <v>317</v>
      </c>
    </row>
    <row r="454" spans="1:165" x14ac:dyDescent="0.35">
      <c r="A454">
        <v>2026</v>
      </c>
      <c r="B454" t="s">
        <v>1553</v>
      </c>
      <c r="C454" s="112" t="s">
        <v>1554</v>
      </c>
      <c r="D454" t="s">
        <v>1640</v>
      </c>
      <c r="E454" t="s">
        <v>1556</v>
      </c>
      <c r="F454">
        <v>84</v>
      </c>
      <c r="G454" s="113">
        <v>0</v>
      </c>
      <c r="I454" t="s">
        <v>1391</v>
      </c>
      <c r="J454">
        <v>40</v>
      </c>
      <c r="K454">
        <v>47</v>
      </c>
      <c r="L454">
        <v>43</v>
      </c>
      <c r="M454">
        <v>27.901399999999999</v>
      </c>
      <c r="N454">
        <v>32.988999999999997</v>
      </c>
      <c r="O454">
        <v>30.190799999999999</v>
      </c>
      <c r="P454">
        <v>39.859299999999998</v>
      </c>
      <c r="Q454">
        <v>47.113500000000002</v>
      </c>
      <c r="R454">
        <v>43.123699999999999</v>
      </c>
      <c r="V454" t="s">
        <v>170</v>
      </c>
      <c r="W454" t="s">
        <v>171</v>
      </c>
      <c r="Y454">
        <v>1</v>
      </c>
      <c r="Z454" t="s">
        <v>173</v>
      </c>
      <c r="AA454" t="s">
        <v>173</v>
      </c>
      <c r="AB454">
        <v>4</v>
      </c>
      <c r="AC454" t="s">
        <v>423</v>
      </c>
      <c r="AF454">
        <v>317</v>
      </c>
      <c r="AG454" t="s">
        <v>1392</v>
      </c>
      <c r="AH454" t="s">
        <v>1393</v>
      </c>
      <c r="AI454" t="s">
        <v>1399</v>
      </c>
      <c r="AJ454" t="s">
        <v>1400</v>
      </c>
      <c r="AK454">
        <v>4</v>
      </c>
      <c r="AL454" t="s">
        <v>1394</v>
      </c>
      <c r="AS454">
        <v>1100</v>
      </c>
      <c r="AT454">
        <v>1100</v>
      </c>
      <c r="BN454" s="114"/>
      <c r="BQ454">
        <v>33</v>
      </c>
      <c r="BR454" t="s">
        <v>1062</v>
      </c>
      <c r="BT454" t="s">
        <v>1402</v>
      </c>
      <c r="BU454" s="115">
        <v>45792</v>
      </c>
      <c r="BV454">
        <v>36507</v>
      </c>
      <c r="BW454" s="116"/>
      <c r="BY454" t="s">
        <v>173</v>
      </c>
      <c r="CB454" t="s">
        <v>173</v>
      </c>
      <c r="CC454" t="s">
        <v>173</v>
      </c>
      <c r="CK454" t="s">
        <v>259</v>
      </c>
      <c r="CM454">
        <v>1</v>
      </c>
      <c r="CN454" t="s">
        <v>260</v>
      </c>
      <c r="CP454">
        <v>392</v>
      </c>
      <c r="CQ454">
        <v>382</v>
      </c>
      <c r="CR454">
        <v>190</v>
      </c>
      <c r="CS454" t="s">
        <v>1437</v>
      </c>
      <c r="CV454" t="s">
        <v>262</v>
      </c>
      <c r="CX454" t="s">
        <v>263</v>
      </c>
      <c r="CY454" t="s">
        <v>172</v>
      </c>
      <c r="DC454" t="s">
        <v>1558</v>
      </c>
      <c r="DD454">
        <v>2</v>
      </c>
      <c r="DE454" t="s">
        <v>307</v>
      </c>
      <c r="DF454" t="s">
        <v>988</v>
      </c>
      <c r="DG454">
        <v>264</v>
      </c>
      <c r="DL454" t="s">
        <v>173</v>
      </c>
      <c r="DM454" t="s">
        <v>172</v>
      </c>
      <c r="DP454" t="s">
        <v>173</v>
      </c>
      <c r="DQ454" t="s">
        <v>189</v>
      </c>
      <c r="DR454" t="s">
        <v>1641</v>
      </c>
      <c r="EA454" s="117"/>
      <c r="EB454">
        <v>9</v>
      </c>
      <c r="EC454">
        <v>10</v>
      </c>
      <c r="EE454" t="s">
        <v>1565</v>
      </c>
      <c r="EF454">
        <v>10</v>
      </c>
      <c r="EU454">
        <v>3000</v>
      </c>
      <c r="EW454">
        <v>0</v>
      </c>
      <c r="EX454">
        <v>0</v>
      </c>
      <c r="EY454">
        <v>0</v>
      </c>
      <c r="FA454">
        <v>12</v>
      </c>
      <c r="FG454" s="94">
        <v>341</v>
      </c>
      <c r="FH454" s="94">
        <v>288</v>
      </c>
      <c r="FI454" s="94">
        <v>317</v>
      </c>
    </row>
    <row r="455" spans="1:165" x14ac:dyDescent="0.35">
      <c r="A455" s="19"/>
      <c r="B455" s="19"/>
      <c r="C455" s="19"/>
      <c r="D455" s="19"/>
      <c r="E455" s="19"/>
      <c r="F455" s="128"/>
      <c r="G455" s="19"/>
      <c r="H455" s="19"/>
      <c r="I455" s="19"/>
      <c r="J455" s="19"/>
      <c r="K455" s="19" t="str">
        <f>_xlfn.CONCAT(A456," ",C456," ",D456)</f>
        <v>2026 Rivian R1S Dual Large Plus (22in)</v>
      </c>
      <c r="L455" s="19"/>
      <c r="M455" s="19"/>
      <c r="N455" s="19"/>
      <c r="O455" s="19"/>
      <c r="P455" s="19"/>
      <c r="Q455" s="19"/>
      <c r="R455" s="19"/>
      <c r="S455" s="19"/>
      <c r="T455" s="19"/>
      <c r="U455" s="19"/>
      <c r="V455" s="19"/>
      <c r="W455" s="19"/>
      <c r="X455" s="19"/>
      <c r="Y455" s="19"/>
      <c r="Z455" s="19"/>
      <c r="AA455" s="19"/>
      <c r="AB455" s="19" t="str">
        <f>$K455</f>
        <v>2026 Rivian R1S Dual Large Plus (22in)</v>
      </c>
      <c r="AC455" s="19"/>
      <c r="AD455" s="19"/>
      <c r="AE455" s="19"/>
      <c r="AF455" s="19"/>
      <c r="AG455" s="19"/>
      <c r="AH455" s="19"/>
      <c r="AI455" s="19"/>
      <c r="AJ455" s="19"/>
      <c r="AK455" s="19"/>
      <c r="AL455" s="19"/>
      <c r="AM455" s="19"/>
      <c r="AN455" s="19"/>
      <c r="AO455" s="19"/>
      <c r="AP455" s="19"/>
      <c r="AQ455" s="19"/>
      <c r="AR455" s="19" t="str">
        <f>$K455</f>
        <v>2026 Rivian R1S Dual Large Plus (22in)</v>
      </c>
      <c r="AS455" s="19"/>
      <c r="AT455" s="19"/>
      <c r="AU455" s="19"/>
      <c r="AV455" s="19"/>
      <c r="AW455" s="19"/>
      <c r="AX455" s="19"/>
      <c r="AY455" s="19"/>
      <c r="AZ455" s="19"/>
      <c r="BA455" s="19"/>
      <c r="BB455" s="19"/>
      <c r="BC455" s="19"/>
      <c r="BD455" s="19"/>
      <c r="BE455" s="19"/>
      <c r="BF455" s="19"/>
      <c r="BG455" s="19" t="str">
        <f>$K455</f>
        <v>2026 Rivian R1S Dual Large Plus (22in)</v>
      </c>
      <c r="BH455" s="19"/>
      <c r="BI455" s="19"/>
      <c r="BJ455" s="19"/>
      <c r="BK455" s="19"/>
      <c r="BL455" s="19"/>
      <c r="BM455" s="129"/>
      <c r="BN455" s="19"/>
      <c r="BO455" s="19"/>
      <c r="BP455" s="19"/>
      <c r="BQ455" s="19"/>
      <c r="BR455" s="19"/>
      <c r="BS455" s="19"/>
      <c r="BT455" s="130"/>
      <c r="BU455" s="19"/>
      <c r="BV455" s="19"/>
      <c r="BW455" s="116"/>
      <c r="BX455" s="19"/>
      <c r="BY455" s="19"/>
      <c r="BZ455" s="19"/>
      <c r="CA455" s="19"/>
      <c r="CB455" s="19"/>
      <c r="CC455" s="19"/>
      <c r="CD455" s="19"/>
      <c r="CE455" s="19"/>
      <c r="CF455" s="19"/>
      <c r="CG455" s="19"/>
      <c r="CH455" s="19"/>
      <c r="CI455" s="19"/>
      <c r="CJ455" s="19"/>
      <c r="CK455" s="19"/>
      <c r="CL455" s="19"/>
      <c r="CM455" s="19" t="str">
        <f>$K455</f>
        <v>2026 Rivian R1S Dual Large Plus (22in)</v>
      </c>
      <c r="CN455" s="19"/>
      <c r="CO455" s="19"/>
      <c r="CP455" s="19"/>
      <c r="CQ455" s="19"/>
      <c r="CR455" s="19"/>
      <c r="CS455" s="19"/>
      <c r="CT455" s="19"/>
      <c r="CU455" s="19"/>
      <c r="CV455" s="19"/>
      <c r="CW455" s="19"/>
      <c r="CX455" s="19"/>
      <c r="CY455" s="19"/>
      <c r="CZ455" s="19"/>
      <c r="DA455" s="19"/>
      <c r="DB455" s="19"/>
      <c r="DC455" s="19"/>
      <c r="DD455" s="19" t="str">
        <f>$K455</f>
        <v>2026 Rivian R1S Dual Large Plus (22in)</v>
      </c>
      <c r="DE455" s="19"/>
      <c r="DF455" s="19"/>
      <c r="DG455" s="19"/>
      <c r="DH455" s="19"/>
      <c r="DI455" s="19"/>
      <c r="DJ455" s="19"/>
      <c r="DK455" s="19"/>
      <c r="DL455" s="19"/>
      <c r="DM455" s="19"/>
      <c r="DN455" s="19"/>
      <c r="DO455" s="19"/>
      <c r="DP455" s="19"/>
      <c r="DQ455" s="19"/>
      <c r="DR455" s="19"/>
      <c r="DS455" s="19"/>
      <c r="DT455" s="19"/>
      <c r="DU455" s="19" t="str">
        <f>$K455</f>
        <v>2026 Rivian R1S Dual Large Plus (22in)</v>
      </c>
      <c r="DV455" s="19"/>
      <c r="DW455" s="19"/>
      <c r="DX455" s="19"/>
      <c r="DY455" s="19"/>
      <c r="DZ455" s="19"/>
      <c r="EA455" s="117"/>
      <c r="EB455" s="19"/>
      <c r="EC455" s="19"/>
      <c r="ED455" s="19"/>
      <c r="EE455" s="19"/>
      <c r="EF455" s="19"/>
      <c r="EX455" s="19" t="s">
        <v>2070</v>
      </c>
    </row>
    <row r="456" spans="1:165" x14ac:dyDescent="0.35">
      <c r="A456">
        <v>2026</v>
      </c>
      <c r="B456" t="s">
        <v>1553</v>
      </c>
      <c r="C456" s="112" t="s">
        <v>1554</v>
      </c>
      <c r="D456" t="s">
        <v>1632</v>
      </c>
      <c r="E456" t="s">
        <v>1556</v>
      </c>
      <c r="F456">
        <v>76</v>
      </c>
      <c r="G456" s="113">
        <v>0</v>
      </c>
      <c r="I456" t="s">
        <v>1391</v>
      </c>
      <c r="J456">
        <v>89</v>
      </c>
      <c r="K456">
        <v>75</v>
      </c>
      <c r="L456">
        <v>82</v>
      </c>
      <c r="M456">
        <v>127.3</v>
      </c>
      <c r="N456">
        <v>107.8</v>
      </c>
      <c r="O456">
        <v>117.71769999999999</v>
      </c>
      <c r="P456">
        <v>89.11</v>
      </c>
      <c r="Q456">
        <v>75.459999999999994</v>
      </c>
      <c r="R456">
        <v>82.4024</v>
      </c>
      <c r="V456" t="s">
        <v>170</v>
      </c>
      <c r="W456" t="s">
        <v>171</v>
      </c>
      <c r="Y456">
        <v>1</v>
      </c>
      <c r="Z456" t="s">
        <v>173</v>
      </c>
      <c r="AA456" t="s">
        <v>173</v>
      </c>
      <c r="AB456">
        <v>4</v>
      </c>
      <c r="AC456" t="s">
        <v>423</v>
      </c>
      <c r="AF456">
        <v>330</v>
      </c>
      <c r="AG456" t="s">
        <v>1392</v>
      </c>
      <c r="AH456" t="s">
        <v>1393</v>
      </c>
      <c r="AI456" t="s">
        <v>178</v>
      </c>
      <c r="AJ456" t="s">
        <v>179</v>
      </c>
      <c r="AK456">
        <v>4</v>
      </c>
      <c r="AL456" t="s">
        <v>1394</v>
      </c>
      <c r="AS456">
        <v>1050</v>
      </c>
      <c r="AT456">
        <v>1050</v>
      </c>
      <c r="BN456" s="114"/>
      <c r="BQ456">
        <v>33</v>
      </c>
      <c r="BR456" t="s">
        <v>1062</v>
      </c>
      <c r="BT456" t="s">
        <v>1402</v>
      </c>
      <c r="BU456" s="115">
        <v>45792</v>
      </c>
      <c r="BV456">
        <v>36482</v>
      </c>
      <c r="BW456" s="116"/>
      <c r="BY456" t="s">
        <v>173</v>
      </c>
      <c r="CB456" t="s">
        <v>173</v>
      </c>
      <c r="CC456" t="s">
        <v>173</v>
      </c>
      <c r="CK456" t="s">
        <v>259</v>
      </c>
      <c r="CM456">
        <v>1</v>
      </c>
      <c r="CN456" t="s">
        <v>260</v>
      </c>
      <c r="CP456">
        <v>392</v>
      </c>
      <c r="CQ456">
        <v>382</v>
      </c>
      <c r="CR456">
        <v>190</v>
      </c>
      <c r="CS456" t="s">
        <v>1437</v>
      </c>
      <c r="CV456" t="s">
        <v>262</v>
      </c>
      <c r="CX456" t="s">
        <v>263</v>
      </c>
      <c r="CY456" t="s">
        <v>172</v>
      </c>
      <c r="DC456" t="s">
        <v>1558</v>
      </c>
      <c r="DD456">
        <v>2</v>
      </c>
      <c r="DE456" t="s">
        <v>307</v>
      </c>
      <c r="DF456" t="s">
        <v>988</v>
      </c>
      <c r="DG456">
        <v>264</v>
      </c>
      <c r="DL456" t="s">
        <v>173</v>
      </c>
      <c r="DM456" t="s">
        <v>172</v>
      </c>
      <c r="DP456" t="s">
        <v>173</v>
      </c>
      <c r="DQ456" t="s">
        <v>189</v>
      </c>
      <c r="DR456" t="s">
        <v>1633</v>
      </c>
      <c r="EA456" s="117"/>
      <c r="EB456">
        <v>9</v>
      </c>
      <c r="EC456">
        <v>10</v>
      </c>
      <c r="EE456" t="s">
        <v>1565</v>
      </c>
      <c r="EF456">
        <v>10</v>
      </c>
      <c r="EU456">
        <v>3250</v>
      </c>
      <c r="EW456">
        <v>0</v>
      </c>
      <c r="EX456">
        <v>0</v>
      </c>
      <c r="EY456">
        <v>0</v>
      </c>
      <c r="FA456">
        <v>12</v>
      </c>
      <c r="FG456" s="94">
        <v>354</v>
      </c>
      <c r="FH456" s="94">
        <v>300</v>
      </c>
      <c r="FI456" s="94">
        <v>330</v>
      </c>
    </row>
    <row r="457" spans="1:165" x14ac:dyDescent="0.35">
      <c r="A457">
        <v>2026</v>
      </c>
      <c r="B457" t="s">
        <v>1553</v>
      </c>
      <c r="C457" s="112" t="s">
        <v>1554</v>
      </c>
      <c r="D457" t="s">
        <v>1632</v>
      </c>
      <c r="E457" t="s">
        <v>1556</v>
      </c>
      <c r="F457">
        <v>76</v>
      </c>
      <c r="G457" s="113">
        <v>0</v>
      </c>
      <c r="I457" t="s">
        <v>1391</v>
      </c>
      <c r="J457">
        <v>38</v>
      </c>
      <c r="K457">
        <v>45</v>
      </c>
      <c r="L457">
        <v>41</v>
      </c>
      <c r="M457">
        <v>26.478100000000001</v>
      </c>
      <c r="N457">
        <v>31.275300000000001</v>
      </c>
      <c r="O457">
        <v>28.636900000000001</v>
      </c>
      <c r="P457">
        <v>37.823999999999998</v>
      </c>
      <c r="Q457">
        <v>44.665999999999997</v>
      </c>
      <c r="R457">
        <v>40.902900000000002</v>
      </c>
      <c r="V457" t="s">
        <v>170</v>
      </c>
      <c r="W457" t="s">
        <v>171</v>
      </c>
      <c r="Y457">
        <v>1</v>
      </c>
      <c r="Z457" t="s">
        <v>173</v>
      </c>
      <c r="AA457" t="s">
        <v>173</v>
      </c>
      <c r="AB457">
        <v>4</v>
      </c>
      <c r="AC457" t="s">
        <v>423</v>
      </c>
      <c r="AF457">
        <v>330</v>
      </c>
      <c r="AG457" t="s">
        <v>1392</v>
      </c>
      <c r="AH457" t="s">
        <v>1393</v>
      </c>
      <c r="AI457" t="s">
        <v>1399</v>
      </c>
      <c r="AJ457" t="s">
        <v>1400</v>
      </c>
      <c r="AK457">
        <v>4</v>
      </c>
      <c r="AL457" t="s">
        <v>1394</v>
      </c>
      <c r="AS457">
        <v>1050</v>
      </c>
      <c r="AT457">
        <v>1050</v>
      </c>
      <c r="BN457" s="114"/>
      <c r="BQ457">
        <v>33</v>
      </c>
      <c r="BR457" t="s">
        <v>1062</v>
      </c>
      <c r="BT457" t="s">
        <v>1402</v>
      </c>
      <c r="BU457" s="115">
        <v>45792</v>
      </c>
      <c r="BV457">
        <v>36482</v>
      </c>
      <c r="BW457" s="116"/>
      <c r="BY457" t="s">
        <v>173</v>
      </c>
      <c r="CB457" t="s">
        <v>173</v>
      </c>
      <c r="CC457" t="s">
        <v>173</v>
      </c>
      <c r="CK457" t="s">
        <v>259</v>
      </c>
      <c r="CM457">
        <v>1</v>
      </c>
      <c r="CN457" t="s">
        <v>260</v>
      </c>
      <c r="CP457">
        <v>392</v>
      </c>
      <c r="CQ457">
        <v>382</v>
      </c>
      <c r="CR457">
        <v>190</v>
      </c>
      <c r="CS457" t="s">
        <v>1437</v>
      </c>
      <c r="CV457" t="s">
        <v>262</v>
      </c>
      <c r="CX457" t="s">
        <v>263</v>
      </c>
      <c r="CY457" t="s">
        <v>172</v>
      </c>
      <c r="DC457" t="s">
        <v>1558</v>
      </c>
      <c r="DD457">
        <v>2</v>
      </c>
      <c r="DE457" t="s">
        <v>307</v>
      </c>
      <c r="DF457" t="s">
        <v>988</v>
      </c>
      <c r="DG457">
        <v>264</v>
      </c>
      <c r="DL457" t="s">
        <v>173</v>
      </c>
      <c r="DM457" t="s">
        <v>172</v>
      </c>
      <c r="DP457" t="s">
        <v>173</v>
      </c>
      <c r="DQ457" t="s">
        <v>189</v>
      </c>
      <c r="DR457" t="s">
        <v>1633</v>
      </c>
      <c r="EA457" s="117"/>
      <c r="EB457">
        <v>9</v>
      </c>
      <c r="EC457">
        <v>10</v>
      </c>
      <c r="EE457" t="s">
        <v>1565</v>
      </c>
      <c r="EF457">
        <v>10</v>
      </c>
      <c r="EU457">
        <v>3250</v>
      </c>
      <c r="EW457">
        <v>0</v>
      </c>
      <c r="EX457">
        <v>0</v>
      </c>
      <c r="EY457">
        <v>0</v>
      </c>
      <c r="FA457">
        <v>12</v>
      </c>
      <c r="FG457" s="94">
        <v>354</v>
      </c>
      <c r="FH457" s="94">
        <v>300</v>
      </c>
      <c r="FI457" s="94">
        <v>330</v>
      </c>
    </row>
    <row r="458" spans="1:165" x14ac:dyDescent="0.35">
      <c r="A458" s="19"/>
      <c r="B458" s="19"/>
      <c r="C458" s="19"/>
      <c r="D458" s="19"/>
      <c r="E458" s="19"/>
      <c r="F458" s="128"/>
      <c r="G458" s="19"/>
      <c r="H458" s="19"/>
      <c r="I458" s="19"/>
      <c r="J458" s="19"/>
      <c r="K458" s="19" t="str">
        <f>_xlfn.CONCAT(A459," ",C459," ",D459)</f>
        <v>2026 Rivian R1S Dual Max (20in)</v>
      </c>
      <c r="L458" s="19"/>
      <c r="M458" s="19"/>
      <c r="N458" s="19"/>
      <c r="O458" s="19"/>
      <c r="P458" s="19"/>
      <c r="Q458" s="19"/>
      <c r="R458" s="19"/>
      <c r="S458" s="19"/>
      <c r="T458" s="19"/>
      <c r="U458" s="19"/>
      <c r="V458" s="19"/>
      <c r="W458" s="19"/>
      <c r="X458" s="19"/>
      <c r="Y458" s="19"/>
      <c r="Z458" s="19"/>
      <c r="AA458" s="19"/>
      <c r="AB458" s="19" t="str">
        <f>$K458</f>
        <v>2026 Rivian R1S Dual Max (20in)</v>
      </c>
      <c r="AC458" s="19"/>
      <c r="AD458" s="19"/>
      <c r="AE458" s="19"/>
      <c r="AF458" s="19"/>
      <c r="AG458" s="19"/>
      <c r="AH458" s="19"/>
      <c r="AI458" s="19"/>
      <c r="AJ458" s="19"/>
      <c r="AK458" s="19"/>
      <c r="AL458" s="19"/>
      <c r="AM458" s="19"/>
      <c r="AN458" s="19"/>
      <c r="AO458" s="19"/>
      <c r="AP458" s="19"/>
      <c r="AQ458" s="19"/>
      <c r="AR458" s="19" t="str">
        <f>$K458</f>
        <v>2026 Rivian R1S Dual Max (20in)</v>
      </c>
      <c r="AS458" s="19"/>
      <c r="AT458" s="19"/>
      <c r="AU458" s="19"/>
      <c r="AV458" s="19"/>
      <c r="AW458" s="19"/>
      <c r="AX458" s="19"/>
      <c r="AY458" s="19"/>
      <c r="AZ458" s="19"/>
      <c r="BA458" s="19"/>
      <c r="BB458" s="19"/>
      <c r="BC458" s="19"/>
      <c r="BD458" s="19"/>
      <c r="BE458" s="19"/>
      <c r="BF458" s="19"/>
      <c r="BG458" s="19" t="str">
        <f>$K458</f>
        <v>2026 Rivian R1S Dual Max (20in)</v>
      </c>
      <c r="BH458" s="19"/>
      <c r="BI458" s="19"/>
      <c r="BJ458" s="19"/>
      <c r="BK458" s="19"/>
      <c r="BL458" s="19"/>
      <c r="BM458" s="129"/>
      <c r="BN458" s="19"/>
      <c r="BO458" s="19"/>
      <c r="BP458" s="19"/>
      <c r="BQ458" s="19"/>
      <c r="BR458" s="19"/>
      <c r="BS458" s="19"/>
      <c r="BT458" s="130"/>
      <c r="BU458" s="19"/>
      <c r="BV458" s="19"/>
      <c r="BW458" s="116"/>
      <c r="BX458" s="19"/>
      <c r="BY458" s="19"/>
      <c r="BZ458" s="19"/>
      <c r="CA458" s="19"/>
      <c r="CB458" s="19"/>
      <c r="CC458" s="19"/>
      <c r="CD458" s="19"/>
      <c r="CE458" s="19"/>
      <c r="CF458" s="19"/>
      <c r="CG458" s="19"/>
      <c r="CH458" s="19"/>
      <c r="CI458" s="19"/>
      <c r="CJ458" s="19"/>
      <c r="CK458" s="19"/>
      <c r="CL458" s="19"/>
      <c r="CM458" s="19" t="str">
        <f>$K458</f>
        <v>2026 Rivian R1S Dual Max (20in)</v>
      </c>
      <c r="CN458" s="19"/>
      <c r="CO458" s="19"/>
      <c r="CP458" s="19"/>
      <c r="CQ458" s="19"/>
      <c r="CR458" s="19"/>
      <c r="CS458" s="19"/>
      <c r="CT458" s="19"/>
      <c r="CU458" s="19"/>
      <c r="CV458" s="19"/>
      <c r="CW458" s="19"/>
      <c r="CX458" s="19"/>
      <c r="CY458" s="19"/>
      <c r="CZ458" s="19"/>
      <c r="DA458" s="19"/>
      <c r="DB458" s="19"/>
      <c r="DC458" s="19"/>
      <c r="DD458" s="19" t="str">
        <f>$K458</f>
        <v>2026 Rivian R1S Dual Max (20in)</v>
      </c>
      <c r="DE458" s="19"/>
      <c r="DF458" s="19"/>
      <c r="DG458" s="19"/>
      <c r="DH458" s="19"/>
      <c r="DI458" s="19"/>
      <c r="DJ458" s="19"/>
      <c r="DK458" s="19"/>
      <c r="DL458" s="19"/>
      <c r="DM458" s="19"/>
      <c r="DN458" s="19"/>
      <c r="DO458" s="19"/>
      <c r="DP458" s="19"/>
      <c r="DQ458" s="19"/>
      <c r="DR458" s="19"/>
      <c r="DS458" s="19"/>
      <c r="DT458" s="19"/>
      <c r="DU458" s="19" t="str">
        <f>$K458</f>
        <v>2026 Rivian R1S Dual Max (20in)</v>
      </c>
      <c r="DV458" s="19"/>
      <c r="DW458" s="19"/>
      <c r="DX458" s="19"/>
      <c r="DY458" s="19"/>
      <c r="DZ458" s="19"/>
      <c r="EA458" s="117"/>
      <c r="EB458" s="19"/>
      <c r="EC458" s="19"/>
      <c r="ED458" s="19"/>
      <c r="EE458" s="19"/>
      <c r="EF458" s="19"/>
      <c r="EX458" s="19" t="s">
        <v>2071</v>
      </c>
    </row>
    <row r="459" spans="1:165" x14ac:dyDescent="0.35">
      <c r="A459">
        <v>2026</v>
      </c>
      <c r="B459" t="s">
        <v>1553</v>
      </c>
      <c r="C459" s="112" t="s">
        <v>1554</v>
      </c>
      <c r="D459" t="s">
        <v>1620</v>
      </c>
      <c r="E459" t="s">
        <v>1556</v>
      </c>
      <c r="F459">
        <v>64</v>
      </c>
      <c r="G459" s="113">
        <v>0</v>
      </c>
      <c r="I459" t="s">
        <v>1391</v>
      </c>
      <c r="J459">
        <v>86</v>
      </c>
      <c r="K459">
        <v>74</v>
      </c>
      <c r="L459">
        <v>80</v>
      </c>
      <c r="M459">
        <v>121.3</v>
      </c>
      <c r="N459">
        <v>103.7</v>
      </c>
      <c r="O459">
        <v>112.6932</v>
      </c>
      <c r="P459">
        <v>86.434700000000007</v>
      </c>
      <c r="Q459">
        <v>73.893500000000003</v>
      </c>
      <c r="R459">
        <v>80.3018</v>
      </c>
      <c r="V459" t="s">
        <v>170</v>
      </c>
      <c r="W459" t="s">
        <v>171</v>
      </c>
      <c r="Y459">
        <v>1</v>
      </c>
      <c r="Z459" t="s">
        <v>173</v>
      </c>
      <c r="AA459" t="s">
        <v>173</v>
      </c>
      <c r="AB459" t="s">
        <v>769</v>
      </c>
      <c r="AC459" t="s">
        <v>770</v>
      </c>
      <c r="AF459">
        <v>380</v>
      </c>
      <c r="AG459" t="s">
        <v>1392</v>
      </c>
      <c r="AH459" t="s">
        <v>1393</v>
      </c>
      <c r="AI459" t="s">
        <v>178</v>
      </c>
      <c r="AJ459" t="s">
        <v>179</v>
      </c>
      <c r="AK459">
        <v>4</v>
      </c>
      <c r="AL459" t="s">
        <v>1394</v>
      </c>
      <c r="AS459">
        <v>1050</v>
      </c>
      <c r="AT459">
        <v>1050</v>
      </c>
      <c r="BN459" s="114"/>
      <c r="BQ459">
        <v>33</v>
      </c>
      <c r="BR459" t="s">
        <v>1062</v>
      </c>
      <c r="BT459" t="s">
        <v>1402</v>
      </c>
      <c r="BU459" s="115">
        <v>45792</v>
      </c>
      <c r="BV459">
        <v>36487</v>
      </c>
      <c r="BW459" s="116"/>
      <c r="BY459" t="s">
        <v>173</v>
      </c>
      <c r="CB459" t="s">
        <v>173</v>
      </c>
      <c r="CC459" t="s">
        <v>173</v>
      </c>
      <c r="CK459" t="s">
        <v>259</v>
      </c>
      <c r="CM459">
        <v>1</v>
      </c>
      <c r="CN459" t="s">
        <v>260</v>
      </c>
      <c r="CP459">
        <v>392</v>
      </c>
      <c r="CQ459">
        <v>382</v>
      </c>
      <c r="CR459">
        <v>190</v>
      </c>
      <c r="CS459" t="s">
        <v>1437</v>
      </c>
      <c r="CV459" t="s">
        <v>262</v>
      </c>
      <c r="CX459" t="s">
        <v>263</v>
      </c>
      <c r="CY459" t="s">
        <v>172</v>
      </c>
      <c r="DC459" t="s">
        <v>1558</v>
      </c>
      <c r="DD459">
        <v>2</v>
      </c>
      <c r="DE459" t="s">
        <v>307</v>
      </c>
      <c r="DF459" t="s">
        <v>988</v>
      </c>
      <c r="DG459">
        <v>264</v>
      </c>
      <c r="DL459" t="s">
        <v>173</v>
      </c>
      <c r="DM459" t="s">
        <v>172</v>
      </c>
      <c r="DP459" t="s">
        <v>173</v>
      </c>
      <c r="DQ459" t="s">
        <v>189</v>
      </c>
      <c r="DR459" t="s">
        <v>1621</v>
      </c>
      <c r="EA459" s="117"/>
      <c r="EB459">
        <v>9</v>
      </c>
      <c r="EC459">
        <v>10</v>
      </c>
      <c r="EE459" t="s">
        <v>1565</v>
      </c>
      <c r="EF459">
        <v>10</v>
      </c>
      <c r="EU459">
        <v>3250</v>
      </c>
      <c r="EW459">
        <v>0</v>
      </c>
      <c r="EX459">
        <v>0</v>
      </c>
      <c r="EY459">
        <v>0</v>
      </c>
      <c r="FA459">
        <v>15</v>
      </c>
      <c r="FG459" s="94">
        <v>407</v>
      </c>
      <c r="FH459" s="94">
        <v>348</v>
      </c>
      <c r="FI459" s="94">
        <v>380</v>
      </c>
    </row>
    <row r="460" spans="1:165" x14ac:dyDescent="0.35">
      <c r="A460">
        <v>2026</v>
      </c>
      <c r="B460" t="s">
        <v>1553</v>
      </c>
      <c r="C460" s="112" t="s">
        <v>1554</v>
      </c>
      <c r="D460" t="s">
        <v>1620</v>
      </c>
      <c r="E460" t="s">
        <v>1556</v>
      </c>
      <c r="F460">
        <v>64</v>
      </c>
      <c r="G460" s="113">
        <v>0</v>
      </c>
      <c r="I460" t="s">
        <v>1391</v>
      </c>
      <c r="J460">
        <v>39</v>
      </c>
      <c r="K460">
        <v>46</v>
      </c>
      <c r="L460">
        <v>42</v>
      </c>
      <c r="M460">
        <v>27.785599999999999</v>
      </c>
      <c r="N460">
        <v>32.517400000000002</v>
      </c>
      <c r="O460">
        <v>29.914899999999999</v>
      </c>
      <c r="P460">
        <v>38.994700000000002</v>
      </c>
      <c r="Q460">
        <v>45.612900000000003</v>
      </c>
      <c r="R460">
        <v>41.972900000000003</v>
      </c>
      <c r="V460" t="s">
        <v>170</v>
      </c>
      <c r="W460" t="s">
        <v>171</v>
      </c>
      <c r="Y460">
        <v>1</v>
      </c>
      <c r="Z460" t="s">
        <v>173</v>
      </c>
      <c r="AA460" t="s">
        <v>173</v>
      </c>
      <c r="AB460" t="s">
        <v>769</v>
      </c>
      <c r="AC460" t="s">
        <v>770</v>
      </c>
      <c r="AF460">
        <v>380</v>
      </c>
      <c r="AG460" t="s">
        <v>1392</v>
      </c>
      <c r="AH460" t="s">
        <v>1393</v>
      </c>
      <c r="AI460" t="s">
        <v>1399</v>
      </c>
      <c r="AJ460" t="s">
        <v>1400</v>
      </c>
      <c r="AK460">
        <v>4</v>
      </c>
      <c r="AL460" t="s">
        <v>1394</v>
      </c>
      <c r="AS460">
        <v>1050</v>
      </c>
      <c r="AT460">
        <v>1050</v>
      </c>
      <c r="BN460" s="114"/>
      <c r="BQ460">
        <v>33</v>
      </c>
      <c r="BR460" t="s">
        <v>1062</v>
      </c>
      <c r="BT460" t="s">
        <v>1402</v>
      </c>
      <c r="BU460" s="115">
        <v>45792</v>
      </c>
      <c r="BV460">
        <v>36487</v>
      </c>
      <c r="BW460" s="116"/>
      <c r="BY460" t="s">
        <v>173</v>
      </c>
      <c r="CB460" t="s">
        <v>173</v>
      </c>
      <c r="CC460" t="s">
        <v>173</v>
      </c>
      <c r="CK460" t="s">
        <v>259</v>
      </c>
      <c r="CM460">
        <v>1</v>
      </c>
      <c r="CN460" t="s">
        <v>260</v>
      </c>
      <c r="CP460">
        <v>392</v>
      </c>
      <c r="CQ460">
        <v>382</v>
      </c>
      <c r="CR460">
        <v>190</v>
      </c>
      <c r="CS460" t="s">
        <v>1437</v>
      </c>
      <c r="CV460" t="s">
        <v>262</v>
      </c>
      <c r="CX460" t="s">
        <v>263</v>
      </c>
      <c r="CY460" t="s">
        <v>172</v>
      </c>
      <c r="DC460" t="s">
        <v>1558</v>
      </c>
      <c r="DD460">
        <v>2</v>
      </c>
      <c r="DE460" t="s">
        <v>307</v>
      </c>
      <c r="DF460" t="s">
        <v>988</v>
      </c>
      <c r="DG460">
        <v>264</v>
      </c>
      <c r="DL460" t="s">
        <v>173</v>
      </c>
      <c r="DM460" t="s">
        <v>172</v>
      </c>
      <c r="DP460" t="s">
        <v>173</v>
      </c>
      <c r="DQ460" t="s">
        <v>189</v>
      </c>
      <c r="DR460" t="s">
        <v>1621</v>
      </c>
      <c r="EA460" s="117"/>
      <c r="EB460">
        <v>9</v>
      </c>
      <c r="EC460">
        <v>10</v>
      </c>
      <c r="EE460" t="s">
        <v>1565</v>
      </c>
      <c r="EF460">
        <v>10</v>
      </c>
      <c r="EU460">
        <v>3250</v>
      </c>
      <c r="EW460">
        <v>0</v>
      </c>
      <c r="EX460">
        <v>0</v>
      </c>
      <c r="EY460">
        <v>0</v>
      </c>
      <c r="FA460">
        <v>15</v>
      </c>
      <c r="FG460" s="94">
        <v>407</v>
      </c>
      <c r="FH460" s="94">
        <v>348</v>
      </c>
      <c r="FI460" s="94">
        <v>380</v>
      </c>
    </row>
    <row r="461" spans="1:165" x14ac:dyDescent="0.35">
      <c r="A461" s="19"/>
      <c r="B461" s="19"/>
      <c r="C461" s="19"/>
      <c r="D461" s="19"/>
      <c r="E461" s="19"/>
      <c r="F461" s="128"/>
      <c r="G461" s="19"/>
      <c r="H461" s="19"/>
      <c r="I461" s="19"/>
      <c r="J461" s="19"/>
      <c r="K461" s="19" t="str">
        <f>_xlfn.CONCAT(A462," ",C462," ",D462)</f>
        <v>2026 Rivian R1S Dual Max (22in)</v>
      </c>
      <c r="L461" s="19"/>
      <c r="M461" s="19"/>
      <c r="N461" s="19"/>
      <c r="O461" s="19"/>
      <c r="P461" s="19"/>
      <c r="Q461" s="19"/>
      <c r="R461" s="19"/>
      <c r="S461" s="19"/>
      <c r="T461" s="19"/>
      <c r="U461" s="19"/>
      <c r="V461" s="19"/>
      <c r="W461" s="19"/>
      <c r="X461" s="19"/>
      <c r="Y461" s="19"/>
      <c r="Z461" s="19"/>
      <c r="AA461" s="19"/>
      <c r="AB461" s="19" t="str">
        <f>$K461</f>
        <v>2026 Rivian R1S Dual Max (22in)</v>
      </c>
      <c r="AC461" s="19"/>
      <c r="AD461" s="19"/>
      <c r="AE461" s="19"/>
      <c r="AF461" s="19"/>
      <c r="AG461" s="19"/>
      <c r="AH461" s="19"/>
      <c r="AI461" s="19"/>
      <c r="AJ461" s="19"/>
      <c r="AK461" s="19"/>
      <c r="AL461" s="19"/>
      <c r="AM461" s="19"/>
      <c r="AN461" s="19"/>
      <c r="AO461" s="19"/>
      <c r="AP461" s="19"/>
      <c r="AQ461" s="19"/>
      <c r="AR461" s="19" t="str">
        <f>$K461</f>
        <v>2026 Rivian R1S Dual Max (22in)</v>
      </c>
      <c r="AS461" s="19"/>
      <c r="AT461" s="19"/>
      <c r="AU461" s="19"/>
      <c r="AV461" s="19"/>
      <c r="AW461" s="19"/>
      <c r="AX461" s="19"/>
      <c r="AY461" s="19"/>
      <c r="AZ461" s="19"/>
      <c r="BA461" s="19"/>
      <c r="BB461" s="19"/>
      <c r="BC461" s="19"/>
      <c r="BD461" s="19"/>
      <c r="BE461" s="19"/>
      <c r="BF461" s="19"/>
      <c r="BG461" s="19" t="str">
        <f>$K461</f>
        <v>2026 Rivian R1S Dual Max (22in)</v>
      </c>
      <c r="BH461" s="19"/>
      <c r="BI461" s="19"/>
      <c r="BJ461" s="19"/>
      <c r="BK461" s="19"/>
      <c r="BL461" s="19"/>
      <c r="BM461" s="129"/>
      <c r="BN461" s="19"/>
      <c r="BO461" s="19"/>
      <c r="BP461" s="19"/>
      <c r="BQ461" s="19"/>
      <c r="BR461" s="19"/>
      <c r="BS461" s="19"/>
      <c r="BT461" s="130"/>
      <c r="BU461" s="19"/>
      <c r="BV461" s="19"/>
      <c r="BW461" s="116"/>
      <c r="BX461" s="19"/>
      <c r="BY461" s="19"/>
      <c r="BZ461" s="19"/>
      <c r="CA461" s="19"/>
      <c r="CB461" s="19"/>
      <c r="CC461" s="19"/>
      <c r="CD461" s="19"/>
      <c r="CE461" s="19"/>
      <c r="CF461" s="19"/>
      <c r="CG461" s="19"/>
      <c r="CH461" s="19"/>
      <c r="CI461" s="19"/>
      <c r="CJ461" s="19"/>
      <c r="CK461" s="19"/>
      <c r="CL461" s="19"/>
      <c r="CM461" s="19" t="str">
        <f>$K461</f>
        <v>2026 Rivian R1S Dual Max (22in)</v>
      </c>
      <c r="CN461" s="19"/>
      <c r="CO461" s="19"/>
      <c r="CP461" s="19"/>
      <c r="CQ461" s="19"/>
      <c r="CR461" s="19"/>
      <c r="CS461" s="19"/>
      <c r="CT461" s="19"/>
      <c r="CU461" s="19"/>
      <c r="CV461" s="19"/>
      <c r="CW461" s="19"/>
      <c r="CX461" s="19"/>
      <c r="CY461" s="19"/>
      <c r="CZ461" s="19"/>
      <c r="DA461" s="19"/>
      <c r="DB461" s="19"/>
      <c r="DC461" s="19"/>
      <c r="DD461" s="19" t="str">
        <f>$K461</f>
        <v>2026 Rivian R1S Dual Max (22in)</v>
      </c>
      <c r="DE461" s="19"/>
      <c r="DF461" s="19"/>
      <c r="DG461" s="19"/>
      <c r="DH461" s="19"/>
      <c r="DI461" s="19"/>
      <c r="DJ461" s="19"/>
      <c r="DK461" s="19"/>
      <c r="DL461" s="19"/>
      <c r="DM461" s="19"/>
      <c r="DN461" s="19"/>
      <c r="DO461" s="19"/>
      <c r="DP461" s="19"/>
      <c r="DQ461" s="19"/>
      <c r="DR461" s="19"/>
      <c r="DS461" s="19"/>
      <c r="DT461" s="19"/>
      <c r="DU461" s="19" t="str">
        <f>$K461</f>
        <v>2026 Rivian R1S Dual Max (22in)</v>
      </c>
      <c r="DV461" s="19"/>
      <c r="DW461" s="19"/>
      <c r="DX461" s="19"/>
      <c r="DY461" s="19"/>
      <c r="DZ461" s="19"/>
      <c r="EA461" s="117"/>
      <c r="EB461" s="19"/>
      <c r="EC461" s="19"/>
      <c r="ED461" s="19"/>
      <c r="EE461" s="19"/>
      <c r="EF461" s="19"/>
      <c r="EX461" s="19" t="s">
        <v>2072</v>
      </c>
    </row>
    <row r="462" spans="1:165" x14ac:dyDescent="0.35">
      <c r="A462">
        <v>2026</v>
      </c>
      <c r="B462" t="s">
        <v>1553</v>
      </c>
      <c r="C462" s="112" t="s">
        <v>1554</v>
      </c>
      <c r="D462" t="s">
        <v>1622</v>
      </c>
      <c r="E462" t="s">
        <v>1556</v>
      </c>
      <c r="F462">
        <v>66</v>
      </c>
      <c r="G462" s="113">
        <v>0</v>
      </c>
      <c r="I462" t="s">
        <v>1391</v>
      </c>
      <c r="J462">
        <v>91</v>
      </c>
      <c r="K462">
        <v>77</v>
      </c>
      <c r="L462">
        <v>84</v>
      </c>
      <c r="M462">
        <v>129</v>
      </c>
      <c r="N462">
        <v>109.1</v>
      </c>
      <c r="O462">
        <v>119.2148</v>
      </c>
      <c r="P462">
        <v>91.319100000000006</v>
      </c>
      <c r="Q462">
        <v>77.231899999999996</v>
      </c>
      <c r="R462">
        <v>84.392200000000003</v>
      </c>
      <c r="V462" t="s">
        <v>170</v>
      </c>
      <c r="W462" t="s">
        <v>171</v>
      </c>
      <c r="Y462">
        <v>1</v>
      </c>
      <c r="Z462" t="s">
        <v>173</v>
      </c>
      <c r="AA462" t="s">
        <v>173</v>
      </c>
      <c r="AB462" t="s">
        <v>769</v>
      </c>
      <c r="AC462" t="s">
        <v>770</v>
      </c>
      <c r="AF462">
        <v>410</v>
      </c>
      <c r="AG462" t="s">
        <v>1392</v>
      </c>
      <c r="AH462" t="s">
        <v>1393</v>
      </c>
      <c r="AI462" t="s">
        <v>178</v>
      </c>
      <c r="AJ462" t="s">
        <v>179</v>
      </c>
      <c r="AK462">
        <v>4</v>
      </c>
      <c r="AL462" t="s">
        <v>1394</v>
      </c>
      <c r="AS462">
        <v>1000</v>
      </c>
      <c r="AT462">
        <v>1000</v>
      </c>
      <c r="BN462" s="114"/>
      <c r="BQ462">
        <v>33</v>
      </c>
      <c r="BR462" t="s">
        <v>1062</v>
      </c>
      <c r="BT462" t="s">
        <v>1402</v>
      </c>
      <c r="BU462" s="115">
        <v>45792</v>
      </c>
      <c r="BV462">
        <v>36489</v>
      </c>
      <c r="BW462" s="116"/>
      <c r="BY462" t="s">
        <v>173</v>
      </c>
      <c r="CB462" t="s">
        <v>173</v>
      </c>
      <c r="CC462" t="s">
        <v>173</v>
      </c>
      <c r="CK462" t="s">
        <v>259</v>
      </c>
      <c r="CM462">
        <v>1</v>
      </c>
      <c r="CN462" t="s">
        <v>260</v>
      </c>
      <c r="CP462">
        <v>392</v>
      </c>
      <c r="CQ462">
        <v>382</v>
      </c>
      <c r="CR462">
        <v>190</v>
      </c>
      <c r="CS462" t="s">
        <v>1437</v>
      </c>
      <c r="CV462" t="s">
        <v>262</v>
      </c>
      <c r="CX462" t="s">
        <v>263</v>
      </c>
      <c r="CY462" t="s">
        <v>172</v>
      </c>
      <c r="DC462" t="s">
        <v>1558</v>
      </c>
      <c r="DD462">
        <v>2</v>
      </c>
      <c r="DE462" t="s">
        <v>307</v>
      </c>
      <c r="DF462" t="s">
        <v>988</v>
      </c>
      <c r="DG462">
        <v>264</v>
      </c>
      <c r="DL462" t="s">
        <v>173</v>
      </c>
      <c r="DM462" t="s">
        <v>172</v>
      </c>
      <c r="DP462" t="s">
        <v>173</v>
      </c>
      <c r="DQ462" t="s">
        <v>189</v>
      </c>
      <c r="DR462" t="s">
        <v>1623</v>
      </c>
      <c r="EA462" s="117"/>
      <c r="EB462">
        <v>9</v>
      </c>
      <c r="EC462">
        <v>10</v>
      </c>
      <c r="EE462" t="s">
        <v>1565</v>
      </c>
      <c r="EF462">
        <v>10</v>
      </c>
      <c r="EU462">
        <v>3500</v>
      </c>
      <c r="EW462">
        <v>0</v>
      </c>
      <c r="EX462">
        <v>0</v>
      </c>
      <c r="EY462">
        <v>0</v>
      </c>
      <c r="FA462">
        <v>15</v>
      </c>
      <c r="FG462" s="94">
        <v>441</v>
      </c>
      <c r="FH462" s="94">
        <v>373</v>
      </c>
      <c r="FI462" s="94">
        <v>410</v>
      </c>
    </row>
    <row r="463" spans="1:165" x14ac:dyDescent="0.35">
      <c r="A463">
        <v>2026</v>
      </c>
      <c r="B463" t="s">
        <v>1553</v>
      </c>
      <c r="C463" s="112" t="s">
        <v>1554</v>
      </c>
      <c r="D463" t="s">
        <v>1622</v>
      </c>
      <c r="E463" t="s">
        <v>1556</v>
      </c>
      <c r="F463">
        <v>66</v>
      </c>
      <c r="G463" s="113">
        <v>0</v>
      </c>
      <c r="I463" t="s">
        <v>1391</v>
      </c>
      <c r="J463">
        <v>37</v>
      </c>
      <c r="K463">
        <v>44</v>
      </c>
      <c r="L463">
        <v>40</v>
      </c>
      <c r="M463">
        <v>26.118500000000001</v>
      </c>
      <c r="N463">
        <v>30.8856</v>
      </c>
      <c r="O463">
        <v>28.2637</v>
      </c>
      <c r="P463">
        <v>36.908999999999999</v>
      </c>
      <c r="Q463">
        <v>43.641300000000001</v>
      </c>
      <c r="R463">
        <v>39.938499999999998</v>
      </c>
      <c r="V463" t="s">
        <v>170</v>
      </c>
      <c r="W463" t="s">
        <v>171</v>
      </c>
      <c r="Y463">
        <v>1</v>
      </c>
      <c r="Z463" t="s">
        <v>173</v>
      </c>
      <c r="AA463" t="s">
        <v>173</v>
      </c>
      <c r="AB463" t="s">
        <v>769</v>
      </c>
      <c r="AC463" t="s">
        <v>770</v>
      </c>
      <c r="AF463">
        <v>410</v>
      </c>
      <c r="AG463" t="s">
        <v>1392</v>
      </c>
      <c r="AH463" t="s">
        <v>1393</v>
      </c>
      <c r="AI463" t="s">
        <v>1399</v>
      </c>
      <c r="AJ463" t="s">
        <v>1400</v>
      </c>
      <c r="AK463">
        <v>4</v>
      </c>
      <c r="AL463" t="s">
        <v>1394</v>
      </c>
      <c r="AS463">
        <v>1000</v>
      </c>
      <c r="AT463">
        <v>1000</v>
      </c>
      <c r="BN463" s="114"/>
      <c r="BQ463">
        <v>33</v>
      </c>
      <c r="BR463" t="s">
        <v>1062</v>
      </c>
      <c r="BT463" t="s">
        <v>1402</v>
      </c>
      <c r="BU463" s="115">
        <v>45792</v>
      </c>
      <c r="BV463">
        <v>36489</v>
      </c>
      <c r="BW463" s="116"/>
      <c r="BY463" t="s">
        <v>173</v>
      </c>
      <c r="CB463" t="s">
        <v>173</v>
      </c>
      <c r="CC463" t="s">
        <v>173</v>
      </c>
      <c r="CK463" t="s">
        <v>259</v>
      </c>
      <c r="CM463">
        <v>1</v>
      </c>
      <c r="CN463" t="s">
        <v>260</v>
      </c>
      <c r="CP463">
        <v>392</v>
      </c>
      <c r="CQ463">
        <v>382</v>
      </c>
      <c r="CR463">
        <v>190</v>
      </c>
      <c r="CS463" t="s">
        <v>1437</v>
      </c>
      <c r="CV463" t="s">
        <v>262</v>
      </c>
      <c r="CX463" t="s">
        <v>263</v>
      </c>
      <c r="CY463" t="s">
        <v>172</v>
      </c>
      <c r="DC463" t="s">
        <v>1558</v>
      </c>
      <c r="DD463">
        <v>2</v>
      </c>
      <c r="DE463" t="s">
        <v>307</v>
      </c>
      <c r="DF463" t="s">
        <v>988</v>
      </c>
      <c r="DG463">
        <v>264</v>
      </c>
      <c r="DL463" t="s">
        <v>173</v>
      </c>
      <c r="DM463" t="s">
        <v>172</v>
      </c>
      <c r="DP463" t="s">
        <v>173</v>
      </c>
      <c r="DQ463" t="s">
        <v>189</v>
      </c>
      <c r="DR463" t="s">
        <v>1623</v>
      </c>
      <c r="EA463" s="117"/>
      <c r="EB463">
        <v>9</v>
      </c>
      <c r="EC463">
        <v>10</v>
      </c>
      <c r="EE463" t="s">
        <v>1565</v>
      </c>
      <c r="EF463">
        <v>10</v>
      </c>
      <c r="EU463">
        <v>3500</v>
      </c>
      <c r="EW463">
        <v>0</v>
      </c>
      <c r="EX463">
        <v>0</v>
      </c>
      <c r="EY463">
        <v>0</v>
      </c>
      <c r="FA463">
        <v>15</v>
      </c>
      <c r="FG463" s="94">
        <v>441</v>
      </c>
      <c r="FH463" s="94">
        <v>373</v>
      </c>
      <c r="FI463" s="94">
        <v>410</v>
      </c>
    </row>
    <row r="464" spans="1:165" x14ac:dyDescent="0.35">
      <c r="A464" s="19"/>
      <c r="B464" s="19"/>
      <c r="C464" s="19"/>
      <c r="D464" s="19"/>
      <c r="E464" s="19"/>
      <c r="F464" s="128"/>
      <c r="G464" s="19"/>
      <c r="H464" s="19"/>
      <c r="I464" s="19"/>
      <c r="J464" s="19"/>
      <c r="K464" s="19" t="str">
        <f>_xlfn.CONCAT(A465," ",C465," ",D465)</f>
        <v>2026 Rivian R1S Dual Standard (20in)</v>
      </c>
      <c r="L464" s="19"/>
      <c r="M464" s="19"/>
      <c r="N464" s="19"/>
      <c r="O464" s="19"/>
      <c r="P464" s="19"/>
      <c r="Q464" s="19"/>
      <c r="R464" s="19"/>
      <c r="S464" s="19"/>
      <c r="T464" s="19"/>
      <c r="U464" s="19"/>
      <c r="V464" s="19"/>
      <c r="W464" s="19"/>
      <c r="X464" s="19"/>
      <c r="Y464" s="19"/>
      <c r="Z464" s="19"/>
      <c r="AA464" s="19"/>
      <c r="AB464" s="19" t="str">
        <f>$K464</f>
        <v>2026 Rivian R1S Dual Standard (20in)</v>
      </c>
      <c r="AC464" s="19"/>
      <c r="AD464" s="19"/>
      <c r="AE464" s="19"/>
      <c r="AF464" s="19"/>
      <c r="AG464" s="19"/>
      <c r="AH464" s="19"/>
      <c r="AI464" s="19"/>
      <c r="AJ464" s="19"/>
      <c r="AK464" s="19"/>
      <c r="AL464" s="19"/>
      <c r="AM464" s="19"/>
      <c r="AN464" s="19"/>
      <c r="AO464" s="19"/>
      <c r="AP464" s="19"/>
      <c r="AQ464" s="19"/>
      <c r="AR464" s="19" t="str">
        <f>$K464</f>
        <v>2026 Rivian R1S Dual Standard (20in)</v>
      </c>
      <c r="AS464" s="19"/>
      <c r="AT464" s="19"/>
      <c r="AU464" s="19"/>
      <c r="AV464" s="19"/>
      <c r="AW464" s="19"/>
      <c r="AX464" s="19"/>
      <c r="AY464" s="19"/>
      <c r="AZ464" s="19"/>
      <c r="BA464" s="19"/>
      <c r="BB464" s="19"/>
      <c r="BC464" s="19"/>
      <c r="BD464" s="19"/>
      <c r="BE464" s="19"/>
      <c r="BF464" s="19"/>
      <c r="BG464" s="19" t="str">
        <f>$K464</f>
        <v>2026 Rivian R1S Dual Standard (20in)</v>
      </c>
      <c r="BH464" s="19"/>
      <c r="BI464" s="19"/>
      <c r="BJ464" s="19"/>
      <c r="BK464" s="19"/>
      <c r="BL464" s="19"/>
      <c r="BM464" s="129"/>
      <c r="BN464" s="19"/>
      <c r="BO464" s="19"/>
      <c r="BP464" s="19"/>
      <c r="BQ464" s="19"/>
      <c r="BR464" s="19"/>
      <c r="BS464" s="19"/>
      <c r="BT464" s="130"/>
      <c r="BU464" s="19"/>
      <c r="BV464" s="19"/>
      <c r="BW464" s="116"/>
      <c r="BX464" s="19"/>
      <c r="BY464" s="19"/>
      <c r="BZ464" s="19"/>
      <c r="CA464" s="19"/>
      <c r="CB464" s="19"/>
      <c r="CC464" s="19"/>
      <c r="CD464" s="19"/>
      <c r="CE464" s="19"/>
      <c r="CF464" s="19"/>
      <c r="CG464" s="19"/>
      <c r="CH464" s="19"/>
      <c r="CI464" s="19"/>
      <c r="CJ464" s="19"/>
      <c r="CK464" s="19"/>
      <c r="CL464" s="19"/>
      <c r="CM464" s="19" t="str">
        <f>$K464</f>
        <v>2026 Rivian R1S Dual Standard (20in)</v>
      </c>
      <c r="CN464" s="19"/>
      <c r="CO464" s="19"/>
      <c r="CP464" s="19"/>
      <c r="CQ464" s="19"/>
      <c r="CR464" s="19"/>
      <c r="CS464" s="19"/>
      <c r="CT464" s="19"/>
      <c r="CU464" s="19"/>
      <c r="CV464" s="19"/>
      <c r="CW464" s="19"/>
      <c r="CX464" s="19"/>
      <c r="CY464" s="19"/>
      <c r="CZ464" s="19"/>
      <c r="DA464" s="19"/>
      <c r="DB464" s="19"/>
      <c r="DC464" s="19"/>
      <c r="DD464" s="19" t="str">
        <f>$K464</f>
        <v>2026 Rivian R1S Dual Standard (20in)</v>
      </c>
      <c r="DE464" s="19"/>
      <c r="DF464" s="19"/>
      <c r="DG464" s="19"/>
      <c r="DH464" s="19"/>
      <c r="DI464" s="19"/>
      <c r="DJ464" s="19"/>
      <c r="DK464" s="19"/>
      <c r="DL464" s="19"/>
      <c r="DM464" s="19"/>
      <c r="DN464" s="19"/>
      <c r="DO464" s="19"/>
      <c r="DP464" s="19"/>
      <c r="DQ464" s="19"/>
      <c r="DR464" s="19"/>
      <c r="DS464" s="19"/>
      <c r="DT464" s="19"/>
      <c r="DU464" s="19" t="str">
        <f>$K464</f>
        <v>2026 Rivian R1S Dual Standard (20in)</v>
      </c>
      <c r="DV464" s="19"/>
      <c r="DW464" s="19"/>
      <c r="DX464" s="19"/>
      <c r="DY464" s="19"/>
      <c r="DZ464" s="19"/>
      <c r="EA464" s="117"/>
      <c r="EB464" s="19"/>
      <c r="EC464" s="19"/>
      <c r="ED464" s="19"/>
      <c r="EE464" s="19"/>
      <c r="EF464" s="19"/>
      <c r="EX464" s="19" t="s">
        <v>2073</v>
      </c>
    </row>
    <row r="465" spans="1:165" x14ac:dyDescent="0.35">
      <c r="A465">
        <v>2026</v>
      </c>
      <c r="B465" t="s">
        <v>1553</v>
      </c>
      <c r="C465" s="112" t="s">
        <v>1554</v>
      </c>
      <c r="D465" t="s">
        <v>1618</v>
      </c>
      <c r="E465" t="s">
        <v>1556</v>
      </c>
      <c r="F465">
        <v>62</v>
      </c>
      <c r="G465" s="113">
        <v>0</v>
      </c>
      <c r="I465" t="s">
        <v>1391</v>
      </c>
      <c r="J465">
        <v>85</v>
      </c>
      <c r="K465">
        <v>72</v>
      </c>
      <c r="L465">
        <v>79</v>
      </c>
      <c r="M465">
        <v>116.8</v>
      </c>
      <c r="N465">
        <v>98.9</v>
      </c>
      <c r="O465">
        <v>108.00360000000001</v>
      </c>
      <c r="P465">
        <v>85.028099999999995</v>
      </c>
      <c r="Q465">
        <v>71.997200000000007</v>
      </c>
      <c r="R465">
        <v>78.624499999999998</v>
      </c>
      <c r="V465" t="s">
        <v>170</v>
      </c>
      <c r="W465" t="s">
        <v>171</v>
      </c>
      <c r="Y465">
        <v>1</v>
      </c>
      <c r="Z465" t="s">
        <v>173</v>
      </c>
      <c r="AA465" t="s">
        <v>173</v>
      </c>
      <c r="AB465" t="s">
        <v>769</v>
      </c>
      <c r="AC465" t="s">
        <v>770</v>
      </c>
      <c r="AF465">
        <v>258</v>
      </c>
      <c r="AG465" t="s">
        <v>1392</v>
      </c>
      <c r="AH465" t="s">
        <v>1393</v>
      </c>
      <c r="AI465" t="s">
        <v>178</v>
      </c>
      <c r="AJ465" t="s">
        <v>179</v>
      </c>
      <c r="AK465">
        <v>4</v>
      </c>
      <c r="AL465" t="s">
        <v>1394</v>
      </c>
      <c r="AS465">
        <v>1100</v>
      </c>
      <c r="AT465">
        <v>1100</v>
      </c>
      <c r="BN465" s="114"/>
      <c r="BQ465">
        <v>33</v>
      </c>
      <c r="BR465" t="s">
        <v>1062</v>
      </c>
      <c r="BT465" t="s">
        <v>1402</v>
      </c>
      <c r="BU465" s="115">
        <v>45792</v>
      </c>
      <c r="BV465">
        <v>36484</v>
      </c>
      <c r="BW465" s="116"/>
      <c r="BY465" t="s">
        <v>173</v>
      </c>
      <c r="CB465" t="s">
        <v>173</v>
      </c>
      <c r="CC465" t="s">
        <v>173</v>
      </c>
      <c r="CK465" t="s">
        <v>259</v>
      </c>
      <c r="CM465">
        <v>1</v>
      </c>
      <c r="CN465" t="s">
        <v>307</v>
      </c>
      <c r="CO465" t="s">
        <v>1557</v>
      </c>
      <c r="CP465">
        <v>403</v>
      </c>
      <c r="CQ465">
        <v>235</v>
      </c>
      <c r="CR465">
        <v>130</v>
      </c>
      <c r="CS465" t="s">
        <v>1437</v>
      </c>
      <c r="CV465" t="s">
        <v>262</v>
      </c>
      <c r="CX465" t="s">
        <v>263</v>
      </c>
      <c r="CY465" t="s">
        <v>172</v>
      </c>
      <c r="DC465" t="s">
        <v>1558</v>
      </c>
      <c r="DD465">
        <v>2</v>
      </c>
      <c r="DE465" t="s">
        <v>307</v>
      </c>
      <c r="DF465" t="s">
        <v>988</v>
      </c>
      <c r="DG465">
        <v>208</v>
      </c>
      <c r="DL465" t="s">
        <v>173</v>
      </c>
      <c r="DM465" t="s">
        <v>172</v>
      </c>
      <c r="DP465" t="s">
        <v>173</v>
      </c>
      <c r="DQ465" t="s">
        <v>189</v>
      </c>
      <c r="DR465" t="s">
        <v>1619</v>
      </c>
      <c r="EA465" s="117"/>
      <c r="EB465">
        <v>9</v>
      </c>
      <c r="EC465">
        <v>10</v>
      </c>
      <c r="EE465" t="s">
        <v>1560</v>
      </c>
      <c r="EF465">
        <v>10</v>
      </c>
      <c r="EU465">
        <v>3000</v>
      </c>
      <c r="EW465">
        <v>0</v>
      </c>
      <c r="EX465">
        <v>0</v>
      </c>
      <c r="EY465">
        <v>0</v>
      </c>
      <c r="FA465">
        <v>9.5</v>
      </c>
      <c r="FG465" s="94">
        <v>277</v>
      </c>
      <c r="FH465" s="94">
        <v>235</v>
      </c>
      <c r="FI465" s="94">
        <v>258</v>
      </c>
    </row>
    <row r="466" spans="1:165" x14ac:dyDescent="0.35">
      <c r="A466">
        <v>2026</v>
      </c>
      <c r="B466" t="s">
        <v>1553</v>
      </c>
      <c r="C466" s="112" t="s">
        <v>1554</v>
      </c>
      <c r="D466" t="s">
        <v>1618</v>
      </c>
      <c r="E466" t="s">
        <v>1556</v>
      </c>
      <c r="F466">
        <v>62</v>
      </c>
      <c r="G466" s="113">
        <v>0</v>
      </c>
      <c r="I466" t="s">
        <v>1391</v>
      </c>
      <c r="J466">
        <v>40</v>
      </c>
      <c r="K466">
        <v>47</v>
      </c>
      <c r="L466">
        <v>43</v>
      </c>
      <c r="M466">
        <v>28.861499999999999</v>
      </c>
      <c r="N466">
        <v>34.089100000000002</v>
      </c>
      <c r="O466">
        <v>31.213899999999999</v>
      </c>
      <c r="P466">
        <v>39.639899999999997</v>
      </c>
      <c r="Q466">
        <v>46.814300000000003</v>
      </c>
      <c r="R466">
        <v>42.868299999999998</v>
      </c>
      <c r="V466" t="s">
        <v>170</v>
      </c>
      <c r="W466" t="s">
        <v>171</v>
      </c>
      <c r="Y466">
        <v>1</v>
      </c>
      <c r="Z466" t="s">
        <v>173</v>
      </c>
      <c r="AA466" t="s">
        <v>173</v>
      </c>
      <c r="AB466" t="s">
        <v>769</v>
      </c>
      <c r="AC466" t="s">
        <v>770</v>
      </c>
      <c r="AF466">
        <v>258</v>
      </c>
      <c r="AG466" t="s">
        <v>1392</v>
      </c>
      <c r="AH466" t="s">
        <v>1393</v>
      </c>
      <c r="AI466" t="s">
        <v>1399</v>
      </c>
      <c r="AJ466" t="s">
        <v>1400</v>
      </c>
      <c r="AK466">
        <v>4</v>
      </c>
      <c r="AL466" t="s">
        <v>1394</v>
      </c>
      <c r="AS466">
        <v>1100</v>
      </c>
      <c r="AT466">
        <v>1100</v>
      </c>
      <c r="BN466" s="114"/>
      <c r="BQ466">
        <v>33</v>
      </c>
      <c r="BR466" t="s">
        <v>1062</v>
      </c>
      <c r="BT466" t="s">
        <v>1402</v>
      </c>
      <c r="BU466" s="115">
        <v>45792</v>
      </c>
      <c r="BV466">
        <v>36484</v>
      </c>
      <c r="BW466" s="116"/>
      <c r="BY466" t="s">
        <v>173</v>
      </c>
      <c r="CB466" t="s">
        <v>173</v>
      </c>
      <c r="CC466" t="s">
        <v>173</v>
      </c>
      <c r="CK466" t="s">
        <v>259</v>
      </c>
      <c r="CM466">
        <v>1</v>
      </c>
      <c r="CN466" t="s">
        <v>307</v>
      </c>
      <c r="CO466" t="s">
        <v>1557</v>
      </c>
      <c r="CP466">
        <v>403</v>
      </c>
      <c r="CQ466">
        <v>235</v>
      </c>
      <c r="CR466">
        <v>130</v>
      </c>
      <c r="CS466" t="s">
        <v>1437</v>
      </c>
      <c r="CV466" t="s">
        <v>262</v>
      </c>
      <c r="CX466" t="s">
        <v>263</v>
      </c>
      <c r="CY466" t="s">
        <v>172</v>
      </c>
      <c r="DC466" t="s">
        <v>1558</v>
      </c>
      <c r="DD466">
        <v>2</v>
      </c>
      <c r="DE466" t="s">
        <v>307</v>
      </c>
      <c r="DF466" t="s">
        <v>988</v>
      </c>
      <c r="DG466">
        <v>208</v>
      </c>
      <c r="DL466" t="s">
        <v>173</v>
      </c>
      <c r="DM466" t="s">
        <v>172</v>
      </c>
      <c r="DP466" t="s">
        <v>173</v>
      </c>
      <c r="DQ466" t="s">
        <v>189</v>
      </c>
      <c r="DR466" t="s">
        <v>1619</v>
      </c>
      <c r="EA466" s="117"/>
      <c r="EB466">
        <v>9</v>
      </c>
      <c r="EC466">
        <v>10</v>
      </c>
      <c r="EE466" t="s">
        <v>1560</v>
      </c>
      <c r="EF466">
        <v>10</v>
      </c>
      <c r="EU466">
        <v>3000</v>
      </c>
      <c r="EW466">
        <v>0</v>
      </c>
      <c r="EX466">
        <v>0</v>
      </c>
      <c r="EY466">
        <v>0</v>
      </c>
      <c r="FA466">
        <v>9.5</v>
      </c>
      <c r="FG466" s="94">
        <v>277</v>
      </c>
      <c r="FH466" s="94">
        <v>235</v>
      </c>
      <c r="FI466" s="94">
        <v>258</v>
      </c>
    </row>
    <row r="467" spans="1:165" x14ac:dyDescent="0.35">
      <c r="A467" s="19"/>
      <c r="B467" s="19"/>
      <c r="C467" s="19"/>
      <c r="D467" s="19"/>
      <c r="E467" s="19"/>
      <c r="F467" s="128"/>
      <c r="G467" s="19"/>
      <c r="H467" s="19"/>
      <c r="I467" s="19"/>
      <c r="J467" s="19"/>
      <c r="K467" s="19" t="str">
        <f>_xlfn.CONCAT(A468," ",C468," ",D468)</f>
        <v>2026 Rivian R1S Dual Standard (22in)</v>
      </c>
      <c r="L467" s="19"/>
      <c r="M467" s="19"/>
      <c r="N467" s="19"/>
      <c r="O467" s="19"/>
      <c r="P467" s="19"/>
      <c r="Q467" s="19"/>
      <c r="R467" s="19"/>
      <c r="S467" s="19"/>
      <c r="T467" s="19"/>
      <c r="U467" s="19"/>
      <c r="V467" s="19"/>
      <c r="W467" s="19"/>
      <c r="X467" s="19"/>
      <c r="Y467" s="19"/>
      <c r="Z467" s="19"/>
      <c r="AA467" s="19"/>
      <c r="AB467" s="19" t="str">
        <f>$K467</f>
        <v>2026 Rivian R1S Dual Standard (22in)</v>
      </c>
      <c r="AC467" s="19"/>
      <c r="AD467" s="19"/>
      <c r="AE467" s="19"/>
      <c r="AF467" s="19"/>
      <c r="AG467" s="19"/>
      <c r="AH467" s="19"/>
      <c r="AI467" s="19"/>
      <c r="AJ467" s="19"/>
      <c r="AK467" s="19"/>
      <c r="AL467" s="19"/>
      <c r="AM467" s="19"/>
      <c r="AN467" s="19"/>
      <c r="AO467" s="19"/>
      <c r="AP467" s="19"/>
      <c r="AQ467" s="19"/>
      <c r="AR467" s="19" t="str">
        <f>$K467</f>
        <v>2026 Rivian R1S Dual Standard (22in)</v>
      </c>
      <c r="AS467" s="19"/>
      <c r="AT467" s="19"/>
      <c r="AU467" s="19"/>
      <c r="AV467" s="19"/>
      <c r="AW467" s="19"/>
      <c r="AX467" s="19"/>
      <c r="AY467" s="19"/>
      <c r="AZ467" s="19"/>
      <c r="BA467" s="19"/>
      <c r="BB467" s="19"/>
      <c r="BC467" s="19"/>
      <c r="BD467" s="19"/>
      <c r="BE467" s="19"/>
      <c r="BF467" s="19"/>
      <c r="BG467" s="19" t="str">
        <f>$K467</f>
        <v>2026 Rivian R1S Dual Standard (22in)</v>
      </c>
      <c r="BH467" s="19"/>
      <c r="BI467" s="19"/>
      <c r="BJ467" s="19"/>
      <c r="BK467" s="19"/>
      <c r="BL467" s="19"/>
      <c r="BM467" s="129"/>
      <c r="BN467" s="19"/>
      <c r="BO467" s="19"/>
      <c r="BP467" s="19"/>
      <c r="BQ467" s="19"/>
      <c r="BR467" s="19"/>
      <c r="BS467" s="19"/>
      <c r="BT467" s="130"/>
      <c r="BU467" s="19"/>
      <c r="BV467" s="19"/>
      <c r="BW467" s="116"/>
      <c r="BX467" s="19"/>
      <c r="BY467" s="19"/>
      <c r="BZ467" s="19"/>
      <c r="CA467" s="19"/>
      <c r="CB467" s="19"/>
      <c r="CC467" s="19"/>
      <c r="CD467" s="19"/>
      <c r="CE467" s="19"/>
      <c r="CF467" s="19"/>
      <c r="CG467" s="19"/>
      <c r="CH467" s="19"/>
      <c r="CI467" s="19"/>
      <c r="CJ467" s="19"/>
      <c r="CK467" s="19"/>
      <c r="CL467" s="19"/>
      <c r="CM467" s="19" t="str">
        <f>$K467</f>
        <v>2026 Rivian R1S Dual Standard (22in)</v>
      </c>
      <c r="CN467" s="19"/>
      <c r="CO467" s="19"/>
      <c r="CP467" s="19"/>
      <c r="CQ467" s="19"/>
      <c r="CR467" s="19"/>
      <c r="CS467" s="19"/>
      <c r="CT467" s="19"/>
      <c r="CU467" s="19"/>
      <c r="CV467" s="19"/>
      <c r="CW467" s="19"/>
      <c r="CX467" s="19"/>
      <c r="CY467" s="19"/>
      <c r="CZ467" s="19"/>
      <c r="DA467" s="19"/>
      <c r="DB467" s="19"/>
      <c r="DC467" s="19"/>
      <c r="DD467" s="19" t="str">
        <f>$K467</f>
        <v>2026 Rivian R1S Dual Standard (22in)</v>
      </c>
      <c r="DE467" s="19"/>
      <c r="DF467" s="19"/>
      <c r="DG467" s="19"/>
      <c r="DH467" s="19"/>
      <c r="DI467" s="19"/>
      <c r="DJ467" s="19"/>
      <c r="DK467" s="19"/>
      <c r="DL467" s="19"/>
      <c r="DM467" s="19"/>
      <c r="DN467" s="19"/>
      <c r="DO467" s="19"/>
      <c r="DP467" s="19"/>
      <c r="DQ467" s="19"/>
      <c r="DR467" s="19"/>
      <c r="DS467" s="19"/>
      <c r="DT467" s="19"/>
      <c r="DU467" s="19" t="str">
        <f>$K467</f>
        <v>2026 Rivian R1S Dual Standard (22in)</v>
      </c>
      <c r="DV467" s="19"/>
      <c r="DW467" s="19"/>
      <c r="DX467" s="19"/>
      <c r="DY467" s="19"/>
      <c r="DZ467" s="19"/>
      <c r="EA467" s="117"/>
      <c r="EB467" s="19"/>
      <c r="EC467" s="19"/>
      <c r="ED467" s="19"/>
      <c r="EE467" s="19"/>
      <c r="EF467" s="19"/>
      <c r="EX467" s="19" t="s">
        <v>2074</v>
      </c>
    </row>
    <row r="468" spans="1:165" x14ac:dyDescent="0.35">
      <c r="A468">
        <v>2026</v>
      </c>
      <c r="B468" t="s">
        <v>1553</v>
      </c>
      <c r="C468" s="112" t="s">
        <v>1554</v>
      </c>
      <c r="D468" t="s">
        <v>1616</v>
      </c>
      <c r="E468" t="s">
        <v>1556</v>
      </c>
      <c r="F468">
        <v>60</v>
      </c>
      <c r="G468" s="113">
        <v>0</v>
      </c>
      <c r="I468" t="s">
        <v>1391</v>
      </c>
      <c r="J468">
        <v>92</v>
      </c>
      <c r="K468">
        <v>77</v>
      </c>
      <c r="L468">
        <v>85</v>
      </c>
      <c r="M468">
        <v>127.7</v>
      </c>
      <c r="N468">
        <v>107.1</v>
      </c>
      <c r="O468">
        <v>117.5275</v>
      </c>
      <c r="P468">
        <v>91.818899999999999</v>
      </c>
      <c r="Q468">
        <v>77.007000000000005</v>
      </c>
      <c r="R468">
        <v>84.504599999999996</v>
      </c>
      <c r="V468" t="s">
        <v>170</v>
      </c>
      <c r="W468" t="s">
        <v>171</v>
      </c>
      <c r="Y468">
        <v>1</v>
      </c>
      <c r="Z468" t="s">
        <v>173</v>
      </c>
      <c r="AA468" t="s">
        <v>173</v>
      </c>
      <c r="AB468" t="s">
        <v>769</v>
      </c>
      <c r="AC468" t="s">
        <v>770</v>
      </c>
      <c r="AF468">
        <v>270</v>
      </c>
      <c r="AG468" t="s">
        <v>1392</v>
      </c>
      <c r="AH468" t="s">
        <v>1393</v>
      </c>
      <c r="AI468" t="s">
        <v>178</v>
      </c>
      <c r="AJ468" t="s">
        <v>179</v>
      </c>
      <c r="AK468">
        <v>4</v>
      </c>
      <c r="AL468" t="s">
        <v>1394</v>
      </c>
      <c r="AS468">
        <v>1000</v>
      </c>
      <c r="AT468">
        <v>1000</v>
      </c>
      <c r="BN468" s="114"/>
      <c r="BQ468">
        <v>33</v>
      </c>
      <c r="BR468" t="s">
        <v>1062</v>
      </c>
      <c r="BT468" t="s">
        <v>1402</v>
      </c>
      <c r="BU468" s="115">
        <v>45792</v>
      </c>
      <c r="BV468">
        <v>36485</v>
      </c>
      <c r="BW468" s="116"/>
      <c r="BY468" t="s">
        <v>173</v>
      </c>
      <c r="CB468" t="s">
        <v>173</v>
      </c>
      <c r="CC468" t="s">
        <v>173</v>
      </c>
      <c r="CK468" t="s">
        <v>259</v>
      </c>
      <c r="CM468">
        <v>1</v>
      </c>
      <c r="CN468" t="s">
        <v>307</v>
      </c>
      <c r="CO468" t="s">
        <v>1557</v>
      </c>
      <c r="CP468">
        <v>403</v>
      </c>
      <c r="CQ468">
        <v>235</v>
      </c>
      <c r="CR468">
        <v>130</v>
      </c>
      <c r="CS468" t="s">
        <v>1437</v>
      </c>
      <c r="CV468" t="s">
        <v>262</v>
      </c>
      <c r="CX468" t="s">
        <v>263</v>
      </c>
      <c r="CY468" t="s">
        <v>172</v>
      </c>
      <c r="DC468" t="s">
        <v>1558</v>
      </c>
      <c r="DD468">
        <v>2</v>
      </c>
      <c r="DE468" t="s">
        <v>307</v>
      </c>
      <c r="DF468" t="s">
        <v>988</v>
      </c>
      <c r="DG468">
        <v>208</v>
      </c>
      <c r="DL468" t="s">
        <v>173</v>
      </c>
      <c r="DM468" t="s">
        <v>172</v>
      </c>
      <c r="DP468" t="s">
        <v>173</v>
      </c>
      <c r="DQ468" t="s">
        <v>189</v>
      </c>
      <c r="DR468" t="s">
        <v>1617</v>
      </c>
      <c r="EA468" s="117"/>
      <c r="EB468">
        <v>9</v>
      </c>
      <c r="EC468">
        <v>10</v>
      </c>
      <c r="EE468" t="s">
        <v>1560</v>
      </c>
      <c r="EF468">
        <v>10</v>
      </c>
      <c r="EU468">
        <v>3500</v>
      </c>
      <c r="EW468">
        <v>0</v>
      </c>
      <c r="EX468">
        <v>0</v>
      </c>
      <c r="EY468">
        <v>0</v>
      </c>
      <c r="FA468">
        <v>9.5</v>
      </c>
      <c r="FG468" s="94">
        <v>291</v>
      </c>
      <c r="FH468" s="94">
        <v>244</v>
      </c>
      <c r="FI468" s="94">
        <v>270</v>
      </c>
    </row>
    <row r="469" spans="1:165" x14ac:dyDescent="0.35">
      <c r="A469">
        <v>2026</v>
      </c>
      <c r="B469" t="s">
        <v>1553</v>
      </c>
      <c r="C469" s="112" t="s">
        <v>1554</v>
      </c>
      <c r="D469" t="s">
        <v>1616</v>
      </c>
      <c r="E469" t="s">
        <v>1556</v>
      </c>
      <c r="F469">
        <v>60</v>
      </c>
      <c r="G469" s="113">
        <v>0</v>
      </c>
      <c r="I469" t="s">
        <v>1391</v>
      </c>
      <c r="J469">
        <v>37</v>
      </c>
      <c r="K469">
        <v>44</v>
      </c>
      <c r="L469">
        <v>40</v>
      </c>
      <c r="M469">
        <v>26.3842</v>
      </c>
      <c r="N469">
        <v>31.461099999999998</v>
      </c>
      <c r="O469">
        <v>28.668800000000001</v>
      </c>
      <c r="P469">
        <v>36.708100000000002</v>
      </c>
      <c r="Q469">
        <v>43.768700000000003</v>
      </c>
      <c r="R469">
        <v>39.885399999999997</v>
      </c>
      <c r="V469" t="s">
        <v>170</v>
      </c>
      <c r="W469" t="s">
        <v>171</v>
      </c>
      <c r="Y469">
        <v>1</v>
      </c>
      <c r="Z469" t="s">
        <v>173</v>
      </c>
      <c r="AA469" t="s">
        <v>173</v>
      </c>
      <c r="AB469" t="s">
        <v>769</v>
      </c>
      <c r="AC469" t="s">
        <v>770</v>
      </c>
      <c r="AF469">
        <v>270</v>
      </c>
      <c r="AG469" t="s">
        <v>1392</v>
      </c>
      <c r="AH469" t="s">
        <v>1393</v>
      </c>
      <c r="AI469" t="s">
        <v>1399</v>
      </c>
      <c r="AJ469" t="s">
        <v>1400</v>
      </c>
      <c r="AK469">
        <v>4</v>
      </c>
      <c r="AL469" t="s">
        <v>1394</v>
      </c>
      <c r="AS469">
        <v>1000</v>
      </c>
      <c r="AT469">
        <v>1000</v>
      </c>
      <c r="BN469" s="114"/>
      <c r="BQ469">
        <v>33</v>
      </c>
      <c r="BR469" t="s">
        <v>1062</v>
      </c>
      <c r="BT469" t="s">
        <v>1402</v>
      </c>
      <c r="BU469" s="115">
        <v>45792</v>
      </c>
      <c r="BV469">
        <v>36485</v>
      </c>
      <c r="BW469" s="116"/>
      <c r="BY469" t="s">
        <v>173</v>
      </c>
      <c r="CB469" t="s">
        <v>173</v>
      </c>
      <c r="CC469" t="s">
        <v>173</v>
      </c>
      <c r="CK469" t="s">
        <v>259</v>
      </c>
      <c r="CM469">
        <v>1</v>
      </c>
      <c r="CN469" t="s">
        <v>307</v>
      </c>
      <c r="CO469" t="s">
        <v>1557</v>
      </c>
      <c r="CP469">
        <v>403</v>
      </c>
      <c r="CQ469">
        <v>235</v>
      </c>
      <c r="CR469">
        <v>130</v>
      </c>
      <c r="CS469" t="s">
        <v>1437</v>
      </c>
      <c r="CV469" t="s">
        <v>262</v>
      </c>
      <c r="CX469" t="s">
        <v>263</v>
      </c>
      <c r="CY469" t="s">
        <v>172</v>
      </c>
      <c r="DC469" t="s">
        <v>1558</v>
      </c>
      <c r="DD469">
        <v>2</v>
      </c>
      <c r="DE469" t="s">
        <v>307</v>
      </c>
      <c r="DF469" t="s">
        <v>988</v>
      </c>
      <c r="DG469">
        <v>208</v>
      </c>
      <c r="DL469" t="s">
        <v>173</v>
      </c>
      <c r="DM469" t="s">
        <v>172</v>
      </c>
      <c r="DP469" t="s">
        <v>173</v>
      </c>
      <c r="DQ469" t="s">
        <v>189</v>
      </c>
      <c r="DR469" t="s">
        <v>1617</v>
      </c>
      <c r="EA469" s="117"/>
      <c r="EB469">
        <v>9</v>
      </c>
      <c r="EC469">
        <v>10</v>
      </c>
      <c r="EE469" t="s">
        <v>1560</v>
      </c>
      <c r="EF469">
        <v>10</v>
      </c>
      <c r="EU469">
        <v>3500</v>
      </c>
      <c r="EW469">
        <v>0</v>
      </c>
      <c r="EX469">
        <v>0</v>
      </c>
      <c r="EY469">
        <v>0</v>
      </c>
      <c r="FA469">
        <v>9.5</v>
      </c>
      <c r="FG469" s="94">
        <v>291</v>
      </c>
      <c r="FH469" s="94">
        <v>244</v>
      </c>
      <c r="FI469" s="94">
        <v>270</v>
      </c>
    </row>
    <row r="470" spans="1:165" x14ac:dyDescent="0.35">
      <c r="A470" s="19"/>
      <c r="B470" s="19"/>
      <c r="C470" s="19"/>
      <c r="D470" s="19"/>
      <c r="E470" s="19"/>
      <c r="F470" s="128"/>
      <c r="G470" s="19"/>
      <c r="H470" s="19"/>
      <c r="I470" s="19"/>
      <c r="J470" s="19"/>
      <c r="K470" s="19" t="str">
        <f>_xlfn.CONCAT(A471," ",C471," ",D471)</f>
        <v>2026 Rivian R1S Performance Dual Large (20in)</v>
      </c>
      <c r="L470" s="19"/>
      <c r="M470" s="19"/>
      <c r="N470" s="19"/>
      <c r="O470" s="19"/>
      <c r="P470" s="19"/>
      <c r="Q470" s="19"/>
      <c r="R470" s="19"/>
      <c r="S470" s="19"/>
      <c r="T470" s="19"/>
      <c r="U470" s="19"/>
      <c r="V470" s="19"/>
      <c r="W470" s="19"/>
      <c r="X470" s="19"/>
      <c r="Y470" s="19"/>
      <c r="Z470" s="19"/>
      <c r="AA470" s="19"/>
      <c r="AB470" s="19" t="str">
        <f>$K470</f>
        <v>2026 Rivian R1S Performance Dual Large (20in)</v>
      </c>
      <c r="AC470" s="19"/>
      <c r="AD470" s="19"/>
      <c r="AE470" s="19"/>
      <c r="AF470" s="19"/>
      <c r="AG470" s="19"/>
      <c r="AH470" s="19"/>
      <c r="AI470" s="19"/>
      <c r="AJ470" s="19"/>
      <c r="AK470" s="19"/>
      <c r="AL470" s="19"/>
      <c r="AM470" s="19"/>
      <c r="AN470" s="19"/>
      <c r="AO470" s="19"/>
      <c r="AP470" s="19"/>
      <c r="AQ470" s="19"/>
      <c r="AR470" s="19" t="str">
        <f>$K470</f>
        <v>2026 Rivian R1S Performance Dual Large (20in)</v>
      </c>
      <c r="AS470" s="19"/>
      <c r="AT470" s="19"/>
      <c r="AU470" s="19"/>
      <c r="AV470" s="19"/>
      <c r="AW470" s="19"/>
      <c r="AX470" s="19"/>
      <c r="AY470" s="19"/>
      <c r="AZ470" s="19"/>
      <c r="BA470" s="19"/>
      <c r="BB470" s="19"/>
      <c r="BC470" s="19"/>
      <c r="BD470" s="19"/>
      <c r="BE470" s="19"/>
      <c r="BF470" s="19"/>
      <c r="BG470" s="19" t="str">
        <f>$K470</f>
        <v>2026 Rivian R1S Performance Dual Large (20in)</v>
      </c>
      <c r="BH470" s="19"/>
      <c r="BI470" s="19"/>
      <c r="BJ470" s="19"/>
      <c r="BK470" s="19"/>
      <c r="BL470" s="19"/>
      <c r="BM470" s="129"/>
      <c r="BN470" s="19"/>
      <c r="BO470" s="19"/>
      <c r="BP470" s="19"/>
      <c r="BQ470" s="19"/>
      <c r="BR470" s="19"/>
      <c r="BS470" s="19"/>
      <c r="BT470" s="130"/>
      <c r="BU470" s="19"/>
      <c r="BV470" s="19"/>
      <c r="BW470" s="116"/>
      <c r="BX470" s="19"/>
      <c r="BY470" s="19"/>
      <c r="BZ470" s="19"/>
      <c r="CA470" s="19"/>
      <c r="CB470" s="19"/>
      <c r="CC470" s="19"/>
      <c r="CD470" s="19"/>
      <c r="CE470" s="19"/>
      <c r="CF470" s="19"/>
      <c r="CG470" s="19"/>
      <c r="CH470" s="19"/>
      <c r="CI470" s="19"/>
      <c r="CJ470" s="19"/>
      <c r="CK470" s="19"/>
      <c r="CL470" s="19"/>
      <c r="CM470" s="19" t="str">
        <f>$K470</f>
        <v>2026 Rivian R1S Performance Dual Large (20in)</v>
      </c>
      <c r="CN470" s="19"/>
      <c r="CO470" s="19"/>
      <c r="CP470" s="19"/>
      <c r="CQ470" s="19"/>
      <c r="CR470" s="19"/>
      <c r="CS470" s="19"/>
      <c r="CT470" s="19"/>
      <c r="CU470" s="19"/>
      <c r="CV470" s="19"/>
      <c r="CW470" s="19"/>
      <c r="CX470" s="19"/>
      <c r="CY470" s="19"/>
      <c r="CZ470" s="19"/>
      <c r="DA470" s="19"/>
      <c r="DB470" s="19"/>
      <c r="DC470" s="19"/>
      <c r="DD470" s="19" t="str">
        <f>$K470</f>
        <v>2026 Rivian R1S Performance Dual Large (20in)</v>
      </c>
      <c r="DE470" s="19"/>
      <c r="DF470" s="19"/>
      <c r="DG470" s="19"/>
      <c r="DH470" s="19"/>
      <c r="DI470" s="19"/>
      <c r="DJ470" s="19"/>
      <c r="DK470" s="19"/>
      <c r="DL470" s="19"/>
      <c r="DM470" s="19"/>
      <c r="DN470" s="19"/>
      <c r="DO470" s="19"/>
      <c r="DP470" s="19"/>
      <c r="DQ470" s="19"/>
      <c r="DR470" s="19"/>
      <c r="DS470" s="19"/>
      <c r="DT470" s="19"/>
      <c r="DU470" s="19" t="str">
        <f>$K470</f>
        <v>2026 Rivian R1S Performance Dual Large (20in)</v>
      </c>
      <c r="DV470" s="19"/>
      <c r="DW470" s="19"/>
      <c r="DX470" s="19"/>
      <c r="DY470" s="19"/>
      <c r="DZ470" s="19"/>
      <c r="EA470" s="117"/>
      <c r="EB470" s="19"/>
      <c r="EC470" s="19"/>
      <c r="ED470" s="19"/>
      <c r="EE470" s="19"/>
      <c r="EF470" s="19"/>
      <c r="EX470" s="19" t="s">
        <v>2075</v>
      </c>
    </row>
    <row r="471" spans="1:165" x14ac:dyDescent="0.35">
      <c r="A471">
        <v>2026</v>
      </c>
      <c r="B471" t="s">
        <v>1553</v>
      </c>
      <c r="C471" s="112" t="s">
        <v>1554</v>
      </c>
      <c r="D471" t="s">
        <v>1656</v>
      </c>
      <c r="E471" t="s">
        <v>1556</v>
      </c>
      <c r="F471">
        <v>100</v>
      </c>
      <c r="G471" s="113">
        <v>0</v>
      </c>
      <c r="I471" t="s">
        <v>1391</v>
      </c>
      <c r="J471">
        <v>85</v>
      </c>
      <c r="K471">
        <v>72</v>
      </c>
      <c r="L471">
        <v>79</v>
      </c>
      <c r="M471">
        <v>121</v>
      </c>
      <c r="N471">
        <v>103</v>
      </c>
      <c r="O471">
        <v>112.3134</v>
      </c>
      <c r="P471">
        <v>84.98</v>
      </c>
      <c r="Q471">
        <v>72.03</v>
      </c>
      <c r="R471">
        <v>78.619399999999999</v>
      </c>
      <c r="V471" t="s">
        <v>170</v>
      </c>
      <c r="W471" t="s">
        <v>171</v>
      </c>
      <c r="Y471">
        <v>1</v>
      </c>
      <c r="Z471" t="s">
        <v>173</v>
      </c>
      <c r="AA471" t="s">
        <v>173</v>
      </c>
      <c r="AB471">
        <v>4</v>
      </c>
      <c r="AC471" t="s">
        <v>423</v>
      </c>
      <c r="AF471">
        <v>300</v>
      </c>
      <c r="AG471" t="s">
        <v>1392</v>
      </c>
      <c r="AH471" t="s">
        <v>1393</v>
      </c>
      <c r="AI471" t="s">
        <v>178</v>
      </c>
      <c r="AJ471" t="s">
        <v>179</v>
      </c>
      <c r="AK471">
        <v>4</v>
      </c>
      <c r="AL471" t="s">
        <v>1394</v>
      </c>
      <c r="AS471">
        <v>1100</v>
      </c>
      <c r="AT471">
        <v>1100</v>
      </c>
      <c r="BN471" s="114"/>
      <c r="BQ471">
        <v>33</v>
      </c>
      <c r="BR471" t="s">
        <v>1062</v>
      </c>
      <c r="BT471" t="s">
        <v>1402</v>
      </c>
      <c r="BU471" s="115">
        <v>45792</v>
      </c>
      <c r="BV471">
        <v>36522</v>
      </c>
      <c r="BW471" s="116"/>
      <c r="BY471" t="s">
        <v>173</v>
      </c>
      <c r="CB471" t="s">
        <v>173</v>
      </c>
      <c r="CC471" t="s">
        <v>173</v>
      </c>
      <c r="CK471" t="s">
        <v>259</v>
      </c>
      <c r="CM471">
        <v>1</v>
      </c>
      <c r="CN471" t="s">
        <v>260</v>
      </c>
      <c r="CP471">
        <v>406</v>
      </c>
      <c r="CQ471">
        <v>286</v>
      </c>
      <c r="CR471">
        <v>273</v>
      </c>
      <c r="CS471" t="s">
        <v>1437</v>
      </c>
      <c r="CV471" t="s">
        <v>262</v>
      </c>
      <c r="CX471" t="s">
        <v>263</v>
      </c>
      <c r="CY471" t="s">
        <v>172</v>
      </c>
      <c r="DC471" t="s">
        <v>1596</v>
      </c>
      <c r="DD471">
        <v>2</v>
      </c>
      <c r="DE471" t="s">
        <v>307</v>
      </c>
      <c r="DF471" t="s">
        <v>988</v>
      </c>
      <c r="DG471">
        <v>264</v>
      </c>
      <c r="DL471" t="s">
        <v>173</v>
      </c>
      <c r="DM471" t="s">
        <v>172</v>
      </c>
      <c r="DP471" t="s">
        <v>173</v>
      </c>
      <c r="DQ471" t="s">
        <v>189</v>
      </c>
      <c r="DR471" t="s">
        <v>1657</v>
      </c>
      <c r="EA471" s="117"/>
      <c r="EB471">
        <v>9</v>
      </c>
      <c r="EC471">
        <v>10</v>
      </c>
      <c r="EE471" t="s">
        <v>1598</v>
      </c>
      <c r="EF471">
        <v>10</v>
      </c>
      <c r="EU471">
        <v>3000</v>
      </c>
      <c r="EW471">
        <v>0</v>
      </c>
      <c r="EX471">
        <v>0</v>
      </c>
      <c r="EY471">
        <v>0</v>
      </c>
      <c r="FA471">
        <v>12</v>
      </c>
      <c r="FG471" s="94">
        <v>322</v>
      </c>
      <c r="FH471" s="94">
        <v>273</v>
      </c>
      <c r="FI471" s="94">
        <v>300</v>
      </c>
    </row>
    <row r="472" spans="1:165" x14ac:dyDescent="0.35">
      <c r="A472">
        <v>2026</v>
      </c>
      <c r="B472" t="s">
        <v>1553</v>
      </c>
      <c r="C472" s="112" t="s">
        <v>1554</v>
      </c>
      <c r="D472" t="s">
        <v>1656</v>
      </c>
      <c r="E472" t="s">
        <v>1556</v>
      </c>
      <c r="F472">
        <v>100</v>
      </c>
      <c r="G472" s="113">
        <v>0</v>
      </c>
      <c r="I472" t="s">
        <v>1391</v>
      </c>
      <c r="J472">
        <v>40</v>
      </c>
      <c r="K472">
        <v>47</v>
      </c>
      <c r="L472">
        <v>43</v>
      </c>
      <c r="M472">
        <v>27.772099999999998</v>
      </c>
      <c r="N472">
        <v>32.760199999999998</v>
      </c>
      <c r="O472">
        <v>30.0167</v>
      </c>
      <c r="P472">
        <v>39.662300000000002</v>
      </c>
      <c r="Q472">
        <v>46.792999999999999</v>
      </c>
      <c r="R472">
        <v>42.871099999999998</v>
      </c>
      <c r="V472" t="s">
        <v>170</v>
      </c>
      <c r="W472" t="s">
        <v>171</v>
      </c>
      <c r="Y472">
        <v>1</v>
      </c>
      <c r="Z472" t="s">
        <v>173</v>
      </c>
      <c r="AA472" t="s">
        <v>173</v>
      </c>
      <c r="AB472">
        <v>4</v>
      </c>
      <c r="AC472" t="s">
        <v>423</v>
      </c>
      <c r="AF472">
        <v>300</v>
      </c>
      <c r="AG472" t="s">
        <v>1392</v>
      </c>
      <c r="AH472" t="s">
        <v>1393</v>
      </c>
      <c r="AI472" t="s">
        <v>1399</v>
      </c>
      <c r="AJ472" t="s">
        <v>1400</v>
      </c>
      <c r="AK472">
        <v>4</v>
      </c>
      <c r="AL472" t="s">
        <v>1394</v>
      </c>
      <c r="AS472">
        <v>1100</v>
      </c>
      <c r="AT472">
        <v>1100</v>
      </c>
      <c r="BN472" s="114"/>
      <c r="BQ472">
        <v>33</v>
      </c>
      <c r="BR472" t="s">
        <v>1062</v>
      </c>
      <c r="BT472" t="s">
        <v>1402</v>
      </c>
      <c r="BU472" s="115">
        <v>45792</v>
      </c>
      <c r="BV472">
        <v>36522</v>
      </c>
      <c r="BW472" s="116"/>
      <c r="BY472" t="s">
        <v>173</v>
      </c>
      <c r="CB472" t="s">
        <v>173</v>
      </c>
      <c r="CC472" t="s">
        <v>173</v>
      </c>
      <c r="CK472" t="s">
        <v>259</v>
      </c>
      <c r="CM472">
        <v>1</v>
      </c>
      <c r="CN472" t="s">
        <v>260</v>
      </c>
      <c r="CP472">
        <v>406</v>
      </c>
      <c r="CQ472">
        <v>286</v>
      </c>
      <c r="CR472">
        <v>273</v>
      </c>
      <c r="CS472" t="s">
        <v>1437</v>
      </c>
      <c r="CV472" t="s">
        <v>262</v>
      </c>
      <c r="CX472" t="s">
        <v>263</v>
      </c>
      <c r="CY472" t="s">
        <v>172</v>
      </c>
      <c r="DC472" t="s">
        <v>1596</v>
      </c>
      <c r="DD472">
        <v>2</v>
      </c>
      <c r="DE472" t="s">
        <v>307</v>
      </c>
      <c r="DF472" t="s">
        <v>988</v>
      </c>
      <c r="DG472">
        <v>264</v>
      </c>
      <c r="DL472" t="s">
        <v>173</v>
      </c>
      <c r="DM472" t="s">
        <v>172</v>
      </c>
      <c r="DP472" t="s">
        <v>173</v>
      </c>
      <c r="DQ472" t="s">
        <v>189</v>
      </c>
      <c r="DR472" t="s">
        <v>1657</v>
      </c>
      <c r="EA472" s="117"/>
      <c r="EB472">
        <v>9</v>
      </c>
      <c r="EC472">
        <v>10</v>
      </c>
      <c r="EE472" t="s">
        <v>1598</v>
      </c>
      <c r="EF472">
        <v>10</v>
      </c>
      <c r="EU472">
        <v>3000</v>
      </c>
      <c r="EW472">
        <v>0</v>
      </c>
      <c r="EX472">
        <v>0</v>
      </c>
      <c r="EY472">
        <v>0</v>
      </c>
      <c r="FA472">
        <v>12</v>
      </c>
      <c r="FG472" s="94">
        <v>322</v>
      </c>
      <c r="FH472" s="94">
        <v>273</v>
      </c>
      <c r="FI472" s="94">
        <v>300</v>
      </c>
    </row>
    <row r="473" spans="1:165" x14ac:dyDescent="0.35">
      <c r="A473" s="19"/>
      <c r="B473" s="19"/>
      <c r="C473" s="19"/>
      <c r="D473" s="19"/>
      <c r="E473" s="19"/>
      <c r="F473" s="128"/>
      <c r="G473" s="19"/>
      <c r="H473" s="19"/>
      <c r="I473" s="19"/>
      <c r="J473" s="19"/>
      <c r="K473" s="19" t="str">
        <f>_xlfn.CONCAT(A474," ",C474," ",D474)</f>
        <v>2026 Rivian R1S Performance Dual Large (22in)</v>
      </c>
      <c r="L473" s="19"/>
      <c r="M473" s="19"/>
      <c r="N473" s="19"/>
      <c r="O473" s="19"/>
      <c r="P473" s="19"/>
      <c r="Q473" s="19"/>
      <c r="R473" s="19"/>
      <c r="S473" s="19"/>
      <c r="T473" s="19"/>
      <c r="U473" s="19"/>
      <c r="V473" s="19"/>
      <c r="W473" s="19"/>
      <c r="X473" s="19"/>
      <c r="Y473" s="19"/>
      <c r="Z473" s="19"/>
      <c r="AA473" s="19"/>
      <c r="AB473" s="19" t="str">
        <f>$K473</f>
        <v>2026 Rivian R1S Performance Dual Large (22in)</v>
      </c>
      <c r="AC473" s="19"/>
      <c r="AD473" s="19"/>
      <c r="AE473" s="19"/>
      <c r="AF473" s="19"/>
      <c r="AG473" s="19"/>
      <c r="AH473" s="19"/>
      <c r="AI473" s="19"/>
      <c r="AJ473" s="19"/>
      <c r="AK473" s="19"/>
      <c r="AL473" s="19"/>
      <c r="AM473" s="19"/>
      <c r="AN473" s="19"/>
      <c r="AO473" s="19"/>
      <c r="AP473" s="19"/>
      <c r="AQ473" s="19"/>
      <c r="AR473" s="19" t="str">
        <f>$K473</f>
        <v>2026 Rivian R1S Performance Dual Large (22in)</v>
      </c>
      <c r="AS473" s="19"/>
      <c r="AT473" s="19"/>
      <c r="AU473" s="19"/>
      <c r="AV473" s="19"/>
      <c r="AW473" s="19"/>
      <c r="AX473" s="19"/>
      <c r="AY473" s="19"/>
      <c r="AZ473" s="19"/>
      <c r="BA473" s="19"/>
      <c r="BB473" s="19"/>
      <c r="BC473" s="19"/>
      <c r="BD473" s="19"/>
      <c r="BE473" s="19"/>
      <c r="BF473" s="19"/>
      <c r="BG473" s="19" t="str">
        <f>$K473</f>
        <v>2026 Rivian R1S Performance Dual Large (22in)</v>
      </c>
      <c r="BH473" s="19"/>
      <c r="BI473" s="19"/>
      <c r="BJ473" s="19"/>
      <c r="BK473" s="19"/>
      <c r="BL473" s="19"/>
      <c r="BM473" s="129"/>
      <c r="BN473" s="19"/>
      <c r="BO473" s="19"/>
      <c r="BP473" s="19"/>
      <c r="BQ473" s="19"/>
      <c r="BR473" s="19"/>
      <c r="BS473" s="19"/>
      <c r="BT473" s="130"/>
      <c r="BU473" s="19"/>
      <c r="BV473" s="19"/>
      <c r="BW473" s="116"/>
      <c r="BX473" s="19"/>
      <c r="BY473" s="19"/>
      <c r="BZ473" s="19"/>
      <c r="CA473" s="19"/>
      <c r="CB473" s="19"/>
      <c r="CC473" s="19"/>
      <c r="CD473" s="19"/>
      <c r="CE473" s="19"/>
      <c r="CF473" s="19"/>
      <c r="CG473" s="19"/>
      <c r="CH473" s="19"/>
      <c r="CI473" s="19"/>
      <c r="CJ473" s="19"/>
      <c r="CK473" s="19"/>
      <c r="CL473" s="19"/>
      <c r="CM473" s="19" t="str">
        <f>$K473</f>
        <v>2026 Rivian R1S Performance Dual Large (22in)</v>
      </c>
      <c r="CN473" s="19"/>
      <c r="CO473" s="19"/>
      <c r="CP473" s="19"/>
      <c r="CQ473" s="19"/>
      <c r="CR473" s="19"/>
      <c r="CS473" s="19"/>
      <c r="CT473" s="19"/>
      <c r="CU473" s="19"/>
      <c r="CV473" s="19"/>
      <c r="CW473" s="19"/>
      <c r="CX473" s="19"/>
      <c r="CY473" s="19"/>
      <c r="CZ473" s="19"/>
      <c r="DA473" s="19"/>
      <c r="DB473" s="19"/>
      <c r="DC473" s="19"/>
      <c r="DD473" s="19" t="str">
        <f>$K473</f>
        <v>2026 Rivian R1S Performance Dual Large (22in)</v>
      </c>
      <c r="DE473" s="19"/>
      <c r="DF473" s="19"/>
      <c r="DG473" s="19"/>
      <c r="DH473" s="19"/>
      <c r="DI473" s="19"/>
      <c r="DJ473" s="19"/>
      <c r="DK473" s="19"/>
      <c r="DL473" s="19"/>
      <c r="DM473" s="19"/>
      <c r="DN473" s="19"/>
      <c r="DO473" s="19"/>
      <c r="DP473" s="19"/>
      <c r="DQ473" s="19"/>
      <c r="DR473" s="19"/>
      <c r="DS473" s="19"/>
      <c r="DT473" s="19"/>
      <c r="DU473" s="19" t="str">
        <f>$K473</f>
        <v>2026 Rivian R1S Performance Dual Large (22in)</v>
      </c>
      <c r="DV473" s="19"/>
      <c r="DW473" s="19"/>
      <c r="DX473" s="19"/>
      <c r="DY473" s="19"/>
      <c r="DZ473" s="19"/>
      <c r="EA473" s="117"/>
      <c r="EB473" s="19"/>
      <c r="EC473" s="19"/>
      <c r="ED473" s="19"/>
      <c r="EE473" s="19"/>
      <c r="EF473" s="19"/>
      <c r="EX473" s="19" t="s">
        <v>2076</v>
      </c>
    </row>
    <row r="474" spans="1:165" x14ac:dyDescent="0.35">
      <c r="A474">
        <v>2026</v>
      </c>
      <c r="B474" t="s">
        <v>1553</v>
      </c>
      <c r="C474" s="112" t="s">
        <v>1554</v>
      </c>
      <c r="D474" t="s">
        <v>1654</v>
      </c>
      <c r="E474" t="s">
        <v>1556</v>
      </c>
      <c r="F474">
        <v>98</v>
      </c>
      <c r="G474" s="113">
        <v>0</v>
      </c>
      <c r="I474" t="s">
        <v>1391</v>
      </c>
      <c r="J474">
        <v>94</v>
      </c>
      <c r="K474">
        <v>77</v>
      </c>
      <c r="L474">
        <v>85</v>
      </c>
      <c r="M474">
        <v>133</v>
      </c>
      <c r="N474">
        <v>109</v>
      </c>
      <c r="O474">
        <v>121.101</v>
      </c>
      <c r="P474">
        <v>93.919300000000007</v>
      </c>
      <c r="Q474">
        <v>76.855900000000005</v>
      </c>
      <c r="R474">
        <v>85.388300000000001</v>
      </c>
      <c r="V474" t="s">
        <v>170</v>
      </c>
      <c r="W474" t="s">
        <v>171</v>
      </c>
      <c r="Y474">
        <v>1</v>
      </c>
      <c r="Z474" t="s">
        <v>173</v>
      </c>
      <c r="AA474" t="s">
        <v>173</v>
      </c>
      <c r="AB474">
        <v>4</v>
      </c>
      <c r="AC474" t="s">
        <v>423</v>
      </c>
      <c r="AF474">
        <v>329</v>
      </c>
      <c r="AG474" t="s">
        <v>1392</v>
      </c>
      <c r="AH474" t="s">
        <v>1393</v>
      </c>
      <c r="AI474" t="s">
        <v>178</v>
      </c>
      <c r="AJ474" t="s">
        <v>179</v>
      </c>
      <c r="AK474">
        <v>4</v>
      </c>
      <c r="AL474" t="s">
        <v>1394</v>
      </c>
      <c r="AS474">
        <v>1000</v>
      </c>
      <c r="AT474">
        <v>1000</v>
      </c>
      <c r="BN474" s="114"/>
      <c r="BQ474">
        <v>33</v>
      </c>
      <c r="BR474" t="s">
        <v>1062</v>
      </c>
      <c r="BT474" t="s">
        <v>1402</v>
      </c>
      <c r="BU474" s="115">
        <v>45792</v>
      </c>
      <c r="BV474">
        <v>36520</v>
      </c>
      <c r="BW474" s="116"/>
      <c r="BY474" t="s">
        <v>173</v>
      </c>
      <c r="CB474" t="s">
        <v>173</v>
      </c>
      <c r="CC474" t="s">
        <v>173</v>
      </c>
      <c r="CK474" t="s">
        <v>259</v>
      </c>
      <c r="CM474">
        <v>1</v>
      </c>
      <c r="CN474" t="s">
        <v>260</v>
      </c>
      <c r="CP474">
        <v>406</v>
      </c>
      <c r="CQ474">
        <v>286</v>
      </c>
      <c r="CR474">
        <v>273</v>
      </c>
      <c r="CS474" t="s">
        <v>1437</v>
      </c>
      <c r="CV474" t="s">
        <v>262</v>
      </c>
      <c r="CX474" t="s">
        <v>263</v>
      </c>
      <c r="CY474" t="s">
        <v>172</v>
      </c>
      <c r="DC474" t="s">
        <v>1596</v>
      </c>
      <c r="DD474">
        <v>2</v>
      </c>
      <c r="DE474" t="s">
        <v>307</v>
      </c>
      <c r="DF474" t="s">
        <v>988</v>
      </c>
      <c r="DG474">
        <v>264</v>
      </c>
      <c r="DL474" t="s">
        <v>173</v>
      </c>
      <c r="DM474" t="s">
        <v>172</v>
      </c>
      <c r="DP474" t="s">
        <v>173</v>
      </c>
      <c r="DQ474" t="s">
        <v>189</v>
      </c>
      <c r="DR474" t="s">
        <v>1655</v>
      </c>
      <c r="EA474" s="117"/>
      <c r="EB474">
        <v>9</v>
      </c>
      <c r="EC474">
        <v>10</v>
      </c>
      <c r="EE474" t="s">
        <v>1598</v>
      </c>
      <c r="EF474">
        <v>10</v>
      </c>
      <c r="EU474">
        <v>3500</v>
      </c>
      <c r="EW474">
        <v>0</v>
      </c>
      <c r="EX474">
        <v>0</v>
      </c>
      <c r="EY474">
        <v>0</v>
      </c>
      <c r="FA474">
        <v>12</v>
      </c>
      <c r="FG474" s="94">
        <v>358</v>
      </c>
      <c r="FH474" s="94">
        <v>293</v>
      </c>
      <c r="FI474" s="94">
        <v>329</v>
      </c>
    </row>
    <row r="475" spans="1:165" x14ac:dyDescent="0.35">
      <c r="A475">
        <v>2026</v>
      </c>
      <c r="B475" t="s">
        <v>1553</v>
      </c>
      <c r="C475" s="112" t="s">
        <v>1554</v>
      </c>
      <c r="D475" t="s">
        <v>1654</v>
      </c>
      <c r="E475" t="s">
        <v>1556</v>
      </c>
      <c r="F475">
        <v>98</v>
      </c>
      <c r="G475" s="113">
        <v>0</v>
      </c>
      <c r="I475" t="s">
        <v>1391</v>
      </c>
      <c r="J475">
        <v>36</v>
      </c>
      <c r="K475">
        <v>44</v>
      </c>
      <c r="L475">
        <v>39</v>
      </c>
      <c r="M475">
        <v>25.3094</v>
      </c>
      <c r="N475">
        <v>30.915800000000001</v>
      </c>
      <c r="O475">
        <v>27.8323</v>
      </c>
      <c r="P475">
        <v>35.8872</v>
      </c>
      <c r="Q475">
        <v>43.854799999999997</v>
      </c>
      <c r="R475">
        <v>39.4726</v>
      </c>
      <c r="V475" t="s">
        <v>170</v>
      </c>
      <c r="W475" t="s">
        <v>171</v>
      </c>
      <c r="Y475">
        <v>1</v>
      </c>
      <c r="Z475" t="s">
        <v>173</v>
      </c>
      <c r="AA475" t="s">
        <v>173</v>
      </c>
      <c r="AB475">
        <v>4</v>
      </c>
      <c r="AC475" t="s">
        <v>423</v>
      </c>
      <c r="AF475">
        <v>329</v>
      </c>
      <c r="AG475" t="s">
        <v>1392</v>
      </c>
      <c r="AH475" t="s">
        <v>1393</v>
      </c>
      <c r="AI475" t="s">
        <v>1399</v>
      </c>
      <c r="AJ475" t="s">
        <v>1400</v>
      </c>
      <c r="AK475">
        <v>4</v>
      </c>
      <c r="AL475" t="s">
        <v>1394</v>
      </c>
      <c r="AS475">
        <v>1000</v>
      </c>
      <c r="AT475">
        <v>1000</v>
      </c>
      <c r="BN475" s="114"/>
      <c r="BQ475">
        <v>33</v>
      </c>
      <c r="BR475" t="s">
        <v>1062</v>
      </c>
      <c r="BT475" t="s">
        <v>1402</v>
      </c>
      <c r="BU475" s="115">
        <v>45792</v>
      </c>
      <c r="BV475">
        <v>36520</v>
      </c>
      <c r="BW475" s="116"/>
      <c r="BY475" t="s">
        <v>173</v>
      </c>
      <c r="CB475" t="s">
        <v>173</v>
      </c>
      <c r="CC475" t="s">
        <v>173</v>
      </c>
      <c r="CK475" t="s">
        <v>259</v>
      </c>
      <c r="CM475">
        <v>1</v>
      </c>
      <c r="CN475" t="s">
        <v>260</v>
      </c>
      <c r="CP475">
        <v>406</v>
      </c>
      <c r="CQ475">
        <v>286</v>
      </c>
      <c r="CR475">
        <v>273</v>
      </c>
      <c r="CS475" t="s">
        <v>1437</v>
      </c>
      <c r="CV475" t="s">
        <v>262</v>
      </c>
      <c r="CX475" t="s">
        <v>263</v>
      </c>
      <c r="CY475" t="s">
        <v>172</v>
      </c>
      <c r="DC475" t="s">
        <v>1596</v>
      </c>
      <c r="DD475">
        <v>2</v>
      </c>
      <c r="DE475" t="s">
        <v>307</v>
      </c>
      <c r="DF475" t="s">
        <v>988</v>
      </c>
      <c r="DG475">
        <v>264</v>
      </c>
      <c r="DL475" t="s">
        <v>173</v>
      </c>
      <c r="DM475" t="s">
        <v>172</v>
      </c>
      <c r="DP475" t="s">
        <v>173</v>
      </c>
      <c r="DQ475" t="s">
        <v>189</v>
      </c>
      <c r="DR475" t="s">
        <v>1655</v>
      </c>
      <c r="EA475" s="117"/>
      <c r="EB475">
        <v>9</v>
      </c>
      <c r="EC475">
        <v>10</v>
      </c>
      <c r="EE475" t="s">
        <v>1598</v>
      </c>
      <c r="EF475">
        <v>10</v>
      </c>
      <c r="EU475">
        <v>3500</v>
      </c>
      <c r="EW475">
        <v>0</v>
      </c>
      <c r="EX475">
        <v>0</v>
      </c>
      <c r="EY475">
        <v>0</v>
      </c>
      <c r="FA475">
        <v>12</v>
      </c>
      <c r="FG475" s="94">
        <v>358</v>
      </c>
      <c r="FH475" s="94">
        <v>293</v>
      </c>
      <c r="FI475" s="94">
        <v>329</v>
      </c>
    </row>
    <row r="476" spans="1:165" x14ac:dyDescent="0.35">
      <c r="A476" s="19"/>
      <c r="B476" s="19"/>
      <c r="C476" s="19"/>
      <c r="D476" s="19"/>
      <c r="E476" s="19"/>
      <c r="F476" s="128"/>
      <c r="G476" s="19"/>
      <c r="H476" s="19"/>
      <c r="I476" s="19"/>
      <c r="J476" s="19"/>
      <c r="K476" s="19" t="str">
        <f>_xlfn.CONCAT(A477," ",C477," ",D477)</f>
        <v>2026 Rivian R1S Performance Dual Large Plus (20in)</v>
      </c>
      <c r="L476" s="19"/>
      <c r="M476" s="19"/>
      <c r="N476" s="19"/>
      <c r="O476" s="19"/>
      <c r="P476" s="19"/>
      <c r="Q476" s="19"/>
      <c r="R476" s="19"/>
      <c r="S476" s="19"/>
      <c r="T476" s="19"/>
      <c r="U476" s="19"/>
      <c r="V476" s="19"/>
      <c r="W476" s="19"/>
      <c r="X476" s="19"/>
      <c r="Y476" s="19"/>
      <c r="Z476" s="19"/>
      <c r="AA476" s="19"/>
      <c r="AB476" s="19" t="str">
        <f>$K476</f>
        <v>2026 Rivian R1S Performance Dual Large Plus (20in)</v>
      </c>
      <c r="AC476" s="19"/>
      <c r="AD476" s="19"/>
      <c r="AE476" s="19"/>
      <c r="AF476" s="19"/>
      <c r="AG476" s="19"/>
      <c r="AH476" s="19"/>
      <c r="AI476" s="19"/>
      <c r="AJ476" s="19"/>
      <c r="AK476" s="19"/>
      <c r="AL476" s="19"/>
      <c r="AM476" s="19"/>
      <c r="AN476" s="19"/>
      <c r="AO476" s="19"/>
      <c r="AP476" s="19"/>
      <c r="AQ476" s="19"/>
      <c r="AR476" s="19" t="str">
        <f>$K476</f>
        <v>2026 Rivian R1S Performance Dual Large Plus (20in)</v>
      </c>
      <c r="AS476" s="19"/>
      <c r="AT476" s="19"/>
      <c r="AU476" s="19"/>
      <c r="AV476" s="19"/>
      <c r="AW476" s="19"/>
      <c r="AX476" s="19"/>
      <c r="AY476" s="19"/>
      <c r="AZ476" s="19"/>
      <c r="BA476" s="19"/>
      <c r="BB476" s="19"/>
      <c r="BC476" s="19"/>
      <c r="BD476" s="19"/>
      <c r="BE476" s="19"/>
      <c r="BF476" s="19"/>
      <c r="BG476" s="19" t="str">
        <f>$K476</f>
        <v>2026 Rivian R1S Performance Dual Large Plus (20in)</v>
      </c>
      <c r="BH476" s="19"/>
      <c r="BI476" s="19"/>
      <c r="BJ476" s="19"/>
      <c r="BK476" s="19"/>
      <c r="BL476" s="19"/>
      <c r="BM476" s="129"/>
      <c r="BN476" s="19"/>
      <c r="BO476" s="19"/>
      <c r="BP476" s="19"/>
      <c r="BQ476" s="19"/>
      <c r="BR476" s="19"/>
      <c r="BS476" s="19"/>
      <c r="BT476" s="130"/>
      <c r="BU476" s="19"/>
      <c r="BV476" s="19"/>
      <c r="BW476" s="116"/>
      <c r="BX476" s="19"/>
      <c r="BY476" s="19"/>
      <c r="BZ476" s="19"/>
      <c r="CA476" s="19"/>
      <c r="CB476" s="19"/>
      <c r="CC476" s="19"/>
      <c r="CD476" s="19"/>
      <c r="CE476" s="19"/>
      <c r="CF476" s="19"/>
      <c r="CG476" s="19"/>
      <c r="CH476" s="19"/>
      <c r="CI476" s="19"/>
      <c r="CJ476" s="19"/>
      <c r="CK476" s="19"/>
      <c r="CL476" s="19"/>
      <c r="CM476" s="19" t="str">
        <f>$K476</f>
        <v>2026 Rivian R1S Performance Dual Large Plus (20in)</v>
      </c>
      <c r="CN476" s="19"/>
      <c r="CO476" s="19"/>
      <c r="CP476" s="19"/>
      <c r="CQ476" s="19"/>
      <c r="CR476" s="19"/>
      <c r="CS476" s="19"/>
      <c r="CT476" s="19"/>
      <c r="CU476" s="19"/>
      <c r="CV476" s="19"/>
      <c r="CW476" s="19"/>
      <c r="CX476" s="19"/>
      <c r="CY476" s="19"/>
      <c r="CZ476" s="19"/>
      <c r="DA476" s="19"/>
      <c r="DB476" s="19"/>
      <c r="DC476" s="19"/>
      <c r="DD476" s="19" t="str">
        <f>$K476</f>
        <v>2026 Rivian R1S Performance Dual Large Plus (20in)</v>
      </c>
      <c r="DE476" s="19"/>
      <c r="DF476" s="19"/>
      <c r="DG476" s="19"/>
      <c r="DH476" s="19"/>
      <c r="DI476" s="19"/>
      <c r="DJ476" s="19"/>
      <c r="DK476" s="19"/>
      <c r="DL476" s="19"/>
      <c r="DM476" s="19"/>
      <c r="DN476" s="19"/>
      <c r="DO476" s="19"/>
      <c r="DP476" s="19"/>
      <c r="DQ476" s="19"/>
      <c r="DR476" s="19"/>
      <c r="DS476" s="19"/>
      <c r="DT476" s="19"/>
      <c r="DU476" s="19" t="str">
        <f>$K476</f>
        <v>2026 Rivian R1S Performance Dual Large Plus (20in)</v>
      </c>
      <c r="DV476" s="19"/>
      <c r="DW476" s="19"/>
      <c r="DX476" s="19"/>
      <c r="DY476" s="19"/>
      <c r="DZ476" s="19"/>
      <c r="EA476" s="117"/>
      <c r="EB476" s="19"/>
      <c r="EC476" s="19"/>
      <c r="ED476" s="19"/>
      <c r="EE476" s="19"/>
      <c r="EF476" s="19"/>
      <c r="EX476" s="19" t="s">
        <v>2077</v>
      </c>
    </row>
    <row r="477" spans="1:165" x14ac:dyDescent="0.35">
      <c r="A477">
        <v>2026</v>
      </c>
      <c r="B477" t="s">
        <v>1553</v>
      </c>
      <c r="C477" s="112" t="s">
        <v>1554</v>
      </c>
      <c r="D477" t="s">
        <v>1642</v>
      </c>
      <c r="E477" t="s">
        <v>1556</v>
      </c>
      <c r="F477">
        <v>86</v>
      </c>
      <c r="G477" s="113">
        <v>0</v>
      </c>
      <c r="I477" t="s">
        <v>1391</v>
      </c>
      <c r="J477">
        <v>85</v>
      </c>
      <c r="K477">
        <v>72</v>
      </c>
      <c r="L477">
        <v>78</v>
      </c>
      <c r="M477">
        <v>120.8</v>
      </c>
      <c r="N477">
        <v>102.2</v>
      </c>
      <c r="O477">
        <v>111.65560000000001</v>
      </c>
      <c r="P477">
        <v>84.56</v>
      </c>
      <c r="Q477">
        <v>71.540000000000006</v>
      </c>
      <c r="R477">
        <v>78.158900000000003</v>
      </c>
      <c r="V477" t="s">
        <v>170</v>
      </c>
      <c r="W477" t="s">
        <v>171</v>
      </c>
      <c r="Y477">
        <v>1</v>
      </c>
      <c r="Z477" t="s">
        <v>173</v>
      </c>
      <c r="AA477" t="s">
        <v>173</v>
      </c>
      <c r="AB477">
        <v>4</v>
      </c>
      <c r="AC477" t="s">
        <v>423</v>
      </c>
      <c r="AF477">
        <v>317</v>
      </c>
      <c r="AG477" t="s">
        <v>1392</v>
      </c>
      <c r="AH477" t="s">
        <v>1393</v>
      </c>
      <c r="AI477" t="s">
        <v>178</v>
      </c>
      <c r="AJ477" t="s">
        <v>179</v>
      </c>
      <c r="AK477">
        <v>4</v>
      </c>
      <c r="AL477" t="s">
        <v>1394</v>
      </c>
      <c r="AS477">
        <v>1100</v>
      </c>
      <c r="AT477">
        <v>1100</v>
      </c>
      <c r="BN477" s="114"/>
      <c r="BQ477">
        <v>33</v>
      </c>
      <c r="BR477" t="s">
        <v>1062</v>
      </c>
      <c r="BT477" t="s">
        <v>1402</v>
      </c>
      <c r="BU477" s="115">
        <v>45792</v>
      </c>
      <c r="BV477">
        <v>36509</v>
      </c>
      <c r="BW477" s="116"/>
      <c r="BY477" t="s">
        <v>173</v>
      </c>
      <c r="CB477" t="s">
        <v>173</v>
      </c>
      <c r="CC477" t="s">
        <v>173</v>
      </c>
      <c r="CK477" t="s">
        <v>259</v>
      </c>
      <c r="CM477">
        <v>1</v>
      </c>
      <c r="CN477" t="s">
        <v>260</v>
      </c>
      <c r="CP477">
        <v>392</v>
      </c>
      <c r="CQ477">
        <v>382</v>
      </c>
      <c r="CR477">
        <v>190</v>
      </c>
      <c r="CS477" t="s">
        <v>1437</v>
      </c>
      <c r="CV477" t="s">
        <v>262</v>
      </c>
      <c r="CX477" t="s">
        <v>263</v>
      </c>
      <c r="CY477" t="s">
        <v>172</v>
      </c>
      <c r="DC477" t="s">
        <v>1558</v>
      </c>
      <c r="DD477">
        <v>2</v>
      </c>
      <c r="DE477" t="s">
        <v>307</v>
      </c>
      <c r="DF477" t="s">
        <v>988</v>
      </c>
      <c r="DG477">
        <v>264</v>
      </c>
      <c r="DL477" t="s">
        <v>173</v>
      </c>
      <c r="DM477" t="s">
        <v>172</v>
      </c>
      <c r="DP477" t="s">
        <v>173</v>
      </c>
      <c r="DQ477" t="s">
        <v>189</v>
      </c>
      <c r="DR477" t="s">
        <v>1643</v>
      </c>
      <c r="EA477" s="117"/>
      <c r="EB477">
        <v>9</v>
      </c>
      <c r="EC477">
        <v>10</v>
      </c>
      <c r="EE477" t="s">
        <v>1565</v>
      </c>
      <c r="EF477">
        <v>10</v>
      </c>
      <c r="EU477">
        <v>3000</v>
      </c>
      <c r="EW477">
        <v>0</v>
      </c>
      <c r="EX477">
        <v>0</v>
      </c>
      <c r="EY477">
        <v>0</v>
      </c>
      <c r="FA477">
        <v>12</v>
      </c>
      <c r="FG477" s="94">
        <v>341</v>
      </c>
      <c r="FH477" s="94">
        <v>288</v>
      </c>
      <c r="FI477" s="94">
        <v>317</v>
      </c>
    </row>
    <row r="478" spans="1:165" x14ac:dyDescent="0.35">
      <c r="A478">
        <v>2026</v>
      </c>
      <c r="B478" t="s">
        <v>1553</v>
      </c>
      <c r="C478" s="112" t="s">
        <v>1554</v>
      </c>
      <c r="D478" t="s">
        <v>1642</v>
      </c>
      <c r="E478" t="s">
        <v>1556</v>
      </c>
      <c r="F478">
        <v>86</v>
      </c>
      <c r="G478" s="113">
        <v>0</v>
      </c>
      <c r="I478" t="s">
        <v>1391</v>
      </c>
      <c r="J478">
        <v>40</v>
      </c>
      <c r="K478">
        <v>47</v>
      </c>
      <c r="L478">
        <v>43</v>
      </c>
      <c r="M478">
        <v>27.901399999999999</v>
      </c>
      <c r="N478">
        <v>32.988999999999997</v>
      </c>
      <c r="O478">
        <v>30.190799999999999</v>
      </c>
      <c r="P478">
        <v>39.859299999999998</v>
      </c>
      <c r="Q478">
        <v>47.113500000000002</v>
      </c>
      <c r="R478">
        <v>43.123699999999999</v>
      </c>
      <c r="V478" t="s">
        <v>170</v>
      </c>
      <c r="W478" t="s">
        <v>171</v>
      </c>
      <c r="Y478">
        <v>1</v>
      </c>
      <c r="Z478" t="s">
        <v>173</v>
      </c>
      <c r="AA478" t="s">
        <v>173</v>
      </c>
      <c r="AB478">
        <v>4</v>
      </c>
      <c r="AC478" t="s">
        <v>423</v>
      </c>
      <c r="AF478">
        <v>317</v>
      </c>
      <c r="AG478" t="s">
        <v>1392</v>
      </c>
      <c r="AH478" t="s">
        <v>1393</v>
      </c>
      <c r="AI478" t="s">
        <v>1399</v>
      </c>
      <c r="AJ478" t="s">
        <v>1400</v>
      </c>
      <c r="AK478">
        <v>4</v>
      </c>
      <c r="AL478" t="s">
        <v>1394</v>
      </c>
      <c r="AS478">
        <v>1100</v>
      </c>
      <c r="AT478">
        <v>1100</v>
      </c>
      <c r="BN478" s="114"/>
      <c r="BQ478">
        <v>33</v>
      </c>
      <c r="BR478" t="s">
        <v>1062</v>
      </c>
      <c r="BT478" t="s">
        <v>1402</v>
      </c>
      <c r="BU478" s="115">
        <v>45792</v>
      </c>
      <c r="BV478">
        <v>36509</v>
      </c>
      <c r="BW478" s="116"/>
      <c r="BY478" t="s">
        <v>173</v>
      </c>
      <c r="CB478" t="s">
        <v>173</v>
      </c>
      <c r="CC478" t="s">
        <v>173</v>
      </c>
      <c r="CK478" t="s">
        <v>259</v>
      </c>
      <c r="CM478">
        <v>1</v>
      </c>
      <c r="CN478" t="s">
        <v>260</v>
      </c>
      <c r="CP478">
        <v>392</v>
      </c>
      <c r="CQ478">
        <v>382</v>
      </c>
      <c r="CR478">
        <v>190</v>
      </c>
      <c r="CS478" t="s">
        <v>1437</v>
      </c>
      <c r="CV478" t="s">
        <v>262</v>
      </c>
      <c r="CX478" t="s">
        <v>263</v>
      </c>
      <c r="CY478" t="s">
        <v>172</v>
      </c>
      <c r="DC478" t="s">
        <v>1558</v>
      </c>
      <c r="DD478">
        <v>2</v>
      </c>
      <c r="DE478" t="s">
        <v>307</v>
      </c>
      <c r="DF478" t="s">
        <v>988</v>
      </c>
      <c r="DG478">
        <v>264</v>
      </c>
      <c r="DL478" t="s">
        <v>173</v>
      </c>
      <c r="DM478" t="s">
        <v>172</v>
      </c>
      <c r="DP478" t="s">
        <v>173</v>
      </c>
      <c r="DQ478" t="s">
        <v>189</v>
      </c>
      <c r="DR478" t="s">
        <v>1643</v>
      </c>
      <c r="EA478" s="117"/>
      <c r="EB478">
        <v>9</v>
      </c>
      <c r="EC478">
        <v>10</v>
      </c>
      <c r="EE478" t="s">
        <v>1565</v>
      </c>
      <c r="EF478">
        <v>10</v>
      </c>
      <c r="EU478">
        <v>3000</v>
      </c>
      <c r="EW478">
        <v>0</v>
      </c>
      <c r="EX478">
        <v>0</v>
      </c>
      <c r="EY478">
        <v>0</v>
      </c>
      <c r="FA478">
        <v>12</v>
      </c>
      <c r="FG478" s="94">
        <v>341</v>
      </c>
      <c r="FH478" s="94">
        <v>288</v>
      </c>
      <c r="FI478" s="94">
        <v>317</v>
      </c>
    </row>
    <row r="479" spans="1:165" x14ac:dyDescent="0.35">
      <c r="A479" s="19"/>
      <c r="B479" s="19"/>
      <c r="C479" s="19"/>
      <c r="D479" s="19"/>
      <c r="E479" s="19"/>
      <c r="F479" s="128"/>
      <c r="G479" s="19"/>
      <c r="H479" s="19"/>
      <c r="I479" s="19"/>
      <c r="J479" s="19"/>
      <c r="K479" s="19" t="str">
        <f>_xlfn.CONCAT(A480," ",C480," ",D480)</f>
        <v>2026 Rivian R1S Performance Dual Large Plus (22in)</v>
      </c>
      <c r="L479" s="19"/>
      <c r="M479" s="19"/>
      <c r="N479" s="19"/>
      <c r="O479" s="19"/>
      <c r="P479" s="19"/>
      <c r="Q479" s="19"/>
      <c r="R479" s="19"/>
      <c r="S479" s="19"/>
      <c r="T479" s="19"/>
      <c r="U479" s="19"/>
      <c r="V479" s="19"/>
      <c r="W479" s="19"/>
      <c r="X479" s="19"/>
      <c r="Y479" s="19"/>
      <c r="Z479" s="19"/>
      <c r="AA479" s="19"/>
      <c r="AB479" s="19" t="str">
        <f>$K479</f>
        <v>2026 Rivian R1S Performance Dual Large Plus (22in)</v>
      </c>
      <c r="AC479" s="19"/>
      <c r="AD479" s="19"/>
      <c r="AE479" s="19"/>
      <c r="AF479" s="19"/>
      <c r="AG479" s="19"/>
      <c r="AH479" s="19"/>
      <c r="AI479" s="19"/>
      <c r="AJ479" s="19"/>
      <c r="AK479" s="19"/>
      <c r="AL479" s="19"/>
      <c r="AM479" s="19"/>
      <c r="AN479" s="19"/>
      <c r="AO479" s="19"/>
      <c r="AP479" s="19"/>
      <c r="AQ479" s="19"/>
      <c r="AR479" s="19" t="str">
        <f>$K479</f>
        <v>2026 Rivian R1S Performance Dual Large Plus (22in)</v>
      </c>
      <c r="AS479" s="19"/>
      <c r="AT479" s="19"/>
      <c r="AU479" s="19"/>
      <c r="AV479" s="19"/>
      <c r="AW479" s="19"/>
      <c r="AX479" s="19"/>
      <c r="AY479" s="19"/>
      <c r="AZ479" s="19"/>
      <c r="BA479" s="19"/>
      <c r="BB479" s="19"/>
      <c r="BC479" s="19"/>
      <c r="BD479" s="19"/>
      <c r="BE479" s="19"/>
      <c r="BF479" s="19"/>
      <c r="BG479" s="19" t="str">
        <f>$K479</f>
        <v>2026 Rivian R1S Performance Dual Large Plus (22in)</v>
      </c>
      <c r="BH479" s="19"/>
      <c r="BI479" s="19"/>
      <c r="BJ479" s="19"/>
      <c r="BK479" s="19"/>
      <c r="BL479" s="19"/>
      <c r="BM479" s="129"/>
      <c r="BN479" s="19"/>
      <c r="BO479" s="19"/>
      <c r="BP479" s="19"/>
      <c r="BQ479" s="19"/>
      <c r="BR479" s="19"/>
      <c r="BS479" s="19"/>
      <c r="BT479" s="130"/>
      <c r="BU479" s="19"/>
      <c r="BV479" s="19"/>
      <c r="BW479" s="116"/>
      <c r="BX479" s="19"/>
      <c r="BY479" s="19"/>
      <c r="BZ479" s="19"/>
      <c r="CA479" s="19"/>
      <c r="CB479" s="19"/>
      <c r="CC479" s="19"/>
      <c r="CD479" s="19"/>
      <c r="CE479" s="19"/>
      <c r="CF479" s="19"/>
      <c r="CG479" s="19"/>
      <c r="CH479" s="19"/>
      <c r="CI479" s="19"/>
      <c r="CJ479" s="19"/>
      <c r="CK479" s="19"/>
      <c r="CL479" s="19"/>
      <c r="CM479" s="19" t="str">
        <f>$K479</f>
        <v>2026 Rivian R1S Performance Dual Large Plus (22in)</v>
      </c>
      <c r="CN479" s="19"/>
      <c r="CO479" s="19"/>
      <c r="CP479" s="19"/>
      <c r="CQ479" s="19"/>
      <c r="CR479" s="19"/>
      <c r="CS479" s="19"/>
      <c r="CT479" s="19"/>
      <c r="CU479" s="19"/>
      <c r="CV479" s="19"/>
      <c r="CW479" s="19"/>
      <c r="CX479" s="19"/>
      <c r="CY479" s="19"/>
      <c r="CZ479" s="19"/>
      <c r="DA479" s="19"/>
      <c r="DB479" s="19"/>
      <c r="DC479" s="19"/>
      <c r="DD479" s="19" t="str">
        <f>$K479</f>
        <v>2026 Rivian R1S Performance Dual Large Plus (22in)</v>
      </c>
      <c r="DE479" s="19"/>
      <c r="DF479" s="19"/>
      <c r="DG479" s="19"/>
      <c r="DH479" s="19"/>
      <c r="DI479" s="19"/>
      <c r="DJ479" s="19"/>
      <c r="DK479" s="19"/>
      <c r="DL479" s="19"/>
      <c r="DM479" s="19"/>
      <c r="DN479" s="19"/>
      <c r="DO479" s="19"/>
      <c r="DP479" s="19"/>
      <c r="DQ479" s="19"/>
      <c r="DR479" s="19"/>
      <c r="DS479" s="19"/>
      <c r="DT479" s="19"/>
      <c r="DU479" s="19" t="str">
        <f>$K479</f>
        <v>2026 Rivian R1S Performance Dual Large Plus (22in)</v>
      </c>
      <c r="DV479" s="19"/>
      <c r="DW479" s="19"/>
      <c r="DX479" s="19"/>
      <c r="DY479" s="19"/>
      <c r="DZ479" s="19"/>
      <c r="EA479" s="117"/>
      <c r="EB479" s="19"/>
      <c r="EC479" s="19"/>
      <c r="ED479" s="19"/>
      <c r="EE479" s="19"/>
      <c r="EF479" s="19"/>
      <c r="EX479" s="19" t="s">
        <v>2078</v>
      </c>
    </row>
    <row r="480" spans="1:165" x14ac:dyDescent="0.35">
      <c r="A480">
        <v>2026</v>
      </c>
      <c r="B480" t="s">
        <v>1553</v>
      </c>
      <c r="C480" s="112" t="s">
        <v>1554</v>
      </c>
      <c r="D480" t="s">
        <v>1636</v>
      </c>
      <c r="E480" t="s">
        <v>1556</v>
      </c>
      <c r="F480">
        <v>80</v>
      </c>
      <c r="G480" s="113">
        <v>0</v>
      </c>
      <c r="I480" t="s">
        <v>1391</v>
      </c>
      <c r="J480">
        <v>89</v>
      </c>
      <c r="K480">
        <v>75</v>
      </c>
      <c r="L480">
        <v>82</v>
      </c>
      <c r="M480">
        <v>127.3</v>
      </c>
      <c r="N480">
        <v>107.8</v>
      </c>
      <c r="O480">
        <v>117.71769999999999</v>
      </c>
      <c r="P480">
        <v>89.11</v>
      </c>
      <c r="Q480">
        <v>75.459999999999994</v>
      </c>
      <c r="R480">
        <v>82.4024</v>
      </c>
      <c r="V480" t="s">
        <v>170</v>
      </c>
      <c r="W480" t="s">
        <v>171</v>
      </c>
      <c r="Y480">
        <v>1</v>
      </c>
      <c r="Z480" t="s">
        <v>173</v>
      </c>
      <c r="AA480" t="s">
        <v>173</v>
      </c>
      <c r="AB480">
        <v>4</v>
      </c>
      <c r="AC480" t="s">
        <v>423</v>
      </c>
      <c r="AF480">
        <v>330</v>
      </c>
      <c r="AG480" t="s">
        <v>1392</v>
      </c>
      <c r="AH480" t="s">
        <v>1393</v>
      </c>
      <c r="AI480" t="s">
        <v>178</v>
      </c>
      <c r="AJ480" t="s">
        <v>179</v>
      </c>
      <c r="AK480">
        <v>4</v>
      </c>
      <c r="AL480" t="s">
        <v>1394</v>
      </c>
      <c r="AS480">
        <v>1050</v>
      </c>
      <c r="AT480">
        <v>1050</v>
      </c>
      <c r="BN480" s="114"/>
      <c r="BQ480">
        <v>33</v>
      </c>
      <c r="BR480" t="s">
        <v>1062</v>
      </c>
      <c r="BT480" t="s">
        <v>1402</v>
      </c>
      <c r="BU480" s="115">
        <v>45792</v>
      </c>
      <c r="BV480">
        <v>36502</v>
      </c>
      <c r="BW480" s="116"/>
      <c r="BY480" t="s">
        <v>173</v>
      </c>
      <c r="CB480" t="s">
        <v>173</v>
      </c>
      <c r="CC480" t="s">
        <v>173</v>
      </c>
      <c r="CK480" t="s">
        <v>259</v>
      </c>
      <c r="CM480">
        <v>1</v>
      </c>
      <c r="CN480" t="s">
        <v>260</v>
      </c>
      <c r="CP480">
        <v>392</v>
      </c>
      <c r="CQ480">
        <v>382</v>
      </c>
      <c r="CR480">
        <v>190</v>
      </c>
      <c r="CS480" t="s">
        <v>1437</v>
      </c>
      <c r="CV480" t="s">
        <v>262</v>
      </c>
      <c r="CX480" t="s">
        <v>263</v>
      </c>
      <c r="CY480" t="s">
        <v>172</v>
      </c>
      <c r="DC480" t="s">
        <v>1558</v>
      </c>
      <c r="DD480">
        <v>2</v>
      </c>
      <c r="DE480" t="s">
        <v>307</v>
      </c>
      <c r="DF480" t="s">
        <v>988</v>
      </c>
      <c r="DG480">
        <v>264</v>
      </c>
      <c r="DL480" t="s">
        <v>173</v>
      </c>
      <c r="DM480" t="s">
        <v>172</v>
      </c>
      <c r="DP480" t="s">
        <v>173</v>
      </c>
      <c r="DQ480" t="s">
        <v>189</v>
      </c>
      <c r="DR480" t="s">
        <v>1637</v>
      </c>
      <c r="EA480" s="117"/>
      <c r="EB480">
        <v>9</v>
      </c>
      <c r="EC480">
        <v>10</v>
      </c>
      <c r="EE480" t="s">
        <v>1565</v>
      </c>
      <c r="EF480">
        <v>10</v>
      </c>
      <c r="EU480">
        <v>3250</v>
      </c>
      <c r="EW480">
        <v>0</v>
      </c>
      <c r="EX480">
        <v>0</v>
      </c>
      <c r="EY480">
        <v>0</v>
      </c>
      <c r="FA480">
        <v>12</v>
      </c>
      <c r="FG480" s="94">
        <v>354</v>
      </c>
      <c r="FH480" s="94">
        <v>300</v>
      </c>
      <c r="FI480" s="94">
        <v>330</v>
      </c>
    </row>
    <row r="481" spans="1:165" x14ac:dyDescent="0.35">
      <c r="A481">
        <v>2026</v>
      </c>
      <c r="B481" t="s">
        <v>1553</v>
      </c>
      <c r="C481" s="112" t="s">
        <v>1554</v>
      </c>
      <c r="D481" t="s">
        <v>1636</v>
      </c>
      <c r="E481" t="s">
        <v>1556</v>
      </c>
      <c r="F481">
        <v>80</v>
      </c>
      <c r="G481" s="113">
        <v>0</v>
      </c>
      <c r="I481" t="s">
        <v>1391</v>
      </c>
      <c r="J481">
        <v>38</v>
      </c>
      <c r="K481">
        <v>45</v>
      </c>
      <c r="L481">
        <v>41</v>
      </c>
      <c r="M481">
        <v>26.478100000000001</v>
      </c>
      <c r="N481">
        <v>31.275300000000001</v>
      </c>
      <c r="O481">
        <v>28.636900000000001</v>
      </c>
      <c r="P481">
        <v>37.823999999999998</v>
      </c>
      <c r="Q481">
        <v>44.665999999999997</v>
      </c>
      <c r="R481">
        <v>40.902900000000002</v>
      </c>
      <c r="V481" t="s">
        <v>170</v>
      </c>
      <c r="W481" t="s">
        <v>171</v>
      </c>
      <c r="Y481">
        <v>1</v>
      </c>
      <c r="Z481" t="s">
        <v>173</v>
      </c>
      <c r="AA481" t="s">
        <v>173</v>
      </c>
      <c r="AB481">
        <v>4</v>
      </c>
      <c r="AC481" t="s">
        <v>423</v>
      </c>
      <c r="AF481">
        <v>330</v>
      </c>
      <c r="AG481" t="s">
        <v>1392</v>
      </c>
      <c r="AH481" t="s">
        <v>1393</v>
      </c>
      <c r="AI481" t="s">
        <v>1399</v>
      </c>
      <c r="AJ481" t="s">
        <v>1400</v>
      </c>
      <c r="AK481">
        <v>4</v>
      </c>
      <c r="AL481" t="s">
        <v>1394</v>
      </c>
      <c r="AS481">
        <v>1050</v>
      </c>
      <c r="AT481">
        <v>1050</v>
      </c>
      <c r="BN481" s="114"/>
      <c r="BQ481">
        <v>33</v>
      </c>
      <c r="BR481" t="s">
        <v>1062</v>
      </c>
      <c r="BT481" t="s">
        <v>1402</v>
      </c>
      <c r="BU481" s="115">
        <v>45792</v>
      </c>
      <c r="BV481">
        <v>36502</v>
      </c>
      <c r="BW481" s="116"/>
      <c r="BY481" t="s">
        <v>173</v>
      </c>
      <c r="CB481" t="s">
        <v>173</v>
      </c>
      <c r="CC481" t="s">
        <v>173</v>
      </c>
      <c r="CK481" t="s">
        <v>259</v>
      </c>
      <c r="CM481">
        <v>1</v>
      </c>
      <c r="CN481" t="s">
        <v>260</v>
      </c>
      <c r="CP481">
        <v>392</v>
      </c>
      <c r="CQ481">
        <v>382</v>
      </c>
      <c r="CR481">
        <v>190</v>
      </c>
      <c r="CS481" t="s">
        <v>1437</v>
      </c>
      <c r="CV481" t="s">
        <v>262</v>
      </c>
      <c r="CX481" t="s">
        <v>263</v>
      </c>
      <c r="CY481" t="s">
        <v>172</v>
      </c>
      <c r="DC481" t="s">
        <v>1558</v>
      </c>
      <c r="DD481">
        <v>2</v>
      </c>
      <c r="DE481" t="s">
        <v>307</v>
      </c>
      <c r="DF481" t="s">
        <v>988</v>
      </c>
      <c r="DG481">
        <v>264</v>
      </c>
      <c r="DL481" t="s">
        <v>173</v>
      </c>
      <c r="DM481" t="s">
        <v>172</v>
      </c>
      <c r="DP481" t="s">
        <v>173</v>
      </c>
      <c r="DQ481" t="s">
        <v>189</v>
      </c>
      <c r="DR481" t="s">
        <v>1637</v>
      </c>
      <c r="EA481" s="117"/>
      <c r="EB481">
        <v>9</v>
      </c>
      <c r="EC481">
        <v>10</v>
      </c>
      <c r="EE481" t="s">
        <v>1565</v>
      </c>
      <c r="EF481">
        <v>10</v>
      </c>
      <c r="EU481">
        <v>3250</v>
      </c>
      <c r="EW481">
        <v>0</v>
      </c>
      <c r="EX481">
        <v>0</v>
      </c>
      <c r="EY481">
        <v>0</v>
      </c>
      <c r="FA481">
        <v>12</v>
      </c>
      <c r="FG481" s="94">
        <v>354</v>
      </c>
      <c r="FH481" s="94">
        <v>300</v>
      </c>
      <c r="FI481" s="94">
        <v>330</v>
      </c>
    </row>
    <row r="482" spans="1:165" x14ac:dyDescent="0.35">
      <c r="A482" s="19"/>
      <c r="B482" s="19"/>
      <c r="C482" s="19"/>
      <c r="D482" s="19"/>
      <c r="E482" s="19"/>
      <c r="F482" s="128"/>
      <c r="G482" s="19"/>
      <c r="H482" s="19"/>
      <c r="I482" s="19"/>
      <c r="J482" s="19"/>
      <c r="K482" s="19" t="str">
        <f>_xlfn.CONCAT(A483," ",C483," ",D483)</f>
        <v>2026 Rivian R1S Performance Dual Max (20in)</v>
      </c>
      <c r="L482" s="19"/>
      <c r="M482" s="19"/>
      <c r="N482" s="19"/>
      <c r="O482" s="19"/>
      <c r="P482" s="19"/>
      <c r="Q482" s="19"/>
      <c r="R482" s="19"/>
      <c r="S482" s="19"/>
      <c r="T482" s="19"/>
      <c r="U482" s="19"/>
      <c r="V482" s="19"/>
      <c r="W482" s="19"/>
      <c r="X482" s="19"/>
      <c r="Y482" s="19"/>
      <c r="Z482" s="19"/>
      <c r="AA482" s="19"/>
      <c r="AB482" s="19" t="str">
        <f>$K482</f>
        <v>2026 Rivian R1S Performance Dual Max (20in)</v>
      </c>
      <c r="AC482" s="19"/>
      <c r="AD482" s="19"/>
      <c r="AE482" s="19"/>
      <c r="AF482" s="19"/>
      <c r="AG482" s="19"/>
      <c r="AH482" s="19"/>
      <c r="AI482" s="19"/>
      <c r="AJ482" s="19"/>
      <c r="AK482" s="19"/>
      <c r="AL482" s="19"/>
      <c r="AM482" s="19"/>
      <c r="AN482" s="19"/>
      <c r="AO482" s="19"/>
      <c r="AP482" s="19"/>
      <c r="AQ482" s="19"/>
      <c r="AR482" s="19" t="str">
        <f>$K482</f>
        <v>2026 Rivian R1S Performance Dual Max (20in)</v>
      </c>
      <c r="AS482" s="19"/>
      <c r="AT482" s="19"/>
      <c r="AU482" s="19"/>
      <c r="AV482" s="19"/>
      <c r="AW482" s="19"/>
      <c r="AX482" s="19"/>
      <c r="AY482" s="19"/>
      <c r="AZ482" s="19"/>
      <c r="BA482" s="19"/>
      <c r="BB482" s="19"/>
      <c r="BC482" s="19"/>
      <c r="BD482" s="19"/>
      <c r="BE482" s="19"/>
      <c r="BF482" s="19"/>
      <c r="BG482" s="19" t="str">
        <f>$K482</f>
        <v>2026 Rivian R1S Performance Dual Max (20in)</v>
      </c>
      <c r="BH482" s="19"/>
      <c r="BI482" s="19"/>
      <c r="BJ482" s="19"/>
      <c r="BK482" s="19"/>
      <c r="BL482" s="19"/>
      <c r="BM482" s="129"/>
      <c r="BN482" s="19"/>
      <c r="BO482" s="19"/>
      <c r="BP482" s="19"/>
      <c r="BQ482" s="19"/>
      <c r="BR482" s="19"/>
      <c r="BS482" s="19"/>
      <c r="BT482" s="130"/>
      <c r="BU482" s="19"/>
      <c r="BV482" s="19"/>
      <c r="BW482" s="116"/>
      <c r="BX482" s="19"/>
      <c r="BY482" s="19"/>
      <c r="BZ482" s="19"/>
      <c r="CA482" s="19"/>
      <c r="CB482" s="19"/>
      <c r="CC482" s="19"/>
      <c r="CD482" s="19"/>
      <c r="CE482" s="19"/>
      <c r="CF482" s="19"/>
      <c r="CG482" s="19"/>
      <c r="CH482" s="19"/>
      <c r="CI482" s="19"/>
      <c r="CJ482" s="19"/>
      <c r="CK482" s="19"/>
      <c r="CL482" s="19"/>
      <c r="CM482" s="19" t="str">
        <f>$K482</f>
        <v>2026 Rivian R1S Performance Dual Max (20in)</v>
      </c>
      <c r="CN482" s="19"/>
      <c r="CO482" s="19"/>
      <c r="CP482" s="19"/>
      <c r="CQ482" s="19"/>
      <c r="CR482" s="19"/>
      <c r="CS482" s="19"/>
      <c r="CT482" s="19"/>
      <c r="CU482" s="19"/>
      <c r="CV482" s="19"/>
      <c r="CW482" s="19"/>
      <c r="CX482" s="19"/>
      <c r="CY482" s="19"/>
      <c r="CZ482" s="19"/>
      <c r="DA482" s="19"/>
      <c r="DB482" s="19"/>
      <c r="DC482" s="19"/>
      <c r="DD482" s="19" t="str">
        <f>$K482</f>
        <v>2026 Rivian R1S Performance Dual Max (20in)</v>
      </c>
      <c r="DE482" s="19"/>
      <c r="DF482" s="19"/>
      <c r="DG482" s="19"/>
      <c r="DH482" s="19"/>
      <c r="DI482" s="19"/>
      <c r="DJ482" s="19"/>
      <c r="DK482" s="19"/>
      <c r="DL482" s="19"/>
      <c r="DM482" s="19"/>
      <c r="DN482" s="19"/>
      <c r="DO482" s="19"/>
      <c r="DP482" s="19"/>
      <c r="DQ482" s="19"/>
      <c r="DR482" s="19"/>
      <c r="DS482" s="19"/>
      <c r="DT482" s="19"/>
      <c r="DU482" s="19" t="str">
        <f>$K482</f>
        <v>2026 Rivian R1S Performance Dual Max (20in)</v>
      </c>
      <c r="DV482" s="19"/>
      <c r="DW482" s="19"/>
      <c r="DX482" s="19"/>
      <c r="DY482" s="19"/>
      <c r="DZ482" s="19"/>
      <c r="EA482" s="117"/>
      <c r="EB482" s="19"/>
      <c r="EC482" s="19"/>
      <c r="ED482" s="19"/>
      <c r="EE482" s="19"/>
      <c r="EF482" s="19"/>
      <c r="EX482" s="19" t="s">
        <v>2079</v>
      </c>
    </row>
    <row r="483" spans="1:165" x14ac:dyDescent="0.35">
      <c r="A483">
        <v>2026</v>
      </c>
      <c r="B483" t="s">
        <v>1553</v>
      </c>
      <c r="C483" s="112" t="s">
        <v>1554</v>
      </c>
      <c r="D483" t="s">
        <v>1626</v>
      </c>
      <c r="E483" t="s">
        <v>1556</v>
      </c>
      <c r="F483">
        <v>70</v>
      </c>
      <c r="G483" s="113">
        <v>0</v>
      </c>
      <c r="I483" t="s">
        <v>1391</v>
      </c>
      <c r="J483">
        <v>86</v>
      </c>
      <c r="K483">
        <v>74</v>
      </c>
      <c r="L483">
        <v>80</v>
      </c>
      <c r="M483">
        <v>121.3</v>
      </c>
      <c r="N483">
        <v>103.7</v>
      </c>
      <c r="O483">
        <v>112.6932</v>
      </c>
      <c r="P483">
        <v>86.434700000000007</v>
      </c>
      <c r="Q483">
        <v>73.893500000000003</v>
      </c>
      <c r="R483">
        <v>80.3018</v>
      </c>
      <c r="V483" t="s">
        <v>170</v>
      </c>
      <c r="W483" t="s">
        <v>171</v>
      </c>
      <c r="Y483">
        <v>1</v>
      </c>
      <c r="Z483" t="s">
        <v>173</v>
      </c>
      <c r="AA483" t="s">
        <v>173</v>
      </c>
      <c r="AB483" t="s">
        <v>769</v>
      </c>
      <c r="AC483" t="s">
        <v>770</v>
      </c>
      <c r="AF483">
        <v>380</v>
      </c>
      <c r="AG483" t="s">
        <v>1392</v>
      </c>
      <c r="AH483" t="s">
        <v>1393</v>
      </c>
      <c r="AI483" t="s">
        <v>178</v>
      </c>
      <c r="AJ483" t="s">
        <v>179</v>
      </c>
      <c r="AK483">
        <v>4</v>
      </c>
      <c r="AL483" t="s">
        <v>1394</v>
      </c>
      <c r="AS483">
        <v>1050</v>
      </c>
      <c r="AT483">
        <v>1050</v>
      </c>
      <c r="BN483" s="114"/>
      <c r="BQ483">
        <v>33</v>
      </c>
      <c r="BR483" t="s">
        <v>1062</v>
      </c>
      <c r="BT483" t="s">
        <v>1402</v>
      </c>
      <c r="BU483" s="115">
        <v>45792</v>
      </c>
      <c r="BV483">
        <v>36493</v>
      </c>
      <c r="BW483" s="116"/>
      <c r="BY483" t="s">
        <v>173</v>
      </c>
      <c r="CB483" t="s">
        <v>173</v>
      </c>
      <c r="CC483" t="s">
        <v>173</v>
      </c>
      <c r="CK483" t="s">
        <v>259</v>
      </c>
      <c r="CM483">
        <v>1</v>
      </c>
      <c r="CN483" t="s">
        <v>260</v>
      </c>
      <c r="CP483">
        <v>392</v>
      </c>
      <c r="CQ483">
        <v>382</v>
      </c>
      <c r="CR483">
        <v>190</v>
      </c>
      <c r="CS483" t="s">
        <v>1437</v>
      </c>
      <c r="CV483" t="s">
        <v>262</v>
      </c>
      <c r="CX483" t="s">
        <v>263</v>
      </c>
      <c r="CY483" t="s">
        <v>172</v>
      </c>
      <c r="DC483" t="s">
        <v>1558</v>
      </c>
      <c r="DD483">
        <v>2</v>
      </c>
      <c r="DE483" t="s">
        <v>307</v>
      </c>
      <c r="DF483" t="s">
        <v>988</v>
      </c>
      <c r="DG483">
        <v>264</v>
      </c>
      <c r="DL483" t="s">
        <v>173</v>
      </c>
      <c r="DM483" t="s">
        <v>172</v>
      </c>
      <c r="DP483" t="s">
        <v>173</v>
      </c>
      <c r="DQ483" t="s">
        <v>189</v>
      </c>
      <c r="DR483" t="s">
        <v>1627</v>
      </c>
      <c r="EA483" s="117"/>
      <c r="EB483">
        <v>9</v>
      </c>
      <c r="EC483">
        <v>10</v>
      </c>
      <c r="EE483" t="s">
        <v>1565</v>
      </c>
      <c r="EF483">
        <v>10</v>
      </c>
      <c r="EU483">
        <v>3250</v>
      </c>
      <c r="EW483">
        <v>0</v>
      </c>
      <c r="EX483">
        <v>0</v>
      </c>
      <c r="EY483">
        <v>0</v>
      </c>
      <c r="FA483">
        <v>15</v>
      </c>
      <c r="FG483" s="94">
        <v>407</v>
      </c>
      <c r="FH483" s="94">
        <v>348</v>
      </c>
      <c r="FI483" s="94">
        <v>380</v>
      </c>
    </row>
    <row r="484" spans="1:165" x14ac:dyDescent="0.35">
      <c r="A484">
        <v>2026</v>
      </c>
      <c r="B484" t="s">
        <v>1553</v>
      </c>
      <c r="C484" s="112" t="s">
        <v>1554</v>
      </c>
      <c r="D484" t="s">
        <v>1626</v>
      </c>
      <c r="E484" t="s">
        <v>1556</v>
      </c>
      <c r="F484">
        <v>70</v>
      </c>
      <c r="G484" s="113">
        <v>0</v>
      </c>
      <c r="I484" t="s">
        <v>1391</v>
      </c>
      <c r="J484">
        <v>39</v>
      </c>
      <c r="K484">
        <v>46</v>
      </c>
      <c r="L484">
        <v>42</v>
      </c>
      <c r="M484">
        <v>27.785599999999999</v>
      </c>
      <c r="N484">
        <v>32.517400000000002</v>
      </c>
      <c r="O484">
        <v>29.914899999999999</v>
      </c>
      <c r="P484">
        <v>38.994700000000002</v>
      </c>
      <c r="Q484">
        <v>45.612900000000003</v>
      </c>
      <c r="R484">
        <v>41.972900000000003</v>
      </c>
      <c r="V484" t="s">
        <v>170</v>
      </c>
      <c r="W484" t="s">
        <v>171</v>
      </c>
      <c r="Y484">
        <v>1</v>
      </c>
      <c r="Z484" t="s">
        <v>173</v>
      </c>
      <c r="AA484" t="s">
        <v>173</v>
      </c>
      <c r="AB484" t="s">
        <v>769</v>
      </c>
      <c r="AC484" t="s">
        <v>770</v>
      </c>
      <c r="AF484">
        <v>380</v>
      </c>
      <c r="AG484" t="s">
        <v>1392</v>
      </c>
      <c r="AH484" t="s">
        <v>1393</v>
      </c>
      <c r="AI484" t="s">
        <v>1399</v>
      </c>
      <c r="AJ484" t="s">
        <v>1400</v>
      </c>
      <c r="AK484">
        <v>4</v>
      </c>
      <c r="AL484" t="s">
        <v>1394</v>
      </c>
      <c r="AS484">
        <v>1050</v>
      </c>
      <c r="AT484">
        <v>1050</v>
      </c>
      <c r="BN484" s="114"/>
      <c r="BQ484">
        <v>33</v>
      </c>
      <c r="BR484" t="s">
        <v>1062</v>
      </c>
      <c r="BT484" t="s">
        <v>1402</v>
      </c>
      <c r="BU484" s="115">
        <v>45792</v>
      </c>
      <c r="BV484">
        <v>36493</v>
      </c>
      <c r="BW484" s="116"/>
      <c r="BY484" t="s">
        <v>173</v>
      </c>
      <c r="CB484" t="s">
        <v>173</v>
      </c>
      <c r="CC484" t="s">
        <v>173</v>
      </c>
      <c r="CK484" t="s">
        <v>259</v>
      </c>
      <c r="CM484">
        <v>1</v>
      </c>
      <c r="CN484" t="s">
        <v>260</v>
      </c>
      <c r="CP484">
        <v>392</v>
      </c>
      <c r="CQ484">
        <v>382</v>
      </c>
      <c r="CR484">
        <v>190</v>
      </c>
      <c r="CS484" t="s">
        <v>1437</v>
      </c>
      <c r="CV484" t="s">
        <v>262</v>
      </c>
      <c r="CX484" t="s">
        <v>263</v>
      </c>
      <c r="CY484" t="s">
        <v>172</v>
      </c>
      <c r="DC484" t="s">
        <v>1558</v>
      </c>
      <c r="DD484">
        <v>2</v>
      </c>
      <c r="DE484" t="s">
        <v>307</v>
      </c>
      <c r="DF484" t="s">
        <v>988</v>
      </c>
      <c r="DG484">
        <v>264</v>
      </c>
      <c r="DL484" t="s">
        <v>173</v>
      </c>
      <c r="DM484" t="s">
        <v>172</v>
      </c>
      <c r="DP484" t="s">
        <v>173</v>
      </c>
      <c r="DQ484" t="s">
        <v>189</v>
      </c>
      <c r="DR484" t="s">
        <v>1627</v>
      </c>
      <c r="EA484" s="117"/>
      <c r="EB484">
        <v>9</v>
      </c>
      <c r="EC484">
        <v>10</v>
      </c>
      <c r="EE484" t="s">
        <v>1565</v>
      </c>
      <c r="EF484">
        <v>10</v>
      </c>
      <c r="EU484">
        <v>3250</v>
      </c>
      <c r="EW484">
        <v>0</v>
      </c>
      <c r="EX484">
        <v>0</v>
      </c>
      <c r="EY484">
        <v>0</v>
      </c>
      <c r="FA484">
        <v>15</v>
      </c>
      <c r="FG484" s="94">
        <v>407</v>
      </c>
      <c r="FH484" s="94">
        <v>348</v>
      </c>
      <c r="FI484" s="94">
        <v>380</v>
      </c>
    </row>
    <row r="485" spans="1:165" x14ac:dyDescent="0.35">
      <c r="A485" s="19"/>
      <c r="B485" s="19"/>
      <c r="C485" s="19"/>
      <c r="D485" s="19"/>
      <c r="E485" s="19"/>
      <c r="F485" s="128"/>
      <c r="G485" s="19"/>
      <c r="H485" s="19"/>
      <c r="I485" s="19"/>
      <c r="J485" s="19"/>
      <c r="K485" s="19" t="str">
        <f>_xlfn.CONCAT(A486," ",C486," ",D486)</f>
        <v>2026 Rivian R1S Performance Dual Max (22in)</v>
      </c>
      <c r="L485" s="19"/>
      <c r="M485" s="19"/>
      <c r="N485" s="19"/>
      <c r="O485" s="19"/>
      <c r="P485" s="19"/>
      <c r="Q485" s="19"/>
      <c r="R485" s="19"/>
      <c r="S485" s="19"/>
      <c r="T485" s="19"/>
      <c r="U485" s="19"/>
      <c r="V485" s="19"/>
      <c r="W485" s="19"/>
      <c r="X485" s="19"/>
      <c r="Y485" s="19"/>
      <c r="Z485" s="19"/>
      <c r="AA485" s="19"/>
      <c r="AB485" s="19" t="str">
        <f>$K485</f>
        <v>2026 Rivian R1S Performance Dual Max (22in)</v>
      </c>
      <c r="AC485" s="19"/>
      <c r="AD485" s="19"/>
      <c r="AE485" s="19"/>
      <c r="AF485" s="19"/>
      <c r="AG485" s="19"/>
      <c r="AH485" s="19"/>
      <c r="AI485" s="19"/>
      <c r="AJ485" s="19"/>
      <c r="AK485" s="19"/>
      <c r="AL485" s="19"/>
      <c r="AM485" s="19"/>
      <c r="AN485" s="19"/>
      <c r="AO485" s="19"/>
      <c r="AP485" s="19"/>
      <c r="AQ485" s="19"/>
      <c r="AR485" s="19" t="str">
        <f>$K485</f>
        <v>2026 Rivian R1S Performance Dual Max (22in)</v>
      </c>
      <c r="AS485" s="19"/>
      <c r="AT485" s="19"/>
      <c r="AU485" s="19"/>
      <c r="AV485" s="19"/>
      <c r="AW485" s="19"/>
      <c r="AX485" s="19"/>
      <c r="AY485" s="19"/>
      <c r="AZ485" s="19"/>
      <c r="BA485" s="19"/>
      <c r="BB485" s="19"/>
      <c r="BC485" s="19"/>
      <c r="BD485" s="19"/>
      <c r="BE485" s="19"/>
      <c r="BF485" s="19"/>
      <c r="BG485" s="19" t="str">
        <f>$K485</f>
        <v>2026 Rivian R1S Performance Dual Max (22in)</v>
      </c>
      <c r="BH485" s="19"/>
      <c r="BI485" s="19"/>
      <c r="BJ485" s="19"/>
      <c r="BK485" s="19"/>
      <c r="BL485" s="19"/>
      <c r="BM485" s="129"/>
      <c r="BN485" s="19"/>
      <c r="BO485" s="19"/>
      <c r="BP485" s="19"/>
      <c r="BQ485" s="19"/>
      <c r="BR485" s="19"/>
      <c r="BS485" s="19"/>
      <c r="BT485" s="130"/>
      <c r="BU485" s="19"/>
      <c r="BV485" s="19"/>
      <c r="BW485" s="116"/>
      <c r="BX485" s="19"/>
      <c r="BY485" s="19"/>
      <c r="BZ485" s="19"/>
      <c r="CA485" s="19"/>
      <c r="CB485" s="19"/>
      <c r="CC485" s="19"/>
      <c r="CD485" s="19"/>
      <c r="CE485" s="19"/>
      <c r="CF485" s="19"/>
      <c r="CG485" s="19"/>
      <c r="CH485" s="19"/>
      <c r="CI485" s="19"/>
      <c r="CJ485" s="19"/>
      <c r="CK485" s="19"/>
      <c r="CL485" s="19"/>
      <c r="CM485" s="19" t="str">
        <f>$K485</f>
        <v>2026 Rivian R1S Performance Dual Max (22in)</v>
      </c>
      <c r="CN485" s="19"/>
      <c r="CO485" s="19"/>
      <c r="CP485" s="19"/>
      <c r="CQ485" s="19"/>
      <c r="CR485" s="19"/>
      <c r="CS485" s="19"/>
      <c r="CT485" s="19"/>
      <c r="CU485" s="19"/>
      <c r="CV485" s="19"/>
      <c r="CW485" s="19"/>
      <c r="CX485" s="19"/>
      <c r="CY485" s="19"/>
      <c r="CZ485" s="19"/>
      <c r="DA485" s="19"/>
      <c r="DB485" s="19"/>
      <c r="DC485" s="19"/>
      <c r="DD485" s="19" t="str">
        <f>$K485</f>
        <v>2026 Rivian R1S Performance Dual Max (22in)</v>
      </c>
      <c r="DE485" s="19"/>
      <c r="DF485" s="19"/>
      <c r="DG485" s="19"/>
      <c r="DH485" s="19"/>
      <c r="DI485" s="19"/>
      <c r="DJ485" s="19"/>
      <c r="DK485" s="19"/>
      <c r="DL485" s="19"/>
      <c r="DM485" s="19"/>
      <c r="DN485" s="19"/>
      <c r="DO485" s="19"/>
      <c r="DP485" s="19"/>
      <c r="DQ485" s="19"/>
      <c r="DR485" s="19"/>
      <c r="DS485" s="19"/>
      <c r="DT485" s="19"/>
      <c r="DU485" s="19" t="str">
        <f>$K485</f>
        <v>2026 Rivian R1S Performance Dual Max (22in)</v>
      </c>
      <c r="DV485" s="19"/>
      <c r="DW485" s="19"/>
      <c r="DX485" s="19"/>
      <c r="DY485" s="19"/>
      <c r="DZ485" s="19"/>
      <c r="EA485" s="117"/>
      <c r="EB485" s="19"/>
      <c r="EC485" s="19"/>
      <c r="ED485" s="19"/>
      <c r="EE485" s="19"/>
      <c r="EF485" s="19"/>
      <c r="EX485" s="19" t="s">
        <v>2080</v>
      </c>
    </row>
    <row r="486" spans="1:165" x14ac:dyDescent="0.35">
      <c r="A486">
        <v>2026</v>
      </c>
      <c r="B486" t="s">
        <v>1553</v>
      </c>
      <c r="C486" s="112" t="s">
        <v>1554</v>
      </c>
      <c r="D486" t="s">
        <v>1628</v>
      </c>
      <c r="E486" t="s">
        <v>1556</v>
      </c>
      <c r="F486">
        <v>72</v>
      </c>
      <c r="G486" s="113">
        <v>0</v>
      </c>
      <c r="I486" t="s">
        <v>1391</v>
      </c>
      <c r="J486">
        <v>91</v>
      </c>
      <c r="K486">
        <v>77</v>
      </c>
      <c r="L486">
        <v>84</v>
      </c>
      <c r="M486">
        <v>129</v>
      </c>
      <c r="N486">
        <v>109.1</v>
      </c>
      <c r="O486">
        <v>119.2148</v>
      </c>
      <c r="P486">
        <v>91.319100000000006</v>
      </c>
      <c r="Q486">
        <v>77.231899999999996</v>
      </c>
      <c r="R486">
        <v>84.392200000000003</v>
      </c>
      <c r="V486" t="s">
        <v>170</v>
      </c>
      <c r="W486" t="s">
        <v>171</v>
      </c>
      <c r="Y486">
        <v>1</v>
      </c>
      <c r="Z486" t="s">
        <v>173</v>
      </c>
      <c r="AA486" t="s">
        <v>173</v>
      </c>
      <c r="AB486" t="s">
        <v>769</v>
      </c>
      <c r="AC486" t="s">
        <v>770</v>
      </c>
      <c r="AF486">
        <v>410</v>
      </c>
      <c r="AG486" t="s">
        <v>1392</v>
      </c>
      <c r="AH486" t="s">
        <v>1393</v>
      </c>
      <c r="AI486" t="s">
        <v>178</v>
      </c>
      <c r="AJ486" t="s">
        <v>179</v>
      </c>
      <c r="AK486">
        <v>4</v>
      </c>
      <c r="AL486" t="s">
        <v>1394</v>
      </c>
      <c r="AS486">
        <v>1000</v>
      </c>
      <c r="AT486">
        <v>1000</v>
      </c>
      <c r="BN486" s="114"/>
      <c r="BQ486">
        <v>33</v>
      </c>
      <c r="BR486" t="s">
        <v>1062</v>
      </c>
      <c r="BT486" t="s">
        <v>1402</v>
      </c>
      <c r="BU486" s="115">
        <v>45792</v>
      </c>
      <c r="BV486">
        <v>36495</v>
      </c>
      <c r="BW486" s="116"/>
      <c r="BY486" t="s">
        <v>173</v>
      </c>
      <c r="CB486" t="s">
        <v>173</v>
      </c>
      <c r="CC486" t="s">
        <v>173</v>
      </c>
      <c r="CK486" t="s">
        <v>259</v>
      </c>
      <c r="CM486">
        <v>1</v>
      </c>
      <c r="CN486" t="s">
        <v>260</v>
      </c>
      <c r="CP486">
        <v>392</v>
      </c>
      <c r="CQ486">
        <v>382</v>
      </c>
      <c r="CR486">
        <v>190</v>
      </c>
      <c r="CS486" t="s">
        <v>1437</v>
      </c>
      <c r="CV486" t="s">
        <v>262</v>
      </c>
      <c r="CX486" t="s">
        <v>263</v>
      </c>
      <c r="CY486" t="s">
        <v>172</v>
      </c>
      <c r="DC486" t="s">
        <v>1558</v>
      </c>
      <c r="DD486">
        <v>2</v>
      </c>
      <c r="DE486" t="s">
        <v>307</v>
      </c>
      <c r="DF486" t="s">
        <v>988</v>
      </c>
      <c r="DG486">
        <v>264</v>
      </c>
      <c r="DL486" t="s">
        <v>173</v>
      </c>
      <c r="DM486" t="s">
        <v>172</v>
      </c>
      <c r="DP486" t="s">
        <v>173</v>
      </c>
      <c r="DQ486" t="s">
        <v>189</v>
      </c>
      <c r="DR486" t="s">
        <v>1629</v>
      </c>
      <c r="EA486" s="117"/>
      <c r="EB486">
        <v>9</v>
      </c>
      <c r="EC486">
        <v>10</v>
      </c>
      <c r="EE486" t="s">
        <v>1565</v>
      </c>
      <c r="EF486">
        <v>10</v>
      </c>
      <c r="EU486">
        <v>3500</v>
      </c>
      <c r="EW486">
        <v>0</v>
      </c>
      <c r="EX486">
        <v>0</v>
      </c>
      <c r="EY486">
        <v>0</v>
      </c>
      <c r="FA486">
        <v>15</v>
      </c>
      <c r="FG486" s="94">
        <v>441</v>
      </c>
      <c r="FH486" s="94">
        <v>373</v>
      </c>
      <c r="FI486" s="94">
        <v>410</v>
      </c>
    </row>
    <row r="487" spans="1:165" x14ac:dyDescent="0.35">
      <c r="A487">
        <v>2026</v>
      </c>
      <c r="B487" t="s">
        <v>1553</v>
      </c>
      <c r="C487" s="112" t="s">
        <v>1554</v>
      </c>
      <c r="D487" t="s">
        <v>1628</v>
      </c>
      <c r="E487" t="s">
        <v>1556</v>
      </c>
      <c r="F487">
        <v>72</v>
      </c>
      <c r="G487" s="113">
        <v>0</v>
      </c>
      <c r="I487" t="s">
        <v>1391</v>
      </c>
      <c r="J487">
        <v>37</v>
      </c>
      <c r="K487">
        <v>44</v>
      </c>
      <c r="L487">
        <v>40</v>
      </c>
      <c r="M487">
        <v>26.118500000000001</v>
      </c>
      <c r="N487">
        <v>30.8856</v>
      </c>
      <c r="O487">
        <v>28.2637</v>
      </c>
      <c r="P487">
        <v>36.908999999999999</v>
      </c>
      <c r="Q487">
        <v>43.641300000000001</v>
      </c>
      <c r="R487">
        <v>39.938499999999998</v>
      </c>
      <c r="V487" t="s">
        <v>170</v>
      </c>
      <c r="W487" t="s">
        <v>171</v>
      </c>
      <c r="Y487">
        <v>1</v>
      </c>
      <c r="Z487" t="s">
        <v>173</v>
      </c>
      <c r="AA487" t="s">
        <v>173</v>
      </c>
      <c r="AB487" t="s">
        <v>769</v>
      </c>
      <c r="AC487" t="s">
        <v>770</v>
      </c>
      <c r="AF487">
        <v>410</v>
      </c>
      <c r="AG487" t="s">
        <v>1392</v>
      </c>
      <c r="AH487" t="s">
        <v>1393</v>
      </c>
      <c r="AI487" t="s">
        <v>1399</v>
      </c>
      <c r="AJ487" t="s">
        <v>1400</v>
      </c>
      <c r="AK487">
        <v>4</v>
      </c>
      <c r="AL487" t="s">
        <v>1394</v>
      </c>
      <c r="AS487">
        <v>1000</v>
      </c>
      <c r="AT487">
        <v>1000</v>
      </c>
      <c r="BN487" s="114"/>
      <c r="BQ487">
        <v>33</v>
      </c>
      <c r="BR487" t="s">
        <v>1062</v>
      </c>
      <c r="BT487" t="s">
        <v>1402</v>
      </c>
      <c r="BU487" s="115">
        <v>45792</v>
      </c>
      <c r="BV487">
        <v>36495</v>
      </c>
      <c r="BW487" s="116"/>
      <c r="BY487" t="s">
        <v>173</v>
      </c>
      <c r="CB487" t="s">
        <v>173</v>
      </c>
      <c r="CC487" t="s">
        <v>173</v>
      </c>
      <c r="CK487" t="s">
        <v>259</v>
      </c>
      <c r="CM487">
        <v>1</v>
      </c>
      <c r="CN487" t="s">
        <v>260</v>
      </c>
      <c r="CP487">
        <v>392</v>
      </c>
      <c r="CQ487">
        <v>382</v>
      </c>
      <c r="CR487">
        <v>190</v>
      </c>
      <c r="CS487" t="s">
        <v>1437</v>
      </c>
      <c r="CV487" t="s">
        <v>262</v>
      </c>
      <c r="CX487" t="s">
        <v>263</v>
      </c>
      <c r="CY487" t="s">
        <v>172</v>
      </c>
      <c r="DC487" t="s">
        <v>1558</v>
      </c>
      <c r="DD487">
        <v>2</v>
      </c>
      <c r="DE487" t="s">
        <v>307</v>
      </c>
      <c r="DF487" t="s">
        <v>988</v>
      </c>
      <c r="DG487">
        <v>264</v>
      </c>
      <c r="DL487" t="s">
        <v>173</v>
      </c>
      <c r="DM487" t="s">
        <v>172</v>
      </c>
      <c r="DP487" t="s">
        <v>173</v>
      </c>
      <c r="DQ487" t="s">
        <v>189</v>
      </c>
      <c r="DR487" t="s">
        <v>1629</v>
      </c>
      <c r="EA487" s="117"/>
      <c r="EB487">
        <v>9</v>
      </c>
      <c r="EC487">
        <v>10</v>
      </c>
      <c r="EE487" t="s">
        <v>1565</v>
      </c>
      <c r="EF487">
        <v>10</v>
      </c>
      <c r="EU487">
        <v>3500</v>
      </c>
      <c r="EW487">
        <v>0</v>
      </c>
      <c r="EX487">
        <v>0</v>
      </c>
      <c r="EY487">
        <v>0</v>
      </c>
      <c r="FA487">
        <v>15</v>
      </c>
      <c r="FG487" s="94">
        <v>441</v>
      </c>
      <c r="FH487" s="94">
        <v>373</v>
      </c>
      <c r="FI487" s="94">
        <v>410</v>
      </c>
    </row>
    <row r="488" spans="1:165" x14ac:dyDescent="0.35">
      <c r="A488" s="19"/>
      <c r="B488" s="19"/>
      <c r="C488" s="19"/>
      <c r="D488" s="19"/>
      <c r="E488" s="19"/>
      <c r="F488" s="128"/>
      <c r="G488" s="19"/>
      <c r="H488" s="19"/>
      <c r="I488" s="19"/>
      <c r="J488" s="19"/>
      <c r="K488" s="19" t="str">
        <f>_xlfn.CONCAT(A489," ",C489," ",D489)</f>
        <v>2026 Rivian R1S Quad Max (20in AT)</v>
      </c>
      <c r="L488" s="19"/>
      <c r="M488" s="19"/>
      <c r="N488" s="19"/>
      <c r="O488" s="19"/>
      <c r="P488" s="19"/>
      <c r="Q488" s="19"/>
      <c r="R488" s="19"/>
      <c r="S488" s="19"/>
      <c r="T488" s="19"/>
      <c r="U488" s="19"/>
      <c r="V488" s="19"/>
      <c r="W488" s="19"/>
      <c r="X488" s="19"/>
      <c r="Y488" s="19"/>
      <c r="Z488" s="19"/>
      <c r="AA488" s="19"/>
      <c r="AB488" s="19" t="str">
        <f>$K488</f>
        <v>2026 Rivian R1S Quad Max (20in AT)</v>
      </c>
      <c r="AC488" s="19"/>
      <c r="AD488" s="19"/>
      <c r="AE488" s="19"/>
      <c r="AF488" s="19"/>
      <c r="AG488" s="19"/>
      <c r="AH488" s="19"/>
      <c r="AI488" s="19"/>
      <c r="AJ488" s="19"/>
      <c r="AK488" s="19"/>
      <c r="AL488" s="19"/>
      <c r="AM488" s="19"/>
      <c r="AN488" s="19"/>
      <c r="AO488" s="19"/>
      <c r="AP488" s="19"/>
      <c r="AQ488" s="19"/>
      <c r="AR488" s="19" t="str">
        <f>$K488</f>
        <v>2026 Rivian R1S Quad Max (20in AT)</v>
      </c>
      <c r="AS488" s="19"/>
      <c r="AT488" s="19"/>
      <c r="AU488" s="19"/>
      <c r="AV488" s="19"/>
      <c r="AW488" s="19"/>
      <c r="AX488" s="19"/>
      <c r="AY488" s="19"/>
      <c r="AZ488" s="19"/>
      <c r="BA488" s="19"/>
      <c r="BB488" s="19"/>
      <c r="BC488" s="19"/>
      <c r="BD488" s="19"/>
      <c r="BE488" s="19"/>
      <c r="BF488" s="19"/>
      <c r="BG488" s="19" t="str">
        <f>$K488</f>
        <v>2026 Rivian R1S Quad Max (20in AT)</v>
      </c>
      <c r="BH488" s="19"/>
      <c r="BI488" s="19"/>
      <c r="BJ488" s="19"/>
      <c r="BK488" s="19"/>
      <c r="BL488" s="19"/>
      <c r="BM488" s="129"/>
      <c r="BN488" s="19"/>
      <c r="BO488" s="19"/>
      <c r="BP488" s="19"/>
      <c r="BQ488" s="19"/>
      <c r="BR488" s="19"/>
      <c r="BS488" s="19"/>
      <c r="BT488" s="130"/>
      <c r="BU488" s="19"/>
      <c r="BV488" s="19"/>
      <c r="BW488" s="116"/>
      <c r="BX488" s="19"/>
      <c r="BY488" s="19"/>
      <c r="BZ488" s="19"/>
      <c r="CA488" s="19"/>
      <c r="CB488" s="19"/>
      <c r="CC488" s="19"/>
      <c r="CD488" s="19"/>
      <c r="CE488" s="19"/>
      <c r="CF488" s="19"/>
      <c r="CG488" s="19"/>
      <c r="CH488" s="19"/>
      <c r="CI488" s="19"/>
      <c r="CJ488" s="19"/>
      <c r="CK488" s="19"/>
      <c r="CL488" s="19"/>
      <c r="CM488" s="19" t="str">
        <f>$K488</f>
        <v>2026 Rivian R1S Quad Max (20in AT)</v>
      </c>
      <c r="CN488" s="19"/>
      <c r="CO488" s="19"/>
      <c r="CP488" s="19"/>
      <c r="CQ488" s="19"/>
      <c r="CR488" s="19"/>
      <c r="CS488" s="19"/>
      <c r="CT488" s="19"/>
      <c r="CU488" s="19"/>
      <c r="CV488" s="19"/>
      <c r="CW488" s="19"/>
      <c r="CX488" s="19"/>
      <c r="CY488" s="19"/>
      <c r="CZ488" s="19"/>
      <c r="DA488" s="19"/>
      <c r="DB488" s="19"/>
      <c r="DC488" s="19"/>
      <c r="DD488" s="19" t="str">
        <f>$K488</f>
        <v>2026 Rivian R1S Quad Max (20in AT)</v>
      </c>
      <c r="DE488" s="19"/>
      <c r="DF488" s="19"/>
      <c r="DG488" s="19"/>
      <c r="DH488" s="19"/>
      <c r="DI488" s="19"/>
      <c r="DJ488" s="19"/>
      <c r="DK488" s="19"/>
      <c r="DL488" s="19"/>
      <c r="DM488" s="19"/>
      <c r="DN488" s="19"/>
      <c r="DO488" s="19"/>
      <c r="DP488" s="19"/>
      <c r="DQ488" s="19"/>
      <c r="DR488" s="19"/>
      <c r="DS488" s="19"/>
      <c r="DT488" s="19"/>
      <c r="DU488" s="19" t="str">
        <f>$K488</f>
        <v>2026 Rivian R1S Quad Max (20in AT)</v>
      </c>
      <c r="DV488" s="19"/>
      <c r="DW488" s="19"/>
      <c r="DX488" s="19"/>
      <c r="DY488" s="19"/>
      <c r="DZ488" s="19"/>
      <c r="EA488" s="117"/>
      <c r="EB488" s="19"/>
      <c r="EC488" s="19"/>
      <c r="ED488" s="19"/>
      <c r="EE488" s="19"/>
      <c r="EF488" s="19"/>
      <c r="EX488" s="19" t="s">
        <v>2081</v>
      </c>
    </row>
    <row r="489" spans="1:165" x14ac:dyDescent="0.35">
      <c r="A489">
        <v>2026</v>
      </c>
      <c r="B489" t="s">
        <v>1553</v>
      </c>
      <c r="C489" s="112" t="s">
        <v>1554</v>
      </c>
      <c r="D489" t="s">
        <v>1662</v>
      </c>
      <c r="E489" t="s">
        <v>1556</v>
      </c>
      <c r="F489">
        <v>105</v>
      </c>
      <c r="G489" s="113">
        <v>0</v>
      </c>
      <c r="I489" t="s">
        <v>1391</v>
      </c>
      <c r="J489">
        <v>71</v>
      </c>
      <c r="K489">
        <v>63</v>
      </c>
      <c r="L489">
        <v>67</v>
      </c>
      <c r="M489">
        <v>97.5</v>
      </c>
      <c r="N489">
        <v>86.9</v>
      </c>
      <c r="O489">
        <v>92.426599999999993</v>
      </c>
      <c r="P489">
        <v>70.964399999999998</v>
      </c>
      <c r="Q489">
        <v>63.249299999999998</v>
      </c>
      <c r="R489">
        <v>67.271799999999999</v>
      </c>
      <c r="V489" t="s">
        <v>170</v>
      </c>
      <c r="W489" t="s">
        <v>171</v>
      </c>
      <c r="Y489">
        <v>1</v>
      </c>
      <c r="Z489" t="s">
        <v>173</v>
      </c>
      <c r="AA489" t="s">
        <v>173</v>
      </c>
      <c r="AB489">
        <v>4</v>
      </c>
      <c r="AC489" t="s">
        <v>423</v>
      </c>
      <c r="AF489">
        <v>325</v>
      </c>
      <c r="AG489" t="s">
        <v>1392</v>
      </c>
      <c r="AH489" t="s">
        <v>1393</v>
      </c>
      <c r="AI489" t="s">
        <v>178</v>
      </c>
      <c r="AJ489" t="s">
        <v>179</v>
      </c>
      <c r="AK489">
        <v>4</v>
      </c>
      <c r="AL489" t="s">
        <v>1394</v>
      </c>
      <c r="AS489">
        <v>1300</v>
      </c>
      <c r="AT489">
        <v>1300</v>
      </c>
      <c r="BN489" s="114"/>
      <c r="BQ489">
        <v>33</v>
      </c>
      <c r="BR489" t="s">
        <v>1062</v>
      </c>
      <c r="BT489" t="s">
        <v>1402</v>
      </c>
      <c r="BU489" s="115">
        <v>45817</v>
      </c>
      <c r="BV489">
        <v>36671</v>
      </c>
      <c r="BW489" s="116"/>
      <c r="BY489" t="s">
        <v>173</v>
      </c>
      <c r="CB489" t="s">
        <v>173</v>
      </c>
      <c r="CC489" t="s">
        <v>173</v>
      </c>
      <c r="CK489" t="s">
        <v>259</v>
      </c>
      <c r="CM489">
        <v>1</v>
      </c>
      <c r="CN489" t="s">
        <v>260</v>
      </c>
      <c r="CP489">
        <v>392</v>
      </c>
      <c r="CQ489">
        <v>382</v>
      </c>
      <c r="CR489">
        <v>190</v>
      </c>
      <c r="CS489" t="s">
        <v>1437</v>
      </c>
      <c r="CV489" t="s">
        <v>262</v>
      </c>
      <c r="CX489" t="s">
        <v>263</v>
      </c>
      <c r="CY489" t="s">
        <v>172</v>
      </c>
      <c r="DC489" t="s">
        <v>1589</v>
      </c>
      <c r="DD489">
        <v>4</v>
      </c>
      <c r="DE489" t="s">
        <v>307</v>
      </c>
      <c r="DF489" t="s">
        <v>988</v>
      </c>
      <c r="DG489">
        <v>201</v>
      </c>
      <c r="DL489" t="s">
        <v>173</v>
      </c>
      <c r="DM489" t="s">
        <v>172</v>
      </c>
      <c r="DP489" t="s">
        <v>173</v>
      </c>
      <c r="DQ489" t="s">
        <v>189</v>
      </c>
      <c r="DR489" t="s">
        <v>1663</v>
      </c>
      <c r="EA489" s="117"/>
      <c r="EB489">
        <v>9</v>
      </c>
      <c r="EC489">
        <v>10</v>
      </c>
      <c r="EE489" t="s">
        <v>1611</v>
      </c>
      <c r="EF489">
        <v>10</v>
      </c>
      <c r="EU489">
        <v>2000</v>
      </c>
      <c r="EW489">
        <v>0</v>
      </c>
      <c r="EX489">
        <v>0</v>
      </c>
      <c r="EY489">
        <v>0</v>
      </c>
      <c r="FA489">
        <v>14</v>
      </c>
      <c r="FG489" s="94">
        <v>342</v>
      </c>
      <c r="FH489" s="94">
        <v>305</v>
      </c>
      <c r="FI489" s="94">
        <v>325</v>
      </c>
    </row>
    <row r="490" spans="1:165" x14ac:dyDescent="0.35">
      <c r="A490">
        <v>2026</v>
      </c>
      <c r="B490" t="s">
        <v>1553</v>
      </c>
      <c r="C490" s="112" t="s">
        <v>1554</v>
      </c>
      <c r="D490" t="s">
        <v>1662</v>
      </c>
      <c r="E490" t="s">
        <v>1556</v>
      </c>
      <c r="F490">
        <v>105</v>
      </c>
      <c r="G490" s="113">
        <v>0</v>
      </c>
      <c r="I490" t="s">
        <v>1391</v>
      </c>
      <c r="J490">
        <v>47</v>
      </c>
      <c r="K490">
        <v>53</v>
      </c>
      <c r="L490">
        <v>50</v>
      </c>
      <c r="M490">
        <v>34.558700000000002</v>
      </c>
      <c r="N490">
        <v>38.767600000000002</v>
      </c>
      <c r="O490">
        <v>36.4527</v>
      </c>
      <c r="P490">
        <v>47.495600000000003</v>
      </c>
      <c r="Q490">
        <v>53.289099999999998</v>
      </c>
      <c r="R490">
        <v>50.102699999999999</v>
      </c>
      <c r="V490" t="s">
        <v>170</v>
      </c>
      <c r="W490" t="s">
        <v>171</v>
      </c>
      <c r="Y490">
        <v>1</v>
      </c>
      <c r="Z490" t="s">
        <v>173</v>
      </c>
      <c r="AA490" t="s">
        <v>173</v>
      </c>
      <c r="AB490">
        <v>4</v>
      </c>
      <c r="AC490" t="s">
        <v>423</v>
      </c>
      <c r="AF490">
        <v>325</v>
      </c>
      <c r="AG490" t="s">
        <v>1392</v>
      </c>
      <c r="AH490" t="s">
        <v>1393</v>
      </c>
      <c r="AI490" t="s">
        <v>1399</v>
      </c>
      <c r="AJ490" t="s">
        <v>1400</v>
      </c>
      <c r="AK490">
        <v>4</v>
      </c>
      <c r="AL490" t="s">
        <v>1394</v>
      </c>
      <c r="AS490">
        <v>1300</v>
      </c>
      <c r="AT490">
        <v>1300</v>
      </c>
      <c r="BN490" s="114"/>
      <c r="BQ490">
        <v>33</v>
      </c>
      <c r="BR490" t="s">
        <v>1062</v>
      </c>
      <c r="BT490" t="s">
        <v>1402</v>
      </c>
      <c r="BU490" s="115">
        <v>45817</v>
      </c>
      <c r="BV490">
        <v>36671</v>
      </c>
      <c r="BW490" s="116"/>
      <c r="BY490" t="s">
        <v>173</v>
      </c>
      <c r="CB490" t="s">
        <v>173</v>
      </c>
      <c r="CC490" t="s">
        <v>173</v>
      </c>
      <c r="CK490" t="s">
        <v>259</v>
      </c>
      <c r="CM490">
        <v>1</v>
      </c>
      <c r="CN490" t="s">
        <v>260</v>
      </c>
      <c r="CP490">
        <v>392</v>
      </c>
      <c r="CQ490">
        <v>382</v>
      </c>
      <c r="CR490">
        <v>190</v>
      </c>
      <c r="CS490" t="s">
        <v>1437</v>
      </c>
      <c r="CV490" t="s">
        <v>262</v>
      </c>
      <c r="CX490" t="s">
        <v>263</v>
      </c>
      <c r="CY490" t="s">
        <v>172</v>
      </c>
      <c r="DC490" t="s">
        <v>1589</v>
      </c>
      <c r="DD490">
        <v>4</v>
      </c>
      <c r="DE490" t="s">
        <v>307</v>
      </c>
      <c r="DF490" t="s">
        <v>988</v>
      </c>
      <c r="DG490">
        <v>201</v>
      </c>
      <c r="DL490" t="s">
        <v>173</v>
      </c>
      <c r="DM490" t="s">
        <v>172</v>
      </c>
      <c r="DP490" t="s">
        <v>173</v>
      </c>
      <c r="DQ490" t="s">
        <v>189</v>
      </c>
      <c r="DR490" t="s">
        <v>1663</v>
      </c>
      <c r="EA490" s="117"/>
      <c r="EB490">
        <v>9</v>
      </c>
      <c r="EC490">
        <v>10</v>
      </c>
      <c r="EE490" t="s">
        <v>1611</v>
      </c>
      <c r="EF490">
        <v>10</v>
      </c>
      <c r="EU490">
        <v>2000</v>
      </c>
      <c r="EW490">
        <v>0</v>
      </c>
      <c r="EX490">
        <v>0</v>
      </c>
      <c r="EY490">
        <v>0</v>
      </c>
      <c r="FA490">
        <v>14</v>
      </c>
      <c r="FG490" s="94">
        <v>342</v>
      </c>
      <c r="FH490" s="94">
        <v>305</v>
      </c>
      <c r="FI490" s="94">
        <v>325</v>
      </c>
    </row>
    <row r="491" spans="1:165" x14ac:dyDescent="0.35">
      <c r="A491" s="19"/>
      <c r="B491" s="19"/>
      <c r="C491" s="19"/>
      <c r="D491" s="19"/>
      <c r="E491" s="19"/>
      <c r="F491" s="128"/>
      <c r="G491" s="19"/>
      <c r="H491" s="19"/>
      <c r="I491" s="19"/>
      <c r="J491" s="19"/>
      <c r="K491" s="19" t="str">
        <f>_xlfn.CONCAT(A492," ",C492," ",D492)</f>
        <v>2026 Rivian R1S Quad Max (22in UHP)</v>
      </c>
      <c r="L491" s="19"/>
      <c r="M491" s="19"/>
      <c r="N491" s="19"/>
      <c r="O491" s="19"/>
      <c r="P491" s="19"/>
      <c r="Q491" s="19"/>
      <c r="R491" s="19"/>
      <c r="S491" s="19"/>
      <c r="T491" s="19"/>
      <c r="U491" s="19"/>
      <c r="V491" s="19"/>
      <c r="W491" s="19"/>
      <c r="X491" s="19"/>
      <c r="Y491" s="19"/>
      <c r="Z491" s="19"/>
      <c r="AA491" s="19"/>
      <c r="AB491" s="19" t="str">
        <f>$K491</f>
        <v>2026 Rivian R1S Quad Max (22in UHP)</v>
      </c>
      <c r="AC491" s="19"/>
      <c r="AD491" s="19"/>
      <c r="AE491" s="19"/>
      <c r="AF491" s="19"/>
      <c r="AG491" s="19"/>
      <c r="AH491" s="19"/>
      <c r="AI491" s="19"/>
      <c r="AJ491" s="19"/>
      <c r="AK491" s="19"/>
      <c r="AL491" s="19"/>
      <c r="AM491" s="19"/>
      <c r="AN491" s="19"/>
      <c r="AO491" s="19"/>
      <c r="AP491" s="19"/>
      <c r="AQ491" s="19"/>
      <c r="AR491" s="19" t="str">
        <f>$K491</f>
        <v>2026 Rivian R1S Quad Max (22in UHP)</v>
      </c>
      <c r="AS491" s="19"/>
      <c r="AT491" s="19"/>
      <c r="AU491" s="19"/>
      <c r="AV491" s="19"/>
      <c r="AW491" s="19"/>
      <c r="AX491" s="19"/>
      <c r="AY491" s="19"/>
      <c r="AZ491" s="19"/>
      <c r="BA491" s="19"/>
      <c r="BB491" s="19"/>
      <c r="BC491" s="19"/>
      <c r="BD491" s="19"/>
      <c r="BE491" s="19"/>
      <c r="BF491" s="19"/>
      <c r="BG491" s="19" t="str">
        <f>$K491</f>
        <v>2026 Rivian R1S Quad Max (22in UHP)</v>
      </c>
      <c r="BH491" s="19"/>
      <c r="BI491" s="19"/>
      <c r="BJ491" s="19"/>
      <c r="BK491" s="19"/>
      <c r="BL491" s="19"/>
      <c r="BM491" s="129"/>
      <c r="BN491" s="19"/>
      <c r="BO491" s="19"/>
      <c r="BP491" s="19"/>
      <c r="BQ491" s="19"/>
      <c r="BR491" s="19"/>
      <c r="BS491" s="19"/>
      <c r="BT491" s="130"/>
      <c r="BU491" s="19"/>
      <c r="BV491" s="19"/>
      <c r="BW491" s="116"/>
      <c r="BX491" s="19"/>
      <c r="BY491" s="19"/>
      <c r="BZ491" s="19"/>
      <c r="CA491" s="19"/>
      <c r="CB491" s="19"/>
      <c r="CC491" s="19"/>
      <c r="CD491" s="19"/>
      <c r="CE491" s="19"/>
      <c r="CF491" s="19"/>
      <c r="CG491" s="19"/>
      <c r="CH491" s="19"/>
      <c r="CI491" s="19"/>
      <c r="CJ491" s="19"/>
      <c r="CK491" s="19"/>
      <c r="CL491" s="19"/>
      <c r="CM491" s="19" t="str">
        <f>$K491</f>
        <v>2026 Rivian R1S Quad Max (22in UHP)</v>
      </c>
      <c r="CN491" s="19"/>
      <c r="CO491" s="19"/>
      <c r="CP491" s="19"/>
      <c r="CQ491" s="19"/>
      <c r="CR491" s="19"/>
      <c r="CS491" s="19"/>
      <c r="CT491" s="19"/>
      <c r="CU491" s="19"/>
      <c r="CV491" s="19"/>
      <c r="CW491" s="19"/>
      <c r="CX491" s="19"/>
      <c r="CY491" s="19"/>
      <c r="CZ491" s="19"/>
      <c r="DA491" s="19"/>
      <c r="DB491" s="19"/>
      <c r="DC491" s="19"/>
      <c r="DD491" s="19" t="str">
        <f>$K491</f>
        <v>2026 Rivian R1S Quad Max (22in UHP)</v>
      </c>
      <c r="DE491" s="19"/>
      <c r="DF491" s="19"/>
      <c r="DG491" s="19"/>
      <c r="DH491" s="19"/>
      <c r="DI491" s="19"/>
      <c r="DJ491" s="19"/>
      <c r="DK491" s="19"/>
      <c r="DL491" s="19"/>
      <c r="DM491" s="19"/>
      <c r="DN491" s="19"/>
      <c r="DO491" s="19"/>
      <c r="DP491" s="19"/>
      <c r="DQ491" s="19"/>
      <c r="DR491" s="19"/>
      <c r="DS491" s="19"/>
      <c r="DT491" s="19"/>
      <c r="DU491" s="19" t="str">
        <f>$K491</f>
        <v>2026 Rivian R1S Quad Max (22in UHP)</v>
      </c>
      <c r="DV491" s="19"/>
      <c r="DW491" s="19"/>
      <c r="DX491" s="19"/>
      <c r="DY491" s="19"/>
      <c r="DZ491" s="19"/>
      <c r="EA491" s="117"/>
      <c r="EB491" s="19"/>
      <c r="EC491" s="19"/>
      <c r="ED491" s="19"/>
      <c r="EE491" s="19"/>
      <c r="EF491" s="19"/>
      <c r="EX491" s="19" t="s">
        <v>2082</v>
      </c>
    </row>
    <row r="492" spans="1:165" x14ac:dyDescent="0.35">
      <c r="A492">
        <v>2026</v>
      </c>
      <c r="B492" t="s">
        <v>1553</v>
      </c>
      <c r="C492" s="112" t="s">
        <v>1554</v>
      </c>
      <c r="D492" t="s">
        <v>1660</v>
      </c>
      <c r="E492" t="s">
        <v>1556</v>
      </c>
      <c r="F492">
        <v>103</v>
      </c>
      <c r="G492" s="113">
        <v>0</v>
      </c>
      <c r="I492" t="s">
        <v>1391</v>
      </c>
      <c r="J492">
        <v>75</v>
      </c>
      <c r="K492">
        <v>67</v>
      </c>
      <c r="L492">
        <v>71</v>
      </c>
      <c r="M492">
        <v>106</v>
      </c>
      <c r="N492">
        <v>93.6</v>
      </c>
      <c r="O492">
        <v>100.0363</v>
      </c>
      <c r="P492">
        <v>75.431700000000006</v>
      </c>
      <c r="Q492">
        <v>66.607600000000005</v>
      </c>
      <c r="R492">
        <v>71.187799999999996</v>
      </c>
      <c r="V492" t="s">
        <v>170</v>
      </c>
      <c r="W492" t="s">
        <v>171</v>
      </c>
      <c r="Y492">
        <v>1</v>
      </c>
      <c r="Z492" t="s">
        <v>173</v>
      </c>
      <c r="AA492" t="s">
        <v>173</v>
      </c>
      <c r="AB492">
        <v>4</v>
      </c>
      <c r="AC492" t="s">
        <v>423</v>
      </c>
      <c r="AF492">
        <v>338</v>
      </c>
      <c r="AG492" t="s">
        <v>1392</v>
      </c>
      <c r="AH492" t="s">
        <v>1393</v>
      </c>
      <c r="AI492" t="s">
        <v>178</v>
      </c>
      <c r="AJ492" t="s">
        <v>179</v>
      </c>
      <c r="AK492">
        <v>4</v>
      </c>
      <c r="AL492" t="s">
        <v>1394</v>
      </c>
      <c r="AS492">
        <v>1200</v>
      </c>
      <c r="AT492">
        <v>1200</v>
      </c>
      <c r="BN492" s="114"/>
      <c r="BQ492">
        <v>33</v>
      </c>
      <c r="BR492" t="s">
        <v>1062</v>
      </c>
      <c r="BT492" t="s">
        <v>1402</v>
      </c>
      <c r="BU492" s="115">
        <v>45817</v>
      </c>
      <c r="BV492">
        <v>36668</v>
      </c>
      <c r="BW492" s="116"/>
      <c r="BY492" t="s">
        <v>173</v>
      </c>
      <c r="CB492" t="s">
        <v>173</v>
      </c>
      <c r="CC492" t="s">
        <v>173</v>
      </c>
      <c r="CK492" t="s">
        <v>259</v>
      </c>
      <c r="CM492">
        <v>1</v>
      </c>
      <c r="CN492" t="s">
        <v>260</v>
      </c>
      <c r="CP492">
        <v>392</v>
      </c>
      <c r="CQ492">
        <v>382</v>
      </c>
      <c r="CR492">
        <v>190</v>
      </c>
      <c r="CS492" t="s">
        <v>1437</v>
      </c>
      <c r="CV492" t="s">
        <v>262</v>
      </c>
      <c r="CX492" t="s">
        <v>263</v>
      </c>
      <c r="CY492" t="s">
        <v>172</v>
      </c>
      <c r="DC492" t="s">
        <v>1589</v>
      </c>
      <c r="DD492">
        <v>4</v>
      </c>
      <c r="DE492" t="s">
        <v>307</v>
      </c>
      <c r="DF492" t="s">
        <v>988</v>
      </c>
      <c r="DG492">
        <v>201</v>
      </c>
      <c r="DL492" t="s">
        <v>173</v>
      </c>
      <c r="DM492" t="s">
        <v>172</v>
      </c>
      <c r="DP492" t="s">
        <v>173</v>
      </c>
      <c r="DQ492" t="s">
        <v>189</v>
      </c>
      <c r="DR492" t="s">
        <v>1661</v>
      </c>
      <c r="EA492" s="117"/>
      <c r="EB492">
        <v>9</v>
      </c>
      <c r="EC492">
        <v>10</v>
      </c>
      <c r="EE492" t="s">
        <v>1611</v>
      </c>
      <c r="EF492">
        <v>10</v>
      </c>
      <c r="EU492">
        <v>2500</v>
      </c>
      <c r="EW492">
        <v>0</v>
      </c>
      <c r="EX492">
        <v>0</v>
      </c>
      <c r="EY492">
        <v>0</v>
      </c>
      <c r="FA492">
        <v>14</v>
      </c>
      <c r="FG492" s="94">
        <v>357</v>
      </c>
      <c r="FH492" s="94">
        <v>315</v>
      </c>
      <c r="FI492" s="94">
        <v>338</v>
      </c>
    </row>
    <row r="493" spans="1:165" x14ac:dyDescent="0.35">
      <c r="A493">
        <v>2026</v>
      </c>
      <c r="B493" t="s">
        <v>1553</v>
      </c>
      <c r="C493" s="112" t="s">
        <v>1554</v>
      </c>
      <c r="D493" t="s">
        <v>1660</v>
      </c>
      <c r="E493" t="s">
        <v>1556</v>
      </c>
      <c r="F493">
        <v>103</v>
      </c>
      <c r="G493" s="113">
        <v>0</v>
      </c>
      <c r="I493" t="s">
        <v>1391</v>
      </c>
      <c r="J493">
        <v>45</v>
      </c>
      <c r="K493">
        <v>51</v>
      </c>
      <c r="L493">
        <v>47</v>
      </c>
      <c r="M493">
        <v>31.783200000000001</v>
      </c>
      <c r="N493">
        <v>36.023200000000003</v>
      </c>
      <c r="O493">
        <v>33.691200000000002</v>
      </c>
      <c r="P493">
        <v>44.6828</v>
      </c>
      <c r="Q493">
        <v>50.6023</v>
      </c>
      <c r="R493">
        <v>47.346600000000002</v>
      </c>
      <c r="V493" t="s">
        <v>170</v>
      </c>
      <c r="W493" t="s">
        <v>171</v>
      </c>
      <c r="Y493">
        <v>1</v>
      </c>
      <c r="Z493" t="s">
        <v>173</v>
      </c>
      <c r="AA493" t="s">
        <v>173</v>
      </c>
      <c r="AB493">
        <v>4</v>
      </c>
      <c r="AC493" t="s">
        <v>423</v>
      </c>
      <c r="AF493">
        <v>338</v>
      </c>
      <c r="AG493" t="s">
        <v>1392</v>
      </c>
      <c r="AH493" t="s">
        <v>1393</v>
      </c>
      <c r="AI493" t="s">
        <v>1399</v>
      </c>
      <c r="AJ493" t="s">
        <v>1400</v>
      </c>
      <c r="AK493">
        <v>4</v>
      </c>
      <c r="AL493" t="s">
        <v>1394</v>
      </c>
      <c r="AS493">
        <v>1200</v>
      </c>
      <c r="AT493">
        <v>1200</v>
      </c>
      <c r="BN493" s="114"/>
      <c r="BQ493">
        <v>33</v>
      </c>
      <c r="BR493" t="s">
        <v>1062</v>
      </c>
      <c r="BT493" t="s">
        <v>1402</v>
      </c>
      <c r="BU493" s="115">
        <v>45817</v>
      </c>
      <c r="BV493">
        <v>36668</v>
      </c>
      <c r="BW493" s="116"/>
      <c r="BY493" t="s">
        <v>173</v>
      </c>
      <c r="CB493" t="s">
        <v>173</v>
      </c>
      <c r="CC493" t="s">
        <v>173</v>
      </c>
      <c r="CK493" t="s">
        <v>259</v>
      </c>
      <c r="CM493">
        <v>1</v>
      </c>
      <c r="CN493" t="s">
        <v>260</v>
      </c>
      <c r="CP493">
        <v>392</v>
      </c>
      <c r="CQ493">
        <v>382</v>
      </c>
      <c r="CR493">
        <v>190</v>
      </c>
      <c r="CS493" t="s">
        <v>1437</v>
      </c>
      <c r="CV493" t="s">
        <v>262</v>
      </c>
      <c r="CX493" t="s">
        <v>263</v>
      </c>
      <c r="CY493" t="s">
        <v>172</v>
      </c>
      <c r="DC493" t="s">
        <v>1589</v>
      </c>
      <c r="DD493">
        <v>4</v>
      </c>
      <c r="DE493" t="s">
        <v>307</v>
      </c>
      <c r="DF493" t="s">
        <v>988</v>
      </c>
      <c r="DG493">
        <v>201</v>
      </c>
      <c r="DL493" t="s">
        <v>173</v>
      </c>
      <c r="DM493" t="s">
        <v>172</v>
      </c>
      <c r="DP493" t="s">
        <v>173</v>
      </c>
      <c r="DQ493" t="s">
        <v>189</v>
      </c>
      <c r="DR493" t="s">
        <v>1661</v>
      </c>
      <c r="EA493" s="117"/>
      <c r="EB493">
        <v>9</v>
      </c>
      <c r="EC493">
        <v>10</v>
      </c>
      <c r="EE493" t="s">
        <v>1611</v>
      </c>
      <c r="EF493">
        <v>10</v>
      </c>
      <c r="EU493">
        <v>2500</v>
      </c>
      <c r="EW493">
        <v>0</v>
      </c>
      <c r="EX493">
        <v>0</v>
      </c>
      <c r="EY493">
        <v>0</v>
      </c>
      <c r="FA493">
        <v>14</v>
      </c>
      <c r="FG493" s="94">
        <v>357</v>
      </c>
      <c r="FH493" s="94">
        <v>315</v>
      </c>
      <c r="FI493" s="94">
        <v>338</v>
      </c>
    </row>
    <row r="494" spans="1:165" x14ac:dyDescent="0.35">
      <c r="A494" s="19"/>
      <c r="B494" s="19"/>
      <c r="C494" s="19"/>
      <c r="D494" s="19"/>
      <c r="E494" s="19"/>
      <c r="F494" s="128"/>
      <c r="G494" s="19"/>
      <c r="H494" s="19"/>
      <c r="I494" s="19"/>
      <c r="J494" s="19"/>
      <c r="K494" s="19" t="str">
        <f>_xlfn.CONCAT(A495," ",C495," ",D495)</f>
        <v>2026 Rivian R1S Quad Max (22in)</v>
      </c>
      <c r="L494" s="19"/>
      <c r="M494" s="19"/>
      <c r="N494" s="19"/>
      <c r="O494" s="19"/>
      <c r="P494" s="19"/>
      <c r="Q494" s="19"/>
      <c r="R494" s="19"/>
      <c r="S494" s="19"/>
      <c r="T494" s="19"/>
      <c r="U494" s="19"/>
      <c r="V494" s="19"/>
      <c r="W494" s="19"/>
      <c r="X494" s="19"/>
      <c r="Y494" s="19"/>
      <c r="Z494" s="19"/>
      <c r="AA494" s="19"/>
      <c r="AB494" s="19" t="str">
        <f>$K494</f>
        <v>2026 Rivian R1S Quad Max (22in)</v>
      </c>
      <c r="AC494" s="19"/>
      <c r="AD494" s="19"/>
      <c r="AE494" s="19"/>
      <c r="AF494" s="19"/>
      <c r="AG494" s="19"/>
      <c r="AH494" s="19"/>
      <c r="AI494" s="19"/>
      <c r="AJ494" s="19"/>
      <c r="AK494" s="19"/>
      <c r="AL494" s="19"/>
      <c r="AM494" s="19"/>
      <c r="AN494" s="19"/>
      <c r="AO494" s="19"/>
      <c r="AP494" s="19"/>
      <c r="AQ494" s="19"/>
      <c r="AR494" s="19" t="str">
        <f>$K494</f>
        <v>2026 Rivian R1S Quad Max (22in)</v>
      </c>
      <c r="AS494" s="19"/>
      <c r="AT494" s="19"/>
      <c r="AU494" s="19"/>
      <c r="AV494" s="19"/>
      <c r="AW494" s="19"/>
      <c r="AX494" s="19"/>
      <c r="AY494" s="19"/>
      <c r="AZ494" s="19"/>
      <c r="BA494" s="19"/>
      <c r="BB494" s="19"/>
      <c r="BC494" s="19"/>
      <c r="BD494" s="19"/>
      <c r="BE494" s="19"/>
      <c r="BF494" s="19"/>
      <c r="BG494" s="19" t="str">
        <f>$K494</f>
        <v>2026 Rivian R1S Quad Max (22in)</v>
      </c>
      <c r="BH494" s="19"/>
      <c r="BI494" s="19"/>
      <c r="BJ494" s="19"/>
      <c r="BK494" s="19"/>
      <c r="BL494" s="19"/>
      <c r="BM494" s="129"/>
      <c r="BN494" s="19"/>
      <c r="BO494" s="19"/>
      <c r="BP494" s="19"/>
      <c r="BQ494" s="19"/>
      <c r="BR494" s="19"/>
      <c r="BS494" s="19"/>
      <c r="BT494" s="130"/>
      <c r="BU494" s="19"/>
      <c r="BV494" s="19"/>
      <c r="BW494" s="116"/>
      <c r="BX494" s="19"/>
      <c r="BY494" s="19"/>
      <c r="BZ494" s="19"/>
      <c r="CA494" s="19"/>
      <c r="CB494" s="19"/>
      <c r="CC494" s="19"/>
      <c r="CD494" s="19"/>
      <c r="CE494" s="19"/>
      <c r="CF494" s="19"/>
      <c r="CG494" s="19"/>
      <c r="CH494" s="19"/>
      <c r="CI494" s="19"/>
      <c r="CJ494" s="19"/>
      <c r="CK494" s="19"/>
      <c r="CL494" s="19"/>
      <c r="CM494" s="19" t="str">
        <f>$K494</f>
        <v>2026 Rivian R1S Quad Max (22in)</v>
      </c>
      <c r="CN494" s="19"/>
      <c r="CO494" s="19"/>
      <c r="CP494" s="19"/>
      <c r="CQ494" s="19"/>
      <c r="CR494" s="19"/>
      <c r="CS494" s="19"/>
      <c r="CT494" s="19"/>
      <c r="CU494" s="19"/>
      <c r="CV494" s="19"/>
      <c r="CW494" s="19"/>
      <c r="CX494" s="19"/>
      <c r="CY494" s="19"/>
      <c r="CZ494" s="19"/>
      <c r="DA494" s="19"/>
      <c r="DB494" s="19"/>
      <c r="DC494" s="19"/>
      <c r="DD494" s="19" t="str">
        <f>$K494</f>
        <v>2026 Rivian R1S Quad Max (22in)</v>
      </c>
      <c r="DE494" s="19"/>
      <c r="DF494" s="19"/>
      <c r="DG494" s="19"/>
      <c r="DH494" s="19"/>
      <c r="DI494" s="19"/>
      <c r="DJ494" s="19"/>
      <c r="DK494" s="19"/>
      <c r="DL494" s="19"/>
      <c r="DM494" s="19"/>
      <c r="DN494" s="19"/>
      <c r="DO494" s="19"/>
      <c r="DP494" s="19"/>
      <c r="DQ494" s="19"/>
      <c r="DR494" s="19"/>
      <c r="DS494" s="19"/>
      <c r="DT494" s="19"/>
      <c r="DU494" s="19" t="str">
        <f>$K494</f>
        <v>2026 Rivian R1S Quad Max (22in)</v>
      </c>
      <c r="DV494" s="19"/>
      <c r="DW494" s="19"/>
      <c r="DX494" s="19"/>
      <c r="DY494" s="19"/>
      <c r="DZ494" s="19"/>
      <c r="EA494" s="117"/>
      <c r="EB494" s="19"/>
      <c r="EC494" s="19"/>
      <c r="ED494" s="19"/>
      <c r="EE494" s="19"/>
      <c r="EF494" s="19"/>
      <c r="EX494" s="19" t="s">
        <v>2083</v>
      </c>
    </row>
    <row r="495" spans="1:165" x14ac:dyDescent="0.35">
      <c r="A495">
        <v>2026</v>
      </c>
      <c r="B495" t="s">
        <v>1553</v>
      </c>
      <c r="C495" s="112" t="s">
        <v>1554</v>
      </c>
      <c r="D495" t="s">
        <v>1664</v>
      </c>
      <c r="E495" t="s">
        <v>1556</v>
      </c>
      <c r="F495">
        <v>107</v>
      </c>
      <c r="G495" s="113">
        <v>0</v>
      </c>
      <c r="I495" t="s">
        <v>1391</v>
      </c>
      <c r="J495">
        <v>80</v>
      </c>
      <c r="K495">
        <v>71</v>
      </c>
      <c r="L495">
        <v>76</v>
      </c>
      <c r="M495">
        <v>110.4</v>
      </c>
      <c r="N495">
        <v>97.9</v>
      </c>
      <c r="O495">
        <v>104.4014</v>
      </c>
      <c r="P495">
        <v>80.324799999999996</v>
      </c>
      <c r="Q495">
        <v>71.230099999999993</v>
      </c>
      <c r="R495">
        <v>75.960400000000007</v>
      </c>
      <c r="V495" t="s">
        <v>170</v>
      </c>
      <c r="W495" t="s">
        <v>171</v>
      </c>
      <c r="Y495">
        <v>1</v>
      </c>
      <c r="Z495" t="s">
        <v>173</v>
      </c>
      <c r="AA495" t="s">
        <v>173</v>
      </c>
      <c r="AB495">
        <v>4</v>
      </c>
      <c r="AC495" t="s">
        <v>423</v>
      </c>
      <c r="AF495">
        <v>374</v>
      </c>
      <c r="AG495" t="s">
        <v>1392</v>
      </c>
      <c r="AH495" t="s">
        <v>1393</v>
      </c>
      <c r="AI495" t="s">
        <v>178</v>
      </c>
      <c r="AJ495" t="s">
        <v>179</v>
      </c>
      <c r="AK495">
        <v>4</v>
      </c>
      <c r="AL495" t="s">
        <v>1394</v>
      </c>
      <c r="AS495">
        <v>1150</v>
      </c>
      <c r="AT495">
        <v>1150</v>
      </c>
      <c r="BN495" s="114"/>
      <c r="BQ495">
        <v>33</v>
      </c>
      <c r="BR495" t="s">
        <v>1062</v>
      </c>
      <c r="BT495" t="s">
        <v>1402</v>
      </c>
      <c r="BU495" s="115">
        <v>45838</v>
      </c>
      <c r="BV495">
        <v>36896</v>
      </c>
      <c r="BW495" s="116"/>
      <c r="BY495" t="s">
        <v>173</v>
      </c>
      <c r="CB495" t="s">
        <v>173</v>
      </c>
      <c r="CC495" t="s">
        <v>173</v>
      </c>
      <c r="CK495" t="s">
        <v>259</v>
      </c>
      <c r="CM495">
        <v>1</v>
      </c>
      <c r="CN495" t="s">
        <v>260</v>
      </c>
      <c r="CP495">
        <v>392</v>
      </c>
      <c r="CQ495">
        <v>382</v>
      </c>
      <c r="CR495">
        <v>190</v>
      </c>
      <c r="CS495" t="s">
        <v>1437</v>
      </c>
      <c r="CV495" t="s">
        <v>262</v>
      </c>
      <c r="CX495" t="s">
        <v>263</v>
      </c>
      <c r="CY495" t="s">
        <v>172</v>
      </c>
      <c r="DC495" t="s">
        <v>1589</v>
      </c>
      <c r="DD495">
        <v>4</v>
      </c>
      <c r="DE495" t="s">
        <v>307</v>
      </c>
      <c r="DF495" t="s">
        <v>988</v>
      </c>
      <c r="DG495">
        <v>201</v>
      </c>
      <c r="DL495" t="s">
        <v>173</v>
      </c>
      <c r="DM495" t="s">
        <v>172</v>
      </c>
      <c r="DP495" t="s">
        <v>173</v>
      </c>
      <c r="DQ495" t="s">
        <v>189</v>
      </c>
      <c r="DR495" t="s">
        <v>1665</v>
      </c>
      <c r="EA495" s="117"/>
      <c r="EB495">
        <v>9</v>
      </c>
      <c r="EC495">
        <v>10</v>
      </c>
      <c r="EE495" t="s">
        <v>1611</v>
      </c>
      <c r="EF495">
        <v>10</v>
      </c>
      <c r="EU495">
        <v>2750</v>
      </c>
      <c r="EW495">
        <v>0</v>
      </c>
      <c r="EX495">
        <v>0</v>
      </c>
      <c r="EY495">
        <v>0</v>
      </c>
      <c r="FA495">
        <v>14</v>
      </c>
      <c r="FG495" s="94">
        <v>394</v>
      </c>
      <c r="FH495" s="94">
        <v>349</v>
      </c>
      <c r="FI495" s="94">
        <v>374</v>
      </c>
    </row>
    <row r="496" spans="1:165" x14ac:dyDescent="0.35">
      <c r="A496">
        <v>2026</v>
      </c>
      <c r="B496" t="s">
        <v>1553</v>
      </c>
      <c r="C496" s="112" t="s">
        <v>1554</v>
      </c>
      <c r="D496" t="s">
        <v>1664</v>
      </c>
      <c r="E496" t="s">
        <v>1556</v>
      </c>
      <c r="F496">
        <v>107</v>
      </c>
      <c r="G496" s="113">
        <v>0</v>
      </c>
      <c r="I496" t="s">
        <v>1391</v>
      </c>
      <c r="J496">
        <v>42</v>
      </c>
      <c r="K496">
        <v>47</v>
      </c>
      <c r="L496">
        <v>44</v>
      </c>
      <c r="M496">
        <v>30.529399999999999</v>
      </c>
      <c r="N496">
        <v>34.430900000000001</v>
      </c>
      <c r="O496">
        <v>32.2851</v>
      </c>
      <c r="P496">
        <v>41.960900000000002</v>
      </c>
      <c r="Q496">
        <v>47.3185</v>
      </c>
      <c r="R496">
        <v>44.3718</v>
      </c>
      <c r="V496" t="s">
        <v>170</v>
      </c>
      <c r="W496" t="s">
        <v>171</v>
      </c>
      <c r="Y496">
        <v>1</v>
      </c>
      <c r="Z496" t="s">
        <v>173</v>
      </c>
      <c r="AA496" t="s">
        <v>173</v>
      </c>
      <c r="AB496">
        <v>4</v>
      </c>
      <c r="AC496" t="s">
        <v>423</v>
      </c>
      <c r="AF496">
        <v>374</v>
      </c>
      <c r="AG496" t="s">
        <v>1392</v>
      </c>
      <c r="AH496" t="s">
        <v>1393</v>
      </c>
      <c r="AI496" t="s">
        <v>1399</v>
      </c>
      <c r="AJ496" t="s">
        <v>1400</v>
      </c>
      <c r="AK496">
        <v>4</v>
      </c>
      <c r="AL496" t="s">
        <v>1394</v>
      </c>
      <c r="AS496">
        <v>1150</v>
      </c>
      <c r="AT496">
        <v>1150</v>
      </c>
      <c r="BN496" s="114"/>
      <c r="BQ496">
        <v>33</v>
      </c>
      <c r="BR496" t="s">
        <v>1062</v>
      </c>
      <c r="BT496" t="s">
        <v>1402</v>
      </c>
      <c r="BU496" s="115">
        <v>45838</v>
      </c>
      <c r="BV496">
        <v>36896</v>
      </c>
      <c r="BW496" s="116"/>
      <c r="BY496" t="s">
        <v>173</v>
      </c>
      <c r="CB496" t="s">
        <v>173</v>
      </c>
      <c r="CC496" t="s">
        <v>173</v>
      </c>
      <c r="CK496" t="s">
        <v>259</v>
      </c>
      <c r="CM496">
        <v>1</v>
      </c>
      <c r="CN496" t="s">
        <v>260</v>
      </c>
      <c r="CP496">
        <v>392</v>
      </c>
      <c r="CQ496">
        <v>382</v>
      </c>
      <c r="CR496">
        <v>190</v>
      </c>
      <c r="CS496" t="s">
        <v>1437</v>
      </c>
      <c r="CV496" t="s">
        <v>262</v>
      </c>
      <c r="CX496" t="s">
        <v>263</v>
      </c>
      <c r="CY496" t="s">
        <v>172</v>
      </c>
      <c r="DC496" t="s">
        <v>1589</v>
      </c>
      <c r="DD496">
        <v>4</v>
      </c>
      <c r="DE496" t="s">
        <v>307</v>
      </c>
      <c r="DF496" t="s">
        <v>988</v>
      </c>
      <c r="DG496">
        <v>201</v>
      </c>
      <c r="DL496" t="s">
        <v>173</v>
      </c>
      <c r="DM496" t="s">
        <v>172</v>
      </c>
      <c r="DP496" t="s">
        <v>173</v>
      </c>
      <c r="DQ496" t="s">
        <v>189</v>
      </c>
      <c r="DR496" t="s">
        <v>1665</v>
      </c>
      <c r="EA496" s="117"/>
      <c r="EB496">
        <v>9</v>
      </c>
      <c r="EC496">
        <v>10</v>
      </c>
      <c r="EE496" t="s">
        <v>1611</v>
      </c>
      <c r="EF496">
        <v>10</v>
      </c>
      <c r="EU496">
        <v>2750</v>
      </c>
      <c r="EW496">
        <v>0</v>
      </c>
      <c r="EX496">
        <v>0</v>
      </c>
      <c r="EY496">
        <v>0</v>
      </c>
      <c r="FA496">
        <v>14</v>
      </c>
      <c r="FG496" s="94">
        <v>394</v>
      </c>
      <c r="FH496" s="94">
        <v>349</v>
      </c>
      <c r="FI496" s="94">
        <v>374</v>
      </c>
    </row>
    <row r="497" spans="1:165" x14ac:dyDescent="0.35">
      <c r="A497" s="19"/>
      <c r="B497" s="19"/>
      <c r="C497" s="19"/>
      <c r="D497" s="19"/>
      <c r="E497" s="19"/>
      <c r="F497" s="128"/>
      <c r="G497" s="19"/>
      <c r="H497" s="19"/>
      <c r="I497" s="19"/>
      <c r="J497" s="19"/>
      <c r="K497" s="19" t="str">
        <f>_xlfn.CONCAT(A498," ",C498," ",D498)</f>
        <v>2026 Rivian R1S Tri Max (22in)</v>
      </c>
      <c r="L497" s="19"/>
      <c r="M497" s="19"/>
      <c r="N497" s="19"/>
      <c r="O497" s="19"/>
      <c r="P497" s="19"/>
      <c r="Q497" s="19"/>
      <c r="R497" s="19"/>
      <c r="S497" s="19"/>
      <c r="T497" s="19"/>
      <c r="U497" s="19"/>
      <c r="V497" s="19"/>
      <c r="W497" s="19"/>
      <c r="X497" s="19"/>
      <c r="Y497" s="19"/>
      <c r="Z497" s="19"/>
      <c r="AA497" s="19"/>
      <c r="AB497" s="19" t="str">
        <f>$K497</f>
        <v>2026 Rivian R1S Tri Max (22in)</v>
      </c>
      <c r="AC497" s="19"/>
      <c r="AD497" s="19"/>
      <c r="AE497" s="19"/>
      <c r="AF497" s="19"/>
      <c r="AG497" s="19"/>
      <c r="AH497" s="19"/>
      <c r="AI497" s="19"/>
      <c r="AJ497" s="19"/>
      <c r="AK497" s="19"/>
      <c r="AL497" s="19"/>
      <c r="AM497" s="19"/>
      <c r="AN497" s="19"/>
      <c r="AO497" s="19"/>
      <c r="AP497" s="19"/>
      <c r="AQ497" s="19"/>
      <c r="AR497" s="19" t="str">
        <f>$K497</f>
        <v>2026 Rivian R1S Tri Max (22in)</v>
      </c>
      <c r="AS497" s="19"/>
      <c r="AT497" s="19"/>
      <c r="AU497" s="19"/>
      <c r="AV497" s="19"/>
      <c r="AW497" s="19"/>
      <c r="AX497" s="19"/>
      <c r="AY497" s="19"/>
      <c r="AZ497" s="19"/>
      <c r="BA497" s="19"/>
      <c r="BB497" s="19"/>
      <c r="BC497" s="19"/>
      <c r="BD497" s="19"/>
      <c r="BE497" s="19"/>
      <c r="BF497" s="19"/>
      <c r="BG497" s="19" t="str">
        <f>$K497</f>
        <v>2026 Rivian R1S Tri Max (22in)</v>
      </c>
      <c r="BH497" s="19"/>
      <c r="BI497" s="19"/>
      <c r="BJ497" s="19"/>
      <c r="BK497" s="19"/>
      <c r="BL497" s="19"/>
      <c r="BM497" s="129"/>
      <c r="BN497" s="19"/>
      <c r="BO497" s="19"/>
      <c r="BP497" s="19"/>
      <c r="BQ497" s="19"/>
      <c r="BR497" s="19"/>
      <c r="BS497" s="19"/>
      <c r="BT497" s="130"/>
      <c r="BU497" s="19"/>
      <c r="BV497" s="19"/>
      <c r="BW497" s="116"/>
      <c r="BX497" s="19"/>
      <c r="BY497" s="19"/>
      <c r="BZ497" s="19"/>
      <c r="CA497" s="19"/>
      <c r="CB497" s="19"/>
      <c r="CC497" s="19"/>
      <c r="CD497" s="19"/>
      <c r="CE497" s="19"/>
      <c r="CF497" s="19"/>
      <c r="CG497" s="19"/>
      <c r="CH497" s="19"/>
      <c r="CI497" s="19"/>
      <c r="CJ497" s="19"/>
      <c r="CK497" s="19"/>
      <c r="CL497" s="19"/>
      <c r="CM497" s="19" t="str">
        <f>$K497</f>
        <v>2026 Rivian R1S Tri Max (22in)</v>
      </c>
      <c r="CN497" s="19"/>
      <c r="CO497" s="19"/>
      <c r="CP497" s="19"/>
      <c r="CQ497" s="19"/>
      <c r="CR497" s="19"/>
      <c r="CS497" s="19"/>
      <c r="CT497" s="19"/>
      <c r="CU497" s="19"/>
      <c r="CV497" s="19"/>
      <c r="CW497" s="19"/>
      <c r="CX497" s="19"/>
      <c r="CY497" s="19"/>
      <c r="CZ497" s="19"/>
      <c r="DA497" s="19"/>
      <c r="DB497" s="19"/>
      <c r="DC497" s="19"/>
      <c r="DD497" s="19" t="str">
        <f>$K497</f>
        <v>2026 Rivian R1S Tri Max (22in)</v>
      </c>
      <c r="DE497" s="19"/>
      <c r="DF497" s="19"/>
      <c r="DG497" s="19"/>
      <c r="DH497" s="19"/>
      <c r="DI497" s="19"/>
      <c r="DJ497" s="19"/>
      <c r="DK497" s="19"/>
      <c r="DL497" s="19"/>
      <c r="DM497" s="19"/>
      <c r="DN497" s="19"/>
      <c r="DO497" s="19"/>
      <c r="DP497" s="19"/>
      <c r="DQ497" s="19"/>
      <c r="DR497" s="19"/>
      <c r="DS497" s="19"/>
      <c r="DT497" s="19"/>
      <c r="DU497" s="19" t="str">
        <f>$K497</f>
        <v>2026 Rivian R1S Tri Max (22in)</v>
      </c>
      <c r="DV497" s="19"/>
      <c r="DW497" s="19"/>
      <c r="DX497" s="19"/>
      <c r="DY497" s="19"/>
      <c r="DZ497" s="19"/>
      <c r="EA497" s="117"/>
      <c r="EB497" s="19"/>
      <c r="EC497" s="19"/>
      <c r="ED497" s="19"/>
      <c r="EE497" s="19"/>
      <c r="EF497" s="19"/>
      <c r="EX497" s="19" t="s">
        <v>2084</v>
      </c>
    </row>
    <row r="498" spans="1:165" x14ac:dyDescent="0.35">
      <c r="A498">
        <v>2026</v>
      </c>
      <c r="B498" t="s">
        <v>1553</v>
      </c>
      <c r="C498" s="112" t="s">
        <v>1554</v>
      </c>
      <c r="D498" t="s">
        <v>1644</v>
      </c>
      <c r="E498" t="s">
        <v>1556</v>
      </c>
      <c r="F498">
        <v>88</v>
      </c>
      <c r="G498" s="113">
        <v>0</v>
      </c>
      <c r="I498" t="s">
        <v>1391</v>
      </c>
      <c r="J498">
        <v>81</v>
      </c>
      <c r="K498">
        <v>70</v>
      </c>
      <c r="L498">
        <v>76</v>
      </c>
      <c r="M498">
        <v>113.6</v>
      </c>
      <c r="N498">
        <v>98</v>
      </c>
      <c r="O498">
        <v>106.0065</v>
      </c>
      <c r="P498">
        <v>81.036600000000007</v>
      </c>
      <c r="Q498">
        <v>69.908299999999997</v>
      </c>
      <c r="R498">
        <v>75.619699999999995</v>
      </c>
      <c r="V498" t="s">
        <v>170</v>
      </c>
      <c r="W498" t="s">
        <v>171</v>
      </c>
      <c r="Y498">
        <v>1</v>
      </c>
      <c r="Z498" t="s">
        <v>173</v>
      </c>
      <c r="AA498" t="s">
        <v>173</v>
      </c>
      <c r="AB498">
        <v>4</v>
      </c>
      <c r="AC498" t="s">
        <v>423</v>
      </c>
      <c r="AF498">
        <v>371</v>
      </c>
      <c r="AG498" t="s">
        <v>1392</v>
      </c>
      <c r="AH498" t="s">
        <v>1393</v>
      </c>
      <c r="AI498" t="s">
        <v>178</v>
      </c>
      <c r="AJ498" t="s">
        <v>179</v>
      </c>
      <c r="AK498">
        <v>4</v>
      </c>
      <c r="AL498" t="s">
        <v>1394</v>
      </c>
      <c r="AS498">
        <v>1150</v>
      </c>
      <c r="AT498">
        <v>1150</v>
      </c>
      <c r="BN498" s="114"/>
      <c r="BQ498">
        <v>33</v>
      </c>
      <c r="BR498" t="s">
        <v>1062</v>
      </c>
      <c r="BT498" t="s">
        <v>1402</v>
      </c>
      <c r="BU498" s="115">
        <v>45792</v>
      </c>
      <c r="BV498">
        <v>36511</v>
      </c>
      <c r="BW498" s="116"/>
      <c r="BY498" t="s">
        <v>173</v>
      </c>
      <c r="CB498" t="s">
        <v>173</v>
      </c>
      <c r="CC498" t="s">
        <v>173</v>
      </c>
      <c r="CK498" t="s">
        <v>259</v>
      </c>
      <c r="CM498">
        <v>1</v>
      </c>
      <c r="CN498" t="s">
        <v>260</v>
      </c>
      <c r="CP498">
        <v>392</v>
      </c>
      <c r="CQ498">
        <v>382</v>
      </c>
      <c r="CR498">
        <v>190</v>
      </c>
      <c r="CS498" t="s">
        <v>1437</v>
      </c>
      <c r="CV498" t="s">
        <v>262</v>
      </c>
      <c r="CX498" t="s">
        <v>263</v>
      </c>
      <c r="CY498" t="s">
        <v>172</v>
      </c>
      <c r="DC498" t="s">
        <v>1589</v>
      </c>
      <c r="DD498">
        <v>3</v>
      </c>
      <c r="DE498" t="s">
        <v>307</v>
      </c>
      <c r="DF498" t="s">
        <v>988</v>
      </c>
      <c r="DG498" t="s">
        <v>1590</v>
      </c>
      <c r="DL498" t="s">
        <v>173</v>
      </c>
      <c r="DM498" t="s">
        <v>172</v>
      </c>
      <c r="DP498" t="s">
        <v>173</v>
      </c>
      <c r="DQ498" t="s">
        <v>189</v>
      </c>
      <c r="DR498" t="s">
        <v>1645</v>
      </c>
      <c r="EA498" s="117"/>
      <c r="EB498">
        <v>9</v>
      </c>
      <c r="EC498">
        <v>10</v>
      </c>
      <c r="EE498" t="s">
        <v>1592</v>
      </c>
      <c r="EF498">
        <v>10</v>
      </c>
      <c r="EU498">
        <v>2750</v>
      </c>
      <c r="EW498">
        <v>0</v>
      </c>
      <c r="EX498">
        <v>0</v>
      </c>
      <c r="EY498">
        <v>0</v>
      </c>
      <c r="FA498">
        <v>15</v>
      </c>
      <c r="FG498" s="94">
        <v>395</v>
      </c>
      <c r="FH498" s="94">
        <v>341</v>
      </c>
      <c r="FI498" s="94">
        <v>371</v>
      </c>
    </row>
    <row r="499" spans="1:165" x14ac:dyDescent="0.35">
      <c r="A499">
        <v>2026</v>
      </c>
      <c r="B499" t="s">
        <v>1553</v>
      </c>
      <c r="C499" s="112" t="s">
        <v>1554</v>
      </c>
      <c r="D499" t="s">
        <v>1644</v>
      </c>
      <c r="E499" t="s">
        <v>1556</v>
      </c>
      <c r="F499">
        <v>88</v>
      </c>
      <c r="G499" s="113">
        <v>0</v>
      </c>
      <c r="I499" t="s">
        <v>1391</v>
      </c>
      <c r="J499">
        <v>42</v>
      </c>
      <c r="K499">
        <v>48</v>
      </c>
      <c r="L499">
        <v>45</v>
      </c>
      <c r="M499">
        <v>29.6723</v>
      </c>
      <c r="N499">
        <v>34.404600000000002</v>
      </c>
      <c r="O499">
        <v>31.802199999999999</v>
      </c>
      <c r="P499">
        <v>41.592300000000002</v>
      </c>
      <c r="Q499">
        <v>48.213200000000001</v>
      </c>
      <c r="R499">
        <v>44.5717</v>
      </c>
      <c r="V499" t="s">
        <v>170</v>
      </c>
      <c r="W499" t="s">
        <v>171</v>
      </c>
      <c r="Y499">
        <v>1</v>
      </c>
      <c r="Z499" t="s">
        <v>173</v>
      </c>
      <c r="AA499" t="s">
        <v>173</v>
      </c>
      <c r="AB499">
        <v>4</v>
      </c>
      <c r="AC499" t="s">
        <v>423</v>
      </c>
      <c r="AF499">
        <v>371</v>
      </c>
      <c r="AG499" t="s">
        <v>1392</v>
      </c>
      <c r="AH499" t="s">
        <v>1393</v>
      </c>
      <c r="AI499" t="s">
        <v>1399</v>
      </c>
      <c r="AJ499" t="s">
        <v>1400</v>
      </c>
      <c r="AK499">
        <v>4</v>
      </c>
      <c r="AL499" t="s">
        <v>1394</v>
      </c>
      <c r="AS499">
        <v>1150</v>
      </c>
      <c r="AT499">
        <v>1150</v>
      </c>
      <c r="BN499" s="114"/>
      <c r="BQ499">
        <v>33</v>
      </c>
      <c r="BR499" t="s">
        <v>1062</v>
      </c>
      <c r="BT499" t="s">
        <v>1402</v>
      </c>
      <c r="BU499" s="115">
        <v>45792</v>
      </c>
      <c r="BV499">
        <v>36511</v>
      </c>
      <c r="BW499" s="116"/>
      <c r="BY499" t="s">
        <v>173</v>
      </c>
      <c r="CB499" t="s">
        <v>173</v>
      </c>
      <c r="CC499" t="s">
        <v>173</v>
      </c>
      <c r="CK499" t="s">
        <v>259</v>
      </c>
      <c r="CM499">
        <v>1</v>
      </c>
      <c r="CN499" t="s">
        <v>260</v>
      </c>
      <c r="CP499">
        <v>392</v>
      </c>
      <c r="CQ499">
        <v>382</v>
      </c>
      <c r="CR499">
        <v>190</v>
      </c>
      <c r="CS499" t="s">
        <v>1437</v>
      </c>
      <c r="CV499" t="s">
        <v>262</v>
      </c>
      <c r="CX499" t="s">
        <v>263</v>
      </c>
      <c r="CY499" t="s">
        <v>172</v>
      </c>
      <c r="DC499" t="s">
        <v>1589</v>
      </c>
      <c r="DD499">
        <v>3</v>
      </c>
      <c r="DE499" t="s">
        <v>307</v>
      </c>
      <c r="DF499" t="s">
        <v>988</v>
      </c>
      <c r="DG499" t="s">
        <v>1590</v>
      </c>
      <c r="DL499" t="s">
        <v>173</v>
      </c>
      <c r="DM499" t="s">
        <v>172</v>
      </c>
      <c r="DP499" t="s">
        <v>173</v>
      </c>
      <c r="DQ499" t="s">
        <v>189</v>
      </c>
      <c r="DR499" t="s">
        <v>1645</v>
      </c>
      <c r="EA499" s="117"/>
      <c r="EB499">
        <v>9</v>
      </c>
      <c r="EC499">
        <v>10</v>
      </c>
      <c r="EE499" t="s">
        <v>1592</v>
      </c>
      <c r="EF499">
        <v>10</v>
      </c>
      <c r="EU499">
        <v>2750</v>
      </c>
      <c r="EW499">
        <v>0</v>
      </c>
      <c r="EX499">
        <v>0</v>
      </c>
      <c r="EY499">
        <v>0</v>
      </c>
      <c r="FA499">
        <v>15</v>
      </c>
      <c r="FG499" s="94">
        <v>395</v>
      </c>
      <c r="FH499" s="94">
        <v>341</v>
      </c>
      <c r="FI499" s="94">
        <v>371</v>
      </c>
    </row>
    <row r="500" spans="1:165" x14ac:dyDescent="0.35">
      <c r="A500" s="19"/>
      <c r="B500" s="19"/>
      <c r="C500" s="19"/>
      <c r="D500" s="19"/>
      <c r="E500" s="19"/>
      <c r="F500" s="128"/>
      <c r="G500" s="19"/>
      <c r="H500" s="19"/>
      <c r="I500" s="19"/>
      <c r="J500" s="19"/>
      <c r="K500" s="19" t="str">
        <f>_xlfn.CONCAT(A501," ",C501," ",D501)</f>
        <v>2026 Rolls-Royce Motor Cars Limited Black Badge Spectre (22'' Wheels)</v>
      </c>
      <c r="L500" s="19"/>
      <c r="M500" s="19"/>
      <c r="N500" s="19"/>
      <c r="O500" s="19"/>
      <c r="P500" s="19"/>
      <c r="Q500" s="19"/>
      <c r="R500" s="19"/>
      <c r="S500" s="19"/>
      <c r="T500" s="19"/>
      <c r="U500" s="19"/>
      <c r="V500" s="19"/>
      <c r="W500" s="19"/>
      <c r="X500" s="19"/>
      <c r="Y500" s="19"/>
      <c r="Z500" s="19"/>
      <c r="AA500" s="19"/>
      <c r="AB500" s="19" t="str">
        <f>$K500</f>
        <v>2026 Rolls-Royce Motor Cars Limited Black Badge Spectre (22'' Wheels)</v>
      </c>
      <c r="AC500" s="19"/>
      <c r="AD500" s="19"/>
      <c r="AE500" s="19"/>
      <c r="AF500" s="19"/>
      <c r="AG500" s="19"/>
      <c r="AH500" s="19"/>
      <c r="AI500" s="19"/>
      <c r="AJ500" s="19"/>
      <c r="AK500" s="19"/>
      <c r="AL500" s="19"/>
      <c r="AM500" s="19"/>
      <c r="AN500" s="19"/>
      <c r="AO500" s="19"/>
      <c r="AP500" s="19"/>
      <c r="AQ500" s="19"/>
      <c r="AR500" s="19" t="str">
        <f>$K500</f>
        <v>2026 Rolls-Royce Motor Cars Limited Black Badge Spectre (22'' Wheels)</v>
      </c>
      <c r="AS500" s="19"/>
      <c r="AT500" s="19"/>
      <c r="AU500" s="19"/>
      <c r="AV500" s="19"/>
      <c r="AW500" s="19"/>
      <c r="AX500" s="19"/>
      <c r="AY500" s="19"/>
      <c r="AZ500" s="19"/>
      <c r="BA500" s="19"/>
      <c r="BB500" s="19"/>
      <c r="BC500" s="19"/>
      <c r="BD500" s="19"/>
      <c r="BE500" s="19"/>
      <c r="BF500" s="19"/>
      <c r="BG500" s="19" t="str">
        <f>$K500</f>
        <v>2026 Rolls-Royce Motor Cars Limited Black Badge Spectre (22'' Wheels)</v>
      </c>
      <c r="BH500" s="19"/>
      <c r="BI500" s="19"/>
      <c r="BJ500" s="19"/>
      <c r="BK500" s="19"/>
      <c r="BL500" s="19"/>
      <c r="BM500" s="129"/>
      <c r="BN500" s="19"/>
      <c r="BO500" s="19"/>
      <c r="BP500" s="19"/>
      <c r="BQ500" s="19"/>
      <c r="BR500" s="19"/>
      <c r="BS500" s="19"/>
      <c r="BT500" s="130"/>
      <c r="BU500" s="19"/>
      <c r="BV500" s="19"/>
      <c r="BW500" s="116"/>
      <c r="BX500" s="19"/>
      <c r="BY500" s="19"/>
      <c r="BZ500" s="19"/>
      <c r="CA500" s="19"/>
      <c r="CB500" s="19"/>
      <c r="CC500" s="19"/>
      <c r="CD500" s="19"/>
      <c r="CE500" s="19"/>
      <c r="CF500" s="19"/>
      <c r="CG500" s="19"/>
      <c r="CH500" s="19"/>
      <c r="CI500" s="19"/>
      <c r="CJ500" s="19"/>
      <c r="CK500" s="19"/>
      <c r="CL500" s="19"/>
      <c r="CM500" s="19" t="str">
        <f>$K500</f>
        <v>2026 Rolls-Royce Motor Cars Limited Black Badge Spectre (22'' Wheels)</v>
      </c>
      <c r="CN500" s="19"/>
      <c r="CO500" s="19"/>
      <c r="CP500" s="19"/>
      <c r="CQ500" s="19"/>
      <c r="CR500" s="19"/>
      <c r="CS500" s="19"/>
      <c r="CT500" s="19"/>
      <c r="CU500" s="19"/>
      <c r="CV500" s="19"/>
      <c r="CW500" s="19"/>
      <c r="CX500" s="19"/>
      <c r="CY500" s="19"/>
      <c r="CZ500" s="19"/>
      <c r="DA500" s="19"/>
      <c r="DB500" s="19"/>
      <c r="DC500" s="19"/>
      <c r="DD500" s="19" t="str">
        <f>$K500</f>
        <v>2026 Rolls-Royce Motor Cars Limited Black Badge Spectre (22'' Wheels)</v>
      </c>
      <c r="DE500" s="19"/>
      <c r="DF500" s="19"/>
      <c r="DG500" s="19"/>
      <c r="DH500" s="19"/>
      <c r="DI500" s="19"/>
      <c r="DJ500" s="19"/>
      <c r="DK500" s="19"/>
      <c r="DL500" s="19"/>
      <c r="DM500" s="19"/>
      <c r="DN500" s="19"/>
      <c r="DO500" s="19"/>
      <c r="DP500" s="19"/>
      <c r="DQ500" s="19"/>
      <c r="DR500" s="19"/>
      <c r="DS500" s="19"/>
      <c r="DT500" s="19"/>
      <c r="DU500" s="19" t="str">
        <f>$K500</f>
        <v>2026 Rolls-Royce Motor Cars Limited Black Badge Spectre (22'' Wheels)</v>
      </c>
      <c r="DV500" s="19"/>
      <c r="DW500" s="19"/>
      <c r="DX500" s="19"/>
      <c r="DY500" s="19"/>
      <c r="DZ500" s="19"/>
      <c r="EA500" s="117"/>
      <c r="EB500" s="19"/>
      <c r="EC500" s="19"/>
      <c r="ED500" s="19"/>
      <c r="EE500" s="19"/>
      <c r="EF500" s="19"/>
      <c r="EX500" s="19" t="s">
        <v>2085</v>
      </c>
    </row>
    <row r="501" spans="1:165" x14ac:dyDescent="0.35">
      <c r="A501">
        <v>2026</v>
      </c>
      <c r="B501" t="s">
        <v>598</v>
      </c>
      <c r="C501" s="112" t="s">
        <v>599</v>
      </c>
      <c r="D501" t="s">
        <v>1704</v>
      </c>
      <c r="E501" t="s">
        <v>601</v>
      </c>
      <c r="F501">
        <v>25</v>
      </c>
      <c r="G501" s="113">
        <v>0</v>
      </c>
      <c r="I501" t="s">
        <v>1391</v>
      </c>
      <c r="J501">
        <v>70</v>
      </c>
      <c r="K501">
        <v>80</v>
      </c>
      <c r="L501">
        <v>74</v>
      </c>
      <c r="M501">
        <v>100.3</v>
      </c>
      <c r="N501">
        <v>113.9</v>
      </c>
      <c r="O501">
        <v>105.9953</v>
      </c>
      <c r="P501">
        <v>70.209999999999994</v>
      </c>
      <c r="Q501">
        <v>79.73</v>
      </c>
      <c r="R501">
        <v>74.196700000000007</v>
      </c>
      <c r="V501" t="s">
        <v>170</v>
      </c>
      <c r="W501" t="s">
        <v>171</v>
      </c>
      <c r="Y501">
        <v>1</v>
      </c>
      <c r="Z501" t="s">
        <v>173</v>
      </c>
      <c r="AA501" t="s">
        <v>173</v>
      </c>
      <c r="AB501" t="s">
        <v>170</v>
      </c>
      <c r="AC501" t="s">
        <v>232</v>
      </c>
      <c r="AF501">
        <v>266</v>
      </c>
      <c r="AG501" t="s">
        <v>1392</v>
      </c>
      <c r="AH501" t="s">
        <v>1393</v>
      </c>
      <c r="AI501" t="s">
        <v>178</v>
      </c>
      <c r="AJ501" t="s">
        <v>179</v>
      </c>
      <c r="AK501" t="s">
        <v>173</v>
      </c>
      <c r="AL501" t="s">
        <v>180</v>
      </c>
      <c r="AM501">
        <v>94</v>
      </c>
      <c r="AN501">
        <v>10</v>
      </c>
      <c r="AS501">
        <v>1150</v>
      </c>
      <c r="AT501">
        <v>1150</v>
      </c>
      <c r="BN501" s="114"/>
      <c r="BQ501">
        <v>4</v>
      </c>
      <c r="BR501" t="s">
        <v>373</v>
      </c>
      <c r="BS501" t="s">
        <v>182</v>
      </c>
      <c r="BT501" t="s">
        <v>1402</v>
      </c>
      <c r="BU501" s="115">
        <v>45870</v>
      </c>
      <c r="BV501">
        <v>37216</v>
      </c>
      <c r="BW501" s="116"/>
      <c r="BX501" t="s">
        <v>172</v>
      </c>
      <c r="BY501" t="s">
        <v>173</v>
      </c>
      <c r="CB501" t="s">
        <v>173</v>
      </c>
      <c r="CC501" t="s">
        <v>173</v>
      </c>
      <c r="CK501" t="s">
        <v>259</v>
      </c>
      <c r="CM501">
        <v>1</v>
      </c>
      <c r="CN501" t="s">
        <v>260</v>
      </c>
      <c r="CP501">
        <v>376</v>
      </c>
      <c r="CQ501">
        <v>280.8</v>
      </c>
      <c r="CR501">
        <v>156</v>
      </c>
      <c r="CS501" t="s">
        <v>261</v>
      </c>
      <c r="CV501" t="s">
        <v>262</v>
      </c>
      <c r="CX501" t="s">
        <v>263</v>
      </c>
      <c r="CY501" t="s">
        <v>173</v>
      </c>
      <c r="DC501" t="s">
        <v>1412</v>
      </c>
      <c r="DD501">
        <v>2</v>
      </c>
      <c r="DE501" t="s">
        <v>307</v>
      </c>
      <c r="DF501" t="s">
        <v>308</v>
      </c>
      <c r="DG501" t="s">
        <v>1424</v>
      </c>
      <c r="DL501" t="s">
        <v>173</v>
      </c>
      <c r="DM501" t="s">
        <v>172</v>
      </c>
      <c r="DP501" t="s">
        <v>173</v>
      </c>
      <c r="DQ501" t="s">
        <v>189</v>
      </c>
      <c r="EA501" s="117"/>
      <c r="EB501">
        <v>9</v>
      </c>
      <c r="EC501">
        <v>10</v>
      </c>
      <c r="EE501" t="s">
        <v>1705</v>
      </c>
      <c r="EF501">
        <v>10</v>
      </c>
      <c r="EU501">
        <v>2750</v>
      </c>
      <c r="EW501">
        <v>0</v>
      </c>
      <c r="EX501">
        <v>0</v>
      </c>
      <c r="EY501">
        <v>0</v>
      </c>
      <c r="FA501">
        <v>10</v>
      </c>
      <c r="FG501" s="94">
        <v>251</v>
      </c>
      <c r="FH501" s="94">
        <v>285</v>
      </c>
      <c r="FI501" s="94">
        <v>266</v>
      </c>
    </row>
    <row r="502" spans="1:165" x14ac:dyDescent="0.35">
      <c r="A502">
        <v>2026</v>
      </c>
      <c r="B502" t="s">
        <v>598</v>
      </c>
      <c r="C502" s="112" t="s">
        <v>599</v>
      </c>
      <c r="D502" t="s">
        <v>1704</v>
      </c>
      <c r="E502" t="s">
        <v>601</v>
      </c>
      <c r="F502">
        <v>25</v>
      </c>
      <c r="G502" s="113">
        <v>0</v>
      </c>
      <c r="I502" t="s">
        <v>1391</v>
      </c>
      <c r="J502">
        <v>48</v>
      </c>
      <c r="K502">
        <v>42</v>
      </c>
      <c r="L502">
        <v>45</v>
      </c>
      <c r="M502">
        <v>33.602400000000003</v>
      </c>
      <c r="N502">
        <v>29.600200000000001</v>
      </c>
      <c r="O502">
        <v>31.801400000000001</v>
      </c>
      <c r="P502">
        <v>48.006</v>
      </c>
      <c r="Q502">
        <v>42.273899999999998</v>
      </c>
      <c r="R502">
        <v>45.426499999999997</v>
      </c>
      <c r="V502" t="s">
        <v>170</v>
      </c>
      <c r="W502" t="s">
        <v>171</v>
      </c>
      <c r="Y502">
        <v>1</v>
      </c>
      <c r="Z502" t="s">
        <v>173</v>
      </c>
      <c r="AA502" t="s">
        <v>173</v>
      </c>
      <c r="AB502" t="s">
        <v>170</v>
      </c>
      <c r="AC502" t="s">
        <v>232</v>
      </c>
      <c r="AF502">
        <v>266</v>
      </c>
      <c r="AG502" t="s">
        <v>1392</v>
      </c>
      <c r="AH502" t="s">
        <v>1393</v>
      </c>
      <c r="AI502" t="s">
        <v>1399</v>
      </c>
      <c r="AJ502" t="s">
        <v>1400</v>
      </c>
      <c r="AK502" t="s">
        <v>173</v>
      </c>
      <c r="AL502" t="s">
        <v>180</v>
      </c>
      <c r="AM502">
        <v>94</v>
      </c>
      <c r="AN502">
        <v>10</v>
      </c>
      <c r="AS502">
        <v>1150</v>
      </c>
      <c r="AT502">
        <v>1150</v>
      </c>
      <c r="BN502" s="114"/>
      <c r="BQ502">
        <v>4</v>
      </c>
      <c r="BR502" t="s">
        <v>373</v>
      </c>
      <c r="BS502" t="s">
        <v>182</v>
      </c>
      <c r="BT502" t="s">
        <v>1402</v>
      </c>
      <c r="BU502" s="115">
        <v>45870</v>
      </c>
      <c r="BV502">
        <v>37216</v>
      </c>
      <c r="BW502" s="116"/>
      <c r="BX502" t="s">
        <v>172</v>
      </c>
      <c r="BY502" t="s">
        <v>173</v>
      </c>
      <c r="CB502" t="s">
        <v>173</v>
      </c>
      <c r="CC502" t="s">
        <v>173</v>
      </c>
      <c r="CK502" t="s">
        <v>259</v>
      </c>
      <c r="CM502">
        <v>1</v>
      </c>
      <c r="CN502" t="s">
        <v>260</v>
      </c>
      <c r="CP502">
        <v>376</v>
      </c>
      <c r="CQ502">
        <v>280.8</v>
      </c>
      <c r="CR502">
        <v>156</v>
      </c>
      <c r="CS502" t="s">
        <v>261</v>
      </c>
      <c r="CV502" t="s">
        <v>262</v>
      </c>
      <c r="CX502" t="s">
        <v>263</v>
      </c>
      <c r="CY502" t="s">
        <v>173</v>
      </c>
      <c r="DC502" t="s">
        <v>1412</v>
      </c>
      <c r="DD502">
        <v>2</v>
      </c>
      <c r="DE502" t="s">
        <v>307</v>
      </c>
      <c r="DF502" t="s">
        <v>308</v>
      </c>
      <c r="DG502" t="s">
        <v>1424</v>
      </c>
      <c r="DL502" t="s">
        <v>173</v>
      </c>
      <c r="DM502" t="s">
        <v>172</v>
      </c>
      <c r="DP502" t="s">
        <v>173</v>
      </c>
      <c r="DQ502" t="s">
        <v>189</v>
      </c>
      <c r="EA502" s="117"/>
      <c r="EB502">
        <v>9</v>
      </c>
      <c r="EC502">
        <v>10</v>
      </c>
      <c r="EE502" t="s">
        <v>1705</v>
      </c>
      <c r="EF502">
        <v>10</v>
      </c>
      <c r="EU502">
        <v>2750</v>
      </c>
      <c r="EW502">
        <v>0</v>
      </c>
      <c r="EX502">
        <v>0</v>
      </c>
      <c r="EY502">
        <v>0</v>
      </c>
      <c r="FA502">
        <v>10</v>
      </c>
      <c r="FG502" s="94">
        <v>251</v>
      </c>
      <c r="FH502" s="94">
        <v>285</v>
      </c>
      <c r="FI502" s="94">
        <v>266</v>
      </c>
    </row>
    <row r="503" spans="1:165" x14ac:dyDescent="0.35">
      <c r="A503" s="19"/>
      <c r="B503" s="19"/>
      <c r="C503" s="19"/>
      <c r="D503" s="19"/>
      <c r="E503" s="19"/>
      <c r="F503" s="128"/>
      <c r="G503" s="19"/>
      <c r="H503" s="19"/>
      <c r="I503" s="19"/>
      <c r="J503" s="19"/>
      <c r="K503" s="19" t="str">
        <f>_xlfn.CONCAT(A504," ",C504," ",D504)</f>
        <v>2026 Rolls-Royce Motor Cars Limited Black Badge Spectre (23'' Wheels)</v>
      </c>
      <c r="L503" s="19"/>
      <c r="M503" s="19"/>
      <c r="N503" s="19"/>
      <c r="O503" s="19"/>
      <c r="P503" s="19"/>
      <c r="Q503" s="19"/>
      <c r="R503" s="19"/>
      <c r="S503" s="19"/>
      <c r="T503" s="19"/>
      <c r="U503" s="19"/>
      <c r="V503" s="19"/>
      <c r="W503" s="19"/>
      <c r="X503" s="19"/>
      <c r="Y503" s="19"/>
      <c r="Z503" s="19"/>
      <c r="AA503" s="19"/>
      <c r="AB503" s="19" t="str">
        <f>$K503</f>
        <v>2026 Rolls-Royce Motor Cars Limited Black Badge Spectre (23'' Wheels)</v>
      </c>
      <c r="AC503" s="19"/>
      <c r="AD503" s="19"/>
      <c r="AE503" s="19"/>
      <c r="AF503" s="19"/>
      <c r="AG503" s="19"/>
      <c r="AH503" s="19"/>
      <c r="AI503" s="19"/>
      <c r="AJ503" s="19"/>
      <c r="AK503" s="19"/>
      <c r="AL503" s="19"/>
      <c r="AM503" s="19"/>
      <c r="AN503" s="19"/>
      <c r="AO503" s="19"/>
      <c r="AP503" s="19"/>
      <c r="AQ503" s="19"/>
      <c r="AR503" s="19" t="str">
        <f>$K503</f>
        <v>2026 Rolls-Royce Motor Cars Limited Black Badge Spectre (23'' Wheels)</v>
      </c>
      <c r="AS503" s="19"/>
      <c r="AT503" s="19"/>
      <c r="AU503" s="19"/>
      <c r="AV503" s="19"/>
      <c r="AW503" s="19"/>
      <c r="AX503" s="19"/>
      <c r="AY503" s="19"/>
      <c r="AZ503" s="19"/>
      <c r="BA503" s="19"/>
      <c r="BB503" s="19"/>
      <c r="BC503" s="19"/>
      <c r="BD503" s="19"/>
      <c r="BE503" s="19"/>
      <c r="BF503" s="19"/>
      <c r="BG503" s="19" t="str">
        <f>$K503</f>
        <v>2026 Rolls-Royce Motor Cars Limited Black Badge Spectre (23'' Wheels)</v>
      </c>
      <c r="BH503" s="19"/>
      <c r="BI503" s="19"/>
      <c r="BJ503" s="19"/>
      <c r="BK503" s="19"/>
      <c r="BL503" s="19"/>
      <c r="BM503" s="129"/>
      <c r="BN503" s="19"/>
      <c r="BO503" s="19"/>
      <c r="BP503" s="19"/>
      <c r="BQ503" s="19"/>
      <c r="BR503" s="19"/>
      <c r="BS503" s="19"/>
      <c r="BT503" s="130"/>
      <c r="BU503" s="19"/>
      <c r="BV503" s="19"/>
      <c r="BW503" s="116"/>
      <c r="BX503" s="19"/>
      <c r="BY503" s="19"/>
      <c r="BZ503" s="19"/>
      <c r="CA503" s="19"/>
      <c r="CB503" s="19"/>
      <c r="CC503" s="19"/>
      <c r="CD503" s="19"/>
      <c r="CE503" s="19"/>
      <c r="CF503" s="19"/>
      <c r="CG503" s="19"/>
      <c r="CH503" s="19"/>
      <c r="CI503" s="19"/>
      <c r="CJ503" s="19"/>
      <c r="CK503" s="19"/>
      <c r="CL503" s="19"/>
      <c r="CM503" s="19" t="str">
        <f>$K503</f>
        <v>2026 Rolls-Royce Motor Cars Limited Black Badge Spectre (23'' Wheels)</v>
      </c>
      <c r="CN503" s="19"/>
      <c r="CO503" s="19"/>
      <c r="CP503" s="19"/>
      <c r="CQ503" s="19"/>
      <c r="CR503" s="19"/>
      <c r="CS503" s="19"/>
      <c r="CT503" s="19"/>
      <c r="CU503" s="19"/>
      <c r="CV503" s="19"/>
      <c r="CW503" s="19"/>
      <c r="CX503" s="19"/>
      <c r="CY503" s="19"/>
      <c r="CZ503" s="19"/>
      <c r="DA503" s="19"/>
      <c r="DB503" s="19"/>
      <c r="DC503" s="19"/>
      <c r="DD503" s="19" t="str">
        <f>$K503</f>
        <v>2026 Rolls-Royce Motor Cars Limited Black Badge Spectre (23'' Wheels)</v>
      </c>
      <c r="DE503" s="19"/>
      <c r="DF503" s="19"/>
      <c r="DG503" s="19"/>
      <c r="DH503" s="19"/>
      <c r="DI503" s="19"/>
      <c r="DJ503" s="19"/>
      <c r="DK503" s="19"/>
      <c r="DL503" s="19"/>
      <c r="DM503" s="19"/>
      <c r="DN503" s="19"/>
      <c r="DO503" s="19"/>
      <c r="DP503" s="19"/>
      <c r="DQ503" s="19"/>
      <c r="DR503" s="19"/>
      <c r="DS503" s="19"/>
      <c r="DT503" s="19"/>
      <c r="DU503" s="19" t="str">
        <f>$K503</f>
        <v>2026 Rolls-Royce Motor Cars Limited Black Badge Spectre (23'' Wheels)</v>
      </c>
      <c r="DV503" s="19"/>
      <c r="DW503" s="19"/>
      <c r="DX503" s="19"/>
      <c r="DY503" s="19"/>
      <c r="DZ503" s="19"/>
      <c r="EA503" s="117"/>
      <c r="EB503" s="19"/>
      <c r="EC503" s="19"/>
      <c r="ED503" s="19"/>
      <c r="EE503" s="19"/>
      <c r="EF503" s="19"/>
      <c r="EX503" s="19" t="s">
        <v>2086</v>
      </c>
    </row>
    <row r="504" spans="1:165" x14ac:dyDescent="0.35">
      <c r="A504">
        <v>2026</v>
      </c>
      <c r="B504" t="s">
        <v>598</v>
      </c>
      <c r="C504" s="112" t="s">
        <v>599</v>
      </c>
      <c r="D504" t="s">
        <v>1706</v>
      </c>
      <c r="E504" t="s">
        <v>601</v>
      </c>
      <c r="F504">
        <v>26</v>
      </c>
      <c r="G504" s="113">
        <v>0</v>
      </c>
      <c r="I504" t="s">
        <v>1391</v>
      </c>
      <c r="J504">
        <v>67</v>
      </c>
      <c r="K504">
        <v>74</v>
      </c>
      <c r="L504">
        <v>70</v>
      </c>
      <c r="M504">
        <v>95.8</v>
      </c>
      <c r="N504">
        <v>105</v>
      </c>
      <c r="O504">
        <v>99.732299999999995</v>
      </c>
      <c r="P504">
        <v>67.06</v>
      </c>
      <c r="Q504">
        <v>73.5</v>
      </c>
      <c r="R504">
        <v>69.812600000000003</v>
      </c>
      <c r="V504" t="s">
        <v>170</v>
      </c>
      <c r="W504" t="s">
        <v>171</v>
      </c>
      <c r="Y504">
        <v>1</v>
      </c>
      <c r="Z504" t="s">
        <v>173</v>
      </c>
      <c r="AA504" t="s">
        <v>173</v>
      </c>
      <c r="AB504" t="s">
        <v>170</v>
      </c>
      <c r="AC504" t="s">
        <v>232</v>
      </c>
      <c r="AF504">
        <v>251</v>
      </c>
      <c r="AG504" t="s">
        <v>1392</v>
      </c>
      <c r="AH504" t="s">
        <v>1393</v>
      </c>
      <c r="AI504" t="s">
        <v>178</v>
      </c>
      <c r="AJ504" t="s">
        <v>179</v>
      </c>
      <c r="AK504" t="s">
        <v>173</v>
      </c>
      <c r="AL504" t="s">
        <v>180</v>
      </c>
      <c r="AM504">
        <v>94</v>
      </c>
      <c r="AN504">
        <v>10</v>
      </c>
      <c r="AS504">
        <v>1250</v>
      </c>
      <c r="AT504">
        <v>1250</v>
      </c>
      <c r="BN504" s="114"/>
      <c r="BQ504">
        <v>4</v>
      </c>
      <c r="BR504" t="s">
        <v>373</v>
      </c>
      <c r="BS504" t="s">
        <v>182</v>
      </c>
      <c r="BT504" t="s">
        <v>1402</v>
      </c>
      <c r="BU504" s="115">
        <v>45870</v>
      </c>
      <c r="BV504">
        <v>37217</v>
      </c>
      <c r="BW504" s="116"/>
      <c r="BX504" t="s">
        <v>172</v>
      </c>
      <c r="BY504" t="s">
        <v>173</v>
      </c>
      <c r="CB504" t="s">
        <v>173</v>
      </c>
      <c r="CC504" t="s">
        <v>173</v>
      </c>
      <c r="CK504" t="s">
        <v>259</v>
      </c>
      <c r="CM504">
        <v>1</v>
      </c>
      <c r="CN504" t="s">
        <v>260</v>
      </c>
      <c r="CP504">
        <v>376</v>
      </c>
      <c r="CQ504">
        <v>280.8</v>
      </c>
      <c r="CR504">
        <v>156</v>
      </c>
      <c r="CS504" t="s">
        <v>261</v>
      </c>
      <c r="CV504" t="s">
        <v>262</v>
      </c>
      <c r="CX504" t="s">
        <v>263</v>
      </c>
      <c r="CY504" t="s">
        <v>173</v>
      </c>
      <c r="DC504" t="s">
        <v>1412</v>
      </c>
      <c r="DD504">
        <v>2</v>
      </c>
      <c r="DE504" t="s">
        <v>307</v>
      </c>
      <c r="DF504" t="s">
        <v>308</v>
      </c>
      <c r="DG504" t="s">
        <v>1424</v>
      </c>
      <c r="DL504" t="s">
        <v>173</v>
      </c>
      <c r="DM504" t="s">
        <v>172</v>
      </c>
      <c r="DP504" t="s">
        <v>173</v>
      </c>
      <c r="DQ504" t="s">
        <v>189</v>
      </c>
      <c r="EA504" s="117"/>
      <c r="EB504">
        <v>9</v>
      </c>
      <c r="EC504">
        <v>10</v>
      </c>
      <c r="EE504" t="s">
        <v>1705</v>
      </c>
      <c r="EF504">
        <v>10</v>
      </c>
      <c r="EU504">
        <v>2250</v>
      </c>
      <c r="EW504">
        <v>0</v>
      </c>
      <c r="EX504">
        <v>0</v>
      </c>
      <c r="EY504">
        <v>0</v>
      </c>
      <c r="FA504">
        <v>10</v>
      </c>
      <c r="FG504" s="94">
        <v>241</v>
      </c>
      <c r="FH504" s="94">
        <v>264</v>
      </c>
      <c r="FI504" s="94">
        <v>251</v>
      </c>
    </row>
    <row r="505" spans="1:165" x14ac:dyDescent="0.35">
      <c r="A505">
        <v>2026</v>
      </c>
      <c r="B505" t="s">
        <v>598</v>
      </c>
      <c r="C505" s="112" t="s">
        <v>599</v>
      </c>
      <c r="D505" t="s">
        <v>1706</v>
      </c>
      <c r="E505" t="s">
        <v>601</v>
      </c>
      <c r="F505">
        <v>26</v>
      </c>
      <c r="G505" s="113">
        <v>0</v>
      </c>
      <c r="I505" t="s">
        <v>1391</v>
      </c>
      <c r="J505">
        <v>50</v>
      </c>
      <c r="K505">
        <v>46</v>
      </c>
      <c r="L505">
        <v>48</v>
      </c>
      <c r="M505">
        <v>35.171599999999998</v>
      </c>
      <c r="N505">
        <v>32.092599999999997</v>
      </c>
      <c r="O505">
        <v>33.786099999999998</v>
      </c>
      <c r="P505">
        <v>50.261000000000003</v>
      </c>
      <c r="Q505">
        <v>45.857100000000003</v>
      </c>
      <c r="R505">
        <v>48.279200000000003</v>
      </c>
      <c r="V505" t="s">
        <v>170</v>
      </c>
      <c r="W505" t="s">
        <v>171</v>
      </c>
      <c r="Y505">
        <v>1</v>
      </c>
      <c r="Z505" t="s">
        <v>173</v>
      </c>
      <c r="AA505" t="s">
        <v>173</v>
      </c>
      <c r="AB505" t="s">
        <v>170</v>
      </c>
      <c r="AC505" t="s">
        <v>232</v>
      </c>
      <c r="AF505">
        <v>251</v>
      </c>
      <c r="AG505" t="s">
        <v>1392</v>
      </c>
      <c r="AH505" t="s">
        <v>1393</v>
      </c>
      <c r="AI505" t="s">
        <v>1399</v>
      </c>
      <c r="AJ505" t="s">
        <v>1400</v>
      </c>
      <c r="AK505" t="s">
        <v>173</v>
      </c>
      <c r="AL505" t="s">
        <v>180</v>
      </c>
      <c r="AM505">
        <v>94</v>
      </c>
      <c r="AN505">
        <v>10</v>
      </c>
      <c r="AS505">
        <v>1250</v>
      </c>
      <c r="AT505">
        <v>1250</v>
      </c>
      <c r="BN505" s="114"/>
      <c r="BQ505">
        <v>4</v>
      </c>
      <c r="BR505" t="s">
        <v>373</v>
      </c>
      <c r="BS505" t="s">
        <v>182</v>
      </c>
      <c r="BT505" t="s">
        <v>1402</v>
      </c>
      <c r="BU505" s="115">
        <v>45870</v>
      </c>
      <c r="BV505">
        <v>37217</v>
      </c>
      <c r="BW505" s="116"/>
      <c r="BX505" t="s">
        <v>172</v>
      </c>
      <c r="BY505" t="s">
        <v>173</v>
      </c>
      <c r="CB505" t="s">
        <v>173</v>
      </c>
      <c r="CC505" t="s">
        <v>173</v>
      </c>
      <c r="CK505" t="s">
        <v>259</v>
      </c>
      <c r="CM505">
        <v>1</v>
      </c>
      <c r="CN505" t="s">
        <v>260</v>
      </c>
      <c r="CP505">
        <v>376</v>
      </c>
      <c r="CQ505">
        <v>280.8</v>
      </c>
      <c r="CR505">
        <v>156</v>
      </c>
      <c r="CS505" t="s">
        <v>261</v>
      </c>
      <c r="CV505" t="s">
        <v>262</v>
      </c>
      <c r="CX505" t="s">
        <v>263</v>
      </c>
      <c r="CY505" t="s">
        <v>173</v>
      </c>
      <c r="DC505" t="s">
        <v>1412</v>
      </c>
      <c r="DD505">
        <v>2</v>
      </c>
      <c r="DE505" t="s">
        <v>307</v>
      </c>
      <c r="DF505" t="s">
        <v>308</v>
      </c>
      <c r="DG505" t="s">
        <v>1424</v>
      </c>
      <c r="DL505" t="s">
        <v>173</v>
      </c>
      <c r="DM505" t="s">
        <v>172</v>
      </c>
      <c r="DP505" t="s">
        <v>173</v>
      </c>
      <c r="DQ505" t="s">
        <v>189</v>
      </c>
      <c r="EA505" s="117"/>
      <c r="EB505">
        <v>9</v>
      </c>
      <c r="EC505">
        <v>10</v>
      </c>
      <c r="EE505" t="s">
        <v>1705</v>
      </c>
      <c r="EF505">
        <v>10</v>
      </c>
      <c r="EU505">
        <v>2250</v>
      </c>
      <c r="EW505">
        <v>0</v>
      </c>
      <c r="EX505">
        <v>0</v>
      </c>
      <c r="EY505">
        <v>0</v>
      </c>
      <c r="FA505">
        <v>10</v>
      </c>
      <c r="FG505" s="94">
        <v>241</v>
      </c>
      <c r="FH505" s="94">
        <v>264</v>
      </c>
      <c r="FI505" s="94">
        <v>251</v>
      </c>
    </row>
    <row r="506" spans="1:165" x14ac:dyDescent="0.35">
      <c r="A506" s="19"/>
      <c r="B506" s="19"/>
      <c r="C506" s="19"/>
      <c r="D506" s="19"/>
      <c r="E506" s="19"/>
      <c r="F506" s="128"/>
      <c r="G506" s="19"/>
      <c r="H506" s="19"/>
      <c r="I506" s="19"/>
      <c r="J506" s="19"/>
      <c r="K506" s="19" t="str">
        <f>_xlfn.CONCAT(A507," ",C507," ",D507)</f>
        <v>2026 Rolls-Royce Motor Cars Limited Spectre (22'' Wheels)</v>
      </c>
      <c r="L506" s="19"/>
      <c r="M506" s="19"/>
      <c r="N506" s="19"/>
      <c r="O506" s="19"/>
      <c r="P506" s="19"/>
      <c r="Q506" s="19"/>
      <c r="R506" s="19"/>
      <c r="S506" s="19"/>
      <c r="T506" s="19"/>
      <c r="U506" s="19"/>
      <c r="V506" s="19"/>
      <c r="W506" s="19"/>
      <c r="X506" s="19"/>
      <c r="Y506" s="19"/>
      <c r="Z506" s="19"/>
      <c r="AA506" s="19"/>
      <c r="AB506" s="19" t="str">
        <f>$K506</f>
        <v>2026 Rolls-Royce Motor Cars Limited Spectre (22'' Wheels)</v>
      </c>
      <c r="AC506" s="19"/>
      <c r="AD506" s="19"/>
      <c r="AE506" s="19"/>
      <c r="AF506" s="19"/>
      <c r="AG506" s="19"/>
      <c r="AH506" s="19"/>
      <c r="AI506" s="19"/>
      <c r="AJ506" s="19"/>
      <c r="AK506" s="19"/>
      <c r="AL506" s="19"/>
      <c r="AM506" s="19"/>
      <c r="AN506" s="19"/>
      <c r="AO506" s="19"/>
      <c r="AP506" s="19"/>
      <c r="AQ506" s="19"/>
      <c r="AR506" s="19" t="str">
        <f>$K506</f>
        <v>2026 Rolls-Royce Motor Cars Limited Spectre (22'' Wheels)</v>
      </c>
      <c r="AS506" s="19"/>
      <c r="AT506" s="19"/>
      <c r="AU506" s="19"/>
      <c r="AV506" s="19"/>
      <c r="AW506" s="19"/>
      <c r="AX506" s="19"/>
      <c r="AY506" s="19"/>
      <c r="AZ506" s="19"/>
      <c r="BA506" s="19"/>
      <c r="BB506" s="19"/>
      <c r="BC506" s="19"/>
      <c r="BD506" s="19"/>
      <c r="BE506" s="19"/>
      <c r="BF506" s="19"/>
      <c r="BG506" s="19" t="str">
        <f>$K506</f>
        <v>2026 Rolls-Royce Motor Cars Limited Spectre (22'' Wheels)</v>
      </c>
      <c r="BH506" s="19"/>
      <c r="BI506" s="19"/>
      <c r="BJ506" s="19"/>
      <c r="BK506" s="19"/>
      <c r="BL506" s="19"/>
      <c r="BM506" s="129"/>
      <c r="BN506" s="19"/>
      <c r="BO506" s="19"/>
      <c r="BP506" s="19"/>
      <c r="BQ506" s="19"/>
      <c r="BR506" s="19"/>
      <c r="BS506" s="19"/>
      <c r="BT506" s="130"/>
      <c r="BU506" s="19"/>
      <c r="BV506" s="19"/>
      <c r="BW506" s="116"/>
      <c r="BX506" s="19"/>
      <c r="BY506" s="19"/>
      <c r="BZ506" s="19"/>
      <c r="CA506" s="19"/>
      <c r="CB506" s="19"/>
      <c r="CC506" s="19"/>
      <c r="CD506" s="19"/>
      <c r="CE506" s="19"/>
      <c r="CF506" s="19"/>
      <c r="CG506" s="19"/>
      <c r="CH506" s="19"/>
      <c r="CI506" s="19"/>
      <c r="CJ506" s="19"/>
      <c r="CK506" s="19"/>
      <c r="CL506" s="19"/>
      <c r="CM506" s="19" t="str">
        <f>$K506</f>
        <v>2026 Rolls-Royce Motor Cars Limited Spectre (22'' Wheels)</v>
      </c>
      <c r="CN506" s="19"/>
      <c r="CO506" s="19"/>
      <c r="CP506" s="19"/>
      <c r="CQ506" s="19"/>
      <c r="CR506" s="19"/>
      <c r="CS506" s="19"/>
      <c r="CT506" s="19"/>
      <c r="CU506" s="19"/>
      <c r="CV506" s="19"/>
      <c r="CW506" s="19"/>
      <c r="CX506" s="19"/>
      <c r="CY506" s="19"/>
      <c r="CZ506" s="19"/>
      <c r="DA506" s="19"/>
      <c r="DB506" s="19"/>
      <c r="DC506" s="19"/>
      <c r="DD506" s="19" t="str">
        <f>$K506</f>
        <v>2026 Rolls-Royce Motor Cars Limited Spectre (22'' Wheels)</v>
      </c>
      <c r="DE506" s="19"/>
      <c r="DF506" s="19"/>
      <c r="DG506" s="19"/>
      <c r="DH506" s="19"/>
      <c r="DI506" s="19"/>
      <c r="DJ506" s="19"/>
      <c r="DK506" s="19"/>
      <c r="DL506" s="19"/>
      <c r="DM506" s="19"/>
      <c r="DN506" s="19"/>
      <c r="DO506" s="19"/>
      <c r="DP506" s="19"/>
      <c r="DQ506" s="19"/>
      <c r="DR506" s="19"/>
      <c r="DS506" s="19"/>
      <c r="DT506" s="19"/>
      <c r="DU506" s="19" t="str">
        <f>$K506</f>
        <v>2026 Rolls-Royce Motor Cars Limited Spectre (22'' Wheels)</v>
      </c>
      <c r="DV506" s="19"/>
      <c r="DW506" s="19"/>
      <c r="DX506" s="19"/>
      <c r="DY506" s="19"/>
      <c r="DZ506" s="19"/>
      <c r="EA506" s="117"/>
      <c r="EB506" s="19"/>
      <c r="EC506" s="19"/>
      <c r="ED506" s="19"/>
      <c r="EE506" s="19"/>
      <c r="EF506" s="19"/>
      <c r="EX506" s="19" t="s">
        <v>2087</v>
      </c>
    </row>
    <row r="507" spans="1:165" x14ac:dyDescent="0.35">
      <c r="A507">
        <v>2026</v>
      </c>
      <c r="B507" t="s">
        <v>598</v>
      </c>
      <c r="C507" s="112" t="s">
        <v>599</v>
      </c>
      <c r="D507" t="s">
        <v>1707</v>
      </c>
      <c r="E507" t="s">
        <v>601</v>
      </c>
      <c r="F507">
        <v>17</v>
      </c>
      <c r="G507" s="113">
        <v>0</v>
      </c>
      <c r="I507" t="s">
        <v>1391</v>
      </c>
      <c r="J507">
        <v>74</v>
      </c>
      <c r="K507">
        <v>82</v>
      </c>
      <c r="L507">
        <v>77</v>
      </c>
      <c r="M507">
        <v>105.2</v>
      </c>
      <c r="N507">
        <v>117.3</v>
      </c>
      <c r="O507">
        <v>110.321</v>
      </c>
      <c r="P507">
        <v>73.64</v>
      </c>
      <c r="Q507">
        <v>82.11</v>
      </c>
      <c r="R507">
        <v>77.224699999999999</v>
      </c>
      <c r="V507" t="s">
        <v>170</v>
      </c>
      <c r="W507" t="s">
        <v>171</v>
      </c>
      <c r="Y507">
        <v>1</v>
      </c>
      <c r="Z507" t="s">
        <v>173</v>
      </c>
      <c r="AA507" t="s">
        <v>173</v>
      </c>
      <c r="AB507" t="s">
        <v>170</v>
      </c>
      <c r="AC507" t="s">
        <v>232</v>
      </c>
      <c r="AF507">
        <v>277</v>
      </c>
      <c r="AG507" t="s">
        <v>1392</v>
      </c>
      <c r="AH507" t="s">
        <v>1393</v>
      </c>
      <c r="AI507" t="s">
        <v>178</v>
      </c>
      <c r="AJ507" t="s">
        <v>179</v>
      </c>
      <c r="AK507" t="s">
        <v>173</v>
      </c>
      <c r="AL507" t="s">
        <v>180</v>
      </c>
      <c r="AM507">
        <v>94</v>
      </c>
      <c r="AN507">
        <v>10</v>
      </c>
      <c r="AS507">
        <v>1100</v>
      </c>
      <c r="AT507">
        <v>1100</v>
      </c>
      <c r="BN507" s="114"/>
      <c r="BQ507">
        <v>4</v>
      </c>
      <c r="BR507" t="s">
        <v>373</v>
      </c>
      <c r="BS507" t="s">
        <v>182</v>
      </c>
      <c r="BT507" t="s">
        <v>1402</v>
      </c>
      <c r="BU507" s="115">
        <v>45870</v>
      </c>
      <c r="BV507">
        <v>37190</v>
      </c>
      <c r="BW507" s="116"/>
      <c r="BX507" t="s">
        <v>173</v>
      </c>
      <c r="BY507" t="s">
        <v>173</v>
      </c>
      <c r="CB507" t="s">
        <v>173</v>
      </c>
      <c r="CC507" t="s">
        <v>173</v>
      </c>
      <c r="CK507" t="s">
        <v>259</v>
      </c>
      <c r="CM507">
        <v>1</v>
      </c>
      <c r="CN507" t="s">
        <v>260</v>
      </c>
      <c r="CP507">
        <v>376</v>
      </c>
      <c r="CQ507">
        <v>280.8</v>
      </c>
      <c r="CR507">
        <v>156</v>
      </c>
      <c r="CS507" t="s">
        <v>261</v>
      </c>
      <c r="CV507" t="s">
        <v>262</v>
      </c>
      <c r="CX507" t="s">
        <v>263</v>
      </c>
      <c r="CY507" t="s">
        <v>173</v>
      </c>
      <c r="DC507" t="s">
        <v>1412</v>
      </c>
      <c r="DD507">
        <v>2</v>
      </c>
      <c r="DE507" t="s">
        <v>307</v>
      </c>
      <c r="DF507" t="s">
        <v>308</v>
      </c>
      <c r="DG507" t="s">
        <v>1424</v>
      </c>
      <c r="DL507" t="s">
        <v>173</v>
      </c>
      <c r="DM507" t="s">
        <v>172</v>
      </c>
      <c r="DP507" t="s">
        <v>173</v>
      </c>
      <c r="DQ507" t="s">
        <v>189</v>
      </c>
      <c r="EA507" s="117"/>
      <c r="EB507">
        <v>9</v>
      </c>
      <c r="EC507">
        <v>10</v>
      </c>
      <c r="EE507" t="s">
        <v>1708</v>
      </c>
      <c r="EF507">
        <v>10</v>
      </c>
      <c r="EU507">
        <v>3000</v>
      </c>
      <c r="EW507">
        <v>0</v>
      </c>
      <c r="EX507">
        <v>0</v>
      </c>
      <c r="EY507">
        <v>0</v>
      </c>
      <c r="FA507">
        <v>10</v>
      </c>
      <c r="FG507" s="94">
        <v>263</v>
      </c>
      <c r="FH507" s="94">
        <v>294</v>
      </c>
      <c r="FI507" s="94">
        <v>277</v>
      </c>
    </row>
    <row r="508" spans="1:165" x14ac:dyDescent="0.35">
      <c r="A508">
        <v>2026</v>
      </c>
      <c r="B508" t="s">
        <v>598</v>
      </c>
      <c r="C508" s="112" t="s">
        <v>599</v>
      </c>
      <c r="D508" t="s">
        <v>1707</v>
      </c>
      <c r="E508" t="s">
        <v>601</v>
      </c>
      <c r="F508">
        <v>17</v>
      </c>
      <c r="G508" s="113">
        <v>0</v>
      </c>
      <c r="I508" t="s">
        <v>1391</v>
      </c>
      <c r="J508">
        <v>46</v>
      </c>
      <c r="K508">
        <v>41</v>
      </c>
      <c r="L508">
        <v>44</v>
      </c>
      <c r="M508">
        <v>32.035499999999999</v>
      </c>
      <c r="N508">
        <v>28.722000000000001</v>
      </c>
      <c r="O508">
        <v>30.5444</v>
      </c>
      <c r="P508">
        <v>45.77</v>
      </c>
      <c r="Q508">
        <v>41.0486</v>
      </c>
      <c r="R508">
        <v>43.645400000000002</v>
      </c>
      <c r="V508" t="s">
        <v>170</v>
      </c>
      <c r="W508" t="s">
        <v>171</v>
      </c>
      <c r="Y508">
        <v>1</v>
      </c>
      <c r="Z508" t="s">
        <v>173</v>
      </c>
      <c r="AA508" t="s">
        <v>173</v>
      </c>
      <c r="AB508" t="s">
        <v>170</v>
      </c>
      <c r="AC508" t="s">
        <v>232</v>
      </c>
      <c r="AF508">
        <v>277</v>
      </c>
      <c r="AG508" t="s">
        <v>1392</v>
      </c>
      <c r="AH508" t="s">
        <v>1393</v>
      </c>
      <c r="AI508" t="s">
        <v>1399</v>
      </c>
      <c r="AJ508" t="s">
        <v>1400</v>
      </c>
      <c r="AK508" t="s">
        <v>173</v>
      </c>
      <c r="AL508" t="s">
        <v>180</v>
      </c>
      <c r="AM508">
        <v>94</v>
      </c>
      <c r="AN508">
        <v>10</v>
      </c>
      <c r="AS508">
        <v>1100</v>
      </c>
      <c r="AT508">
        <v>1100</v>
      </c>
      <c r="BN508" s="114"/>
      <c r="BQ508">
        <v>4</v>
      </c>
      <c r="BR508" t="s">
        <v>373</v>
      </c>
      <c r="BS508" t="s">
        <v>182</v>
      </c>
      <c r="BT508" t="s">
        <v>1402</v>
      </c>
      <c r="BU508" s="115">
        <v>45870</v>
      </c>
      <c r="BV508">
        <v>37190</v>
      </c>
      <c r="BW508" s="116"/>
      <c r="BX508" t="s">
        <v>173</v>
      </c>
      <c r="BY508" t="s">
        <v>173</v>
      </c>
      <c r="CB508" t="s">
        <v>173</v>
      </c>
      <c r="CC508" t="s">
        <v>173</v>
      </c>
      <c r="CK508" t="s">
        <v>259</v>
      </c>
      <c r="CM508">
        <v>1</v>
      </c>
      <c r="CN508" t="s">
        <v>260</v>
      </c>
      <c r="CP508">
        <v>376</v>
      </c>
      <c r="CQ508">
        <v>280.8</v>
      </c>
      <c r="CR508">
        <v>156</v>
      </c>
      <c r="CS508" t="s">
        <v>261</v>
      </c>
      <c r="CV508" t="s">
        <v>262</v>
      </c>
      <c r="CX508" t="s">
        <v>263</v>
      </c>
      <c r="CY508" t="s">
        <v>173</v>
      </c>
      <c r="DC508" t="s">
        <v>1412</v>
      </c>
      <c r="DD508">
        <v>2</v>
      </c>
      <c r="DE508" t="s">
        <v>307</v>
      </c>
      <c r="DF508" t="s">
        <v>308</v>
      </c>
      <c r="DG508" t="s">
        <v>1424</v>
      </c>
      <c r="DL508" t="s">
        <v>173</v>
      </c>
      <c r="DM508" t="s">
        <v>172</v>
      </c>
      <c r="DP508" t="s">
        <v>173</v>
      </c>
      <c r="DQ508" t="s">
        <v>189</v>
      </c>
      <c r="EA508" s="117"/>
      <c r="EB508">
        <v>9</v>
      </c>
      <c r="EC508">
        <v>10</v>
      </c>
      <c r="EE508" t="s">
        <v>1708</v>
      </c>
      <c r="EF508">
        <v>10</v>
      </c>
      <c r="EU508">
        <v>3000</v>
      </c>
      <c r="EW508">
        <v>0</v>
      </c>
      <c r="EX508">
        <v>0</v>
      </c>
      <c r="EY508">
        <v>0</v>
      </c>
      <c r="FA508">
        <v>10</v>
      </c>
      <c r="FG508" s="94">
        <v>263</v>
      </c>
      <c r="FH508" s="94">
        <v>294</v>
      </c>
      <c r="FI508" s="94">
        <v>277</v>
      </c>
    </row>
    <row r="509" spans="1:165" x14ac:dyDescent="0.35">
      <c r="A509" s="19"/>
      <c r="B509" s="19"/>
      <c r="C509" s="19"/>
      <c r="D509" s="19"/>
      <c r="E509" s="19"/>
      <c r="F509" s="128"/>
      <c r="G509" s="19"/>
      <c r="H509" s="19"/>
      <c r="I509" s="19"/>
      <c r="J509" s="19"/>
      <c r="K509" s="19" t="str">
        <f>_xlfn.CONCAT(A510," ",C510," ",D510)</f>
        <v>2026 Rolls-Royce Motor Cars Limited Spectre (23'' Wheels)</v>
      </c>
      <c r="L509" s="19"/>
      <c r="M509" s="19"/>
      <c r="N509" s="19"/>
      <c r="O509" s="19"/>
      <c r="P509" s="19"/>
      <c r="Q509" s="19"/>
      <c r="R509" s="19"/>
      <c r="S509" s="19"/>
      <c r="T509" s="19"/>
      <c r="U509" s="19"/>
      <c r="V509" s="19"/>
      <c r="W509" s="19"/>
      <c r="X509" s="19"/>
      <c r="Y509" s="19"/>
      <c r="Z509" s="19"/>
      <c r="AA509" s="19"/>
      <c r="AB509" s="19" t="str">
        <f>$K509</f>
        <v>2026 Rolls-Royce Motor Cars Limited Spectre (23'' Wheels)</v>
      </c>
      <c r="AC509" s="19"/>
      <c r="AD509" s="19"/>
      <c r="AE509" s="19"/>
      <c r="AF509" s="19"/>
      <c r="AG509" s="19"/>
      <c r="AH509" s="19"/>
      <c r="AI509" s="19"/>
      <c r="AJ509" s="19"/>
      <c r="AK509" s="19"/>
      <c r="AL509" s="19"/>
      <c r="AM509" s="19"/>
      <c r="AN509" s="19"/>
      <c r="AO509" s="19"/>
      <c r="AP509" s="19"/>
      <c r="AQ509" s="19"/>
      <c r="AR509" s="19" t="str">
        <f>$K509</f>
        <v>2026 Rolls-Royce Motor Cars Limited Spectre (23'' Wheels)</v>
      </c>
      <c r="AS509" s="19"/>
      <c r="AT509" s="19"/>
      <c r="AU509" s="19"/>
      <c r="AV509" s="19"/>
      <c r="AW509" s="19"/>
      <c r="AX509" s="19"/>
      <c r="AY509" s="19"/>
      <c r="AZ509" s="19"/>
      <c r="BA509" s="19"/>
      <c r="BB509" s="19"/>
      <c r="BC509" s="19"/>
      <c r="BD509" s="19"/>
      <c r="BE509" s="19"/>
      <c r="BF509" s="19"/>
      <c r="BG509" s="19" t="str">
        <f>$K509</f>
        <v>2026 Rolls-Royce Motor Cars Limited Spectre (23'' Wheels)</v>
      </c>
      <c r="BH509" s="19"/>
      <c r="BI509" s="19"/>
      <c r="BJ509" s="19"/>
      <c r="BK509" s="19"/>
      <c r="BL509" s="19"/>
      <c r="BM509" s="129"/>
      <c r="BN509" s="19"/>
      <c r="BO509" s="19"/>
      <c r="BP509" s="19"/>
      <c r="BQ509" s="19"/>
      <c r="BR509" s="19"/>
      <c r="BS509" s="19"/>
      <c r="BT509" s="130"/>
      <c r="BU509" s="19"/>
      <c r="BV509" s="19"/>
      <c r="BW509" s="116"/>
      <c r="BX509" s="19"/>
      <c r="BY509" s="19"/>
      <c r="BZ509" s="19"/>
      <c r="CA509" s="19"/>
      <c r="CB509" s="19"/>
      <c r="CC509" s="19"/>
      <c r="CD509" s="19"/>
      <c r="CE509" s="19"/>
      <c r="CF509" s="19"/>
      <c r="CG509" s="19"/>
      <c r="CH509" s="19"/>
      <c r="CI509" s="19"/>
      <c r="CJ509" s="19"/>
      <c r="CK509" s="19"/>
      <c r="CL509" s="19"/>
      <c r="CM509" s="19" t="str">
        <f>$K509</f>
        <v>2026 Rolls-Royce Motor Cars Limited Spectre (23'' Wheels)</v>
      </c>
      <c r="CN509" s="19"/>
      <c r="CO509" s="19"/>
      <c r="CP509" s="19"/>
      <c r="CQ509" s="19"/>
      <c r="CR509" s="19"/>
      <c r="CS509" s="19"/>
      <c r="CT509" s="19"/>
      <c r="CU509" s="19"/>
      <c r="CV509" s="19"/>
      <c r="CW509" s="19"/>
      <c r="CX509" s="19"/>
      <c r="CY509" s="19"/>
      <c r="CZ509" s="19"/>
      <c r="DA509" s="19"/>
      <c r="DB509" s="19"/>
      <c r="DC509" s="19"/>
      <c r="DD509" s="19" t="str">
        <f>$K509</f>
        <v>2026 Rolls-Royce Motor Cars Limited Spectre (23'' Wheels)</v>
      </c>
      <c r="DE509" s="19"/>
      <c r="DF509" s="19"/>
      <c r="DG509" s="19"/>
      <c r="DH509" s="19"/>
      <c r="DI509" s="19"/>
      <c r="DJ509" s="19"/>
      <c r="DK509" s="19"/>
      <c r="DL509" s="19"/>
      <c r="DM509" s="19"/>
      <c r="DN509" s="19"/>
      <c r="DO509" s="19"/>
      <c r="DP509" s="19"/>
      <c r="DQ509" s="19"/>
      <c r="DR509" s="19"/>
      <c r="DS509" s="19"/>
      <c r="DT509" s="19"/>
      <c r="DU509" s="19" t="str">
        <f>$K509</f>
        <v>2026 Rolls-Royce Motor Cars Limited Spectre (23'' Wheels)</v>
      </c>
      <c r="DV509" s="19"/>
      <c r="DW509" s="19"/>
      <c r="DX509" s="19"/>
      <c r="DY509" s="19"/>
      <c r="DZ509" s="19"/>
      <c r="EA509" s="117"/>
      <c r="EB509" s="19"/>
      <c r="EC509" s="19"/>
      <c r="ED509" s="19"/>
      <c r="EE509" s="19"/>
      <c r="EF509" s="19"/>
      <c r="EX509" s="19" t="s">
        <v>2088</v>
      </c>
    </row>
    <row r="510" spans="1:165" x14ac:dyDescent="0.35">
      <c r="A510">
        <v>2026</v>
      </c>
      <c r="B510" t="s">
        <v>598</v>
      </c>
      <c r="C510" s="112" t="s">
        <v>599</v>
      </c>
      <c r="D510" t="s">
        <v>1709</v>
      </c>
      <c r="E510" t="s">
        <v>601</v>
      </c>
      <c r="F510">
        <v>18</v>
      </c>
      <c r="G510" s="113">
        <v>0</v>
      </c>
      <c r="I510" t="s">
        <v>1391</v>
      </c>
      <c r="J510">
        <v>67</v>
      </c>
      <c r="K510">
        <v>75</v>
      </c>
      <c r="L510">
        <v>70</v>
      </c>
      <c r="M510">
        <v>95.8</v>
      </c>
      <c r="N510">
        <v>107.3</v>
      </c>
      <c r="O510">
        <v>100.6545</v>
      </c>
      <c r="P510">
        <v>67.06</v>
      </c>
      <c r="Q510">
        <v>75.11</v>
      </c>
      <c r="R510">
        <v>70.458200000000005</v>
      </c>
      <c r="V510" t="s">
        <v>170</v>
      </c>
      <c r="W510" t="s">
        <v>171</v>
      </c>
      <c r="Y510">
        <v>1</v>
      </c>
      <c r="Z510" t="s">
        <v>173</v>
      </c>
      <c r="AA510" t="s">
        <v>173</v>
      </c>
      <c r="AB510" t="s">
        <v>170</v>
      </c>
      <c r="AC510" t="s">
        <v>232</v>
      </c>
      <c r="AF510">
        <v>253</v>
      </c>
      <c r="AG510" t="s">
        <v>1392</v>
      </c>
      <c r="AH510" t="s">
        <v>1393</v>
      </c>
      <c r="AI510" t="s">
        <v>178</v>
      </c>
      <c r="AJ510" t="s">
        <v>179</v>
      </c>
      <c r="AK510" t="s">
        <v>173</v>
      </c>
      <c r="AL510" t="s">
        <v>180</v>
      </c>
      <c r="AM510">
        <v>94</v>
      </c>
      <c r="AN510">
        <v>10</v>
      </c>
      <c r="AS510">
        <v>1200</v>
      </c>
      <c r="AT510">
        <v>1200</v>
      </c>
      <c r="BN510" s="114"/>
      <c r="BQ510">
        <v>4</v>
      </c>
      <c r="BR510" t="s">
        <v>373</v>
      </c>
      <c r="BS510" t="s">
        <v>182</v>
      </c>
      <c r="BT510" t="s">
        <v>1402</v>
      </c>
      <c r="BU510" s="115">
        <v>45870</v>
      </c>
      <c r="BV510">
        <v>37199</v>
      </c>
      <c r="BW510" s="116"/>
      <c r="BX510" t="s">
        <v>172</v>
      </c>
      <c r="BY510" t="s">
        <v>173</v>
      </c>
      <c r="CB510" t="s">
        <v>173</v>
      </c>
      <c r="CC510" t="s">
        <v>173</v>
      </c>
      <c r="CK510" t="s">
        <v>259</v>
      </c>
      <c r="CM510">
        <v>1</v>
      </c>
      <c r="CN510" t="s">
        <v>260</v>
      </c>
      <c r="CP510">
        <v>376</v>
      </c>
      <c r="CQ510">
        <v>280.8</v>
      </c>
      <c r="CR510">
        <v>156</v>
      </c>
      <c r="CS510" t="s">
        <v>261</v>
      </c>
      <c r="CV510" t="s">
        <v>262</v>
      </c>
      <c r="CX510" t="s">
        <v>263</v>
      </c>
      <c r="CY510" t="s">
        <v>173</v>
      </c>
      <c r="DC510" t="s">
        <v>1412</v>
      </c>
      <c r="DD510">
        <v>2</v>
      </c>
      <c r="DE510" t="s">
        <v>307</v>
      </c>
      <c r="DF510" t="s">
        <v>308</v>
      </c>
      <c r="DG510" t="s">
        <v>1424</v>
      </c>
      <c r="DL510" t="s">
        <v>173</v>
      </c>
      <c r="DM510" t="s">
        <v>172</v>
      </c>
      <c r="DP510" t="s">
        <v>173</v>
      </c>
      <c r="DQ510" t="s">
        <v>189</v>
      </c>
      <c r="EA510" s="117"/>
      <c r="EB510">
        <v>9</v>
      </c>
      <c r="EC510">
        <v>10</v>
      </c>
      <c r="EE510" t="s">
        <v>1708</v>
      </c>
      <c r="EF510">
        <v>10</v>
      </c>
      <c r="EU510">
        <v>2500</v>
      </c>
      <c r="EW510">
        <v>0</v>
      </c>
      <c r="EX510">
        <v>0</v>
      </c>
      <c r="EY510">
        <v>0</v>
      </c>
      <c r="FA510">
        <v>10</v>
      </c>
      <c r="FG510" s="94">
        <v>240</v>
      </c>
      <c r="FH510" s="94">
        <v>269</v>
      </c>
      <c r="FI510" s="94">
        <v>253</v>
      </c>
    </row>
    <row r="511" spans="1:165" x14ac:dyDescent="0.35">
      <c r="A511">
        <v>2026</v>
      </c>
      <c r="B511" t="s">
        <v>598</v>
      </c>
      <c r="C511" s="112" t="s">
        <v>599</v>
      </c>
      <c r="D511" t="s">
        <v>1709</v>
      </c>
      <c r="E511" t="s">
        <v>601</v>
      </c>
      <c r="F511">
        <v>18</v>
      </c>
      <c r="G511" s="113">
        <v>0</v>
      </c>
      <c r="I511" t="s">
        <v>1391</v>
      </c>
      <c r="J511">
        <v>50</v>
      </c>
      <c r="K511">
        <v>45</v>
      </c>
      <c r="L511">
        <v>48</v>
      </c>
      <c r="M511">
        <v>35.187100000000001</v>
      </c>
      <c r="N511">
        <v>31.424199999999999</v>
      </c>
      <c r="O511">
        <v>33.4938</v>
      </c>
      <c r="P511">
        <v>50.261000000000003</v>
      </c>
      <c r="Q511">
        <v>44.874200000000002</v>
      </c>
      <c r="R511">
        <v>47.8369</v>
      </c>
      <c r="V511" t="s">
        <v>170</v>
      </c>
      <c r="W511" t="s">
        <v>171</v>
      </c>
      <c r="Y511">
        <v>1</v>
      </c>
      <c r="Z511" t="s">
        <v>173</v>
      </c>
      <c r="AA511" t="s">
        <v>173</v>
      </c>
      <c r="AB511" t="s">
        <v>170</v>
      </c>
      <c r="AC511" t="s">
        <v>232</v>
      </c>
      <c r="AF511">
        <v>253</v>
      </c>
      <c r="AG511" t="s">
        <v>1392</v>
      </c>
      <c r="AH511" t="s">
        <v>1393</v>
      </c>
      <c r="AI511" t="s">
        <v>1399</v>
      </c>
      <c r="AJ511" t="s">
        <v>1400</v>
      </c>
      <c r="AK511" t="s">
        <v>173</v>
      </c>
      <c r="AL511" t="s">
        <v>180</v>
      </c>
      <c r="AM511">
        <v>94</v>
      </c>
      <c r="AN511">
        <v>10</v>
      </c>
      <c r="AS511">
        <v>1200</v>
      </c>
      <c r="AT511">
        <v>1200</v>
      </c>
      <c r="BN511" s="114"/>
      <c r="BQ511">
        <v>4</v>
      </c>
      <c r="BR511" t="s">
        <v>373</v>
      </c>
      <c r="BS511" t="s">
        <v>182</v>
      </c>
      <c r="BT511" t="s">
        <v>1402</v>
      </c>
      <c r="BU511" s="115">
        <v>45870</v>
      </c>
      <c r="BV511">
        <v>37199</v>
      </c>
      <c r="BW511" s="116"/>
      <c r="BX511" t="s">
        <v>172</v>
      </c>
      <c r="BY511" t="s">
        <v>173</v>
      </c>
      <c r="CB511" t="s">
        <v>173</v>
      </c>
      <c r="CC511" t="s">
        <v>173</v>
      </c>
      <c r="CK511" t="s">
        <v>259</v>
      </c>
      <c r="CM511">
        <v>1</v>
      </c>
      <c r="CN511" t="s">
        <v>260</v>
      </c>
      <c r="CP511">
        <v>376</v>
      </c>
      <c r="CQ511">
        <v>280.8</v>
      </c>
      <c r="CR511">
        <v>156</v>
      </c>
      <c r="CS511" t="s">
        <v>261</v>
      </c>
      <c r="CV511" t="s">
        <v>262</v>
      </c>
      <c r="CX511" t="s">
        <v>263</v>
      </c>
      <c r="CY511" t="s">
        <v>173</v>
      </c>
      <c r="DC511" t="s">
        <v>1412</v>
      </c>
      <c r="DD511">
        <v>2</v>
      </c>
      <c r="DE511" t="s">
        <v>307</v>
      </c>
      <c r="DF511" t="s">
        <v>308</v>
      </c>
      <c r="DG511" t="s">
        <v>1424</v>
      </c>
      <c r="DL511" t="s">
        <v>173</v>
      </c>
      <c r="DM511" t="s">
        <v>172</v>
      </c>
      <c r="DP511" t="s">
        <v>173</v>
      </c>
      <c r="DQ511" t="s">
        <v>189</v>
      </c>
      <c r="EA511" s="117"/>
      <c r="EB511">
        <v>9</v>
      </c>
      <c r="EC511">
        <v>10</v>
      </c>
      <c r="EE511" t="s">
        <v>1708</v>
      </c>
      <c r="EF511">
        <v>10</v>
      </c>
      <c r="EU511">
        <v>2500</v>
      </c>
      <c r="EW511">
        <v>0</v>
      </c>
      <c r="EX511">
        <v>0</v>
      </c>
      <c r="EY511">
        <v>0</v>
      </c>
      <c r="FA511">
        <v>10</v>
      </c>
      <c r="FG511" s="94">
        <v>240</v>
      </c>
      <c r="FH511" s="94">
        <v>269</v>
      </c>
      <c r="FI511" s="94">
        <v>253</v>
      </c>
    </row>
    <row r="512" spans="1:165" x14ac:dyDescent="0.35">
      <c r="A512" s="19"/>
      <c r="B512" s="19"/>
      <c r="C512" s="19"/>
      <c r="D512" s="19"/>
      <c r="E512" s="19"/>
      <c r="F512" s="128"/>
      <c r="G512" s="19"/>
      <c r="H512" s="19"/>
      <c r="I512" s="19"/>
      <c r="J512" s="19"/>
      <c r="K512" s="19" t="str">
        <f>_xlfn.CONCAT(A513," ",C513," ",D513)</f>
        <v>2026 Subaru SOLTERRA 20 AWD</v>
      </c>
      <c r="L512" s="19"/>
      <c r="M512" s="19"/>
      <c r="N512" s="19"/>
      <c r="O512" s="19"/>
      <c r="P512" s="19"/>
      <c r="Q512" s="19"/>
      <c r="R512" s="19"/>
      <c r="S512" s="19"/>
      <c r="T512" s="19"/>
      <c r="U512" s="19"/>
      <c r="V512" s="19"/>
      <c r="W512" s="19"/>
      <c r="X512" s="19"/>
      <c r="Y512" s="19"/>
      <c r="Z512" s="19"/>
      <c r="AA512" s="19"/>
      <c r="AB512" s="19" t="str">
        <f>$K512</f>
        <v>2026 Subaru SOLTERRA 20 AWD</v>
      </c>
      <c r="AC512" s="19"/>
      <c r="AD512" s="19"/>
      <c r="AE512" s="19"/>
      <c r="AF512" s="19"/>
      <c r="AG512" s="19"/>
      <c r="AH512" s="19"/>
      <c r="AI512" s="19"/>
      <c r="AJ512" s="19"/>
      <c r="AK512" s="19"/>
      <c r="AL512" s="19"/>
      <c r="AM512" s="19"/>
      <c r="AN512" s="19"/>
      <c r="AO512" s="19"/>
      <c r="AP512" s="19"/>
      <c r="AQ512" s="19"/>
      <c r="AR512" s="19" t="str">
        <f>$K512</f>
        <v>2026 Subaru SOLTERRA 20 AWD</v>
      </c>
      <c r="AS512" s="19"/>
      <c r="AT512" s="19"/>
      <c r="AU512" s="19"/>
      <c r="AV512" s="19"/>
      <c r="AW512" s="19"/>
      <c r="AX512" s="19"/>
      <c r="AY512" s="19"/>
      <c r="AZ512" s="19"/>
      <c r="BA512" s="19"/>
      <c r="BB512" s="19"/>
      <c r="BC512" s="19"/>
      <c r="BD512" s="19"/>
      <c r="BE512" s="19"/>
      <c r="BF512" s="19"/>
      <c r="BG512" s="19" t="str">
        <f>$K512</f>
        <v>2026 Subaru SOLTERRA 20 AWD</v>
      </c>
      <c r="BH512" s="19"/>
      <c r="BI512" s="19"/>
      <c r="BJ512" s="19"/>
      <c r="BK512" s="19"/>
      <c r="BL512" s="19"/>
      <c r="BM512" s="129"/>
      <c r="BN512" s="19"/>
      <c r="BO512" s="19"/>
      <c r="BP512" s="19"/>
      <c r="BQ512" s="19"/>
      <c r="BR512" s="19"/>
      <c r="BS512" s="19"/>
      <c r="BT512" s="130"/>
      <c r="BU512" s="19"/>
      <c r="BV512" s="19"/>
      <c r="BW512" s="116"/>
      <c r="BX512" s="19"/>
      <c r="BY512" s="19"/>
      <c r="BZ512" s="19"/>
      <c r="CA512" s="19"/>
      <c r="CB512" s="19"/>
      <c r="CC512" s="19"/>
      <c r="CD512" s="19"/>
      <c r="CE512" s="19"/>
      <c r="CF512" s="19"/>
      <c r="CG512" s="19"/>
      <c r="CH512" s="19"/>
      <c r="CI512" s="19"/>
      <c r="CJ512" s="19"/>
      <c r="CK512" s="19"/>
      <c r="CL512" s="19"/>
      <c r="CM512" s="19" t="str">
        <f>$K512</f>
        <v>2026 Subaru SOLTERRA 20 AWD</v>
      </c>
      <c r="CN512" s="19"/>
      <c r="CO512" s="19"/>
      <c r="CP512" s="19"/>
      <c r="CQ512" s="19"/>
      <c r="CR512" s="19"/>
      <c r="CS512" s="19"/>
      <c r="CT512" s="19"/>
      <c r="CU512" s="19"/>
      <c r="CV512" s="19"/>
      <c r="CW512" s="19"/>
      <c r="CX512" s="19"/>
      <c r="CY512" s="19"/>
      <c r="CZ512" s="19"/>
      <c r="DA512" s="19"/>
      <c r="DB512" s="19"/>
      <c r="DC512" s="19"/>
      <c r="DD512" s="19" t="str">
        <f>$K512</f>
        <v>2026 Subaru SOLTERRA 20 AWD</v>
      </c>
      <c r="DE512" s="19"/>
      <c r="DF512" s="19"/>
      <c r="DG512" s="19"/>
      <c r="DH512" s="19"/>
      <c r="DI512" s="19"/>
      <c r="DJ512" s="19"/>
      <c r="DK512" s="19"/>
      <c r="DL512" s="19"/>
      <c r="DM512" s="19"/>
      <c r="DN512" s="19"/>
      <c r="DO512" s="19"/>
      <c r="DP512" s="19"/>
      <c r="DQ512" s="19"/>
      <c r="DR512" s="19"/>
      <c r="DS512" s="19"/>
      <c r="DT512" s="19"/>
      <c r="DU512" s="19" t="str">
        <f>$K512</f>
        <v>2026 Subaru SOLTERRA 20 AWD</v>
      </c>
      <c r="DV512" s="19"/>
      <c r="DW512" s="19"/>
      <c r="DX512" s="19"/>
      <c r="DY512" s="19"/>
      <c r="DZ512" s="19"/>
      <c r="EA512" s="117"/>
      <c r="EB512" s="19"/>
      <c r="EC512" s="19"/>
      <c r="ED512" s="19"/>
      <c r="EE512" s="19"/>
      <c r="EF512" s="19"/>
      <c r="EX512" s="19" t="s">
        <v>2089</v>
      </c>
    </row>
    <row r="513" spans="1:165" x14ac:dyDescent="0.35">
      <c r="A513">
        <v>2026</v>
      </c>
      <c r="B513" t="s">
        <v>641</v>
      </c>
      <c r="C513" s="112" t="s">
        <v>641</v>
      </c>
      <c r="D513" t="s">
        <v>1769</v>
      </c>
      <c r="E513" t="s">
        <v>643</v>
      </c>
      <c r="F513">
        <v>87</v>
      </c>
      <c r="G513" s="113">
        <v>0</v>
      </c>
      <c r="I513" t="s">
        <v>1391</v>
      </c>
      <c r="J513">
        <v>128</v>
      </c>
      <c r="K513">
        <v>105</v>
      </c>
      <c r="L513">
        <v>117</v>
      </c>
      <c r="M513">
        <v>182.2</v>
      </c>
      <c r="N513">
        <v>150.6</v>
      </c>
      <c r="O513">
        <v>166.48050000000001</v>
      </c>
      <c r="P513">
        <v>127.54</v>
      </c>
      <c r="Q513">
        <v>105.42</v>
      </c>
      <c r="R513">
        <v>116.5364</v>
      </c>
      <c r="V513" t="s">
        <v>170</v>
      </c>
      <c r="W513" t="s">
        <v>171</v>
      </c>
      <c r="Y513">
        <v>1</v>
      </c>
      <c r="Z513" t="s">
        <v>173</v>
      </c>
      <c r="AA513" t="s">
        <v>173</v>
      </c>
      <c r="AB513" t="s">
        <v>170</v>
      </c>
      <c r="AC513" t="s">
        <v>232</v>
      </c>
      <c r="AF513">
        <v>278</v>
      </c>
      <c r="AG513" t="s">
        <v>1392</v>
      </c>
      <c r="AH513" t="s">
        <v>1393</v>
      </c>
      <c r="AI513" t="s">
        <v>178</v>
      </c>
      <c r="AJ513" t="s">
        <v>179</v>
      </c>
      <c r="AK513">
        <v>4</v>
      </c>
      <c r="AL513" t="s">
        <v>1394</v>
      </c>
      <c r="AS513">
        <v>750</v>
      </c>
      <c r="AT513">
        <v>750</v>
      </c>
      <c r="BN513" s="114"/>
      <c r="BQ513">
        <v>31</v>
      </c>
      <c r="BR513" t="s">
        <v>887</v>
      </c>
      <c r="BT513" t="s">
        <v>1395</v>
      </c>
      <c r="BU513" s="115">
        <v>45894</v>
      </c>
      <c r="BV513">
        <v>37299</v>
      </c>
      <c r="BW513" s="116"/>
      <c r="BX513" t="s">
        <v>172</v>
      </c>
      <c r="BY513" t="s">
        <v>173</v>
      </c>
      <c r="CB513" t="s">
        <v>173</v>
      </c>
      <c r="CC513" t="s">
        <v>173</v>
      </c>
      <c r="CK513" t="s">
        <v>259</v>
      </c>
      <c r="CM513">
        <v>1</v>
      </c>
      <c r="CN513" t="s">
        <v>260</v>
      </c>
      <c r="CP513">
        <v>391</v>
      </c>
      <c r="CQ513">
        <v>191</v>
      </c>
      <c r="CR513">
        <v>261</v>
      </c>
      <c r="CS513" t="s">
        <v>261</v>
      </c>
      <c r="CV513" t="s">
        <v>262</v>
      </c>
      <c r="CX513" t="s">
        <v>263</v>
      </c>
      <c r="CY513" t="s">
        <v>173</v>
      </c>
      <c r="DD513">
        <v>2</v>
      </c>
      <c r="DE513" t="s">
        <v>307</v>
      </c>
      <c r="DF513" t="s">
        <v>855</v>
      </c>
      <c r="DG513" t="s">
        <v>1770</v>
      </c>
      <c r="DL513" t="s">
        <v>173</v>
      </c>
      <c r="DM513" t="s">
        <v>172</v>
      </c>
      <c r="DP513" t="s">
        <v>173</v>
      </c>
      <c r="DQ513" t="s">
        <v>189</v>
      </c>
      <c r="DR513" t="s">
        <v>1542</v>
      </c>
      <c r="EA513" s="117"/>
      <c r="EB513">
        <v>9</v>
      </c>
      <c r="EC513">
        <v>10</v>
      </c>
      <c r="EE513" t="s">
        <v>1771</v>
      </c>
      <c r="EF513">
        <v>10</v>
      </c>
      <c r="EU513">
        <v>4750</v>
      </c>
      <c r="EW513">
        <v>0</v>
      </c>
      <c r="EX513">
        <v>0</v>
      </c>
      <c r="EY513">
        <v>0</v>
      </c>
      <c r="FA513">
        <v>8</v>
      </c>
      <c r="FG513" s="94">
        <v>302</v>
      </c>
      <c r="FH513" s="94">
        <v>249</v>
      </c>
      <c r="FI513" s="94">
        <v>278</v>
      </c>
    </row>
    <row r="514" spans="1:165" x14ac:dyDescent="0.35">
      <c r="A514">
        <v>2026</v>
      </c>
      <c r="B514" t="s">
        <v>641</v>
      </c>
      <c r="C514" s="112" t="s">
        <v>641</v>
      </c>
      <c r="D514" t="s">
        <v>1769</v>
      </c>
      <c r="E514" t="s">
        <v>643</v>
      </c>
      <c r="F514">
        <v>87</v>
      </c>
      <c r="G514" s="113">
        <v>0</v>
      </c>
      <c r="I514" t="s">
        <v>1391</v>
      </c>
      <c r="J514">
        <v>26</v>
      </c>
      <c r="K514">
        <v>32</v>
      </c>
      <c r="L514">
        <v>29</v>
      </c>
      <c r="M514">
        <v>18.498799999999999</v>
      </c>
      <c r="N514">
        <v>22.386500000000002</v>
      </c>
      <c r="O514">
        <v>20.2483</v>
      </c>
      <c r="P514">
        <v>26.427</v>
      </c>
      <c r="Q514">
        <v>31.972100000000001</v>
      </c>
      <c r="R514">
        <v>28.9223</v>
      </c>
      <c r="V514" t="s">
        <v>170</v>
      </c>
      <c r="W514" t="s">
        <v>171</v>
      </c>
      <c r="Y514">
        <v>1</v>
      </c>
      <c r="Z514" t="s">
        <v>173</v>
      </c>
      <c r="AA514" t="s">
        <v>173</v>
      </c>
      <c r="AB514" t="s">
        <v>170</v>
      </c>
      <c r="AC514" t="s">
        <v>232</v>
      </c>
      <c r="AF514">
        <v>278</v>
      </c>
      <c r="AG514" t="s">
        <v>1392</v>
      </c>
      <c r="AH514" t="s">
        <v>1393</v>
      </c>
      <c r="AI514" t="s">
        <v>1399</v>
      </c>
      <c r="AJ514" t="s">
        <v>1400</v>
      </c>
      <c r="AK514">
        <v>4</v>
      </c>
      <c r="AL514" t="s">
        <v>1394</v>
      </c>
      <c r="AS514">
        <v>750</v>
      </c>
      <c r="AT514">
        <v>750</v>
      </c>
      <c r="BN514" s="114"/>
      <c r="BQ514">
        <v>31</v>
      </c>
      <c r="BR514" t="s">
        <v>887</v>
      </c>
      <c r="BT514" t="s">
        <v>1395</v>
      </c>
      <c r="BU514" s="115">
        <v>45894</v>
      </c>
      <c r="BV514">
        <v>37299</v>
      </c>
      <c r="BW514" s="116"/>
      <c r="BX514" t="s">
        <v>172</v>
      </c>
      <c r="BY514" t="s">
        <v>173</v>
      </c>
      <c r="CB514" t="s">
        <v>173</v>
      </c>
      <c r="CC514" t="s">
        <v>173</v>
      </c>
      <c r="CK514" t="s">
        <v>259</v>
      </c>
      <c r="CM514">
        <v>1</v>
      </c>
      <c r="CN514" t="s">
        <v>260</v>
      </c>
      <c r="CP514">
        <v>391</v>
      </c>
      <c r="CQ514">
        <v>191</v>
      </c>
      <c r="CR514">
        <v>261</v>
      </c>
      <c r="CS514" t="s">
        <v>261</v>
      </c>
      <c r="CV514" t="s">
        <v>262</v>
      </c>
      <c r="CX514" t="s">
        <v>263</v>
      </c>
      <c r="CY514" t="s">
        <v>173</v>
      </c>
      <c r="DD514">
        <v>2</v>
      </c>
      <c r="DE514" t="s">
        <v>307</v>
      </c>
      <c r="DF514" t="s">
        <v>855</v>
      </c>
      <c r="DG514" t="s">
        <v>1770</v>
      </c>
      <c r="DL514" t="s">
        <v>173</v>
      </c>
      <c r="DM514" t="s">
        <v>172</v>
      </c>
      <c r="DP514" t="s">
        <v>173</v>
      </c>
      <c r="DQ514" t="s">
        <v>189</v>
      </c>
      <c r="DR514" t="s">
        <v>1542</v>
      </c>
      <c r="EA514" s="117"/>
      <c r="EB514">
        <v>9</v>
      </c>
      <c r="EC514">
        <v>10</v>
      </c>
      <c r="EE514" t="s">
        <v>1771</v>
      </c>
      <c r="EF514">
        <v>10</v>
      </c>
      <c r="EU514">
        <v>4750</v>
      </c>
      <c r="EW514">
        <v>0</v>
      </c>
      <c r="EX514">
        <v>0</v>
      </c>
      <c r="EY514">
        <v>0</v>
      </c>
      <c r="FA514">
        <v>8</v>
      </c>
      <c r="FG514" s="94">
        <v>302</v>
      </c>
      <c r="FH514" s="94">
        <v>249</v>
      </c>
      <c r="FI514" s="94">
        <v>278</v>
      </c>
    </row>
    <row r="515" spans="1:165" x14ac:dyDescent="0.35">
      <c r="A515" s="19"/>
      <c r="B515" s="19"/>
      <c r="C515" s="19"/>
      <c r="D515" s="19"/>
      <c r="E515" s="19"/>
      <c r="F515" s="128"/>
      <c r="G515" s="19"/>
      <c r="H515" s="19"/>
      <c r="I515" s="19"/>
      <c r="J515" s="19"/>
      <c r="K515" s="19" t="str">
        <f>_xlfn.CONCAT(A516," ",C516," ",D516)</f>
        <v>2026 Subaru SOLTERRA AWD</v>
      </c>
      <c r="L515" s="19"/>
      <c r="M515" s="19"/>
      <c r="N515" s="19"/>
      <c r="O515" s="19"/>
      <c r="P515" s="19"/>
      <c r="Q515" s="19"/>
      <c r="R515" s="19"/>
      <c r="S515" s="19"/>
      <c r="T515" s="19"/>
      <c r="U515" s="19"/>
      <c r="V515" s="19"/>
      <c r="W515" s="19"/>
      <c r="X515" s="19"/>
      <c r="Y515" s="19"/>
      <c r="Z515" s="19"/>
      <c r="AA515" s="19"/>
      <c r="AB515" s="19" t="str">
        <f>$K515</f>
        <v>2026 Subaru SOLTERRA AWD</v>
      </c>
      <c r="AC515" s="19"/>
      <c r="AD515" s="19"/>
      <c r="AE515" s="19"/>
      <c r="AF515" s="19"/>
      <c r="AG515" s="19"/>
      <c r="AH515" s="19"/>
      <c r="AI515" s="19"/>
      <c r="AJ515" s="19"/>
      <c r="AK515" s="19"/>
      <c r="AL515" s="19"/>
      <c r="AM515" s="19"/>
      <c r="AN515" s="19"/>
      <c r="AO515" s="19"/>
      <c r="AP515" s="19"/>
      <c r="AQ515" s="19"/>
      <c r="AR515" s="19" t="str">
        <f>$K515</f>
        <v>2026 Subaru SOLTERRA AWD</v>
      </c>
      <c r="AS515" s="19"/>
      <c r="AT515" s="19"/>
      <c r="AU515" s="19"/>
      <c r="AV515" s="19"/>
      <c r="AW515" s="19"/>
      <c r="AX515" s="19"/>
      <c r="AY515" s="19"/>
      <c r="AZ515" s="19"/>
      <c r="BA515" s="19"/>
      <c r="BB515" s="19"/>
      <c r="BC515" s="19"/>
      <c r="BD515" s="19"/>
      <c r="BE515" s="19"/>
      <c r="BF515" s="19"/>
      <c r="BG515" s="19" t="str">
        <f>$K515</f>
        <v>2026 Subaru SOLTERRA AWD</v>
      </c>
      <c r="BH515" s="19"/>
      <c r="BI515" s="19"/>
      <c r="BJ515" s="19"/>
      <c r="BK515" s="19"/>
      <c r="BL515" s="19"/>
      <c r="BM515" s="129"/>
      <c r="BN515" s="19"/>
      <c r="BO515" s="19"/>
      <c r="BP515" s="19"/>
      <c r="BQ515" s="19"/>
      <c r="BR515" s="19"/>
      <c r="BS515" s="19"/>
      <c r="BT515" s="130"/>
      <c r="BU515" s="19"/>
      <c r="BV515" s="19"/>
      <c r="BW515" s="116"/>
      <c r="BX515" s="19"/>
      <c r="BY515" s="19"/>
      <c r="BZ515" s="19"/>
      <c r="CA515" s="19"/>
      <c r="CB515" s="19"/>
      <c r="CC515" s="19"/>
      <c r="CD515" s="19"/>
      <c r="CE515" s="19"/>
      <c r="CF515" s="19"/>
      <c r="CG515" s="19"/>
      <c r="CH515" s="19"/>
      <c r="CI515" s="19"/>
      <c r="CJ515" s="19"/>
      <c r="CK515" s="19"/>
      <c r="CL515" s="19"/>
      <c r="CM515" s="19" t="str">
        <f>$K515</f>
        <v>2026 Subaru SOLTERRA AWD</v>
      </c>
      <c r="CN515" s="19"/>
      <c r="CO515" s="19"/>
      <c r="CP515" s="19"/>
      <c r="CQ515" s="19"/>
      <c r="CR515" s="19"/>
      <c r="CS515" s="19"/>
      <c r="CT515" s="19"/>
      <c r="CU515" s="19"/>
      <c r="CV515" s="19"/>
      <c r="CW515" s="19"/>
      <c r="CX515" s="19"/>
      <c r="CY515" s="19"/>
      <c r="CZ515" s="19"/>
      <c r="DA515" s="19"/>
      <c r="DB515" s="19"/>
      <c r="DC515" s="19"/>
      <c r="DD515" s="19" t="str">
        <f>$K515</f>
        <v>2026 Subaru SOLTERRA AWD</v>
      </c>
      <c r="DE515" s="19"/>
      <c r="DF515" s="19"/>
      <c r="DG515" s="19"/>
      <c r="DH515" s="19"/>
      <c r="DI515" s="19"/>
      <c r="DJ515" s="19"/>
      <c r="DK515" s="19"/>
      <c r="DL515" s="19"/>
      <c r="DM515" s="19"/>
      <c r="DN515" s="19"/>
      <c r="DO515" s="19"/>
      <c r="DP515" s="19"/>
      <c r="DQ515" s="19"/>
      <c r="DR515" s="19"/>
      <c r="DS515" s="19"/>
      <c r="DT515" s="19"/>
      <c r="DU515" s="19" t="str">
        <f>$K515</f>
        <v>2026 Subaru SOLTERRA AWD</v>
      </c>
      <c r="DV515" s="19"/>
      <c r="DW515" s="19"/>
      <c r="DX515" s="19"/>
      <c r="DY515" s="19"/>
      <c r="DZ515" s="19"/>
      <c r="EA515" s="117"/>
      <c r="EB515" s="19"/>
      <c r="EC515" s="19"/>
      <c r="ED515" s="19"/>
      <c r="EE515" s="19"/>
      <c r="EF515" s="19"/>
      <c r="EX515" s="19" t="s">
        <v>2090</v>
      </c>
    </row>
    <row r="516" spans="1:165" x14ac:dyDescent="0.35">
      <c r="A516">
        <v>2026</v>
      </c>
      <c r="B516" t="s">
        <v>641</v>
      </c>
      <c r="C516" s="112" t="s">
        <v>641</v>
      </c>
      <c r="D516" t="s">
        <v>1772</v>
      </c>
      <c r="E516" t="s">
        <v>643</v>
      </c>
      <c r="F516">
        <v>86</v>
      </c>
      <c r="G516" s="113">
        <v>0</v>
      </c>
      <c r="I516" t="s">
        <v>1391</v>
      </c>
      <c r="J516">
        <v>131</v>
      </c>
      <c r="K516">
        <v>109</v>
      </c>
      <c r="L516">
        <v>120</v>
      </c>
      <c r="M516">
        <v>187.9</v>
      </c>
      <c r="N516">
        <v>156.30000000000001</v>
      </c>
      <c r="O516">
        <v>172.23060000000001</v>
      </c>
      <c r="P516">
        <v>131</v>
      </c>
      <c r="Q516">
        <v>109.41</v>
      </c>
      <c r="R516">
        <v>120</v>
      </c>
      <c r="V516" t="s">
        <v>170</v>
      </c>
      <c r="W516" t="s">
        <v>171</v>
      </c>
      <c r="Y516">
        <v>1</v>
      </c>
      <c r="Z516" t="s">
        <v>173</v>
      </c>
      <c r="AA516" t="s">
        <v>173</v>
      </c>
      <c r="AB516" t="s">
        <v>170</v>
      </c>
      <c r="AC516" t="s">
        <v>232</v>
      </c>
      <c r="AF516">
        <v>288</v>
      </c>
      <c r="AG516" t="s">
        <v>1392</v>
      </c>
      <c r="AH516" t="s">
        <v>1393</v>
      </c>
      <c r="AI516" t="s">
        <v>178</v>
      </c>
      <c r="AJ516" t="s">
        <v>179</v>
      </c>
      <c r="AK516">
        <v>4</v>
      </c>
      <c r="AL516" t="s">
        <v>1394</v>
      </c>
      <c r="AS516">
        <v>700</v>
      </c>
      <c r="AT516">
        <v>700</v>
      </c>
      <c r="BN516" s="114"/>
      <c r="BQ516">
        <v>31</v>
      </c>
      <c r="BR516" t="s">
        <v>887</v>
      </c>
      <c r="BT516" t="s">
        <v>1395</v>
      </c>
      <c r="BU516" s="115">
        <v>45894</v>
      </c>
      <c r="BV516">
        <v>37314</v>
      </c>
      <c r="BW516" s="116"/>
      <c r="BX516" t="s">
        <v>173</v>
      </c>
      <c r="BY516" t="s">
        <v>173</v>
      </c>
      <c r="CB516" t="s">
        <v>173</v>
      </c>
      <c r="CC516" t="s">
        <v>173</v>
      </c>
      <c r="CK516" t="s">
        <v>259</v>
      </c>
      <c r="CM516">
        <v>1</v>
      </c>
      <c r="CN516" t="s">
        <v>260</v>
      </c>
      <c r="CP516">
        <v>391</v>
      </c>
      <c r="CQ516">
        <v>191</v>
      </c>
      <c r="CR516">
        <v>261</v>
      </c>
      <c r="CS516" t="s">
        <v>261</v>
      </c>
      <c r="CV516" t="s">
        <v>262</v>
      </c>
      <c r="CX516" t="s">
        <v>263</v>
      </c>
      <c r="CY516" t="s">
        <v>173</v>
      </c>
      <c r="DD516">
        <v>2</v>
      </c>
      <c r="DE516" t="s">
        <v>307</v>
      </c>
      <c r="DF516" t="s">
        <v>855</v>
      </c>
      <c r="DG516" t="s">
        <v>1770</v>
      </c>
      <c r="DL516" t="s">
        <v>173</v>
      </c>
      <c r="DM516" t="s">
        <v>172</v>
      </c>
      <c r="DP516" t="s">
        <v>173</v>
      </c>
      <c r="DQ516" t="s">
        <v>189</v>
      </c>
      <c r="DR516" t="s">
        <v>1542</v>
      </c>
      <c r="EA516" s="117"/>
      <c r="EB516">
        <v>9</v>
      </c>
      <c r="EC516">
        <v>10</v>
      </c>
      <c r="EE516" t="s">
        <v>1771</v>
      </c>
      <c r="EF516">
        <v>10</v>
      </c>
      <c r="EU516">
        <v>5000</v>
      </c>
      <c r="EW516">
        <v>0</v>
      </c>
      <c r="EX516">
        <v>0</v>
      </c>
      <c r="EY516">
        <v>0</v>
      </c>
      <c r="FA516">
        <v>8</v>
      </c>
      <c r="FG516" s="94">
        <v>312</v>
      </c>
      <c r="FH516" s="94">
        <v>259</v>
      </c>
      <c r="FI516" s="94">
        <v>288</v>
      </c>
    </row>
    <row r="517" spans="1:165" x14ac:dyDescent="0.35">
      <c r="A517">
        <v>2026</v>
      </c>
      <c r="B517" t="s">
        <v>641</v>
      </c>
      <c r="C517" s="112" t="s">
        <v>641</v>
      </c>
      <c r="D517" t="s">
        <v>1772</v>
      </c>
      <c r="E517" t="s">
        <v>643</v>
      </c>
      <c r="F517">
        <v>86</v>
      </c>
      <c r="G517" s="113">
        <v>0</v>
      </c>
      <c r="I517" t="s">
        <v>1391</v>
      </c>
      <c r="J517">
        <v>26</v>
      </c>
      <c r="K517">
        <v>31</v>
      </c>
      <c r="L517">
        <v>28</v>
      </c>
      <c r="M517">
        <v>17.936599999999999</v>
      </c>
      <c r="N517">
        <v>21.561</v>
      </c>
      <c r="O517">
        <v>19.567599999999999</v>
      </c>
      <c r="P517">
        <v>25.625299999999999</v>
      </c>
      <c r="Q517">
        <v>30.806100000000001</v>
      </c>
      <c r="R517">
        <v>27.956700000000001</v>
      </c>
      <c r="V517" t="s">
        <v>170</v>
      </c>
      <c r="W517" t="s">
        <v>171</v>
      </c>
      <c r="Y517">
        <v>1</v>
      </c>
      <c r="Z517" t="s">
        <v>173</v>
      </c>
      <c r="AA517" t="s">
        <v>173</v>
      </c>
      <c r="AB517" t="s">
        <v>170</v>
      </c>
      <c r="AC517" t="s">
        <v>232</v>
      </c>
      <c r="AF517">
        <v>288</v>
      </c>
      <c r="AG517" t="s">
        <v>1392</v>
      </c>
      <c r="AH517" t="s">
        <v>1393</v>
      </c>
      <c r="AI517" t="s">
        <v>1399</v>
      </c>
      <c r="AJ517" t="s">
        <v>1400</v>
      </c>
      <c r="AK517">
        <v>4</v>
      </c>
      <c r="AL517" t="s">
        <v>1394</v>
      </c>
      <c r="AS517">
        <v>700</v>
      </c>
      <c r="AT517">
        <v>700</v>
      </c>
      <c r="BN517" s="114"/>
      <c r="BQ517">
        <v>31</v>
      </c>
      <c r="BR517" t="s">
        <v>887</v>
      </c>
      <c r="BT517" t="s">
        <v>1395</v>
      </c>
      <c r="BU517" s="115">
        <v>45894</v>
      </c>
      <c r="BV517">
        <v>37314</v>
      </c>
      <c r="BW517" s="116"/>
      <c r="BX517" t="s">
        <v>173</v>
      </c>
      <c r="BY517" t="s">
        <v>173</v>
      </c>
      <c r="CB517" t="s">
        <v>173</v>
      </c>
      <c r="CC517" t="s">
        <v>173</v>
      </c>
      <c r="CK517" t="s">
        <v>259</v>
      </c>
      <c r="CM517">
        <v>1</v>
      </c>
      <c r="CN517" t="s">
        <v>260</v>
      </c>
      <c r="CP517">
        <v>391</v>
      </c>
      <c r="CQ517">
        <v>191</v>
      </c>
      <c r="CR517">
        <v>261</v>
      </c>
      <c r="CS517" t="s">
        <v>261</v>
      </c>
      <c r="CV517" t="s">
        <v>262</v>
      </c>
      <c r="CX517" t="s">
        <v>263</v>
      </c>
      <c r="CY517" t="s">
        <v>173</v>
      </c>
      <c r="DD517">
        <v>2</v>
      </c>
      <c r="DE517" t="s">
        <v>307</v>
      </c>
      <c r="DF517" t="s">
        <v>855</v>
      </c>
      <c r="DG517">
        <v>87</v>
      </c>
      <c r="DL517" t="s">
        <v>173</v>
      </c>
      <c r="DM517" t="s">
        <v>172</v>
      </c>
      <c r="DP517" t="s">
        <v>173</v>
      </c>
      <c r="DQ517" t="s">
        <v>189</v>
      </c>
      <c r="DR517" t="s">
        <v>1542</v>
      </c>
      <c r="EA517" s="117"/>
      <c r="EB517">
        <v>9</v>
      </c>
      <c r="EC517">
        <v>10</v>
      </c>
      <c r="EE517" t="s">
        <v>1771</v>
      </c>
      <c r="EF517">
        <v>10</v>
      </c>
      <c r="EU517">
        <v>5000</v>
      </c>
      <c r="EW517">
        <v>0</v>
      </c>
      <c r="EX517">
        <v>0</v>
      </c>
      <c r="EY517">
        <v>0</v>
      </c>
      <c r="FA517">
        <v>8</v>
      </c>
      <c r="FG517" s="94">
        <v>312</v>
      </c>
      <c r="FH517" s="94">
        <v>259</v>
      </c>
      <c r="FI517" s="94">
        <v>288</v>
      </c>
    </row>
    <row r="518" spans="1:165" x14ac:dyDescent="0.35">
      <c r="A518" s="19"/>
      <c r="B518" s="19"/>
      <c r="C518" s="19"/>
      <c r="D518" s="19"/>
      <c r="E518" s="19"/>
      <c r="F518" s="128"/>
      <c r="G518" s="19"/>
      <c r="H518" s="19"/>
      <c r="I518" s="19"/>
      <c r="J518" s="19"/>
      <c r="K518" s="19" t="str">
        <f>_xlfn.CONCAT(A519," ",C519," ",D519)</f>
        <v>2026 Tesla Motors Model S</v>
      </c>
      <c r="L518" s="19"/>
      <c r="M518" s="19"/>
      <c r="N518" s="19"/>
      <c r="O518" s="19"/>
      <c r="P518" s="19"/>
      <c r="Q518" s="19"/>
      <c r="R518" s="19"/>
      <c r="S518" s="19"/>
      <c r="T518" s="19"/>
      <c r="U518" s="19"/>
      <c r="V518" s="19"/>
      <c r="W518" s="19"/>
      <c r="X518" s="19"/>
      <c r="Y518" s="19"/>
      <c r="Z518" s="19"/>
      <c r="AA518" s="19"/>
      <c r="AB518" s="19" t="str">
        <f>$K518</f>
        <v>2026 Tesla Motors Model S</v>
      </c>
      <c r="AC518" s="19"/>
      <c r="AD518" s="19"/>
      <c r="AE518" s="19"/>
      <c r="AF518" s="19"/>
      <c r="AG518" s="19"/>
      <c r="AH518" s="19"/>
      <c r="AI518" s="19"/>
      <c r="AJ518" s="19"/>
      <c r="AK518" s="19"/>
      <c r="AL518" s="19"/>
      <c r="AM518" s="19"/>
      <c r="AN518" s="19"/>
      <c r="AO518" s="19"/>
      <c r="AP518" s="19"/>
      <c r="AQ518" s="19"/>
      <c r="AR518" s="19" t="str">
        <f>$K518</f>
        <v>2026 Tesla Motors Model S</v>
      </c>
      <c r="AS518" s="19"/>
      <c r="AT518" s="19"/>
      <c r="AU518" s="19"/>
      <c r="AV518" s="19"/>
      <c r="AW518" s="19"/>
      <c r="AX518" s="19"/>
      <c r="AY518" s="19"/>
      <c r="AZ518" s="19"/>
      <c r="BA518" s="19"/>
      <c r="BB518" s="19"/>
      <c r="BC518" s="19"/>
      <c r="BD518" s="19"/>
      <c r="BE518" s="19"/>
      <c r="BF518" s="19"/>
      <c r="BG518" s="19" t="str">
        <f>$K518</f>
        <v>2026 Tesla Motors Model S</v>
      </c>
      <c r="BH518" s="19"/>
      <c r="BI518" s="19"/>
      <c r="BJ518" s="19"/>
      <c r="BK518" s="19"/>
      <c r="BL518" s="19"/>
      <c r="BM518" s="129"/>
      <c r="BN518" s="19"/>
      <c r="BO518" s="19"/>
      <c r="BP518" s="19"/>
      <c r="BQ518" s="19"/>
      <c r="BR518" s="19"/>
      <c r="BS518" s="19"/>
      <c r="BT518" s="130"/>
      <c r="BU518" s="19"/>
      <c r="BV518" s="19"/>
      <c r="BW518" s="116"/>
      <c r="BX518" s="19"/>
      <c r="BY518" s="19"/>
      <c r="BZ518" s="19"/>
      <c r="CA518" s="19"/>
      <c r="CB518" s="19"/>
      <c r="CC518" s="19"/>
      <c r="CD518" s="19"/>
      <c r="CE518" s="19"/>
      <c r="CF518" s="19"/>
      <c r="CG518" s="19"/>
      <c r="CH518" s="19"/>
      <c r="CI518" s="19"/>
      <c r="CJ518" s="19"/>
      <c r="CK518" s="19"/>
      <c r="CL518" s="19"/>
      <c r="CM518" s="19" t="str">
        <f>$K518</f>
        <v>2026 Tesla Motors Model S</v>
      </c>
      <c r="CN518" s="19"/>
      <c r="CO518" s="19"/>
      <c r="CP518" s="19"/>
      <c r="CQ518" s="19"/>
      <c r="CR518" s="19"/>
      <c r="CS518" s="19"/>
      <c r="CT518" s="19"/>
      <c r="CU518" s="19"/>
      <c r="CV518" s="19"/>
      <c r="CW518" s="19"/>
      <c r="CX518" s="19"/>
      <c r="CY518" s="19"/>
      <c r="CZ518" s="19"/>
      <c r="DA518" s="19"/>
      <c r="DB518" s="19"/>
      <c r="DC518" s="19"/>
      <c r="DD518" s="19" t="str">
        <f>$K518</f>
        <v>2026 Tesla Motors Model S</v>
      </c>
      <c r="DE518" s="19"/>
      <c r="DF518" s="19"/>
      <c r="DG518" s="19"/>
      <c r="DH518" s="19"/>
      <c r="DI518" s="19"/>
      <c r="DJ518" s="19"/>
      <c r="DK518" s="19"/>
      <c r="DL518" s="19"/>
      <c r="DM518" s="19"/>
      <c r="DN518" s="19"/>
      <c r="DO518" s="19"/>
      <c r="DP518" s="19"/>
      <c r="DQ518" s="19"/>
      <c r="DR518" s="19"/>
      <c r="DS518" s="19"/>
      <c r="DT518" s="19"/>
      <c r="DU518" s="19" t="str">
        <f>$K518</f>
        <v>2026 Tesla Motors Model S</v>
      </c>
      <c r="DV518" s="19"/>
      <c r="DW518" s="19"/>
      <c r="DX518" s="19"/>
      <c r="DY518" s="19"/>
      <c r="DZ518" s="19"/>
      <c r="EA518" s="117"/>
      <c r="EB518" s="19"/>
      <c r="EC518" s="19"/>
      <c r="ED518" s="19"/>
      <c r="EE518" s="19"/>
      <c r="EF518" s="19"/>
      <c r="EX518" s="19" t="s">
        <v>2091</v>
      </c>
    </row>
    <row r="519" spans="1:165" x14ac:dyDescent="0.35">
      <c r="A519">
        <v>2026</v>
      </c>
      <c r="B519" t="s">
        <v>1666</v>
      </c>
      <c r="C519" s="112" t="s">
        <v>1667</v>
      </c>
      <c r="D519" t="s">
        <v>1668</v>
      </c>
      <c r="E519" t="s">
        <v>1669</v>
      </c>
      <c r="F519">
        <v>58</v>
      </c>
      <c r="G519" s="113">
        <v>0</v>
      </c>
      <c r="I519" t="s">
        <v>1391</v>
      </c>
      <c r="J519">
        <v>132</v>
      </c>
      <c r="K519">
        <v>116</v>
      </c>
      <c r="L519">
        <v>124</v>
      </c>
      <c r="M519">
        <v>187.9</v>
      </c>
      <c r="N519">
        <v>166.2</v>
      </c>
      <c r="O519">
        <v>177.4727</v>
      </c>
      <c r="P519">
        <v>131.53</v>
      </c>
      <c r="Q519">
        <v>116.34</v>
      </c>
      <c r="R519">
        <v>124.23090000000001</v>
      </c>
      <c r="V519" t="s">
        <v>170</v>
      </c>
      <c r="W519" t="s">
        <v>171</v>
      </c>
      <c r="Y519">
        <v>1</v>
      </c>
      <c r="Z519" t="s">
        <v>173</v>
      </c>
      <c r="AA519" t="s">
        <v>173</v>
      </c>
      <c r="AB519" t="s">
        <v>170</v>
      </c>
      <c r="AC519" t="s">
        <v>232</v>
      </c>
      <c r="AF519">
        <v>410</v>
      </c>
      <c r="AG519" t="s">
        <v>1392</v>
      </c>
      <c r="AH519" t="s">
        <v>1393</v>
      </c>
      <c r="AI519" t="s">
        <v>178</v>
      </c>
      <c r="AJ519" t="s">
        <v>179</v>
      </c>
      <c r="AK519">
        <v>4</v>
      </c>
      <c r="AL519" t="s">
        <v>1394</v>
      </c>
      <c r="AQ519">
        <v>94</v>
      </c>
      <c r="AR519">
        <v>26</v>
      </c>
      <c r="AS519">
        <v>700</v>
      </c>
      <c r="AT519">
        <v>700</v>
      </c>
      <c r="BN519" s="114"/>
      <c r="BQ519">
        <v>6</v>
      </c>
      <c r="BR519" t="s">
        <v>536</v>
      </c>
      <c r="BS519" t="s">
        <v>182</v>
      </c>
      <c r="BT519" t="s">
        <v>1402</v>
      </c>
      <c r="BU519" s="115">
        <v>45810</v>
      </c>
      <c r="BV519">
        <v>36579</v>
      </c>
      <c r="BW519" s="116"/>
      <c r="BX519" t="s">
        <v>173</v>
      </c>
      <c r="BY519" t="s">
        <v>173</v>
      </c>
      <c r="CB519" t="s">
        <v>173</v>
      </c>
      <c r="CC519" t="s">
        <v>173</v>
      </c>
      <c r="CK519" t="s">
        <v>259</v>
      </c>
      <c r="CM519">
        <v>1</v>
      </c>
      <c r="CN519" t="s">
        <v>260</v>
      </c>
      <c r="CP519">
        <v>385</v>
      </c>
      <c r="CQ519">
        <v>245</v>
      </c>
      <c r="CR519">
        <v>174</v>
      </c>
      <c r="CS519" t="s">
        <v>261</v>
      </c>
      <c r="CV519" t="s">
        <v>262</v>
      </c>
      <c r="CX519" t="s">
        <v>263</v>
      </c>
      <c r="CY519" t="s">
        <v>173</v>
      </c>
      <c r="DC519" t="s">
        <v>1670</v>
      </c>
      <c r="DD519">
        <v>2</v>
      </c>
      <c r="DE519" t="s">
        <v>307</v>
      </c>
      <c r="DF519" t="s">
        <v>1671</v>
      </c>
      <c r="DG519" t="s">
        <v>1672</v>
      </c>
      <c r="DL519" t="s">
        <v>173</v>
      </c>
      <c r="DM519" t="s">
        <v>172</v>
      </c>
      <c r="DP519" t="s">
        <v>173</v>
      </c>
      <c r="DQ519" t="s">
        <v>189</v>
      </c>
      <c r="DR519" t="s">
        <v>1668</v>
      </c>
      <c r="EA519" s="117"/>
      <c r="EB519">
        <v>10</v>
      </c>
      <c r="EC519">
        <v>10</v>
      </c>
      <c r="EE519" t="s">
        <v>1673</v>
      </c>
      <c r="EF519">
        <v>10</v>
      </c>
      <c r="EU519">
        <v>5000</v>
      </c>
      <c r="EW519">
        <v>0</v>
      </c>
      <c r="EX519">
        <v>0</v>
      </c>
      <c r="EY519">
        <v>0</v>
      </c>
      <c r="FA519">
        <v>9.6999999999999993</v>
      </c>
      <c r="FG519" s="94">
        <v>432</v>
      </c>
      <c r="FH519" s="94">
        <v>383</v>
      </c>
      <c r="FI519" s="94">
        <v>410</v>
      </c>
    </row>
    <row r="520" spans="1:165" x14ac:dyDescent="0.35">
      <c r="A520">
        <v>2026</v>
      </c>
      <c r="B520" t="s">
        <v>1666</v>
      </c>
      <c r="C520" s="112" t="s">
        <v>1667</v>
      </c>
      <c r="D520" t="s">
        <v>1668</v>
      </c>
      <c r="E520" t="s">
        <v>1669</v>
      </c>
      <c r="F520">
        <v>58</v>
      </c>
      <c r="G520" s="113">
        <v>0</v>
      </c>
      <c r="I520" t="s">
        <v>1391</v>
      </c>
      <c r="J520">
        <v>26</v>
      </c>
      <c r="K520">
        <v>29</v>
      </c>
      <c r="L520">
        <v>27</v>
      </c>
      <c r="M520">
        <v>17.9377</v>
      </c>
      <c r="N520">
        <v>20.284700000000001</v>
      </c>
      <c r="O520">
        <v>18.9938</v>
      </c>
      <c r="P520">
        <v>25.625299999999999</v>
      </c>
      <c r="Q520">
        <v>28.9711</v>
      </c>
      <c r="R520">
        <v>27.1309</v>
      </c>
      <c r="V520" t="s">
        <v>170</v>
      </c>
      <c r="W520" t="s">
        <v>171</v>
      </c>
      <c r="Y520">
        <v>1</v>
      </c>
      <c r="Z520" t="s">
        <v>173</v>
      </c>
      <c r="AA520" t="s">
        <v>173</v>
      </c>
      <c r="AB520" t="s">
        <v>170</v>
      </c>
      <c r="AC520" t="s">
        <v>232</v>
      </c>
      <c r="AF520">
        <v>410</v>
      </c>
      <c r="AG520" t="s">
        <v>1392</v>
      </c>
      <c r="AH520" t="s">
        <v>1393</v>
      </c>
      <c r="AI520" t="s">
        <v>1399</v>
      </c>
      <c r="AJ520" t="s">
        <v>1400</v>
      </c>
      <c r="AK520">
        <v>4</v>
      </c>
      <c r="AL520" t="s">
        <v>1394</v>
      </c>
      <c r="AQ520">
        <v>94</v>
      </c>
      <c r="AR520">
        <v>26</v>
      </c>
      <c r="AS520">
        <v>700</v>
      </c>
      <c r="AT520">
        <v>700</v>
      </c>
      <c r="BN520" s="114"/>
      <c r="BQ520">
        <v>6</v>
      </c>
      <c r="BR520" t="s">
        <v>536</v>
      </c>
      <c r="BS520" t="s">
        <v>182</v>
      </c>
      <c r="BT520" t="s">
        <v>1402</v>
      </c>
      <c r="BU520" s="115">
        <v>45810</v>
      </c>
      <c r="BV520">
        <v>36579</v>
      </c>
      <c r="BW520" s="116"/>
      <c r="BX520" t="s">
        <v>173</v>
      </c>
      <c r="BY520" t="s">
        <v>173</v>
      </c>
      <c r="CB520" t="s">
        <v>173</v>
      </c>
      <c r="CC520" t="s">
        <v>173</v>
      </c>
      <c r="CK520" t="s">
        <v>259</v>
      </c>
      <c r="CM520">
        <v>1</v>
      </c>
      <c r="CN520" t="s">
        <v>260</v>
      </c>
      <c r="CP520">
        <v>385</v>
      </c>
      <c r="CQ520">
        <v>245</v>
      </c>
      <c r="CR520">
        <v>174</v>
      </c>
      <c r="CS520" t="s">
        <v>261</v>
      </c>
      <c r="CV520" t="s">
        <v>262</v>
      </c>
      <c r="CX520" t="s">
        <v>263</v>
      </c>
      <c r="CY520" t="s">
        <v>173</v>
      </c>
      <c r="DC520" t="s">
        <v>1670</v>
      </c>
      <c r="DD520">
        <v>2</v>
      </c>
      <c r="DE520" t="s">
        <v>307</v>
      </c>
      <c r="DF520" t="s">
        <v>1671</v>
      </c>
      <c r="DG520" t="s">
        <v>1672</v>
      </c>
      <c r="DL520" t="s">
        <v>173</v>
      </c>
      <c r="DM520" t="s">
        <v>172</v>
      </c>
      <c r="DP520" t="s">
        <v>173</v>
      </c>
      <c r="DQ520" t="s">
        <v>189</v>
      </c>
      <c r="DR520" t="s">
        <v>1668</v>
      </c>
      <c r="EA520" s="117"/>
      <c r="EB520">
        <v>10</v>
      </c>
      <c r="EC520">
        <v>10</v>
      </c>
      <c r="EE520" t="s">
        <v>1673</v>
      </c>
      <c r="EF520">
        <v>10</v>
      </c>
      <c r="EU520">
        <v>5000</v>
      </c>
      <c r="EW520">
        <v>0</v>
      </c>
      <c r="EX520">
        <v>0</v>
      </c>
      <c r="EY520">
        <v>0</v>
      </c>
      <c r="FA520">
        <v>9.6999999999999993</v>
      </c>
      <c r="FG520" s="94">
        <v>432</v>
      </c>
      <c r="FH520" s="94">
        <v>383</v>
      </c>
      <c r="FI520" s="94">
        <v>410</v>
      </c>
    </row>
    <row r="521" spans="1:165" x14ac:dyDescent="0.35">
      <c r="A521" s="19"/>
      <c r="B521" s="19"/>
      <c r="C521" s="19"/>
      <c r="D521" s="19"/>
      <c r="E521" s="19"/>
      <c r="F521" s="128"/>
      <c r="G521" s="19"/>
      <c r="H521" s="19"/>
      <c r="I521" s="19"/>
      <c r="J521" s="19"/>
      <c r="K521" s="19" t="str">
        <f>_xlfn.CONCAT(A522," ",C522," ",D522)</f>
        <v>2026 Tesla Motors Model S Plaid</v>
      </c>
      <c r="L521" s="19"/>
      <c r="M521" s="19"/>
      <c r="N521" s="19"/>
      <c r="O521" s="19"/>
      <c r="P521" s="19"/>
      <c r="Q521" s="19"/>
      <c r="R521" s="19"/>
      <c r="S521" s="19"/>
      <c r="T521" s="19"/>
      <c r="U521" s="19"/>
      <c r="V521" s="19"/>
      <c r="W521" s="19"/>
      <c r="X521" s="19"/>
      <c r="Y521" s="19"/>
      <c r="Z521" s="19"/>
      <c r="AA521" s="19"/>
      <c r="AB521" s="19" t="str">
        <f>$K521</f>
        <v>2026 Tesla Motors Model S Plaid</v>
      </c>
      <c r="AC521" s="19"/>
      <c r="AD521" s="19"/>
      <c r="AE521" s="19"/>
      <c r="AF521" s="19"/>
      <c r="AG521" s="19"/>
      <c r="AH521" s="19"/>
      <c r="AI521" s="19"/>
      <c r="AJ521" s="19"/>
      <c r="AK521" s="19"/>
      <c r="AL521" s="19"/>
      <c r="AM521" s="19"/>
      <c r="AN521" s="19"/>
      <c r="AO521" s="19"/>
      <c r="AP521" s="19"/>
      <c r="AQ521" s="19"/>
      <c r="AR521" s="19" t="str">
        <f>$K521</f>
        <v>2026 Tesla Motors Model S Plaid</v>
      </c>
      <c r="AS521" s="19"/>
      <c r="AT521" s="19"/>
      <c r="AU521" s="19"/>
      <c r="AV521" s="19"/>
      <c r="AW521" s="19"/>
      <c r="AX521" s="19"/>
      <c r="AY521" s="19"/>
      <c r="AZ521" s="19"/>
      <c r="BA521" s="19"/>
      <c r="BB521" s="19"/>
      <c r="BC521" s="19"/>
      <c r="BD521" s="19"/>
      <c r="BE521" s="19"/>
      <c r="BF521" s="19"/>
      <c r="BG521" s="19" t="str">
        <f>$K521</f>
        <v>2026 Tesla Motors Model S Plaid</v>
      </c>
      <c r="BH521" s="19"/>
      <c r="BI521" s="19"/>
      <c r="BJ521" s="19"/>
      <c r="BK521" s="19"/>
      <c r="BL521" s="19"/>
      <c r="BM521" s="129"/>
      <c r="BN521" s="19"/>
      <c r="BO521" s="19"/>
      <c r="BP521" s="19"/>
      <c r="BQ521" s="19"/>
      <c r="BR521" s="19"/>
      <c r="BS521" s="19"/>
      <c r="BT521" s="130"/>
      <c r="BU521" s="19"/>
      <c r="BV521" s="19"/>
      <c r="BW521" s="116"/>
      <c r="BX521" s="19"/>
      <c r="BY521" s="19"/>
      <c r="BZ521" s="19"/>
      <c r="CA521" s="19"/>
      <c r="CB521" s="19"/>
      <c r="CC521" s="19"/>
      <c r="CD521" s="19"/>
      <c r="CE521" s="19"/>
      <c r="CF521" s="19"/>
      <c r="CG521" s="19"/>
      <c r="CH521" s="19"/>
      <c r="CI521" s="19"/>
      <c r="CJ521" s="19"/>
      <c r="CK521" s="19"/>
      <c r="CL521" s="19"/>
      <c r="CM521" s="19" t="str">
        <f>$K521</f>
        <v>2026 Tesla Motors Model S Plaid</v>
      </c>
      <c r="CN521" s="19"/>
      <c r="CO521" s="19"/>
      <c r="CP521" s="19"/>
      <c r="CQ521" s="19"/>
      <c r="CR521" s="19"/>
      <c r="CS521" s="19"/>
      <c r="CT521" s="19"/>
      <c r="CU521" s="19"/>
      <c r="CV521" s="19"/>
      <c r="CW521" s="19"/>
      <c r="CX521" s="19"/>
      <c r="CY521" s="19"/>
      <c r="CZ521" s="19"/>
      <c r="DA521" s="19"/>
      <c r="DB521" s="19"/>
      <c r="DC521" s="19"/>
      <c r="DD521" s="19" t="str">
        <f>$K521</f>
        <v>2026 Tesla Motors Model S Plaid</v>
      </c>
      <c r="DE521" s="19"/>
      <c r="DF521" s="19"/>
      <c r="DG521" s="19"/>
      <c r="DH521" s="19"/>
      <c r="DI521" s="19"/>
      <c r="DJ521" s="19"/>
      <c r="DK521" s="19"/>
      <c r="DL521" s="19"/>
      <c r="DM521" s="19"/>
      <c r="DN521" s="19"/>
      <c r="DO521" s="19"/>
      <c r="DP521" s="19"/>
      <c r="DQ521" s="19"/>
      <c r="DR521" s="19"/>
      <c r="DS521" s="19"/>
      <c r="DT521" s="19"/>
      <c r="DU521" s="19" t="str">
        <f>$K521</f>
        <v>2026 Tesla Motors Model S Plaid</v>
      </c>
      <c r="DV521" s="19"/>
      <c r="DW521" s="19"/>
      <c r="DX521" s="19"/>
      <c r="DY521" s="19"/>
      <c r="DZ521" s="19"/>
      <c r="EA521" s="117"/>
      <c r="EB521" s="19"/>
      <c r="EC521" s="19"/>
      <c r="ED521" s="19"/>
      <c r="EE521" s="19"/>
      <c r="EF521" s="19"/>
      <c r="EX521" s="19" t="s">
        <v>2092</v>
      </c>
    </row>
    <row r="522" spans="1:165" x14ac:dyDescent="0.35">
      <c r="A522">
        <v>2026</v>
      </c>
      <c r="B522" t="s">
        <v>1666</v>
      </c>
      <c r="C522" s="112" t="s">
        <v>1667</v>
      </c>
      <c r="D522" t="s">
        <v>1674</v>
      </c>
      <c r="E522" t="s">
        <v>1669</v>
      </c>
      <c r="F522">
        <v>60</v>
      </c>
      <c r="G522" s="113">
        <v>0</v>
      </c>
      <c r="I522" t="s">
        <v>1391</v>
      </c>
      <c r="J522">
        <v>114</v>
      </c>
      <c r="K522">
        <v>105</v>
      </c>
      <c r="L522">
        <v>110</v>
      </c>
      <c r="M522">
        <v>161</v>
      </c>
      <c r="N522">
        <v>148.30000000000001</v>
      </c>
      <c r="O522">
        <v>155.0258</v>
      </c>
      <c r="P522">
        <v>114.4404</v>
      </c>
      <c r="Q522">
        <v>105.4131</v>
      </c>
      <c r="R522">
        <v>110.1939</v>
      </c>
      <c r="V522" t="s">
        <v>170</v>
      </c>
      <c r="W522" t="s">
        <v>171</v>
      </c>
      <c r="Y522">
        <v>1</v>
      </c>
      <c r="Z522" t="s">
        <v>173</v>
      </c>
      <c r="AA522" t="s">
        <v>173</v>
      </c>
      <c r="AB522" t="s">
        <v>170</v>
      </c>
      <c r="AC522" t="s">
        <v>232</v>
      </c>
      <c r="AF522">
        <v>368</v>
      </c>
      <c r="AG522" t="s">
        <v>1392</v>
      </c>
      <c r="AH522" t="s">
        <v>1393</v>
      </c>
      <c r="AI522" t="s">
        <v>178</v>
      </c>
      <c r="AJ522" t="s">
        <v>179</v>
      </c>
      <c r="AK522">
        <v>4</v>
      </c>
      <c r="AL522" t="s">
        <v>1394</v>
      </c>
      <c r="AQ522">
        <v>94</v>
      </c>
      <c r="AR522">
        <v>26</v>
      </c>
      <c r="AS522">
        <v>800</v>
      </c>
      <c r="AT522">
        <v>800</v>
      </c>
      <c r="BN522" s="114"/>
      <c r="BQ522">
        <v>6</v>
      </c>
      <c r="BR522" t="s">
        <v>536</v>
      </c>
      <c r="BS522" t="s">
        <v>182</v>
      </c>
      <c r="BT522" t="s">
        <v>1402</v>
      </c>
      <c r="BU522" s="115">
        <v>45810</v>
      </c>
      <c r="BV522">
        <v>36726</v>
      </c>
      <c r="BW522" s="116"/>
      <c r="BX522" t="s">
        <v>173</v>
      </c>
      <c r="BY522" t="s">
        <v>173</v>
      </c>
      <c r="CB522" t="s">
        <v>173</v>
      </c>
      <c r="CC522" t="s">
        <v>173</v>
      </c>
      <c r="CK522" t="s">
        <v>259</v>
      </c>
      <c r="CM522">
        <v>1</v>
      </c>
      <c r="CN522" t="s">
        <v>260</v>
      </c>
      <c r="CP522">
        <v>385</v>
      </c>
      <c r="CQ522">
        <v>245</v>
      </c>
      <c r="CR522">
        <v>174</v>
      </c>
      <c r="CS522" t="s">
        <v>261</v>
      </c>
      <c r="CV522" t="s">
        <v>262</v>
      </c>
      <c r="CX522" t="s">
        <v>263</v>
      </c>
      <c r="CY522" t="s">
        <v>173</v>
      </c>
      <c r="DC522" t="s">
        <v>1675</v>
      </c>
      <c r="DD522">
        <v>3</v>
      </c>
      <c r="DE522" t="s">
        <v>307</v>
      </c>
      <c r="DF522" t="s">
        <v>1671</v>
      </c>
      <c r="DG522">
        <v>250</v>
      </c>
      <c r="DL522" t="s">
        <v>173</v>
      </c>
      <c r="DM522" t="s">
        <v>172</v>
      </c>
      <c r="DP522" t="s">
        <v>173</v>
      </c>
      <c r="DQ522" t="s">
        <v>189</v>
      </c>
      <c r="DR522" t="s">
        <v>1676</v>
      </c>
      <c r="EA522" s="117"/>
      <c r="EB522">
        <v>9</v>
      </c>
      <c r="EC522">
        <v>10</v>
      </c>
      <c r="EE522" t="s">
        <v>1677</v>
      </c>
      <c r="EF522">
        <v>10</v>
      </c>
      <c r="EU522">
        <v>4500</v>
      </c>
      <c r="EW522">
        <v>0</v>
      </c>
      <c r="EX522">
        <v>0</v>
      </c>
      <c r="EY522">
        <v>0</v>
      </c>
      <c r="FA522">
        <v>12</v>
      </c>
      <c r="FG522" s="94">
        <v>382</v>
      </c>
      <c r="FH522" s="94">
        <v>351</v>
      </c>
      <c r="FI522" s="94">
        <v>368</v>
      </c>
    </row>
    <row r="523" spans="1:165" x14ac:dyDescent="0.35">
      <c r="A523">
        <v>2026</v>
      </c>
      <c r="B523" t="s">
        <v>1666</v>
      </c>
      <c r="C523" s="112" t="s">
        <v>1667</v>
      </c>
      <c r="D523" t="s">
        <v>1674</v>
      </c>
      <c r="E523" t="s">
        <v>1669</v>
      </c>
      <c r="F523">
        <v>60</v>
      </c>
      <c r="G523" s="113">
        <v>0</v>
      </c>
      <c r="I523" t="s">
        <v>1391</v>
      </c>
      <c r="J523">
        <v>29</v>
      </c>
      <c r="K523">
        <v>32</v>
      </c>
      <c r="L523">
        <v>31</v>
      </c>
      <c r="M523">
        <v>20.9328</v>
      </c>
      <c r="N523">
        <v>22.7242</v>
      </c>
      <c r="O523">
        <v>21.738900000000001</v>
      </c>
      <c r="P523">
        <v>29.452000000000002</v>
      </c>
      <c r="Q523">
        <v>31.9742</v>
      </c>
      <c r="R523">
        <v>30.587</v>
      </c>
      <c r="V523" t="s">
        <v>170</v>
      </c>
      <c r="W523" t="s">
        <v>171</v>
      </c>
      <c r="Y523">
        <v>1</v>
      </c>
      <c r="Z523" t="s">
        <v>173</v>
      </c>
      <c r="AA523" t="s">
        <v>173</v>
      </c>
      <c r="AB523" t="s">
        <v>170</v>
      </c>
      <c r="AC523" t="s">
        <v>232</v>
      </c>
      <c r="AF523">
        <v>368</v>
      </c>
      <c r="AG523" t="s">
        <v>1392</v>
      </c>
      <c r="AH523" t="s">
        <v>1393</v>
      </c>
      <c r="AI523" t="s">
        <v>1399</v>
      </c>
      <c r="AJ523" t="s">
        <v>1400</v>
      </c>
      <c r="AK523">
        <v>4</v>
      </c>
      <c r="AL523" t="s">
        <v>1394</v>
      </c>
      <c r="AQ523">
        <v>94</v>
      </c>
      <c r="AR523">
        <v>26</v>
      </c>
      <c r="AS523">
        <v>800</v>
      </c>
      <c r="AT523">
        <v>800</v>
      </c>
      <c r="BN523" s="114"/>
      <c r="BQ523">
        <v>6</v>
      </c>
      <c r="BR523" t="s">
        <v>536</v>
      </c>
      <c r="BS523" t="s">
        <v>182</v>
      </c>
      <c r="BT523" t="s">
        <v>1402</v>
      </c>
      <c r="BU523" s="115">
        <v>45810</v>
      </c>
      <c r="BV523">
        <v>36726</v>
      </c>
      <c r="BW523" s="116"/>
      <c r="BX523" t="s">
        <v>173</v>
      </c>
      <c r="BY523" t="s">
        <v>173</v>
      </c>
      <c r="CB523" t="s">
        <v>173</v>
      </c>
      <c r="CC523" t="s">
        <v>173</v>
      </c>
      <c r="CK523" t="s">
        <v>259</v>
      </c>
      <c r="CM523">
        <v>1</v>
      </c>
      <c r="CN523" t="s">
        <v>260</v>
      </c>
      <c r="CP523">
        <v>385</v>
      </c>
      <c r="CQ523">
        <v>245</v>
      </c>
      <c r="CR523">
        <v>174</v>
      </c>
      <c r="CS523" t="s">
        <v>261</v>
      </c>
      <c r="CV523" t="s">
        <v>262</v>
      </c>
      <c r="CX523" t="s">
        <v>263</v>
      </c>
      <c r="CY523" t="s">
        <v>173</v>
      </c>
      <c r="DC523" t="s">
        <v>1675</v>
      </c>
      <c r="DD523">
        <v>3</v>
      </c>
      <c r="DE523" t="s">
        <v>307</v>
      </c>
      <c r="DF523" t="s">
        <v>1671</v>
      </c>
      <c r="DG523">
        <v>250</v>
      </c>
      <c r="DL523" t="s">
        <v>173</v>
      </c>
      <c r="DM523" t="s">
        <v>172</v>
      </c>
      <c r="DP523" t="s">
        <v>173</v>
      </c>
      <c r="DQ523" t="s">
        <v>189</v>
      </c>
      <c r="DR523" t="s">
        <v>1676</v>
      </c>
      <c r="EA523" s="117"/>
      <c r="EB523">
        <v>9</v>
      </c>
      <c r="EC523">
        <v>10</v>
      </c>
      <c r="EE523" t="s">
        <v>1677</v>
      </c>
      <c r="EF523">
        <v>10</v>
      </c>
      <c r="EU523">
        <v>4500</v>
      </c>
      <c r="EW523">
        <v>0</v>
      </c>
      <c r="EX523">
        <v>0</v>
      </c>
      <c r="EY523">
        <v>0</v>
      </c>
      <c r="FA523">
        <v>12</v>
      </c>
      <c r="FG523" s="94">
        <v>382</v>
      </c>
      <c r="FH523" s="94">
        <v>351</v>
      </c>
      <c r="FI523" s="94">
        <v>368</v>
      </c>
    </row>
    <row r="524" spans="1:165" x14ac:dyDescent="0.35">
      <c r="A524" s="19"/>
      <c r="B524" s="19"/>
      <c r="C524" s="19"/>
      <c r="D524" s="19"/>
      <c r="E524" s="19"/>
      <c r="F524" s="128"/>
      <c r="G524" s="19"/>
      <c r="H524" s="19"/>
      <c r="I524" s="19"/>
      <c r="J524" s="19"/>
      <c r="K524" s="19" t="str">
        <f>_xlfn.CONCAT(A525," ",C525," ",D525)</f>
        <v>2026 Tesla Motors Model Y Long Range RWD</v>
      </c>
      <c r="L524" s="19"/>
      <c r="M524" s="19"/>
      <c r="N524" s="19"/>
      <c r="O524" s="19"/>
      <c r="P524" s="19"/>
      <c r="Q524" s="19"/>
      <c r="R524" s="19"/>
      <c r="S524" s="19"/>
      <c r="T524" s="19"/>
      <c r="U524" s="19"/>
      <c r="V524" s="19"/>
      <c r="W524" s="19"/>
      <c r="X524" s="19"/>
      <c r="Y524" s="19"/>
      <c r="Z524" s="19"/>
      <c r="AA524" s="19"/>
      <c r="AB524" s="19" t="str">
        <f>$K524</f>
        <v>2026 Tesla Motors Model Y Long Range RWD</v>
      </c>
      <c r="AC524" s="19"/>
      <c r="AD524" s="19"/>
      <c r="AE524" s="19"/>
      <c r="AF524" s="19"/>
      <c r="AG524" s="19"/>
      <c r="AH524" s="19"/>
      <c r="AI524" s="19"/>
      <c r="AJ524" s="19"/>
      <c r="AK524" s="19"/>
      <c r="AL524" s="19"/>
      <c r="AM524" s="19"/>
      <c r="AN524" s="19"/>
      <c r="AO524" s="19"/>
      <c r="AP524" s="19"/>
      <c r="AQ524" s="19"/>
      <c r="AR524" s="19" t="str">
        <f>$K524</f>
        <v>2026 Tesla Motors Model Y Long Range RWD</v>
      </c>
      <c r="AS524" s="19"/>
      <c r="AT524" s="19"/>
      <c r="AU524" s="19"/>
      <c r="AV524" s="19"/>
      <c r="AW524" s="19"/>
      <c r="AX524" s="19"/>
      <c r="AY524" s="19"/>
      <c r="AZ524" s="19"/>
      <c r="BA524" s="19"/>
      <c r="BB524" s="19"/>
      <c r="BC524" s="19"/>
      <c r="BD524" s="19"/>
      <c r="BE524" s="19"/>
      <c r="BF524" s="19"/>
      <c r="BG524" s="19" t="str">
        <f>$K524</f>
        <v>2026 Tesla Motors Model Y Long Range RWD</v>
      </c>
      <c r="BH524" s="19"/>
      <c r="BI524" s="19"/>
      <c r="BJ524" s="19"/>
      <c r="BK524" s="19"/>
      <c r="BL524" s="19"/>
      <c r="BM524" s="129"/>
      <c r="BN524" s="19"/>
      <c r="BO524" s="19"/>
      <c r="BP524" s="19"/>
      <c r="BQ524" s="19"/>
      <c r="BR524" s="19"/>
      <c r="BS524" s="19"/>
      <c r="BT524" s="130"/>
      <c r="BU524" s="19"/>
      <c r="BV524" s="19"/>
      <c r="BW524" s="116"/>
      <c r="BX524" s="19"/>
      <c r="BY524" s="19"/>
      <c r="BZ524" s="19"/>
      <c r="CA524" s="19"/>
      <c r="CB524" s="19"/>
      <c r="CC524" s="19"/>
      <c r="CD524" s="19"/>
      <c r="CE524" s="19"/>
      <c r="CF524" s="19"/>
      <c r="CG524" s="19"/>
      <c r="CH524" s="19"/>
      <c r="CI524" s="19"/>
      <c r="CJ524" s="19"/>
      <c r="CK524" s="19"/>
      <c r="CL524" s="19"/>
      <c r="CM524" s="19" t="str">
        <f>$K524</f>
        <v>2026 Tesla Motors Model Y Long Range RWD</v>
      </c>
      <c r="CN524" s="19"/>
      <c r="CO524" s="19"/>
      <c r="CP524" s="19"/>
      <c r="CQ524" s="19"/>
      <c r="CR524" s="19"/>
      <c r="CS524" s="19"/>
      <c r="CT524" s="19"/>
      <c r="CU524" s="19"/>
      <c r="CV524" s="19"/>
      <c r="CW524" s="19"/>
      <c r="CX524" s="19"/>
      <c r="CY524" s="19"/>
      <c r="CZ524" s="19"/>
      <c r="DA524" s="19"/>
      <c r="DB524" s="19"/>
      <c r="DC524" s="19"/>
      <c r="DD524" s="19" t="str">
        <f>$K524</f>
        <v>2026 Tesla Motors Model Y Long Range RWD</v>
      </c>
      <c r="DE524" s="19"/>
      <c r="DF524" s="19"/>
      <c r="DG524" s="19"/>
      <c r="DH524" s="19"/>
      <c r="DI524" s="19"/>
      <c r="DJ524" s="19"/>
      <c r="DK524" s="19"/>
      <c r="DL524" s="19"/>
      <c r="DM524" s="19"/>
      <c r="DN524" s="19"/>
      <c r="DO524" s="19"/>
      <c r="DP524" s="19"/>
      <c r="DQ524" s="19"/>
      <c r="DR524" s="19"/>
      <c r="DS524" s="19"/>
      <c r="DT524" s="19"/>
      <c r="DU524" s="19" t="str">
        <f>$K524</f>
        <v>2026 Tesla Motors Model Y Long Range RWD</v>
      </c>
      <c r="DV524" s="19"/>
      <c r="DW524" s="19"/>
      <c r="DX524" s="19"/>
      <c r="DY524" s="19"/>
      <c r="DZ524" s="19"/>
      <c r="EA524" s="117"/>
      <c r="EB524" s="19"/>
      <c r="EC524" s="19"/>
      <c r="ED524" s="19"/>
      <c r="EE524" s="19"/>
      <c r="EF524" s="19"/>
      <c r="EX524" s="19" t="s">
        <v>2093</v>
      </c>
    </row>
    <row r="525" spans="1:165" x14ac:dyDescent="0.35">
      <c r="A525">
        <v>2026</v>
      </c>
      <c r="B525" t="s">
        <v>1666</v>
      </c>
      <c r="C525" s="112" t="s">
        <v>1667</v>
      </c>
      <c r="D525" t="s">
        <v>1678</v>
      </c>
      <c r="E525" t="s">
        <v>1669</v>
      </c>
      <c r="F525">
        <v>42</v>
      </c>
      <c r="G525" s="113">
        <v>0</v>
      </c>
      <c r="I525" t="s">
        <v>1391</v>
      </c>
      <c r="J525">
        <v>144</v>
      </c>
      <c r="K525">
        <v>123</v>
      </c>
      <c r="L525">
        <v>134</v>
      </c>
      <c r="M525">
        <v>205.4</v>
      </c>
      <c r="N525">
        <v>175.7</v>
      </c>
      <c r="O525">
        <v>190.88030000000001</v>
      </c>
      <c r="P525">
        <v>143.78</v>
      </c>
      <c r="Q525">
        <v>122.99</v>
      </c>
      <c r="R525">
        <v>133.61619999999999</v>
      </c>
      <c r="V525" t="s">
        <v>170</v>
      </c>
      <c r="W525" t="s">
        <v>171</v>
      </c>
      <c r="Y525">
        <v>1</v>
      </c>
      <c r="Z525" t="s">
        <v>173</v>
      </c>
      <c r="AA525" t="s">
        <v>173</v>
      </c>
      <c r="AB525" t="s">
        <v>174</v>
      </c>
      <c r="AC525" t="s">
        <v>175</v>
      </c>
      <c r="AF525">
        <v>357</v>
      </c>
      <c r="AG525" t="s">
        <v>1392</v>
      </c>
      <c r="AH525" t="s">
        <v>1393</v>
      </c>
      <c r="AI525" t="s">
        <v>178</v>
      </c>
      <c r="AJ525" t="s">
        <v>179</v>
      </c>
      <c r="AK525">
        <v>4</v>
      </c>
      <c r="AL525" t="s">
        <v>1394</v>
      </c>
      <c r="AS525">
        <v>650</v>
      </c>
      <c r="AT525">
        <v>650</v>
      </c>
      <c r="BN525" s="114"/>
      <c r="BQ525">
        <v>30</v>
      </c>
      <c r="BR525" t="s">
        <v>798</v>
      </c>
      <c r="BT525" t="s">
        <v>1402</v>
      </c>
      <c r="BU525" s="115">
        <v>45778</v>
      </c>
      <c r="BV525">
        <v>36576</v>
      </c>
      <c r="BW525" s="116"/>
      <c r="BX525" t="s">
        <v>173</v>
      </c>
      <c r="BY525" t="s">
        <v>173</v>
      </c>
      <c r="CB525" t="s">
        <v>173</v>
      </c>
      <c r="CC525" t="s">
        <v>173</v>
      </c>
      <c r="CK525" t="s">
        <v>259</v>
      </c>
      <c r="CM525">
        <v>1</v>
      </c>
      <c r="CN525" t="s">
        <v>260</v>
      </c>
      <c r="CP525">
        <v>358</v>
      </c>
      <c r="CQ525">
        <v>223</v>
      </c>
      <c r="CR525">
        <v>173</v>
      </c>
      <c r="CS525" t="s">
        <v>261</v>
      </c>
      <c r="CV525" t="s">
        <v>262</v>
      </c>
      <c r="CX525" t="s">
        <v>263</v>
      </c>
      <c r="CY525" t="s">
        <v>173</v>
      </c>
      <c r="DC525" t="s">
        <v>1679</v>
      </c>
      <c r="DD525">
        <v>2</v>
      </c>
      <c r="DE525" t="s">
        <v>307</v>
      </c>
      <c r="DF525" t="s">
        <v>1671</v>
      </c>
      <c r="DG525" t="s">
        <v>1680</v>
      </c>
      <c r="DL525" t="s">
        <v>173</v>
      </c>
      <c r="DM525" t="s">
        <v>172</v>
      </c>
      <c r="DP525" t="s">
        <v>173</v>
      </c>
      <c r="DQ525" t="s">
        <v>189</v>
      </c>
      <c r="DR525" t="s">
        <v>1678</v>
      </c>
      <c r="EA525" s="117"/>
      <c r="EB525">
        <v>10</v>
      </c>
      <c r="EC525">
        <v>10</v>
      </c>
      <c r="EE525" t="s">
        <v>1681</v>
      </c>
      <c r="EF525">
        <v>10</v>
      </c>
      <c r="EU525">
        <v>5250</v>
      </c>
      <c r="EW525">
        <v>0</v>
      </c>
      <c r="EX525">
        <v>0</v>
      </c>
      <c r="EY525">
        <v>0</v>
      </c>
      <c r="FA525">
        <v>10</v>
      </c>
      <c r="FG525" s="94">
        <v>382</v>
      </c>
      <c r="FH525" s="94">
        <v>327</v>
      </c>
      <c r="FI525" s="94">
        <v>357</v>
      </c>
    </row>
    <row r="526" spans="1:165" x14ac:dyDescent="0.35">
      <c r="A526">
        <v>2026</v>
      </c>
      <c r="B526" t="s">
        <v>1666</v>
      </c>
      <c r="C526" s="112" t="s">
        <v>1667</v>
      </c>
      <c r="D526" t="s">
        <v>1678</v>
      </c>
      <c r="E526" t="s">
        <v>1669</v>
      </c>
      <c r="F526">
        <v>42</v>
      </c>
      <c r="G526" s="113">
        <v>0</v>
      </c>
      <c r="I526" t="s">
        <v>1391</v>
      </c>
      <c r="J526">
        <v>23</v>
      </c>
      <c r="K526">
        <v>27</v>
      </c>
      <c r="L526">
        <v>25</v>
      </c>
      <c r="M526">
        <v>16.407800000000002</v>
      </c>
      <c r="N526">
        <v>19.180399999999999</v>
      </c>
      <c r="O526">
        <v>17.6555</v>
      </c>
      <c r="P526">
        <v>23.4421</v>
      </c>
      <c r="Q526">
        <v>27.404699999999998</v>
      </c>
      <c r="R526">
        <v>25.225200000000001</v>
      </c>
      <c r="V526" t="s">
        <v>170</v>
      </c>
      <c r="W526" t="s">
        <v>171</v>
      </c>
      <c r="Y526">
        <v>1</v>
      </c>
      <c r="Z526" t="s">
        <v>173</v>
      </c>
      <c r="AA526" t="s">
        <v>173</v>
      </c>
      <c r="AB526" t="s">
        <v>174</v>
      </c>
      <c r="AC526" t="s">
        <v>175</v>
      </c>
      <c r="AF526">
        <v>357</v>
      </c>
      <c r="AG526" t="s">
        <v>1392</v>
      </c>
      <c r="AH526" t="s">
        <v>1393</v>
      </c>
      <c r="AI526" t="s">
        <v>1399</v>
      </c>
      <c r="AJ526" t="s">
        <v>1400</v>
      </c>
      <c r="AK526">
        <v>4</v>
      </c>
      <c r="AL526" t="s">
        <v>1394</v>
      </c>
      <c r="AS526">
        <v>650</v>
      </c>
      <c r="AT526">
        <v>650</v>
      </c>
      <c r="BN526" s="114"/>
      <c r="BQ526">
        <v>30</v>
      </c>
      <c r="BR526" t="s">
        <v>798</v>
      </c>
      <c r="BT526" t="s">
        <v>1402</v>
      </c>
      <c r="BU526" s="115">
        <v>45778</v>
      </c>
      <c r="BV526">
        <v>36576</v>
      </c>
      <c r="BW526" s="116"/>
      <c r="BX526" t="s">
        <v>173</v>
      </c>
      <c r="BY526" t="s">
        <v>173</v>
      </c>
      <c r="CB526" t="s">
        <v>173</v>
      </c>
      <c r="CC526" t="s">
        <v>173</v>
      </c>
      <c r="CK526" t="s">
        <v>259</v>
      </c>
      <c r="CM526">
        <v>1</v>
      </c>
      <c r="CN526" t="s">
        <v>260</v>
      </c>
      <c r="CP526">
        <v>358</v>
      </c>
      <c r="CQ526">
        <v>223</v>
      </c>
      <c r="CR526">
        <v>173</v>
      </c>
      <c r="CS526" t="s">
        <v>261</v>
      </c>
      <c r="CV526" t="s">
        <v>262</v>
      </c>
      <c r="CX526" t="s">
        <v>263</v>
      </c>
      <c r="CY526" t="s">
        <v>173</v>
      </c>
      <c r="DC526" t="s">
        <v>1679</v>
      </c>
      <c r="DD526">
        <v>2</v>
      </c>
      <c r="DE526" t="s">
        <v>307</v>
      </c>
      <c r="DF526" t="s">
        <v>1671</v>
      </c>
      <c r="DG526" t="s">
        <v>1680</v>
      </c>
      <c r="DL526" t="s">
        <v>173</v>
      </c>
      <c r="DM526" t="s">
        <v>172</v>
      </c>
      <c r="DP526" t="s">
        <v>173</v>
      </c>
      <c r="DQ526" t="s">
        <v>189</v>
      </c>
      <c r="DR526" t="s">
        <v>1678</v>
      </c>
      <c r="EA526" s="117"/>
      <c r="EB526">
        <v>10</v>
      </c>
      <c r="EC526">
        <v>10</v>
      </c>
      <c r="EE526" t="s">
        <v>1681</v>
      </c>
      <c r="EF526">
        <v>10</v>
      </c>
      <c r="EU526">
        <v>5250</v>
      </c>
      <c r="EW526">
        <v>0</v>
      </c>
      <c r="EX526">
        <v>0</v>
      </c>
      <c r="EY526">
        <v>0</v>
      </c>
      <c r="FA526">
        <v>10</v>
      </c>
      <c r="FG526" s="94">
        <v>382</v>
      </c>
      <c r="FH526" s="94">
        <v>327</v>
      </c>
      <c r="FI526" s="94">
        <v>357</v>
      </c>
    </row>
    <row r="527" spans="1:165" x14ac:dyDescent="0.35">
      <c r="A527" s="19"/>
      <c r="B527" s="19"/>
      <c r="C527" s="19"/>
      <c r="D527" s="19"/>
      <c r="E527" s="19"/>
      <c r="F527" s="128"/>
      <c r="G527" s="19"/>
      <c r="H527" s="19"/>
      <c r="I527" s="19"/>
      <c r="J527" s="19"/>
      <c r="K527" s="19" t="str">
        <f>_xlfn.CONCAT(A528," ",C528," ",D528)</f>
        <v>2026 Tesla Motors Model Y Long Range AWD</v>
      </c>
      <c r="L527" s="19"/>
      <c r="M527" s="19"/>
      <c r="N527" s="19"/>
      <c r="O527" s="19"/>
      <c r="P527" s="19"/>
      <c r="Q527" s="19"/>
      <c r="R527" s="19"/>
      <c r="S527" s="19"/>
      <c r="T527" s="19"/>
      <c r="U527" s="19"/>
      <c r="V527" s="19"/>
      <c r="W527" s="19"/>
      <c r="X527" s="19"/>
      <c r="Y527" s="19"/>
      <c r="Z527" s="19"/>
      <c r="AA527" s="19"/>
      <c r="AB527" s="19" t="str">
        <f>$K527</f>
        <v>2026 Tesla Motors Model Y Long Range AWD</v>
      </c>
      <c r="AC527" s="19"/>
      <c r="AD527" s="19"/>
      <c r="AE527" s="19"/>
      <c r="AF527" s="19"/>
      <c r="AG527" s="19"/>
      <c r="AH527" s="19"/>
      <c r="AI527" s="19"/>
      <c r="AJ527" s="19"/>
      <c r="AK527" s="19"/>
      <c r="AL527" s="19"/>
      <c r="AM527" s="19"/>
      <c r="AN527" s="19"/>
      <c r="AO527" s="19"/>
      <c r="AP527" s="19"/>
      <c r="AQ527" s="19"/>
      <c r="AR527" s="19" t="str">
        <f>$K527</f>
        <v>2026 Tesla Motors Model Y Long Range AWD</v>
      </c>
      <c r="AS527" s="19"/>
      <c r="AT527" s="19"/>
      <c r="AU527" s="19"/>
      <c r="AV527" s="19"/>
      <c r="AW527" s="19"/>
      <c r="AX527" s="19"/>
      <c r="AY527" s="19"/>
      <c r="AZ527" s="19"/>
      <c r="BA527" s="19"/>
      <c r="BB527" s="19"/>
      <c r="BC527" s="19"/>
      <c r="BD527" s="19"/>
      <c r="BE527" s="19"/>
      <c r="BF527" s="19"/>
      <c r="BG527" s="19" t="str">
        <f>$K527</f>
        <v>2026 Tesla Motors Model Y Long Range AWD</v>
      </c>
      <c r="BH527" s="19"/>
      <c r="BI527" s="19"/>
      <c r="BJ527" s="19"/>
      <c r="BK527" s="19"/>
      <c r="BL527" s="19"/>
      <c r="BM527" s="129"/>
      <c r="BN527" s="19"/>
      <c r="BO527" s="19"/>
      <c r="BP527" s="19"/>
      <c r="BQ527" s="19"/>
      <c r="BR527" s="19"/>
      <c r="BS527" s="19"/>
      <c r="BT527" s="130"/>
      <c r="BU527" s="19"/>
      <c r="BV527" s="19"/>
      <c r="BW527" s="116"/>
      <c r="BX527" s="19"/>
      <c r="BY527" s="19"/>
      <c r="BZ527" s="19"/>
      <c r="CA527" s="19"/>
      <c r="CB527" s="19"/>
      <c r="CC527" s="19"/>
      <c r="CD527" s="19"/>
      <c r="CE527" s="19"/>
      <c r="CF527" s="19"/>
      <c r="CG527" s="19"/>
      <c r="CH527" s="19"/>
      <c r="CI527" s="19"/>
      <c r="CJ527" s="19"/>
      <c r="CK527" s="19"/>
      <c r="CL527" s="19"/>
      <c r="CM527" s="19" t="str">
        <f>$K527</f>
        <v>2026 Tesla Motors Model Y Long Range AWD</v>
      </c>
      <c r="CN527" s="19"/>
      <c r="CO527" s="19"/>
      <c r="CP527" s="19"/>
      <c r="CQ527" s="19"/>
      <c r="CR527" s="19"/>
      <c r="CS527" s="19"/>
      <c r="CT527" s="19"/>
      <c r="CU527" s="19"/>
      <c r="CV527" s="19"/>
      <c r="CW527" s="19"/>
      <c r="CX527" s="19"/>
      <c r="CY527" s="19"/>
      <c r="CZ527" s="19"/>
      <c r="DA527" s="19"/>
      <c r="DB527" s="19"/>
      <c r="DC527" s="19"/>
      <c r="DD527" s="19" t="str">
        <f>$K527</f>
        <v>2026 Tesla Motors Model Y Long Range AWD</v>
      </c>
      <c r="DE527" s="19"/>
      <c r="DF527" s="19"/>
      <c r="DG527" s="19"/>
      <c r="DH527" s="19"/>
      <c r="DI527" s="19"/>
      <c r="DJ527" s="19"/>
      <c r="DK527" s="19"/>
      <c r="DL527" s="19"/>
      <c r="DM527" s="19"/>
      <c r="DN527" s="19"/>
      <c r="DO527" s="19"/>
      <c r="DP527" s="19"/>
      <c r="DQ527" s="19"/>
      <c r="DR527" s="19"/>
      <c r="DS527" s="19"/>
      <c r="DT527" s="19"/>
      <c r="DU527" s="19" t="str">
        <f>$K527</f>
        <v>2026 Tesla Motors Model Y Long Range AWD</v>
      </c>
      <c r="DV527" s="19"/>
      <c r="DW527" s="19"/>
      <c r="DX527" s="19"/>
      <c r="DY527" s="19"/>
      <c r="DZ527" s="19"/>
      <c r="EA527" s="117"/>
      <c r="EB527" s="19"/>
      <c r="EC527" s="19"/>
      <c r="ED527" s="19"/>
      <c r="EE527" s="19"/>
      <c r="EF527" s="19"/>
      <c r="EX527" s="19" t="s">
        <v>2094</v>
      </c>
    </row>
    <row r="528" spans="1:165" x14ac:dyDescent="0.35">
      <c r="A528">
        <v>2026</v>
      </c>
      <c r="B528" t="s">
        <v>1666</v>
      </c>
      <c r="C528" s="112" t="s">
        <v>1667</v>
      </c>
      <c r="D528" t="s">
        <v>1682</v>
      </c>
      <c r="E528" t="s">
        <v>1669</v>
      </c>
      <c r="F528">
        <v>45</v>
      </c>
      <c r="G528" s="113">
        <v>0</v>
      </c>
      <c r="I528" t="s">
        <v>1391</v>
      </c>
      <c r="J528">
        <v>130</v>
      </c>
      <c r="K528">
        <v>115</v>
      </c>
      <c r="L528">
        <v>123</v>
      </c>
      <c r="M528">
        <v>185.4</v>
      </c>
      <c r="N528">
        <v>164</v>
      </c>
      <c r="O528">
        <v>175.1172</v>
      </c>
      <c r="P528">
        <v>129.78</v>
      </c>
      <c r="Q528">
        <v>114.8</v>
      </c>
      <c r="R528">
        <v>122.58199999999999</v>
      </c>
      <c r="V528" t="s">
        <v>170</v>
      </c>
      <c r="W528" t="s">
        <v>171</v>
      </c>
      <c r="Y528">
        <v>1</v>
      </c>
      <c r="Z528" t="s">
        <v>173</v>
      </c>
      <c r="AA528" t="s">
        <v>173</v>
      </c>
      <c r="AB528" t="s">
        <v>170</v>
      </c>
      <c r="AC528" t="s">
        <v>232</v>
      </c>
      <c r="AF528">
        <v>327</v>
      </c>
      <c r="AG528" t="s">
        <v>1392</v>
      </c>
      <c r="AH528" t="s">
        <v>1393</v>
      </c>
      <c r="AI528" t="s">
        <v>178</v>
      </c>
      <c r="AJ528" t="s">
        <v>179</v>
      </c>
      <c r="AK528">
        <v>4</v>
      </c>
      <c r="AL528" t="s">
        <v>1394</v>
      </c>
      <c r="AS528">
        <v>700</v>
      </c>
      <c r="AT528">
        <v>700</v>
      </c>
      <c r="BN528" s="114"/>
      <c r="BQ528">
        <v>31</v>
      </c>
      <c r="BR528" t="s">
        <v>887</v>
      </c>
      <c r="BT528" t="s">
        <v>1402</v>
      </c>
      <c r="BU528" s="115">
        <v>45699</v>
      </c>
      <c r="BV528">
        <v>36577</v>
      </c>
      <c r="BW528" s="116"/>
      <c r="BX528" t="s">
        <v>173</v>
      </c>
      <c r="BY528" t="s">
        <v>173</v>
      </c>
      <c r="CB528" t="s">
        <v>173</v>
      </c>
      <c r="CC528" t="s">
        <v>173</v>
      </c>
      <c r="CK528" t="s">
        <v>259</v>
      </c>
      <c r="CM528">
        <v>1</v>
      </c>
      <c r="CN528" t="s">
        <v>260</v>
      </c>
      <c r="CP528">
        <v>358</v>
      </c>
      <c r="CQ528">
        <v>223</v>
      </c>
      <c r="CR528">
        <v>175</v>
      </c>
      <c r="CS528" t="s">
        <v>261</v>
      </c>
      <c r="CV528" t="s">
        <v>262</v>
      </c>
      <c r="CX528" t="s">
        <v>263</v>
      </c>
      <c r="CY528" t="s">
        <v>173</v>
      </c>
      <c r="DC528" t="s">
        <v>1683</v>
      </c>
      <c r="DD528">
        <v>2</v>
      </c>
      <c r="DE528" t="s">
        <v>760</v>
      </c>
      <c r="DG528" t="s">
        <v>1684</v>
      </c>
      <c r="DL528" t="s">
        <v>173</v>
      </c>
      <c r="DM528" t="s">
        <v>172</v>
      </c>
      <c r="DP528" t="s">
        <v>173</v>
      </c>
      <c r="DQ528" t="s">
        <v>189</v>
      </c>
      <c r="DR528" t="s">
        <v>1685</v>
      </c>
      <c r="EA528" s="117"/>
      <c r="EB528">
        <v>10</v>
      </c>
      <c r="EC528">
        <v>10</v>
      </c>
      <c r="EE528" t="s">
        <v>1686</v>
      </c>
      <c r="EF528">
        <v>10</v>
      </c>
      <c r="EU528">
        <v>5000</v>
      </c>
      <c r="EW528">
        <v>0</v>
      </c>
      <c r="EX528">
        <v>0</v>
      </c>
      <c r="EY528">
        <v>0</v>
      </c>
      <c r="FA528">
        <v>8</v>
      </c>
      <c r="FG528" s="94">
        <v>345</v>
      </c>
      <c r="FH528" s="94">
        <v>305</v>
      </c>
      <c r="FI528" s="94">
        <v>327</v>
      </c>
    </row>
    <row r="529" spans="1:165" x14ac:dyDescent="0.35">
      <c r="A529">
        <v>2026</v>
      </c>
      <c r="B529" t="s">
        <v>1666</v>
      </c>
      <c r="C529" s="112" t="s">
        <v>1667</v>
      </c>
      <c r="D529" t="s">
        <v>1682</v>
      </c>
      <c r="E529" t="s">
        <v>1669</v>
      </c>
      <c r="F529">
        <v>45</v>
      </c>
      <c r="G529" s="113">
        <v>0</v>
      </c>
      <c r="I529" t="s">
        <v>1391</v>
      </c>
      <c r="J529">
        <v>26</v>
      </c>
      <c r="K529">
        <v>29</v>
      </c>
      <c r="L529">
        <v>27</v>
      </c>
      <c r="M529">
        <v>18.1812</v>
      </c>
      <c r="N529">
        <v>20.546099999999999</v>
      </c>
      <c r="O529">
        <v>19.2454</v>
      </c>
      <c r="P529">
        <v>25.9709</v>
      </c>
      <c r="Q529">
        <v>29.3598</v>
      </c>
      <c r="R529">
        <v>27.495899999999999</v>
      </c>
      <c r="V529" t="s">
        <v>170</v>
      </c>
      <c r="W529" t="s">
        <v>171</v>
      </c>
      <c r="Y529">
        <v>1</v>
      </c>
      <c r="Z529" t="s">
        <v>173</v>
      </c>
      <c r="AA529" t="s">
        <v>173</v>
      </c>
      <c r="AB529" t="s">
        <v>170</v>
      </c>
      <c r="AC529" t="s">
        <v>232</v>
      </c>
      <c r="AF529">
        <v>327</v>
      </c>
      <c r="AG529" t="s">
        <v>1392</v>
      </c>
      <c r="AH529" t="s">
        <v>1393</v>
      </c>
      <c r="AI529" t="s">
        <v>1399</v>
      </c>
      <c r="AJ529" t="s">
        <v>1400</v>
      </c>
      <c r="AK529">
        <v>4</v>
      </c>
      <c r="AL529" t="s">
        <v>1394</v>
      </c>
      <c r="AS529">
        <v>700</v>
      </c>
      <c r="AT529">
        <v>700</v>
      </c>
      <c r="BN529" s="114"/>
      <c r="BQ529">
        <v>31</v>
      </c>
      <c r="BR529" t="s">
        <v>887</v>
      </c>
      <c r="BT529" t="s">
        <v>1402</v>
      </c>
      <c r="BU529" s="115">
        <v>45699</v>
      </c>
      <c r="BV529">
        <v>36577</v>
      </c>
      <c r="BW529" s="116"/>
      <c r="BX529" t="s">
        <v>173</v>
      </c>
      <c r="BY529" t="s">
        <v>173</v>
      </c>
      <c r="CB529" t="s">
        <v>173</v>
      </c>
      <c r="CC529" t="s">
        <v>173</v>
      </c>
      <c r="CK529" t="s">
        <v>259</v>
      </c>
      <c r="CM529">
        <v>1</v>
      </c>
      <c r="CN529" t="s">
        <v>260</v>
      </c>
      <c r="CP529">
        <v>358</v>
      </c>
      <c r="CQ529">
        <v>223</v>
      </c>
      <c r="CR529">
        <v>175</v>
      </c>
      <c r="CS529" t="s">
        <v>261</v>
      </c>
      <c r="CV529" t="s">
        <v>262</v>
      </c>
      <c r="CX529" t="s">
        <v>263</v>
      </c>
      <c r="CY529" t="s">
        <v>173</v>
      </c>
      <c r="DC529" t="s">
        <v>1683</v>
      </c>
      <c r="DD529">
        <v>2</v>
      </c>
      <c r="DE529" t="s">
        <v>760</v>
      </c>
      <c r="DG529" t="s">
        <v>1684</v>
      </c>
      <c r="DL529" t="s">
        <v>173</v>
      </c>
      <c r="DM529" t="s">
        <v>172</v>
      </c>
      <c r="DP529" t="s">
        <v>173</v>
      </c>
      <c r="DQ529" t="s">
        <v>189</v>
      </c>
      <c r="DR529" t="s">
        <v>1685</v>
      </c>
      <c r="EA529" s="117"/>
      <c r="EB529">
        <v>10</v>
      </c>
      <c r="EC529">
        <v>10</v>
      </c>
      <c r="EE529" t="s">
        <v>1686</v>
      </c>
      <c r="EF529">
        <v>10</v>
      </c>
      <c r="EU529">
        <v>5000</v>
      </c>
      <c r="EW529">
        <v>0</v>
      </c>
      <c r="EX529">
        <v>0</v>
      </c>
      <c r="EY529">
        <v>0</v>
      </c>
      <c r="FA529">
        <v>8</v>
      </c>
      <c r="FG529" s="94">
        <v>345</v>
      </c>
      <c r="FH529" s="94">
        <v>305</v>
      </c>
      <c r="FI529" s="94">
        <v>327</v>
      </c>
    </row>
    <row r="530" spans="1:165" x14ac:dyDescent="0.35">
      <c r="A530" s="19"/>
      <c r="B530" s="19"/>
      <c r="C530" s="19"/>
      <c r="D530" s="19"/>
      <c r="E530" s="19"/>
      <c r="F530" s="128"/>
      <c r="G530" s="19"/>
      <c r="H530" s="19"/>
      <c r="I530" s="19"/>
      <c r="J530" s="19"/>
      <c r="K530" s="19" t="str">
        <f>_xlfn.CONCAT(A531," ",C531," ",D531)</f>
        <v>2026 Tesla Motors Model X</v>
      </c>
      <c r="L530" s="19"/>
      <c r="M530" s="19"/>
      <c r="N530" s="19"/>
      <c r="O530" s="19"/>
      <c r="P530" s="19"/>
      <c r="Q530" s="19"/>
      <c r="R530" s="19"/>
      <c r="S530" s="19"/>
      <c r="T530" s="19"/>
      <c r="U530" s="19"/>
      <c r="V530" s="19"/>
      <c r="W530" s="19"/>
      <c r="X530" s="19"/>
      <c r="Y530" s="19"/>
      <c r="Z530" s="19"/>
      <c r="AA530" s="19"/>
      <c r="AB530" s="19" t="str">
        <f>$K530</f>
        <v>2026 Tesla Motors Model X</v>
      </c>
      <c r="AC530" s="19"/>
      <c r="AD530" s="19"/>
      <c r="AE530" s="19"/>
      <c r="AF530" s="19"/>
      <c r="AG530" s="19"/>
      <c r="AH530" s="19"/>
      <c r="AI530" s="19"/>
      <c r="AJ530" s="19"/>
      <c r="AK530" s="19"/>
      <c r="AL530" s="19"/>
      <c r="AM530" s="19"/>
      <c r="AN530" s="19"/>
      <c r="AO530" s="19"/>
      <c r="AP530" s="19"/>
      <c r="AQ530" s="19"/>
      <c r="AR530" s="19" t="str">
        <f>$K530</f>
        <v>2026 Tesla Motors Model X</v>
      </c>
      <c r="AS530" s="19"/>
      <c r="AT530" s="19"/>
      <c r="AU530" s="19"/>
      <c r="AV530" s="19"/>
      <c r="AW530" s="19"/>
      <c r="AX530" s="19"/>
      <c r="AY530" s="19"/>
      <c r="AZ530" s="19"/>
      <c r="BA530" s="19"/>
      <c r="BB530" s="19"/>
      <c r="BC530" s="19"/>
      <c r="BD530" s="19"/>
      <c r="BE530" s="19"/>
      <c r="BF530" s="19"/>
      <c r="BG530" s="19" t="str">
        <f>$K530</f>
        <v>2026 Tesla Motors Model X</v>
      </c>
      <c r="BH530" s="19"/>
      <c r="BI530" s="19"/>
      <c r="BJ530" s="19"/>
      <c r="BK530" s="19"/>
      <c r="BL530" s="19"/>
      <c r="BM530" s="129"/>
      <c r="BN530" s="19"/>
      <c r="BO530" s="19"/>
      <c r="BP530" s="19"/>
      <c r="BQ530" s="19"/>
      <c r="BR530" s="19"/>
      <c r="BS530" s="19"/>
      <c r="BT530" s="130"/>
      <c r="BU530" s="19"/>
      <c r="BV530" s="19"/>
      <c r="BW530" s="116"/>
      <c r="BX530" s="19"/>
      <c r="BY530" s="19"/>
      <c r="BZ530" s="19"/>
      <c r="CA530" s="19"/>
      <c r="CB530" s="19"/>
      <c r="CC530" s="19"/>
      <c r="CD530" s="19"/>
      <c r="CE530" s="19"/>
      <c r="CF530" s="19"/>
      <c r="CG530" s="19"/>
      <c r="CH530" s="19"/>
      <c r="CI530" s="19"/>
      <c r="CJ530" s="19"/>
      <c r="CK530" s="19"/>
      <c r="CL530" s="19"/>
      <c r="CM530" s="19" t="str">
        <f>$K530</f>
        <v>2026 Tesla Motors Model X</v>
      </c>
      <c r="CN530" s="19"/>
      <c r="CO530" s="19"/>
      <c r="CP530" s="19"/>
      <c r="CQ530" s="19"/>
      <c r="CR530" s="19"/>
      <c r="CS530" s="19"/>
      <c r="CT530" s="19"/>
      <c r="CU530" s="19"/>
      <c r="CV530" s="19"/>
      <c r="CW530" s="19"/>
      <c r="CX530" s="19"/>
      <c r="CY530" s="19"/>
      <c r="CZ530" s="19"/>
      <c r="DA530" s="19"/>
      <c r="DB530" s="19"/>
      <c r="DC530" s="19"/>
      <c r="DD530" s="19" t="str">
        <f>$K530</f>
        <v>2026 Tesla Motors Model X</v>
      </c>
      <c r="DE530" s="19"/>
      <c r="DF530" s="19"/>
      <c r="DG530" s="19"/>
      <c r="DH530" s="19"/>
      <c r="DI530" s="19"/>
      <c r="DJ530" s="19"/>
      <c r="DK530" s="19"/>
      <c r="DL530" s="19"/>
      <c r="DM530" s="19"/>
      <c r="DN530" s="19"/>
      <c r="DO530" s="19"/>
      <c r="DP530" s="19"/>
      <c r="DQ530" s="19"/>
      <c r="DR530" s="19"/>
      <c r="DS530" s="19"/>
      <c r="DT530" s="19"/>
      <c r="DU530" s="19" t="str">
        <f>$K530</f>
        <v>2026 Tesla Motors Model X</v>
      </c>
      <c r="DV530" s="19"/>
      <c r="DW530" s="19"/>
      <c r="DX530" s="19"/>
      <c r="DY530" s="19"/>
      <c r="DZ530" s="19"/>
      <c r="EA530" s="117"/>
      <c r="EB530" s="19"/>
      <c r="EC530" s="19"/>
      <c r="ED530" s="19"/>
      <c r="EE530" s="19"/>
      <c r="EF530" s="19"/>
      <c r="EX530" s="19" t="s">
        <v>2095</v>
      </c>
    </row>
    <row r="531" spans="1:165" x14ac:dyDescent="0.35">
      <c r="A531">
        <v>2026</v>
      </c>
      <c r="B531" t="s">
        <v>1666</v>
      </c>
      <c r="C531" s="112" t="s">
        <v>1667</v>
      </c>
      <c r="D531" t="s">
        <v>1687</v>
      </c>
      <c r="E531" t="s">
        <v>1669</v>
      </c>
      <c r="F531">
        <v>73</v>
      </c>
      <c r="G531" s="113">
        <v>0</v>
      </c>
      <c r="I531" t="s">
        <v>1391</v>
      </c>
      <c r="J531">
        <v>110</v>
      </c>
      <c r="K531">
        <v>99</v>
      </c>
      <c r="L531">
        <v>105</v>
      </c>
      <c r="M531">
        <v>157</v>
      </c>
      <c r="N531">
        <v>141.30000000000001</v>
      </c>
      <c r="O531">
        <v>149.52379999999999</v>
      </c>
      <c r="P531">
        <v>109.9</v>
      </c>
      <c r="Q531">
        <v>98.91</v>
      </c>
      <c r="R531">
        <v>104.66670000000001</v>
      </c>
      <c r="V531" t="s">
        <v>170</v>
      </c>
      <c r="W531" t="s">
        <v>171</v>
      </c>
      <c r="Y531">
        <v>1</v>
      </c>
      <c r="Z531" t="s">
        <v>173</v>
      </c>
      <c r="AA531" t="s">
        <v>173</v>
      </c>
      <c r="AB531" t="s">
        <v>170</v>
      </c>
      <c r="AC531" t="s">
        <v>232</v>
      </c>
      <c r="AF531">
        <v>352</v>
      </c>
      <c r="AG531" t="s">
        <v>1392</v>
      </c>
      <c r="AH531" t="s">
        <v>1393</v>
      </c>
      <c r="AI531" t="s">
        <v>178</v>
      </c>
      <c r="AJ531" t="s">
        <v>179</v>
      </c>
      <c r="AK531">
        <v>4</v>
      </c>
      <c r="AL531" t="s">
        <v>1394</v>
      </c>
      <c r="AS531">
        <v>800</v>
      </c>
      <c r="AT531">
        <v>800</v>
      </c>
      <c r="BN531" s="114"/>
      <c r="BQ531">
        <v>33</v>
      </c>
      <c r="BR531" t="s">
        <v>1062</v>
      </c>
      <c r="BT531" t="s">
        <v>1402</v>
      </c>
      <c r="BU531" s="115">
        <v>45810</v>
      </c>
      <c r="BV531">
        <v>36970</v>
      </c>
      <c r="BW531" s="116"/>
      <c r="BX531" t="s">
        <v>173</v>
      </c>
      <c r="BY531" t="s">
        <v>173</v>
      </c>
      <c r="CB531" t="s">
        <v>173</v>
      </c>
      <c r="CC531" t="s">
        <v>173</v>
      </c>
      <c r="CK531" t="s">
        <v>259</v>
      </c>
      <c r="CM531">
        <v>1</v>
      </c>
      <c r="CN531" t="s">
        <v>260</v>
      </c>
      <c r="CP531">
        <v>385</v>
      </c>
      <c r="CQ531">
        <v>245</v>
      </c>
      <c r="CR531">
        <v>174</v>
      </c>
      <c r="CS531" t="s">
        <v>261</v>
      </c>
      <c r="CV531" t="s">
        <v>262</v>
      </c>
      <c r="CX531" t="s">
        <v>263</v>
      </c>
      <c r="CY531" t="s">
        <v>173</v>
      </c>
      <c r="DC531" t="s">
        <v>1688</v>
      </c>
      <c r="DD531">
        <v>2</v>
      </c>
      <c r="DE531" t="s">
        <v>307</v>
      </c>
      <c r="DF531" t="s">
        <v>988</v>
      </c>
      <c r="DG531" t="s">
        <v>1689</v>
      </c>
      <c r="DL531" t="s">
        <v>173</v>
      </c>
      <c r="DM531" t="s">
        <v>173</v>
      </c>
      <c r="DP531" t="s">
        <v>173</v>
      </c>
      <c r="DQ531" t="s">
        <v>189</v>
      </c>
      <c r="DR531" t="s">
        <v>1687</v>
      </c>
      <c r="EA531" s="117"/>
      <c r="EB531">
        <v>9</v>
      </c>
      <c r="EC531">
        <v>10</v>
      </c>
      <c r="EE531" t="s">
        <v>1690</v>
      </c>
      <c r="EF531">
        <v>10</v>
      </c>
      <c r="EU531">
        <v>4500</v>
      </c>
      <c r="EW531">
        <v>0</v>
      </c>
      <c r="EX531">
        <v>0</v>
      </c>
      <c r="EY531">
        <v>0</v>
      </c>
      <c r="FA531">
        <v>14</v>
      </c>
      <c r="FG531" s="94">
        <v>369</v>
      </c>
      <c r="FH531" s="94">
        <v>332</v>
      </c>
      <c r="FI531" s="94">
        <v>352</v>
      </c>
    </row>
    <row r="532" spans="1:165" x14ac:dyDescent="0.35">
      <c r="A532">
        <v>2026</v>
      </c>
      <c r="B532" t="s">
        <v>1666</v>
      </c>
      <c r="C532" s="112" t="s">
        <v>1667</v>
      </c>
      <c r="D532" t="s">
        <v>1687</v>
      </c>
      <c r="E532" t="s">
        <v>1669</v>
      </c>
      <c r="F532">
        <v>73</v>
      </c>
      <c r="G532" s="113">
        <v>0</v>
      </c>
      <c r="I532" t="s">
        <v>1391</v>
      </c>
      <c r="J532">
        <v>31</v>
      </c>
      <c r="K532">
        <v>34</v>
      </c>
      <c r="L532">
        <v>32</v>
      </c>
      <c r="M532">
        <v>21.468599999999999</v>
      </c>
      <c r="N532">
        <v>23.847899999999999</v>
      </c>
      <c r="O532">
        <v>22.539300000000001</v>
      </c>
      <c r="P532">
        <v>30.668800000000001</v>
      </c>
      <c r="Q532">
        <v>34.0764</v>
      </c>
      <c r="R532">
        <v>32.202199999999998</v>
      </c>
      <c r="V532" t="s">
        <v>170</v>
      </c>
      <c r="W532" t="s">
        <v>171</v>
      </c>
      <c r="Y532">
        <v>1</v>
      </c>
      <c r="Z532" t="s">
        <v>173</v>
      </c>
      <c r="AA532" t="s">
        <v>173</v>
      </c>
      <c r="AB532" t="s">
        <v>170</v>
      </c>
      <c r="AC532" t="s">
        <v>232</v>
      </c>
      <c r="AF532">
        <v>352</v>
      </c>
      <c r="AG532" t="s">
        <v>1392</v>
      </c>
      <c r="AH532" t="s">
        <v>1393</v>
      </c>
      <c r="AI532" t="s">
        <v>1399</v>
      </c>
      <c r="AJ532" t="s">
        <v>1400</v>
      </c>
      <c r="AK532">
        <v>4</v>
      </c>
      <c r="AL532" t="s">
        <v>1394</v>
      </c>
      <c r="AS532">
        <v>800</v>
      </c>
      <c r="AT532">
        <v>800</v>
      </c>
      <c r="BN532" s="114"/>
      <c r="BQ532">
        <v>33</v>
      </c>
      <c r="BR532" t="s">
        <v>1062</v>
      </c>
      <c r="BT532" t="s">
        <v>1402</v>
      </c>
      <c r="BU532" s="115">
        <v>45810</v>
      </c>
      <c r="BV532">
        <v>36970</v>
      </c>
      <c r="BW532" s="116"/>
      <c r="BX532" t="s">
        <v>173</v>
      </c>
      <c r="BY532" t="s">
        <v>173</v>
      </c>
      <c r="CB532" t="s">
        <v>173</v>
      </c>
      <c r="CC532" t="s">
        <v>173</v>
      </c>
      <c r="CK532" t="s">
        <v>259</v>
      </c>
      <c r="CM532">
        <v>1</v>
      </c>
      <c r="CN532" t="s">
        <v>260</v>
      </c>
      <c r="CP532">
        <v>385</v>
      </c>
      <c r="CQ532">
        <v>245</v>
      </c>
      <c r="CR532">
        <v>174</v>
      </c>
      <c r="CS532" t="s">
        <v>261</v>
      </c>
      <c r="CV532" t="s">
        <v>262</v>
      </c>
      <c r="CX532" t="s">
        <v>263</v>
      </c>
      <c r="CY532" t="s">
        <v>173</v>
      </c>
      <c r="DC532" t="s">
        <v>1688</v>
      </c>
      <c r="DD532">
        <v>2</v>
      </c>
      <c r="DE532" t="s">
        <v>307</v>
      </c>
      <c r="DF532" t="s">
        <v>988</v>
      </c>
      <c r="DG532" t="s">
        <v>1689</v>
      </c>
      <c r="DL532" t="s">
        <v>173</v>
      </c>
      <c r="DM532" t="s">
        <v>173</v>
      </c>
      <c r="DP532" t="s">
        <v>173</v>
      </c>
      <c r="DQ532" t="s">
        <v>189</v>
      </c>
      <c r="DR532" t="s">
        <v>1687</v>
      </c>
      <c r="EA532" s="117"/>
      <c r="EB532">
        <v>9</v>
      </c>
      <c r="EC532">
        <v>10</v>
      </c>
      <c r="EE532" t="s">
        <v>1690</v>
      </c>
      <c r="EF532">
        <v>10</v>
      </c>
      <c r="EU532">
        <v>4500</v>
      </c>
      <c r="EW532">
        <v>0</v>
      </c>
      <c r="EX532">
        <v>0</v>
      </c>
      <c r="EY532">
        <v>0</v>
      </c>
      <c r="FA532">
        <v>14</v>
      </c>
      <c r="FG532" s="94">
        <v>369</v>
      </c>
      <c r="FH532" s="94">
        <v>332</v>
      </c>
      <c r="FI532" s="94">
        <v>352</v>
      </c>
    </row>
    <row r="533" spans="1:165" x14ac:dyDescent="0.35">
      <c r="A533" s="19"/>
      <c r="B533" s="19"/>
      <c r="C533" s="19"/>
      <c r="D533" s="19"/>
      <c r="E533" s="19"/>
      <c r="F533" s="128"/>
      <c r="G533" s="19"/>
      <c r="H533" s="19"/>
      <c r="I533" s="19"/>
      <c r="J533" s="19"/>
      <c r="K533" s="19" t="str">
        <f>_xlfn.CONCAT(A534," ",C534," ",D534)</f>
        <v>2026 Tesla Motors Model X Plaid</v>
      </c>
      <c r="L533" s="19"/>
      <c r="M533" s="19"/>
      <c r="N533" s="19"/>
      <c r="O533" s="19"/>
      <c r="P533" s="19"/>
      <c r="Q533" s="19"/>
      <c r="R533" s="19"/>
      <c r="S533" s="19"/>
      <c r="T533" s="19"/>
      <c r="U533" s="19"/>
      <c r="V533" s="19"/>
      <c r="W533" s="19"/>
      <c r="X533" s="19"/>
      <c r="Y533" s="19"/>
      <c r="Z533" s="19"/>
      <c r="AA533" s="19"/>
      <c r="AB533" s="19" t="str">
        <f>$K533</f>
        <v>2026 Tesla Motors Model X Plaid</v>
      </c>
      <c r="AC533" s="19"/>
      <c r="AD533" s="19"/>
      <c r="AE533" s="19"/>
      <c r="AF533" s="19"/>
      <c r="AG533" s="19"/>
      <c r="AH533" s="19"/>
      <c r="AI533" s="19"/>
      <c r="AJ533" s="19"/>
      <c r="AK533" s="19"/>
      <c r="AL533" s="19"/>
      <c r="AM533" s="19"/>
      <c r="AN533" s="19"/>
      <c r="AO533" s="19"/>
      <c r="AP533" s="19"/>
      <c r="AQ533" s="19"/>
      <c r="AR533" s="19" t="str">
        <f>$K533</f>
        <v>2026 Tesla Motors Model X Plaid</v>
      </c>
      <c r="AS533" s="19"/>
      <c r="AT533" s="19"/>
      <c r="AU533" s="19"/>
      <c r="AV533" s="19"/>
      <c r="AW533" s="19"/>
      <c r="AX533" s="19"/>
      <c r="AY533" s="19"/>
      <c r="AZ533" s="19"/>
      <c r="BA533" s="19"/>
      <c r="BB533" s="19"/>
      <c r="BC533" s="19"/>
      <c r="BD533" s="19"/>
      <c r="BE533" s="19"/>
      <c r="BF533" s="19"/>
      <c r="BG533" s="19" t="str">
        <f>$K533</f>
        <v>2026 Tesla Motors Model X Plaid</v>
      </c>
      <c r="BH533" s="19"/>
      <c r="BI533" s="19"/>
      <c r="BJ533" s="19"/>
      <c r="BK533" s="19"/>
      <c r="BL533" s="19"/>
      <c r="BM533" s="129"/>
      <c r="BN533" s="19"/>
      <c r="BO533" s="19"/>
      <c r="BP533" s="19"/>
      <c r="BQ533" s="19"/>
      <c r="BR533" s="19"/>
      <c r="BS533" s="19"/>
      <c r="BT533" s="130"/>
      <c r="BU533" s="19"/>
      <c r="BV533" s="19"/>
      <c r="BW533" s="116"/>
      <c r="BX533" s="19"/>
      <c r="BY533" s="19"/>
      <c r="BZ533" s="19"/>
      <c r="CA533" s="19"/>
      <c r="CB533" s="19"/>
      <c r="CC533" s="19"/>
      <c r="CD533" s="19"/>
      <c r="CE533" s="19"/>
      <c r="CF533" s="19"/>
      <c r="CG533" s="19"/>
      <c r="CH533" s="19"/>
      <c r="CI533" s="19"/>
      <c r="CJ533" s="19"/>
      <c r="CK533" s="19"/>
      <c r="CL533" s="19"/>
      <c r="CM533" s="19" t="str">
        <f>$K533</f>
        <v>2026 Tesla Motors Model X Plaid</v>
      </c>
      <c r="CN533" s="19"/>
      <c r="CO533" s="19"/>
      <c r="CP533" s="19"/>
      <c r="CQ533" s="19"/>
      <c r="CR533" s="19"/>
      <c r="CS533" s="19"/>
      <c r="CT533" s="19"/>
      <c r="CU533" s="19"/>
      <c r="CV533" s="19"/>
      <c r="CW533" s="19"/>
      <c r="CX533" s="19"/>
      <c r="CY533" s="19"/>
      <c r="CZ533" s="19"/>
      <c r="DA533" s="19"/>
      <c r="DB533" s="19"/>
      <c r="DC533" s="19"/>
      <c r="DD533" s="19" t="str">
        <f>$K533</f>
        <v>2026 Tesla Motors Model X Plaid</v>
      </c>
      <c r="DE533" s="19"/>
      <c r="DF533" s="19"/>
      <c r="DG533" s="19"/>
      <c r="DH533" s="19"/>
      <c r="DI533" s="19"/>
      <c r="DJ533" s="19"/>
      <c r="DK533" s="19"/>
      <c r="DL533" s="19"/>
      <c r="DM533" s="19"/>
      <c r="DN533" s="19"/>
      <c r="DO533" s="19"/>
      <c r="DP533" s="19"/>
      <c r="DQ533" s="19"/>
      <c r="DR533" s="19"/>
      <c r="DS533" s="19"/>
      <c r="DT533" s="19"/>
      <c r="DU533" s="19" t="str">
        <f>$K533</f>
        <v>2026 Tesla Motors Model X Plaid</v>
      </c>
      <c r="DV533" s="19"/>
      <c r="DW533" s="19"/>
      <c r="DX533" s="19"/>
      <c r="DY533" s="19"/>
      <c r="DZ533" s="19"/>
      <c r="EA533" s="117"/>
      <c r="EB533" s="19"/>
      <c r="EC533" s="19"/>
      <c r="ED533" s="19"/>
      <c r="EE533" s="19"/>
      <c r="EF533" s="19"/>
      <c r="EX533" s="19" t="s">
        <v>2096</v>
      </c>
    </row>
    <row r="534" spans="1:165" x14ac:dyDescent="0.35">
      <c r="A534">
        <v>2026</v>
      </c>
      <c r="B534" t="s">
        <v>1666</v>
      </c>
      <c r="C534" s="112" t="s">
        <v>1667</v>
      </c>
      <c r="D534" t="s">
        <v>1691</v>
      </c>
      <c r="E534" t="s">
        <v>1669</v>
      </c>
      <c r="F534">
        <v>76</v>
      </c>
      <c r="G534" s="113">
        <v>0</v>
      </c>
      <c r="I534" t="s">
        <v>1391</v>
      </c>
      <c r="J534">
        <v>105</v>
      </c>
      <c r="K534">
        <v>94</v>
      </c>
      <c r="L534">
        <v>100</v>
      </c>
      <c r="M534">
        <v>148</v>
      </c>
      <c r="N534">
        <v>132.6</v>
      </c>
      <c r="O534">
        <v>140.74860000000001</v>
      </c>
      <c r="P534">
        <v>105.3257</v>
      </c>
      <c r="Q534">
        <v>94.238799999999998</v>
      </c>
      <c r="R534">
        <v>100.03</v>
      </c>
      <c r="V534" t="s">
        <v>170</v>
      </c>
      <c r="W534" t="s">
        <v>171</v>
      </c>
      <c r="Y534">
        <v>1</v>
      </c>
      <c r="Z534" t="s">
        <v>173</v>
      </c>
      <c r="AA534" t="s">
        <v>173</v>
      </c>
      <c r="AB534" t="s">
        <v>170</v>
      </c>
      <c r="AC534" t="s">
        <v>232</v>
      </c>
      <c r="AF534">
        <v>335</v>
      </c>
      <c r="AG534" t="s">
        <v>1392</v>
      </c>
      <c r="AH534" t="s">
        <v>1393</v>
      </c>
      <c r="AI534" t="s">
        <v>178</v>
      </c>
      <c r="AJ534" t="s">
        <v>179</v>
      </c>
      <c r="AK534">
        <v>4</v>
      </c>
      <c r="AL534" t="s">
        <v>1394</v>
      </c>
      <c r="AS534">
        <v>850</v>
      </c>
      <c r="AT534">
        <v>850</v>
      </c>
      <c r="BN534" s="114"/>
      <c r="BQ534">
        <v>33</v>
      </c>
      <c r="BR534" t="s">
        <v>1062</v>
      </c>
      <c r="BT534" t="s">
        <v>1402</v>
      </c>
      <c r="BU534" s="115">
        <v>45810</v>
      </c>
      <c r="BV534">
        <v>36971</v>
      </c>
      <c r="BW534" s="116"/>
      <c r="BX534" t="s">
        <v>173</v>
      </c>
      <c r="BY534" t="s">
        <v>173</v>
      </c>
      <c r="CB534" t="s">
        <v>173</v>
      </c>
      <c r="CC534" t="s">
        <v>173</v>
      </c>
      <c r="CK534" t="s">
        <v>259</v>
      </c>
      <c r="CM534">
        <v>1</v>
      </c>
      <c r="CN534" t="s">
        <v>260</v>
      </c>
      <c r="CP534">
        <v>385</v>
      </c>
      <c r="CQ534">
        <v>245</v>
      </c>
      <c r="CR534">
        <v>174</v>
      </c>
      <c r="CS534" t="s">
        <v>261</v>
      </c>
      <c r="CV534" t="s">
        <v>262</v>
      </c>
      <c r="CX534" t="s">
        <v>263</v>
      </c>
      <c r="CY534" t="s">
        <v>173</v>
      </c>
      <c r="DC534" t="s">
        <v>1692</v>
      </c>
      <c r="DD534">
        <v>3</v>
      </c>
      <c r="DE534" t="s">
        <v>307</v>
      </c>
      <c r="DF534" t="s">
        <v>1671</v>
      </c>
      <c r="DG534">
        <v>230</v>
      </c>
      <c r="DL534" t="s">
        <v>173</v>
      </c>
      <c r="DM534" t="s">
        <v>172</v>
      </c>
      <c r="DP534" t="s">
        <v>173</v>
      </c>
      <c r="DQ534" t="s">
        <v>189</v>
      </c>
      <c r="DR534" t="s">
        <v>1691</v>
      </c>
      <c r="EA534" s="117"/>
      <c r="EB534">
        <v>9</v>
      </c>
      <c r="EC534">
        <v>10</v>
      </c>
      <c r="EE534" t="s">
        <v>1693</v>
      </c>
      <c r="EF534">
        <v>10</v>
      </c>
      <c r="EU534">
        <v>4250</v>
      </c>
      <c r="EW534">
        <v>0</v>
      </c>
      <c r="EX534">
        <v>0</v>
      </c>
      <c r="EY534">
        <v>0</v>
      </c>
      <c r="FA534">
        <v>12</v>
      </c>
      <c r="FG534" s="94">
        <v>352</v>
      </c>
      <c r="FH534" s="94">
        <v>315</v>
      </c>
      <c r="FI534" s="94">
        <v>335</v>
      </c>
    </row>
    <row r="535" spans="1:165" x14ac:dyDescent="0.35">
      <c r="A535">
        <v>2026</v>
      </c>
      <c r="B535" t="s">
        <v>1666</v>
      </c>
      <c r="C535" s="112" t="s">
        <v>1667</v>
      </c>
      <c r="D535" t="s">
        <v>1691</v>
      </c>
      <c r="E535" t="s">
        <v>1669</v>
      </c>
      <c r="F535">
        <v>76</v>
      </c>
      <c r="G535" s="113">
        <v>0</v>
      </c>
      <c r="I535" t="s">
        <v>1391</v>
      </c>
      <c r="J535">
        <v>32</v>
      </c>
      <c r="K535">
        <v>36</v>
      </c>
      <c r="L535">
        <v>34</v>
      </c>
      <c r="M535">
        <v>22.749199999999998</v>
      </c>
      <c r="N535">
        <v>25.4146</v>
      </c>
      <c r="O535">
        <v>23.948599999999999</v>
      </c>
      <c r="P535">
        <v>32.000700000000002</v>
      </c>
      <c r="Q535">
        <v>35.765500000000003</v>
      </c>
      <c r="R535">
        <v>33.694899999999997</v>
      </c>
      <c r="V535" t="s">
        <v>170</v>
      </c>
      <c r="W535" t="s">
        <v>171</v>
      </c>
      <c r="Y535">
        <v>1</v>
      </c>
      <c r="Z535" t="s">
        <v>173</v>
      </c>
      <c r="AA535" t="s">
        <v>173</v>
      </c>
      <c r="AB535" t="s">
        <v>170</v>
      </c>
      <c r="AC535" t="s">
        <v>232</v>
      </c>
      <c r="AF535">
        <v>335</v>
      </c>
      <c r="AG535" t="s">
        <v>1392</v>
      </c>
      <c r="AH535" t="s">
        <v>1393</v>
      </c>
      <c r="AI535" t="s">
        <v>1399</v>
      </c>
      <c r="AJ535" t="s">
        <v>1400</v>
      </c>
      <c r="AK535">
        <v>4</v>
      </c>
      <c r="AL535" t="s">
        <v>1394</v>
      </c>
      <c r="AS535">
        <v>850</v>
      </c>
      <c r="AT535">
        <v>850</v>
      </c>
      <c r="BN535" s="114"/>
      <c r="BQ535">
        <v>33</v>
      </c>
      <c r="BR535" t="s">
        <v>1062</v>
      </c>
      <c r="BT535" t="s">
        <v>1402</v>
      </c>
      <c r="BU535" s="115">
        <v>45810</v>
      </c>
      <c r="BV535">
        <v>36971</v>
      </c>
      <c r="BW535" s="116"/>
      <c r="BX535" t="s">
        <v>173</v>
      </c>
      <c r="BY535" t="s">
        <v>173</v>
      </c>
      <c r="CB535" t="s">
        <v>173</v>
      </c>
      <c r="CC535" t="s">
        <v>173</v>
      </c>
      <c r="CK535" t="s">
        <v>259</v>
      </c>
      <c r="CM535">
        <v>1</v>
      </c>
      <c r="CN535" t="s">
        <v>260</v>
      </c>
      <c r="CP535">
        <v>385</v>
      </c>
      <c r="CQ535">
        <v>245</v>
      </c>
      <c r="CR535">
        <v>174</v>
      </c>
      <c r="CS535" t="s">
        <v>261</v>
      </c>
      <c r="CV535" t="s">
        <v>262</v>
      </c>
      <c r="CX535" t="s">
        <v>263</v>
      </c>
      <c r="CY535" t="s">
        <v>173</v>
      </c>
      <c r="DC535" t="s">
        <v>1692</v>
      </c>
      <c r="DD535">
        <v>3</v>
      </c>
      <c r="DE535" t="s">
        <v>307</v>
      </c>
      <c r="DF535" t="s">
        <v>1671</v>
      </c>
      <c r="DG535">
        <v>230</v>
      </c>
      <c r="DL535" t="s">
        <v>173</v>
      </c>
      <c r="DM535" t="s">
        <v>172</v>
      </c>
      <c r="DP535" t="s">
        <v>173</v>
      </c>
      <c r="DQ535" t="s">
        <v>189</v>
      </c>
      <c r="DR535" t="s">
        <v>1691</v>
      </c>
      <c r="EA535" s="117"/>
      <c r="EB535">
        <v>9</v>
      </c>
      <c r="EC535">
        <v>10</v>
      </c>
      <c r="EE535" t="s">
        <v>1693</v>
      </c>
      <c r="EF535">
        <v>10</v>
      </c>
      <c r="EU535">
        <v>4250</v>
      </c>
      <c r="EW535">
        <v>0</v>
      </c>
      <c r="EX535">
        <v>0</v>
      </c>
      <c r="EY535">
        <v>0</v>
      </c>
      <c r="FA535">
        <v>12</v>
      </c>
      <c r="FG535" s="94">
        <v>352</v>
      </c>
      <c r="FH535" s="94">
        <v>315</v>
      </c>
      <c r="FI535" s="94">
        <v>335</v>
      </c>
    </row>
    <row r="536" spans="1:165" x14ac:dyDescent="0.35">
      <c r="A536" s="19"/>
      <c r="B536" s="19"/>
      <c r="C536" s="19"/>
      <c r="D536" s="19"/>
      <c r="E536" s="19"/>
      <c r="F536" s="128"/>
      <c r="G536" s="19"/>
      <c r="H536" s="19"/>
      <c r="I536" s="19"/>
      <c r="J536" s="19"/>
      <c r="K536" s="19" t="str">
        <f>_xlfn.CONCAT(A537," ",C537," ",D537)</f>
        <v>2026 TOYOTA bZ</v>
      </c>
      <c r="L536" s="19"/>
      <c r="M536" s="19"/>
      <c r="N536" s="19"/>
      <c r="O536" s="19"/>
      <c r="P536" s="19"/>
      <c r="Q536" s="19"/>
      <c r="R536" s="19"/>
      <c r="S536" s="19"/>
      <c r="T536" s="19"/>
      <c r="U536" s="19"/>
      <c r="V536" s="19"/>
      <c r="W536" s="19"/>
      <c r="X536" s="19"/>
      <c r="Y536" s="19"/>
      <c r="Z536" s="19"/>
      <c r="AA536" s="19"/>
      <c r="AB536" s="19" t="str">
        <f>$K536</f>
        <v>2026 TOYOTA bZ</v>
      </c>
      <c r="AC536" s="19"/>
      <c r="AD536" s="19"/>
      <c r="AE536" s="19"/>
      <c r="AF536" s="19"/>
      <c r="AG536" s="19"/>
      <c r="AH536" s="19"/>
      <c r="AI536" s="19"/>
      <c r="AJ536" s="19"/>
      <c r="AK536" s="19"/>
      <c r="AL536" s="19"/>
      <c r="AM536" s="19"/>
      <c r="AN536" s="19"/>
      <c r="AO536" s="19"/>
      <c r="AP536" s="19"/>
      <c r="AQ536" s="19"/>
      <c r="AR536" s="19" t="str">
        <f>$K536</f>
        <v>2026 TOYOTA bZ</v>
      </c>
      <c r="AS536" s="19"/>
      <c r="AT536" s="19"/>
      <c r="AU536" s="19"/>
      <c r="AV536" s="19"/>
      <c r="AW536" s="19"/>
      <c r="AX536" s="19"/>
      <c r="AY536" s="19"/>
      <c r="AZ536" s="19"/>
      <c r="BA536" s="19"/>
      <c r="BB536" s="19"/>
      <c r="BC536" s="19"/>
      <c r="BD536" s="19"/>
      <c r="BE536" s="19"/>
      <c r="BF536" s="19"/>
      <c r="BG536" s="19" t="str">
        <f>$K536</f>
        <v>2026 TOYOTA bZ</v>
      </c>
      <c r="BH536" s="19"/>
      <c r="BI536" s="19"/>
      <c r="BJ536" s="19"/>
      <c r="BK536" s="19"/>
      <c r="BL536" s="19"/>
      <c r="BM536" s="129"/>
      <c r="BN536" s="19"/>
      <c r="BO536" s="19"/>
      <c r="BP536" s="19"/>
      <c r="BQ536" s="19"/>
      <c r="BR536" s="19"/>
      <c r="BS536" s="19"/>
      <c r="BT536" s="130"/>
      <c r="BU536" s="19"/>
      <c r="BV536" s="19"/>
      <c r="BW536" s="116"/>
      <c r="BX536" s="19"/>
      <c r="BY536" s="19"/>
      <c r="BZ536" s="19"/>
      <c r="CA536" s="19"/>
      <c r="CB536" s="19"/>
      <c r="CC536" s="19"/>
      <c r="CD536" s="19"/>
      <c r="CE536" s="19"/>
      <c r="CF536" s="19"/>
      <c r="CG536" s="19"/>
      <c r="CH536" s="19"/>
      <c r="CI536" s="19"/>
      <c r="CJ536" s="19"/>
      <c r="CK536" s="19"/>
      <c r="CL536" s="19"/>
      <c r="CM536" s="19" t="str">
        <f>$K536</f>
        <v>2026 TOYOTA bZ</v>
      </c>
      <c r="CN536" s="19"/>
      <c r="CO536" s="19"/>
      <c r="CP536" s="19"/>
      <c r="CQ536" s="19"/>
      <c r="CR536" s="19"/>
      <c r="CS536" s="19"/>
      <c r="CT536" s="19"/>
      <c r="CU536" s="19"/>
      <c r="CV536" s="19"/>
      <c r="CW536" s="19"/>
      <c r="CX536" s="19"/>
      <c r="CY536" s="19"/>
      <c r="CZ536" s="19"/>
      <c r="DA536" s="19"/>
      <c r="DB536" s="19"/>
      <c r="DC536" s="19"/>
      <c r="DD536" s="19" t="str">
        <f>$K536</f>
        <v>2026 TOYOTA bZ</v>
      </c>
      <c r="DE536" s="19"/>
      <c r="DF536" s="19"/>
      <c r="DG536" s="19"/>
      <c r="DH536" s="19"/>
      <c r="DI536" s="19"/>
      <c r="DJ536" s="19"/>
      <c r="DK536" s="19"/>
      <c r="DL536" s="19"/>
      <c r="DM536" s="19"/>
      <c r="DN536" s="19"/>
      <c r="DO536" s="19"/>
      <c r="DP536" s="19"/>
      <c r="DQ536" s="19"/>
      <c r="DR536" s="19"/>
      <c r="DS536" s="19"/>
      <c r="DT536" s="19"/>
      <c r="DU536" s="19" t="str">
        <f>$K536</f>
        <v>2026 TOYOTA bZ</v>
      </c>
      <c r="DV536" s="19"/>
      <c r="DW536" s="19"/>
      <c r="DX536" s="19"/>
      <c r="DY536" s="19"/>
      <c r="DZ536" s="19"/>
      <c r="EA536" s="117"/>
      <c r="EB536" s="19"/>
      <c r="EC536" s="19"/>
      <c r="ED536" s="19"/>
      <c r="EE536" s="19"/>
      <c r="EF536" s="19"/>
      <c r="EX536" s="19" t="s">
        <v>2097</v>
      </c>
    </row>
    <row r="537" spans="1:165" x14ac:dyDescent="0.35">
      <c r="A537">
        <v>2026</v>
      </c>
      <c r="B537" t="s">
        <v>242</v>
      </c>
      <c r="C537" s="112" t="s">
        <v>239</v>
      </c>
      <c r="D537" t="s">
        <v>1746</v>
      </c>
      <c r="E537" t="s">
        <v>245</v>
      </c>
      <c r="F537">
        <v>38</v>
      </c>
      <c r="G537" s="113">
        <v>0</v>
      </c>
      <c r="I537" t="s">
        <v>1391</v>
      </c>
      <c r="J537">
        <v>144</v>
      </c>
      <c r="K537">
        <v>117</v>
      </c>
      <c r="L537">
        <v>130</v>
      </c>
      <c r="M537">
        <v>205.3</v>
      </c>
      <c r="N537">
        <v>167.5</v>
      </c>
      <c r="O537">
        <v>186.3734</v>
      </c>
      <c r="P537">
        <v>143.71</v>
      </c>
      <c r="Q537">
        <v>117.25</v>
      </c>
      <c r="R537">
        <v>130.4614</v>
      </c>
      <c r="V537" t="s">
        <v>170</v>
      </c>
      <c r="W537" t="s">
        <v>171</v>
      </c>
      <c r="Y537">
        <v>1</v>
      </c>
      <c r="Z537" t="s">
        <v>173</v>
      </c>
      <c r="AA537" t="s">
        <v>173</v>
      </c>
      <c r="AB537" t="s">
        <v>277</v>
      </c>
      <c r="AC537" t="s">
        <v>278</v>
      </c>
      <c r="AF537">
        <v>236</v>
      </c>
      <c r="AG537" t="s">
        <v>1392</v>
      </c>
      <c r="AH537" t="s">
        <v>1393</v>
      </c>
      <c r="AI537" t="s">
        <v>178</v>
      </c>
      <c r="AJ537" t="s">
        <v>179</v>
      </c>
      <c r="AK537">
        <v>4</v>
      </c>
      <c r="AL537" t="s">
        <v>1394</v>
      </c>
      <c r="AS537">
        <v>650</v>
      </c>
      <c r="AT537">
        <v>650</v>
      </c>
      <c r="BN537" s="114"/>
      <c r="BQ537">
        <v>30</v>
      </c>
      <c r="BR537" t="s">
        <v>798</v>
      </c>
      <c r="BT537" t="s">
        <v>1395</v>
      </c>
      <c r="BU537" s="115">
        <v>45912</v>
      </c>
      <c r="BV537">
        <v>37612</v>
      </c>
      <c r="BW537" s="116"/>
      <c r="BX537" t="s">
        <v>173</v>
      </c>
      <c r="BY537" t="s">
        <v>173</v>
      </c>
      <c r="CB537" t="s">
        <v>173</v>
      </c>
      <c r="CC537" t="s">
        <v>173</v>
      </c>
      <c r="CK537" t="s">
        <v>259</v>
      </c>
      <c r="CM537">
        <v>1</v>
      </c>
      <c r="CN537" t="s">
        <v>260</v>
      </c>
      <c r="CP537">
        <v>289</v>
      </c>
      <c r="CQ537">
        <v>200</v>
      </c>
      <c r="CR537">
        <v>247</v>
      </c>
      <c r="CS537" t="s">
        <v>261</v>
      </c>
      <c r="CV537" t="s">
        <v>262</v>
      </c>
      <c r="CX537" t="s">
        <v>493</v>
      </c>
      <c r="CY537" t="s">
        <v>173</v>
      </c>
      <c r="DD537">
        <v>1</v>
      </c>
      <c r="DE537" t="s">
        <v>307</v>
      </c>
      <c r="DF537" t="s">
        <v>855</v>
      </c>
      <c r="DG537">
        <v>167</v>
      </c>
      <c r="DL537" t="s">
        <v>173</v>
      </c>
      <c r="DM537" t="s">
        <v>172</v>
      </c>
      <c r="DP537" t="s">
        <v>173</v>
      </c>
      <c r="DQ537" t="s">
        <v>189</v>
      </c>
      <c r="DR537" t="s">
        <v>1542</v>
      </c>
      <c r="EA537" s="117"/>
      <c r="EB537">
        <v>10</v>
      </c>
      <c r="EC537">
        <v>10</v>
      </c>
      <c r="EE537" t="s">
        <v>1747</v>
      </c>
      <c r="EF537">
        <v>10</v>
      </c>
      <c r="EU537">
        <v>5250</v>
      </c>
      <c r="EW537">
        <v>0</v>
      </c>
      <c r="EX537">
        <v>0</v>
      </c>
      <c r="EY537">
        <v>0</v>
      </c>
      <c r="FA537">
        <v>6</v>
      </c>
      <c r="FG537" s="94">
        <v>257</v>
      </c>
      <c r="FH537" s="94">
        <v>210</v>
      </c>
      <c r="FI537" s="94">
        <v>236</v>
      </c>
    </row>
    <row r="538" spans="1:165" x14ac:dyDescent="0.35">
      <c r="A538">
        <v>2026</v>
      </c>
      <c r="B538" t="s">
        <v>242</v>
      </c>
      <c r="C538" s="112" t="s">
        <v>239</v>
      </c>
      <c r="D538" t="s">
        <v>1746</v>
      </c>
      <c r="E538" t="s">
        <v>245</v>
      </c>
      <c r="F538">
        <v>38</v>
      </c>
      <c r="G538" s="113">
        <v>0</v>
      </c>
      <c r="I538" t="s">
        <v>1391</v>
      </c>
      <c r="J538">
        <v>23</v>
      </c>
      <c r="K538">
        <v>29</v>
      </c>
      <c r="L538">
        <v>26</v>
      </c>
      <c r="M538">
        <v>16.413799999999998</v>
      </c>
      <c r="N538">
        <v>20.118500000000001</v>
      </c>
      <c r="O538">
        <v>18.0809</v>
      </c>
      <c r="P538">
        <v>23.453499999999998</v>
      </c>
      <c r="Q538">
        <v>28.746300000000002</v>
      </c>
      <c r="R538">
        <v>25.8352</v>
      </c>
      <c r="V538" t="s">
        <v>170</v>
      </c>
      <c r="W538" t="s">
        <v>171</v>
      </c>
      <c r="Y538">
        <v>1</v>
      </c>
      <c r="Z538" t="s">
        <v>173</v>
      </c>
      <c r="AA538" t="s">
        <v>173</v>
      </c>
      <c r="AB538" t="s">
        <v>277</v>
      </c>
      <c r="AC538" t="s">
        <v>278</v>
      </c>
      <c r="AF538">
        <v>236</v>
      </c>
      <c r="AG538" t="s">
        <v>1392</v>
      </c>
      <c r="AH538" t="s">
        <v>1393</v>
      </c>
      <c r="AI538" t="s">
        <v>1399</v>
      </c>
      <c r="AJ538" t="s">
        <v>1400</v>
      </c>
      <c r="AK538">
        <v>4</v>
      </c>
      <c r="AL538" t="s">
        <v>1394</v>
      </c>
      <c r="AS538">
        <v>650</v>
      </c>
      <c r="AT538">
        <v>650</v>
      </c>
      <c r="BN538" s="114"/>
      <c r="BQ538">
        <v>30</v>
      </c>
      <c r="BR538" t="s">
        <v>798</v>
      </c>
      <c r="BT538" t="s">
        <v>1395</v>
      </c>
      <c r="BU538" s="115">
        <v>45912</v>
      </c>
      <c r="BV538">
        <v>37612</v>
      </c>
      <c r="BW538" s="116"/>
      <c r="BX538" t="s">
        <v>173</v>
      </c>
      <c r="BY538" t="s">
        <v>173</v>
      </c>
      <c r="CB538" t="s">
        <v>173</v>
      </c>
      <c r="CC538" t="s">
        <v>173</v>
      </c>
      <c r="CK538" t="s">
        <v>259</v>
      </c>
      <c r="CM538">
        <v>1</v>
      </c>
      <c r="CN538" t="s">
        <v>260</v>
      </c>
      <c r="CP538">
        <v>289</v>
      </c>
      <c r="CQ538">
        <v>200</v>
      </c>
      <c r="CR538">
        <v>247</v>
      </c>
      <c r="CS538" t="s">
        <v>261</v>
      </c>
      <c r="CV538" t="s">
        <v>262</v>
      </c>
      <c r="CX538" t="s">
        <v>493</v>
      </c>
      <c r="CY538" t="s">
        <v>173</v>
      </c>
      <c r="DD538">
        <v>1</v>
      </c>
      <c r="DE538" t="s">
        <v>307</v>
      </c>
      <c r="DF538" t="s">
        <v>855</v>
      </c>
      <c r="DG538">
        <v>167</v>
      </c>
      <c r="DL538" t="s">
        <v>173</v>
      </c>
      <c r="DM538" t="s">
        <v>172</v>
      </c>
      <c r="DP538" t="s">
        <v>173</v>
      </c>
      <c r="DQ538" t="s">
        <v>189</v>
      </c>
      <c r="DR538" t="s">
        <v>1542</v>
      </c>
      <c r="EA538" s="117"/>
      <c r="EB538">
        <v>10</v>
      </c>
      <c r="EC538">
        <v>10</v>
      </c>
      <c r="EE538" t="s">
        <v>1747</v>
      </c>
      <c r="EF538">
        <v>10</v>
      </c>
      <c r="EU538">
        <v>5250</v>
      </c>
      <c r="EW538">
        <v>0</v>
      </c>
      <c r="EX538">
        <v>0</v>
      </c>
      <c r="EY538">
        <v>0</v>
      </c>
      <c r="FA538">
        <v>6</v>
      </c>
      <c r="FG538" s="94">
        <v>257</v>
      </c>
      <c r="FH538" s="94">
        <v>210</v>
      </c>
      <c r="FI538" s="94">
        <v>236</v>
      </c>
    </row>
    <row r="539" spans="1:165" x14ac:dyDescent="0.35">
      <c r="A539" s="19"/>
      <c r="B539" s="19"/>
      <c r="C539" s="19"/>
      <c r="D539" s="19"/>
      <c r="E539" s="19"/>
      <c r="F539" s="128"/>
      <c r="G539" s="19"/>
      <c r="H539" s="19"/>
      <c r="I539" s="19"/>
      <c r="J539" s="19"/>
      <c r="K539" s="19" t="str">
        <f>_xlfn.CONCAT(A540," ",C540," ",D540)</f>
        <v>2026 TOYOTA bZ LIMITED</v>
      </c>
      <c r="L539" s="19"/>
      <c r="M539" s="19"/>
      <c r="N539" s="19"/>
      <c r="O539" s="19"/>
      <c r="P539" s="19"/>
      <c r="Q539" s="19"/>
      <c r="R539" s="19"/>
      <c r="S539" s="19"/>
      <c r="T539" s="19"/>
      <c r="U539" s="19"/>
      <c r="V539" s="19"/>
      <c r="W539" s="19"/>
      <c r="X539" s="19"/>
      <c r="Y539" s="19"/>
      <c r="Z539" s="19"/>
      <c r="AA539" s="19"/>
      <c r="AB539" s="19" t="str">
        <f>$K539</f>
        <v>2026 TOYOTA bZ LIMITED</v>
      </c>
      <c r="AC539" s="19"/>
      <c r="AD539" s="19"/>
      <c r="AE539" s="19"/>
      <c r="AF539" s="19"/>
      <c r="AG539" s="19"/>
      <c r="AH539" s="19"/>
      <c r="AI539" s="19"/>
      <c r="AJ539" s="19"/>
      <c r="AK539" s="19"/>
      <c r="AL539" s="19"/>
      <c r="AM539" s="19"/>
      <c r="AN539" s="19"/>
      <c r="AO539" s="19"/>
      <c r="AP539" s="19"/>
      <c r="AQ539" s="19"/>
      <c r="AR539" s="19" t="str">
        <f>$K539</f>
        <v>2026 TOYOTA bZ LIMITED</v>
      </c>
      <c r="AS539" s="19"/>
      <c r="AT539" s="19"/>
      <c r="AU539" s="19"/>
      <c r="AV539" s="19"/>
      <c r="AW539" s="19"/>
      <c r="AX539" s="19"/>
      <c r="AY539" s="19"/>
      <c r="AZ539" s="19"/>
      <c r="BA539" s="19"/>
      <c r="BB539" s="19"/>
      <c r="BC539" s="19"/>
      <c r="BD539" s="19"/>
      <c r="BE539" s="19"/>
      <c r="BF539" s="19"/>
      <c r="BG539" s="19" t="str">
        <f>$K539</f>
        <v>2026 TOYOTA bZ LIMITED</v>
      </c>
      <c r="BH539" s="19"/>
      <c r="BI539" s="19"/>
      <c r="BJ539" s="19"/>
      <c r="BK539" s="19"/>
      <c r="BL539" s="19"/>
      <c r="BM539" s="129"/>
      <c r="BN539" s="19"/>
      <c r="BO539" s="19"/>
      <c r="BP539" s="19"/>
      <c r="BQ539" s="19"/>
      <c r="BR539" s="19"/>
      <c r="BS539" s="19"/>
      <c r="BT539" s="130"/>
      <c r="BU539" s="19"/>
      <c r="BV539" s="19"/>
      <c r="BW539" s="116"/>
      <c r="BX539" s="19"/>
      <c r="BY539" s="19"/>
      <c r="BZ539" s="19"/>
      <c r="CA539" s="19"/>
      <c r="CB539" s="19"/>
      <c r="CC539" s="19"/>
      <c r="CD539" s="19"/>
      <c r="CE539" s="19"/>
      <c r="CF539" s="19"/>
      <c r="CG539" s="19"/>
      <c r="CH539" s="19"/>
      <c r="CI539" s="19"/>
      <c r="CJ539" s="19"/>
      <c r="CK539" s="19"/>
      <c r="CL539" s="19"/>
      <c r="CM539" s="19" t="str">
        <f>$K539</f>
        <v>2026 TOYOTA bZ LIMITED</v>
      </c>
      <c r="CN539" s="19"/>
      <c r="CO539" s="19"/>
      <c r="CP539" s="19"/>
      <c r="CQ539" s="19"/>
      <c r="CR539" s="19"/>
      <c r="CS539" s="19"/>
      <c r="CT539" s="19"/>
      <c r="CU539" s="19"/>
      <c r="CV539" s="19"/>
      <c r="CW539" s="19"/>
      <c r="CX539" s="19"/>
      <c r="CY539" s="19"/>
      <c r="CZ539" s="19"/>
      <c r="DA539" s="19"/>
      <c r="DB539" s="19"/>
      <c r="DC539" s="19"/>
      <c r="DD539" s="19" t="str">
        <f>$K539</f>
        <v>2026 TOYOTA bZ LIMITED</v>
      </c>
      <c r="DE539" s="19"/>
      <c r="DF539" s="19"/>
      <c r="DG539" s="19"/>
      <c r="DH539" s="19"/>
      <c r="DI539" s="19"/>
      <c r="DJ539" s="19"/>
      <c r="DK539" s="19"/>
      <c r="DL539" s="19"/>
      <c r="DM539" s="19"/>
      <c r="DN539" s="19"/>
      <c r="DO539" s="19"/>
      <c r="DP539" s="19"/>
      <c r="DQ539" s="19"/>
      <c r="DR539" s="19"/>
      <c r="DS539" s="19"/>
      <c r="DT539" s="19"/>
      <c r="DU539" s="19" t="str">
        <f>$K539</f>
        <v>2026 TOYOTA bZ LIMITED</v>
      </c>
      <c r="DV539" s="19"/>
      <c r="DW539" s="19"/>
      <c r="DX539" s="19"/>
      <c r="DY539" s="19"/>
      <c r="DZ539" s="19"/>
      <c r="EA539" s="117"/>
      <c r="EB539" s="19"/>
      <c r="EC539" s="19"/>
      <c r="ED539" s="19"/>
      <c r="EE539" s="19"/>
      <c r="EF539" s="19"/>
      <c r="EX539" s="19" t="s">
        <v>2098</v>
      </c>
    </row>
    <row r="540" spans="1:165" x14ac:dyDescent="0.35">
      <c r="A540">
        <v>2026</v>
      </c>
      <c r="B540" t="s">
        <v>242</v>
      </c>
      <c r="C540" s="112" t="s">
        <v>239</v>
      </c>
      <c r="D540" t="s">
        <v>1749</v>
      </c>
      <c r="E540" t="s">
        <v>245</v>
      </c>
      <c r="F540">
        <v>41</v>
      </c>
      <c r="G540" s="113">
        <v>0</v>
      </c>
      <c r="I540" t="s">
        <v>1391</v>
      </c>
      <c r="J540">
        <v>134</v>
      </c>
      <c r="K540">
        <v>111</v>
      </c>
      <c r="L540">
        <v>123</v>
      </c>
      <c r="M540">
        <v>191.3</v>
      </c>
      <c r="N540">
        <v>158.80000000000001</v>
      </c>
      <c r="O540">
        <v>175.16759999999999</v>
      </c>
      <c r="P540">
        <v>133.91</v>
      </c>
      <c r="Q540">
        <v>111.16</v>
      </c>
      <c r="R540">
        <v>122.6173</v>
      </c>
      <c r="V540" t="s">
        <v>170</v>
      </c>
      <c r="W540" t="s">
        <v>171</v>
      </c>
      <c r="Y540">
        <v>1</v>
      </c>
      <c r="Z540" t="s">
        <v>173</v>
      </c>
      <c r="AA540" t="s">
        <v>173</v>
      </c>
      <c r="AB540" t="s">
        <v>277</v>
      </c>
      <c r="AC540" t="s">
        <v>278</v>
      </c>
      <c r="AF540">
        <v>296</v>
      </c>
      <c r="AG540" t="s">
        <v>1392</v>
      </c>
      <c r="AH540" t="s">
        <v>1393</v>
      </c>
      <c r="AI540" t="s">
        <v>178</v>
      </c>
      <c r="AJ540" t="s">
        <v>179</v>
      </c>
      <c r="AK540">
        <v>4</v>
      </c>
      <c r="AL540" t="s">
        <v>1394</v>
      </c>
      <c r="AS540">
        <v>700</v>
      </c>
      <c r="AT540">
        <v>700</v>
      </c>
      <c r="BN540" s="114"/>
      <c r="BQ540">
        <v>30</v>
      </c>
      <c r="BR540" t="s">
        <v>798</v>
      </c>
      <c r="BT540" t="s">
        <v>1395</v>
      </c>
      <c r="BU540" s="115">
        <v>45912</v>
      </c>
      <c r="BV540">
        <v>37619</v>
      </c>
      <c r="BW540" s="116"/>
      <c r="BX540" t="s">
        <v>172</v>
      </c>
      <c r="BY540" t="s">
        <v>173</v>
      </c>
      <c r="CB540" t="s">
        <v>173</v>
      </c>
      <c r="CC540" t="s">
        <v>173</v>
      </c>
      <c r="CK540" t="s">
        <v>259</v>
      </c>
      <c r="CM540">
        <v>1</v>
      </c>
      <c r="CN540" t="s">
        <v>260</v>
      </c>
      <c r="CP540">
        <v>385</v>
      </c>
      <c r="CQ540">
        <v>200</v>
      </c>
      <c r="CR540">
        <v>247</v>
      </c>
      <c r="CS540" t="s">
        <v>261</v>
      </c>
      <c r="CV540" t="s">
        <v>262</v>
      </c>
      <c r="CX540" t="s">
        <v>493</v>
      </c>
      <c r="CY540" t="s">
        <v>173</v>
      </c>
      <c r="DD540">
        <v>1</v>
      </c>
      <c r="DE540" t="s">
        <v>307</v>
      </c>
      <c r="DF540" t="s">
        <v>855</v>
      </c>
      <c r="DG540">
        <v>167</v>
      </c>
      <c r="DL540" t="s">
        <v>173</v>
      </c>
      <c r="DM540" t="s">
        <v>172</v>
      </c>
      <c r="DP540" t="s">
        <v>173</v>
      </c>
      <c r="DQ540" t="s">
        <v>189</v>
      </c>
      <c r="DR540" t="s">
        <v>1542</v>
      </c>
      <c r="EA540" s="117"/>
      <c r="EB540">
        <v>10</v>
      </c>
      <c r="EC540">
        <v>10</v>
      </c>
      <c r="EE540" t="s">
        <v>1748</v>
      </c>
      <c r="EF540">
        <v>10</v>
      </c>
      <c r="EU540">
        <v>5000</v>
      </c>
      <c r="EW540">
        <v>0</v>
      </c>
      <c r="EX540">
        <v>0</v>
      </c>
      <c r="EY540">
        <v>0</v>
      </c>
      <c r="FA540">
        <v>8</v>
      </c>
      <c r="FG540" s="94">
        <v>321</v>
      </c>
      <c r="FH540" s="94">
        <v>266</v>
      </c>
      <c r="FI540" s="94">
        <v>296</v>
      </c>
    </row>
    <row r="541" spans="1:165" x14ac:dyDescent="0.35">
      <c r="A541">
        <v>2026</v>
      </c>
      <c r="B541" t="s">
        <v>242</v>
      </c>
      <c r="C541" s="112" t="s">
        <v>239</v>
      </c>
      <c r="D541" t="s">
        <v>1749</v>
      </c>
      <c r="E541" t="s">
        <v>245</v>
      </c>
      <c r="F541">
        <v>41</v>
      </c>
      <c r="G541" s="113">
        <v>0</v>
      </c>
      <c r="I541" t="s">
        <v>1391</v>
      </c>
      <c r="J541">
        <v>25</v>
      </c>
      <c r="K541">
        <v>30</v>
      </c>
      <c r="L541">
        <v>27</v>
      </c>
      <c r="M541">
        <v>17.618200000000002</v>
      </c>
      <c r="N541">
        <v>21.2197</v>
      </c>
      <c r="O541">
        <v>19.238900000000001</v>
      </c>
      <c r="P541">
        <v>25.169899999999998</v>
      </c>
      <c r="Q541">
        <v>30.321200000000001</v>
      </c>
      <c r="R541">
        <v>27.488</v>
      </c>
      <c r="V541" t="s">
        <v>170</v>
      </c>
      <c r="W541" t="s">
        <v>171</v>
      </c>
      <c r="Y541">
        <v>1</v>
      </c>
      <c r="Z541" t="s">
        <v>173</v>
      </c>
      <c r="AA541" t="s">
        <v>173</v>
      </c>
      <c r="AB541" t="s">
        <v>277</v>
      </c>
      <c r="AC541" t="s">
        <v>278</v>
      </c>
      <c r="AF541">
        <v>296</v>
      </c>
      <c r="AG541" t="s">
        <v>1392</v>
      </c>
      <c r="AH541" t="s">
        <v>1393</v>
      </c>
      <c r="AI541" t="s">
        <v>1399</v>
      </c>
      <c r="AJ541" t="s">
        <v>1400</v>
      </c>
      <c r="AK541">
        <v>4</v>
      </c>
      <c r="AL541" t="s">
        <v>1394</v>
      </c>
      <c r="AS541">
        <v>700</v>
      </c>
      <c r="AT541">
        <v>700</v>
      </c>
      <c r="BN541" s="114"/>
      <c r="BQ541">
        <v>30</v>
      </c>
      <c r="BR541" t="s">
        <v>798</v>
      </c>
      <c r="BT541" t="s">
        <v>1395</v>
      </c>
      <c r="BU541" s="115">
        <v>45912</v>
      </c>
      <c r="BV541">
        <v>37619</v>
      </c>
      <c r="BW541" s="116"/>
      <c r="BX541" t="s">
        <v>172</v>
      </c>
      <c r="BY541" t="s">
        <v>173</v>
      </c>
      <c r="CB541" t="s">
        <v>173</v>
      </c>
      <c r="CC541" t="s">
        <v>173</v>
      </c>
      <c r="CK541" t="s">
        <v>259</v>
      </c>
      <c r="CM541">
        <v>1</v>
      </c>
      <c r="CN541" t="s">
        <v>260</v>
      </c>
      <c r="CP541">
        <v>385</v>
      </c>
      <c r="CQ541">
        <v>200</v>
      </c>
      <c r="CR541">
        <v>247</v>
      </c>
      <c r="CS541" t="s">
        <v>261</v>
      </c>
      <c r="CV541" t="s">
        <v>262</v>
      </c>
      <c r="CX541" t="s">
        <v>493</v>
      </c>
      <c r="CY541" t="s">
        <v>173</v>
      </c>
      <c r="DD541">
        <v>1</v>
      </c>
      <c r="DE541" t="s">
        <v>307</v>
      </c>
      <c r="DF541" t="s">
        <v>855</v>
      </c>
      <c r="DG541">
        <v>167</v>
      </c>
      <c r="DL541" t="s">
        <v>173</v>
      </c>
      <c r="DM541" t="s">
        <v>172</v>
      </c>
      <c r="DP541" t="s">
        <v>173</v>
      </c>
      <c r="DQ541" t="s">
        <v>189</v>
      </c>
      <c r="DR541" t="s">
        <v>1542</v>
      </c>
      <c r="EA541" s="117"/>
      <c r="EB541">
        <v>10</v>
      </c>
      <c r="EC541">
        <v>10</v>
      </c>
      <c r="EE541" t="s">
        <v>1748</v>
      </c>
      <c r="EF541">
        <v>10</v>
      </c>
      <c r="EU541">
        <v>5000</v>
      </c>
      <c r="EW541">
        <v>0</v>
      </c>
      <c r="EX541">
        <v>0</v>
      </c>
      <c r="EY541">
        <v>0</v>
      </c>
      <c r="FA541">
        <v>8</v>
      </c>
      <c r="FG541" s="94">
        <v>321</v>
      </c>
      <c r="FH541" s="94">
        <v>266</v>
      </c>
      <c r="FI541" s="94">
        <v>296</v>
      </c>
    </row>
    <row r="542" spans="1:165" x14ac:dyDescent="0.35">
      <c r="A542" s="19"/>
      <c r="B542" s="19"/>
      <c r="C542" s="19"/>
      <c r="D542" s="19"/>
      <c r="E542" s="19"/>
      <c r="F542" s="128"/>
      <c r="G542" s="19"/>
      <c r="H542" s="19"/>
      <c r="I542" s="19"/>
      <c r="J542" s="19"/>
      <c r="K542" s="19" t="str">
        <f>_xlfn.CONCAT(A543," ",C543," ",D543)</f>
        <v>2026 TOYOTA bZ AWD</v>
      </c>
      <c r="L542" s="19"/>
      <c r="M542" s="19"/>
      <c r="N542" s="19"/>
      <c r="O542" s="19"/>
      <c r="P542" s="19"/>
      <c r="Q542" s="19"/>
      <c r="R542" s="19"/>
      <c r="S542" s="19"/>
      <c r="T542" s="19"/>
      <c r="U542" s="19"/>
      <c r="V542" s="19"/>
      <c r="W542" s="19"/>
      <c r="X542" s="19"/>
      <c r="Y542" s="19"/>
      <c r="Z542" s="19"/>
      <c r="AA542" s="19"/>
      <c r="AB542" s="19" t="str">
        <f>$K542</f>
        <v>2026 TOYOTA bZ AWD</v>
      </c>
      <c r="AC542" s="19"/>
      <c r="AD542" s="19"/>
      <c r="AE542" s="19"/>
      <c r="AF542" s="19"/>
      <c r="AG542" s="19"/>
      <c r="AH542" s="19"/>
      <c r="AI542" s="19"/>
      <c r="AJ542" s="19"/>
      <c r="AK542" s="19"/>
      <c r="AL542" s="19"/>
      <c r="AM542" s="19"/>
      <c r="AN542" s="19"/>
      <c r="AO542" s="19"/>
      <c r="AP542" s="19"/>
      <c r="AQ542" s="19"/>
      <c r="AR542" s="19" t="str">
        <f>$K542</f>
        <v>2026 TOYOTA bZ AWD</v>
      </c>
      <c r="AS542" s="19"/>
      <c r="AT542" s="19"/>
      <c r="AU542" s="19"/>
      <c r="AV542" s="19"/>
      <c r="AW542" s="19"/>
      <c r="AX542" s="19"/>
      <c r="AY542" s="19"/>
      <c r="AZ542" s="19"/>
      <c r="BA542" s="19"/>
      <c r="BB542" s="19"/>
      <c r="BC542" s="19"/>
      <c r="BD542" s="19"/>
      <c r="BE542" s="19"/>
      <c r="BF542" s="19"/>
      <c r="BG542" s="19" t="str">
        <f>$K542</f>
        <v>2026 TOYOTA bZ AWD</v>
      </c>
      <c r="BH542" s="19"/>
      <c r="BI542" s="19"/>
      <c r="BJ542" s="19"/>
      <c r="BK542" s="19"/>
      <c r="BL542" s="19"/>
      <c r="BM542" s="129"/>
      <c r="BN542" s="19"/>
      <c r="BO542" s="19"/>
      <c r="BP542" s="19"/>
      <c r="BQ542" s="19"/>
      <c r="BR542" s="19"/>
      <c r="BS542" s="19"/>
      <c r="BT542" s="130"/>
      <c r="BU542" s="19"/>
      <c r="BV542" s="19"/>
      <c r="BW542" s="116"/>
      <c r="BX542" s="19"/>
      <c r="BY542" s="19"/>
      <c r="BZ542" s="19"/>
      <c r="CA542" s="19"/>
      <c r="CB542" s="19"/>
      <c r="CC542" s="19"/>
      <c r="CD542" s="19"/>
      <c r="CE542" s="19"/>
      <c r="CF542" s="19"/>
      <c r="CG542" s="19"/>
      <c r="CH542" s="19"/>
      <c r="CI542" s="19"/>
      <c r="CJ542" s="19"/>
      <c r="CK542" s="19"/>
      <c r="CL542" s="19"/>
      <c r="CM542" s="19" t="str">
        <f>$K542</f>
        <v>2026 TOYOTA bZ AWD</v>
      </c>
      <c r="CN542" s="19"/>
      <c r="CO542" s="19"/>
      <c r="CP542" s="19"/>
      <c r="CQ542" s="19"/>
      <c r="CR542" s="19"/>
      <c r="CS542" s="19"/>
      <c r="CT542" s="19"/>
      <c r="CU542" s="19"/>
      <c r="CV542" s="19"/>
      <c r="CW542" s="19"/>
      <c r="CX542" s="19"/>
      <c r="CY542" s="19"/>
      <c r="CZ542" s="19"/>
      <c r="DA542" s="19"/>
      <c r="DB542" s="19"/>
      <c r="DC542" s="19"/>
      <c r="DD542" s="19" t="str">
        <f>$K542</f>
        <v>2026 TOYOTA bZ AWD</v>
      </c>
      <c r="DE542" s="19"/>
      <c r="DF542" s="19"/>
      <c r="DG542" s="19"/>
      <c r="DH542" s="19"/>
      <c r="DI542" s="19"/>
      <c r="DJ542" s="19"/>
      <c r="DK542" s="19"/>
      <c r="DL542" s="19"/>
      <c r="DM542" s="19"/>
      <c r="DN542" s="19"/>
      <c r="DO542" s="19"/>
      <c r="DP542" s="19"/>
      <c r="DQ542" s="19"/>
      <c r="DR542" s="19"/>
      <c r="DS542" s="19"/>
      <c r="DT542" s="19"/>
      <c r="DU542" s="19" t="str">
        <f>$K542</f>
        <v>2026 TOYOTA bZ AWD</v>
      </c>
      <c r="DV542" s="19"/>
      <c r="DW542" s="19"/>
      <c r="DX542" s="19"/>
      <c r="DY542" s="19"/>
      <c r="DZ542" s="19"/>
      <c r="EA542" s="117"/>
      <c r="EB542" s="19"/>
      <c r="EC542" s="19"/>
      <c r="ED542" s="19"/>
      <c r="EE542" s="19"/>
      <c r="EF542" s="19"/>
      <c r="EX542" s="19" t="s">
        <v>2099</v>
      </c>
    </row>
    <row r="543" spans="1:165" x14ac:dyDescent="0.35">
      <c r="A543">
        <v>2026</v>
      </c>
      <c r="B543" t="s">
        <v>242</v>
      </c>
      <c r="C543" s="112" t="s">
        <v>239</v>
      </c>
      <c r="D543" t="s">
        <v>1773</v>
      </c>
      <c r="E543" t="s">
        <v>245</v>
      </c>
      <c r="F543">
        <v>44</v>
      </c>
      <c r="G543" s="113">
        <v>0</v>
      </c>
      <c r="I543" t="s">
        <v>1391</v>
      </c>
      <c r="J543">
        <v>131</v>
      </c>
      <c r="K543">
        <v>109</v>
      </c>
      <c r="L543">
        <v>120</v>
      </c>
      <c r="M543">
        <v>187.5</v>
      </c>
      <c r="N543">
        <v>156.19999999999999</v>
      </c>
      <c r="O543">
        <v>171.99109999999999</v>
      </c>
      <c r="P543">
        <v>131.25</v>
      </c>
      <c r="Q543">
        <v>109.34</v>
      </c>
      <c r="R543">
        <v>120.3938</v>
      </c>
      <c r="V543" t="s">
        <v>170</v>
      </c>
      <c r="W543" t="s">
        <v>171</v>
      </c>
      <c r="Y543">
        <v>1</v>
      </c>
      <c r="Z543" t="s">
        <v>173</v>
      </c>
      <c r="AA543" t="s">
        <v>173</v>
      </c>
      <c r="AB543" t="s">
        <v>170</v>
      </c>
      <c r="AC543" t="s">
        <v>232</v>
      </c>
      <c r="AF543">
        <v>288</v>
      </c>
      <c r="AG543" t="s">
        <v>1392</v>
      </c>
      <c r="AH543" t="s">
        <v>1393</v>
      </c>
      <c r="AI543" t="s">
        <v>178</v>
      </c>
      <c r="AJ543" t="s">
        <v>179</v>
      </c>
      <c r="AK543">
        <v>4</v>
      </c>
      <c r="AL543" t="s">
        <v>1394</v>
      </c>
      <c r="AS543">
        <v>700</v>
      </c>
      <c r="AT543">
        <v>700</v>
      </c>
      <c r="BN543" s="114"/>
      <c r="BQ543">
        <v>31</v>
      </c>
      <c r="BR543" t="s">
        <v>887</v>
      </c>
      <c r="BT543" t="s">
        <v>1395</v>
      </c>
      <c r="BU543" s="115">
        <v>45912</v>
      </c>
      <c r="BV543">
        <v>37616</v>
      </c>
      <c r="BW543" s="116"/>
      <c r="BX543" t="s">
        <v>173</v>
      </c>
      <c r="BY543" t="s">
        <v>173</v>
      </c>
      <c r="CB543" t="s">
        <v>173</v>
      </c>
      <c r="CC543" t="s">
        <v>173</v>
      </c>
      <c r="CK543" t="s">
        <v>259</v>
      </c>
      <c r="CM543">
        <v>1</v>
      </c>
      <c r="CN543" t="s">
        <v>260</v>
      </c>
      <c r="CP543">
        <v>391</v>
      </c>
      <c r="CQ543">
        <v>191</v>
      </c>
      <c r="CR543">
        <v>261</v>
      </c>
      <c r="CS543" t="s">
        <v>261</v>
      </c>
      <c r="CV543" t="s">
        <v>262</v>
      </c>
      <c r="CX543" t="s">
        <v>263</v>
      </c>
      <c r="CY543" t="s">
        <v>173</v>
      </c>
      <c r="DD543">
        <v>2</v>
      </c>
      <c r="DE543" t="s">
        <v>307</v>
      </c>
      <c r="DF543" t="s">
        <v>855</v>
      </c>
      <c r="DG543" t="s">
        <v>1770</v>
      </c>
      <c r="DL543" t="s">
        <v>173</v>
      </c>
      <c r="DM543" t="s">
        <v>172</v>
      </c>
      <c r="DP543" t="s">
        <v>173</v>
      </c>
      <c r="DQ543" t="s">
        <v>189</v>
      </c>
      <c r="DR543" t="s">
        <v>1542</v>
      </c>
      <c r="EA543" s="117"/>
      <c r="EB543">
        <v>9</v>
      </c>
      <c r="EC543">
        <v>10</v>
      </c>
      <c r="EE543" t="s">
        <v>1771</v>
      </c>
      <c r="EF543">
        <v>10</v>
      </c>
      <c r="EU543">
        <v>5000</v>
      </c>
      <c r="EW543">
        <v>0</v>
      </c>
      <c r="EX543">
        <v>0</v>
      </c>
      <c r="EY543">
        <v>0</v>
      </c>
      <c r="FA543">
        <v>8</v>
      </c>
      <c r="FG543" s="94">
        <v>311</v>
      </c>
      <c r="FH543" s="94">
        <v>259</v>
      </c>
      <c r="FI543" s="94">
        <v>288</v>
      </c>
    </row>
    <row r="544" spans="1:165" x14ac:dyDescent="0.35">
      <c r="A544">
        <v>2026</v>
      </c>
      <c r="B544" t="s">
        <v>242</v>
      </c>
      <c r="C544" s="112" t="s">
        <v>239</v>
      </c>
      <c r="D544" t="s">
        <v>1773</v>
      </c>
      <c r="E544" t="s">
        <v>245</v>
      </c>
      <c r="F544">
        <v>44</v>
      </c>
      <c r="G544" s="113">
        <v>0</v>
      </c>
      <c r="I544" t="s">
        <v>1391</v>
      </c>
      <c r="J544">
        <v>26</v>
      </c>
      <c r="K544">
        <v>31</v>
      </c>
      <c r="L544">
        <v>28</v>
      </c>
      <c r="M544">
        <v>17.976199999999999</v>
      </c>
      <c r="N544">
        <v>21.579599999999999</v>
      </c>
      <c r="O544">
        <v>19.5977</v>
      </c>
      <c r="P544">
        <v>25.68</v>
      </c>
      <c r="Q544">
        <v>30.825900000000001</v>
      </c>
      <c r="R544">
        <v>27.9956</v>
      </c>
      <c r="V544" t="s">
        <v>170</v>
      </c>
      <c r="W544" t="s">
        <v>171</v>
      </c>
      <c r="Y544">
        <v>1</v>
      </c>
      <c r="Z544" t="s">
        <v>173</v>
      </c>
      <c r="AA544" t="s">
        <v>173</v>
      </c>
      <c r="AB544" t="s">
        <v>170</v>
      </c>
      <c r="AC544" t="s">
        <v>232</v>
      </c>
      <c r="AF544">
        <v>288</v>
      </c>
      <c r="AG544" t="s">
        <v>1392</v>
      </c>
      <c r="AH544" t="s">
        <v>1393</v>
      </c>
      <c r="AI544" t="s">
        <v>1399</v>
      </c>
      <c r="AJ544" t="s">
        <v>1400</v>
      </c>
      <c r="AK544">
        <v>4</v>
      </c>
      <c r="AL544" t="s">
        <v>1394</v>
      </c>
      <c r="AS544">
        <v>700</v>
      </c>
      <c r="AT544">
        <v>700</v>
      </c>
      <c r="BN544" s="114"/>
      <c r="BQ544">
        <v>31</v>
      </c>
      <c r="BR544" t="s">
        <v>887</v>
      </c>
      <c r="BT544" t="s">
        <v>1395</v>
      </c>
      <c r="BU544" s="115">
        <v>45912</v>
      </c>
      <c r="BV544">
        <v>37616</v>
      </c>
      <c r="BW544" s="116"/>
      <c r="BX544" t="s">
        <v>173</v>
      </c>
      <c r="BY544" t="s">
        <v>173</v>
      </c>
      <c r="CB544" t="s">
        <v>173</v>
      </c>
      <c r="CC544" t="s">
        <v>173</v>
      </c>
      <c r="CK544" t="s">
        <v>259</v>
      </c>
      <c r="CM544">
        <v>1</v>
      </c>
      <c r="CN544" t="s">
        <v>260</v>
      </c>
      <c r="CP544">
        <v>391</v>
      </c>
      <c r="CQ544">
        <v>191</v>
      </c>
      <c r="CR544">
        <v>261</v>
      </c>
      <c r="CS544" t="s">
        <v>261</v>
      </c>
      <c r="CV544" t="s">
        <v>262</v>
      </c>
      <c r="CX544" t="s">
        <v>263</v>
      </c>
      <c r="CY544" t="s">
        <v>173</v>
      </c>
      <c r="DD544">
        <v>2</v>
      </c>
      <c r="DE544" t="s">
        <v>307</v>
      </c>
      <c r="DF544" t="s">
        <v>855</v>
      </c>
      <c r="DG544" t="s">
        <v>1770</v>
      </c>
      <c r="DL544" t="s">
        <v>173</v>
      </c>
      <c r="DM544" t="s">
        <v>172</v>
      </c>
      <c r="DP544" t="s">
        <v>173</v>
      </c>
      <c r="DQ544" t="s">
        <v>189</v>
      </c>
      <c r="DR544" t="s">
        <v>1542</v>
      </c>
      <c r="EA544" s="117"/>
      <c r="EB544">
        <v>9</v>
      </c>
      <c r="EC544">
        <v>10</v>
      </c>
      <c r="EE544" t="s">
        <v>1771</v>
      </c>
      <c r="EF544">
        <v>10</v>
      </c>
      <c r="EU544">
        <v>5000</v>
      </c>
      <c r="EW544">
        <v>0</v>
      </c>
      <c r="EX544">
        <v>0</v>
      </c>
      <c r="EY544">
        <v>0</v>
      </c>
      <c r="FA544">
        <v>8</v>
      </c>
      <c r="FG544" s="94">
        <v>311</v>
      </c>
      <c r="FH544" s="94">
        <v>259</v>
      </c>
      <c r="FI544" s="94">
        <v>288</v>
      </c>
    </row>
    <row r="545" spans="1:165" x14ac:dyDescent="0.35">
      <c r="A545" s="19"/>
      <c r="B545" s="19"/>
      <c r="C545" s="19"/>
      <c r="D545" s="19"/>
      <c r="E545" s="19"/>
      <c r="F545" s="128"/>
      <c r="G545" s="19"/>
      <c r="H545" s="19"/>
      <c r="I545" s="19"/>
      <c r="J545" s="19"/>
      <c r="K545" s="19" t="str">
        <f>_xlfn.CONCAT(A546," ",C546," ",D546)</f>
        <v>2026 TOYOTA bZ AWD LIMITED</v>
      </c>
      <c r="L545" s="19"/>
      <c r="M545" s="19"/>
      <c r="N545" s="19"/>
      <c r="O545" s="19"/>
      <c r="P545" s="19"/>
      <c r="Q545" s="19"/>
      <c r="R545" s="19"/>
      <c r="S545" s="19"/>
      <c r="T545" s="19"/>
      <c r="U545" s="19"/>
      <c r="V545" s="19"/>
      <c r="W545" s="19"/>
      <c r="X545" s="19"/>
      <c r="Y545" s="19"/>
      <c r="Z545" s="19"/>
      <c r="AA545" s="19"/>
      <c r="AB545" s="19" t="str">
        <f>$K545</f>
        <v>2026 TOYOTA bZ AWD LIMITED</v>
      </c>
      <c r="AC545" s="19"/>
      <c r="AD545" s="19"/>
      <c r="AE545" s="19"/>
      <c r="AF545" s="19"/>
      <c r="AG545" s="19"/>
      <c r="AH545" s="19"/>
      <c r="AI545" s="19"/>
      <c r="AJ545" s="19"/>
      <c r="AK545" s="19"/>
      <c r="AL545" s="19"/>
      <c r="AM545" s="19"/>
      <c r="AN545" s="19"/>
      <c r="AO545" s="19"/>
      <c r="AP545" s="19"/>
      <c r="AQ545" s="19"/>
      <c r="AR545" s="19" t="str">
        <f>$K545</f>
        <v>2026 TOYOTA bZ AWD LIMITED</v>
      </c>
      <c r="AS545" s="19"/>
      <c r="AT545" s="19"/>
      <c r="AU545" s="19"/>
      <c r="AV545" s="19"/>
      <c r="AW545" s="19"/>
      <c r="AX545" s="19"/>
      <c r="AY545" s="19"/>
      <c r="AZ545" s="19"/>
      <c r="BA545" s="19"/>
      <c r="BB545" s="19"/>
      <c r="BC545" s="19"/>
      <c r="BD545" s="19"/>
      <c r="BE545" s="19"/>
      <c r="BF545" s="19"/>
      <c r="BG545" s="19" t="str">
        <f>$K545</f>
        <v>2026 TOYOTA bZ AWD LIMITED</v>
      </c>
      <c r="BH545" s="19"/>
      <c r="BI545" s="19"/>
      <c r="BJ545" s="19"/>
      <c r="BK545" s="19"/>
      <c r="BL545" s="19"/>
      <c r="BM545" s="129"/>
      <c r="BN545" s="19"/>
      <c r="BO545" s="19"/>
      <c r="BP545" s="19"/>
      <c r="BQ545" s="19"/>
      <c r="BR545" s="19"/>
      <c r="BS545" s="19"/>
      <c r="BT545" s="130"/>
      <c r="BU545" s="19"/>
      <c r="BV545" s="19"/>
      <c r="BW545" s="116"/>
      <c r="BX545" s="19"/>
      <c r="BY545" s="19"/>
      <c r="BZ545" s="19"/>
      <c r="CA545" s="19"/>
      <c r="CB545" s="19"/>
      <c r="CC545" s="19"/>
      <c r="CD545" s="19"/>
      <c r="CE545" s="19"/>
      <c r="CF545" s="19"/>
      <c r="CG545" s="19"/>
      <c r="CH545" s="19"/>
      <c r="CI545" s="19"/>
      <c r="CJ545" s="19"/>
      <c r="CK545" s="19"/>
      <c r="CL545" s="19"/>
      <c r="CM545" s="19" t="str">
        <f>$K545</f>
        <v>2026 TOYOTA bZ AWD LIMITED</v>
      </c>
      <c r="CN545" s="19"/>
      <c r="CO545" s="19"/>
      <c r="CP545" s="19"/>
      <c r="CQ545" s="19"/>
      <c r="CR545" s="19"/>
      <c r="CS545" s="19"/>
      <c r="CT545" s="19"/>
      <c r="CU545" s="19"/>
      <c r="CV545" s="19"/>
      <c r="CW545" s="19"/>
      <c r="CX545" s="19"/>
      <c r="CY545" s="19"/>
      <c r="CZ545" s="19"/>
      <c r="DA545" s="19"/>
      <c r="DB545" s="19"/>
      <c r="DC545" s="19"/>
      <c r="DD545" s="19" t="str">
        <f>$K545</f>
        <v>2026 TOYOTA bZ AWD LIMITED</v>
      </c>
      <c r="DE545" s="19"/>
      <c r="DF545" s="19"/>
      <c r="DG545" s="19"/>
      <c r="DH545" s="19"/>
      <c r="DI545" s="19"/>
      <c r="DJ545" s="19"/>
      <c r="DK545" s="19"/>
      <c r="DL545" s="19"/>
      <c r="DM545" s="19"/>
      <c r="DN545" s="19"/>
      <c r="DO545" s="19"/>
      <c r="DP545" s="19"/>
      <c r="DQ545" s="19"/>
      <c r="DR545" s="19"/>
      <c r="DS545" s="19"/>
      <c r="DT545" s="19"/>
      <c r="DU545" s="19" t="str">
        <f>$K545</f>
        <v>2026 TOYOTA bZ AWD LIMITED</v>
      </c>
      <c r="DV545" s="19"/>
      <c r="DW545" s="19"/>
      <c r="DX545" s="19"/>
      <c r="DY545" s="19"/>
      <c r="DZ545" s="19"/>
      <c r="EA545" s="117"/>
      <c r="EB545" s="19"/>
      <c r="EC545" s="19"/>
      <c r="ED545" s="19"/>
      <c r="EE545" s="19"/>
      <c r="EF545" s="19"/>
      <c r="EX545" s="19" t="s">
        <v>2100</v>
      </c>
    </row>
    <row r="546" spans="1:165" x14ac:dyDescent="0.35">
      <c r="A546">
        <v>2026</v>
      </c>
      <c r="B546" t="s">
        <v>242</v>
      </c>
      <c r="C546" s="112" t="s">
        <v>239</v>
      </c>
      <c r="D546" t="s">
        <v>1774</v>
      </c>
      <c r="E546" t="s">
        <v>245</v>
      </c>
      <c r="F546">
        <v>46</v>
      </c>
      <c r="G546" s="113">
        <v>0</v>
      </c>
      <c r="I546" t="s">
        <v>1391</v>
      </c>
      <c r="J546">
        <v>128</v>
      </c>
      <c r="K546">
        <v>105</v>
      </c>
      <c r="L546">
        <v>117</v>
      </c>
      <c r="M546">
        <v>182.2</v>
      </c>
      <c r="N546">
        <v>150.6</v>
      </c>
      <c r="O546">
        <v>166.48050000000001</v>
      </c>
      <c r="P546">
        <v>127.54</v>
      </c>
      <c r="Q546">
        <v>105.42</v>
      </c>
      <c r="R546">
        <v>116.5364</v>
      </c>
      <c r="V546" t="s">
        <v>170</v>
      </c>
      <c r="W546" t="s">
        <v>171</v>
      </c>
      <c r="Y546">
        <v>1</v>
      </c>
      <c r="Z546" t="s">
        <v>173</v>
      </c>
      <c r="AA546" t="s">
        <v>173</v>
      </c>
      <c r="AB546" t="s">
        <v>170</v>
      </c>
      <c r="AC546" t="s">
        <v>232</v>
      </c>
      <c r="AF546">
        <v>278</v>
      </c>
      <c r="AG546" t="s">
        <v>1392</v>
      </c>
      <c r="AH546" t="s">
        <v>1393</v>
      </c>
      <c r="AI546" t="s">
        <v>178</v>
      </c>
      <c r="AJ546" t="s">
        <v>179</v>
      </c>
      <c r="AK546">
        <v>4</v>
      </c>
      <c r="AL546" t="s">
        <v>1394</v>
      </c>
      <c r="AS546">
        <v>750</v>
      </c>
      <c r="AT546">
        <v>750</v>
      </c>
      <c r="BN546" s="114"/>
      <c r="BQ546">
        <v>31</v>
      </c>
      <c r="BR546" t="s">
        <v>887</v>
      </c>
      <c r="BT546" t="s">
        <v>1395</v>
      </c>
      <c r="BU546" s="115">
        <v>45912</v>
      </c>
      <c r="BV546">
        <v>37618</v>
      </c>
      <c r="BW546" s="116"/>
      <c r="BX546" t="s">
        <v>172</v>
      </c>
      <c r="BY546" t="s">
        <v>173</v>
      </c>
      <c r="CB546" t="s">
        <v>173</v>
      </c>
      <c r="CC546" t="s">
        <v>173</v>
      </c>
      <c r="CK546" t="s">
        <v>259</v>
      </c>
      <c r="CM546">
        <v>1</v>
      </c>
      <c r="CN546" t="s">
        <v>260</v>
      </c>
      <c r="CP546">
        <v>391</v>
      </c>
      <c r="CQ546">
        <v>191</v>
      </c>
      <c r="CR546">
        <v>261</v>
      </c>
      <c r="CS546" t="s">
        <v>261</v>
      </c>
      <c r="CV546" t="s">
        <v>262</v>
      </c>
      <c r="CX546" t="s">
        <v>263</v>
      </c>
      <c r="CY546" t="s">
        <v>173</v>
      </c>
      <c r="DD546">
        <v>2</v>
      </c>
      <c r="DE546" t="s">
        <v>307</v>
      </c>
      <c r="DF546" t="s">
        <v>855</v>
      </c>
      <c r="DG546" t="s">
        <v>1770</v>
      </c>
      <c r="DL546" t="s">
        <v>173</v>
      </c>
      <c r="DM546" t="s">
        <v>172</v>
      </c>
      <c r="DP546" t="s">
        <v>173</v>
      </c>
      <c r="DQ546" t="s">
        <v>189</v>
      </c>
      <c r="DR546" t="s">
        <v>1542</v>
      </c>
      <c r="EA546" s="117"/>
      <c r="EB546">
        <v>9</v>
      </c>
      <c r="EC546">
        <v>10</v>
      </c>
      <c r="EE546" t="s">
        <v>1771</v>
      </c>
      <c r="EF546">
        <v>10</v>
      </c>
      <c r="EU546">
        <v>4750</v>
      </c>
      <c r="EW546">
        <v>0</v>
      </c>
      <c r="EX546">
        <v>0</v>
      </c>
      <c r="EY546">
        <v>0</v>
      </c>
      <c r="FA546">
        <v>8</v>
      </c>
      <c r="FG546" s="94">
        <v>302</v>
      </c>
      <c r="FH546" s="94">
        <v>249</v>
      </c>
      <c r="FI546" s="94">
        <v>278</v>
      </c>
    </row>
    <row r="547" spans="1:165" x14ac:dyDescent="0.35">
      <c r="A547">
        <v>2026</v>
      </c>
      <c r="B547" t="s">
        <v>242</v>
      </c>
      <c r="C547" s="112" t="s">
        <v>239</v>
      </c>
      <c r="D547" t="s">
        <v>1774</v>
      </c>
      <c r="E547" t="s">
        <v>245</v>
      </c>
      <c r="F547">
        <v>46</v>
      </c>
      <c r="G547" s="113">
        <v>0</v>
      </c>
      <c r="I547" t="s">
        <v>1391</v>
      </c>
      <c r="J547">
        <v>26</v>
      </c>
      <c r="K547">
        <v>32</v>
      </c>
      <c r="L547">
        <v>29</v>
      </c>
      <c r="M547">
        <v>18.498799999999999</v>
      </c>
      <c r="N547">
        <v>22.386500000000002</v>
      </c>
      <c r="O547">
        <v>20.2483</v>
      </c>
      <c r="P547">
        <v>26.427</v>
      </c>
      <c r="Q547">
        <v>31.972100000000001</v>
      </c>
      <c r="R547">
        <v>28.9223</v>
      </c>
      <c r="V547" t="s">
        <v>170</v>
      </c>
      <c r="W547" t="s">
        <v>171</v>
      </c>
      <c r="Y547">
        <v>1</v>
      </c>
      <c r="Z547" t="s">
        <v>173</v>
      </c>
      <c r="AA547" t="s">
        <v>173</v>
      </c>
      <c r="AB547" t="s">
        <v>170</v>
      </c>
      <c r="AC547" t="s">
        <v>232</v>
      </c>
      <c r="AF547">
        <v>278</v>
      </c>
      <c r="AG547" t="s">
        <v>1392</v>
      </c>
      <c r="AH547" t="s">
        <v>1393</v>
      </c>
      <c r="AI547" t="s">
        <v>1399</v>
      </c>
      <c r="AJ547" t="s">
        <v>1400</v>
      </c>
      <c r="AK547">
        <v>4</v>
      </c>
      <c r="AL547" t="s">
        <v>1394</v>
      </c>
      <c r="AS547">
        <v>750</v>
      </c>
      <c r="AT547">
        <v>750</v>
      </c>
      <c r="BN547" s="114"/>
      <c r="BQ547">
        <v>31</v>
      </c>
      <c r="BR547" t="s">
        <v>887</v>
      </c>
      <c r="BT547" t="s">
        <v>1395</v>
      </c>
      <c r="BU547" s="115">
        <v>45912</v>
      </c>
      <c r="BV547">
        <v>37618</v>
      </c>
      <c r="BW547" s="116"/>
      <c r="BX547" t="s">
        <v>172</v>
      </c>
      <c r="BY547" t="s">
        <v>173</v>
      </c>
      <c r="CB547" t="s">
        <v>173</v>
      </c>
      <c r="CC547" t="s">
        <v>173</v>
      </c>
      <c r="CK547" t="s">
        <v>259</v>
      </c>
      <c r="CM547">
        <v>1</v>
      </c>
      <c r="CN547" t="s">
        <v>260</v>
      </c>
      <c r="CP547">
        <v>391</v>
      </c>
      <c r="CQ547">
        <v>191</v>
      </c>
      <c r="CR547">
        <v>261</v>
      </c>
      <c r="CS547" t="s">
        <v>261</v>
      </c>
      <c r="CV547" t="s">
        <v>262</v>
      </c>
      <c r="CX547" t="s">
        <v>263</v>
      </c>
      <c r="CY547" t="s">
        <v>173</v>
      </c>
      <c r="DD547">
        <v>2</v>
      </c>
      <c r="DE547" t="s">
        <v>307</v>
      </c>
      <c r="DF547" t="s">
        <v>855</v>
      </c>
      <c r="DG547" t="s">
        <v>1770</v>
      </c>
      <c r="DL547" t="s">
        <v>173</v>
      </c>
      <c r="DM547" t="s">
        <v>172</v>
      </c>
      <c r="DP547" t="s">
        <v>173</v>
      </c>
      <c r="DQ547" t="s">
        <v>189</v>
      </c>
      <c r="DR547" t="s">
        <v>1542</v>
      </c>
      <c r="EA547" s="117"/>
      <c r="EB547">
        <v>9</v>
      </c>
      <c r="EC547">
        <v>10</v>
      </c>
      <c r="EE547" t="s">
        <v>1771</v>
      </c>
      <c r="EF547">
        <v>10</v>
      </c>
      <c r="EU547">
        <v>4750</v>
      </c>
      <c r="EW547">
        <v>0</v>
      </c>
      <c r="EX547">
        <v>0</v>
      </c>
      <c r="EY547">
        <v>0</v>
      </c>
      <c r="FA547">
        <v>8</v>
      </c>
      <c r="FG547" s="94">
        <v>302</v>
      </c>
      <c r="FH547" s="94">
        <v>249</v>
      </c>
      <c r="FI547" s="94">
        <v>278</v>
      </c>
    </row>
    <row r="548" spans="1:165" x14ac:dyDescent="0.35">
      <c r="A548" s="19"/>
      <c r="B548" s="19"/>
      <c r="C548" s="19"/>
      <c r="D548" s="19"/>
      <c r="E548" s="19"/>
      <c r="F548" s="128"/>
      <c r="G548" s="19"/>
      <c r="H548" s="19"/>
      <c r="I548" s="19"/>
      <c r="J548" s="19"/>
      <c r="K548" s="19" t="str">
        <f>_xlfn.CONCAT(A549," ",C549," ",D549)</f>
        <v>2026 Volkswagen ID.4</v>
      </c>
      <c r="L548" s="19"/>
      <c r="M548" s="19"/>
      <c r="N548" s="19"/>
      <c r="O548" s="19"/>
      <c r="P548" s="19"/>
      <c r="Q548" s="19"/>
      <c r="R548" s="19"/>
      <c r="S548" s="19"/>
      <c r="T548" s="19"/>
      <c r="U548" s="19"/>
      <c r="V548" s="19"/>
      <c r="W548" s="19"/>
      <c r="X548" s="19"/>
      <c r="Y548" s="19"/>
      <c r="Z548" s="19"/>
      <c r="AA548" s="19"/>
      <c r="AB548" s="19" t="str">
        <f>$K548</f>
        <v>2026 Volkswagen ID.4</v>
      </c>
      <c r="AC548" s="19"/>
      <c r="AD548" s="19"/>
      <c r="AE548" s="19"/>
      <c r="AF548" s="19"/>
      <c r="AG548" s="19"/>
      <c r="AH548" s="19"/>
      <c r="AI548" s="19"/>
      <c r="AJ548" s="19"/>
      <c r="AK548" s="19"/>
      <c r="AL548" s="19"/>
      <c r="AM548" s="19"/>
      <c r="AN548" s="19"/>
      <c r="AO548" s="19"/>
      <c r="AP548" s="19"/>
      <c r="AQ548" s="19"/>
      <c r="AR548" s="19" t="str">
        <f>$K548</f>
        <v>2026 Volkswagen ID.4</v>
      </c>
      <c r="AS548" s="19"/>
      <c r="AT548" s="19"/>
      <c r="AU548" s="19"/>
      <c r="AV548" s="19"/>
      <c r="AW548" s="19"/>
      <c r="AX548" s="19"/>
      <c r="AY548" s="19"/>
      <c r="AZ548" s="19"/>
      <c r="BA548" s="19"/>
      <c r="BB548" s="19"/>
      <c r="BC548" s="19"/>
      <c r="BD548" s="19"/>
      <c r="BE548" s="19"/>
      <c r="BF548" s="19"/>
      <c r="BG548" s="19" t="str">
        <f>$K548</f>
        <v>2026 Volkswagen ID.4</v>
      </c>
      <c r="BH548" s="19"/>
      <c r="BI548" s="19"/>
      <c r="BJ548" s="19"/>
      <c r="BK548" s="19"/>
      <c r="BL548" s="19"/>
      <c r="BM548" s="129"/>
      <c r="BN548" s="19"/>
      <c r="BO548" s="19"/>
      <c r="BP548" s="19"/>
      <c r="BQ548" s="19"/>
      <c r="BR548" s="19"/>
      <c r="BS548" s="19"/>
      <c r="BT548" s="130"/>
      <c r="BU548" s="19"/>
      <c r="BV548" s="19"/>
      <c r="BW548" s="116"/>
      <c r="BX548" s="19"/>
      <c r="BY548" s="19"/>
      <c r="BZ548" s="19"/>
      <c r="CA548" s="19"/>
      <c r="CB548" s="19"/>
      <c r="CC548" s="19"/>
      <c r="CD548" s="19"/>
      <c r="CE548" s="19"/>
      <c r="CF548" s="19"/>
      <c r="CG548" s="19"/>
      <c r="CH548" s="19"/>
      <c r="CI548" s="19"/>
      <c r="CJ548" s="19"/>
      <c r="CK548" s="19"/>
      <c r="CL548" s="19"/>
      <c r="CM548" s="19" t="str">
        <f>$K548</f>
        <v>2026 Volkswagen ID.4</v>
      </c>
      <c r="CN548" s="19"/>
      <c r="CO548" s="19"/>
      <c r="CP548" s="19"/>
      <c r="CQ548" s="19"/>
      <c r="CR548" s="19"/>
      <c r="CS548" s="19"/>
      <c r="CT548" s="19"/>
      <c r="CU548" s="19"/>
      <c r="CV548" s="19"/>
      <c r="CW548" s="19"/>
      <c r="CX548" s="19"/>
      <c r="CY548" s="19"/>
      <c r="CZ548" s="19"/>
      <c r="DA548" s="19"/>
      <c r="DB548" s="19"/>
      <c r="DC548" s="19"/>
      <c r="DD548" s="19" t="str">
        <f>$K548</f>
        <v>2026 Volkswagen ID.4</v>
      </c>
      <c r="DE548" s="19"/>
      <c r="DF548" s="19"/>
      <c r="DG548" s="19"/>
      <c r="DH548" s="19"/>
      <c r="DI548" s="19"/>
      <c r="DJ548" s="19"/>
      <c r="DK548" s="19"/>
      <c r="DL548" s="19"/>
      <c r="DM548" s="19"/>
      <c r="DN548" s="19"/>
      <c r="DO548" s="19"/>
      <c r="DP548" s="19"/>
      <c r="DQ548" s="19"/>
      <c r="DR548" s="19"/>
      <c r="DS548" s="19"/>
      <c r="DT548" s="19"/>
      <c r="DU548" s="19" t="str">
        <f>$K548</f>
        <v>2026 Volkswagen ID.4</v>
      </c>
      <c r="DV548" s="19"/>
      <c r="DW548" s="19"/>
      <c r="DX548" s="19"/>
      <c r="DY548" s="19"/>
      <c r="DZ548" s="19"/>
      <c r="EA548" s="117"/>
      <c r="EB548" s="19"/>
      <c r="EC548" s="19"/>
      <c r="ED548" s="19"/>
      <c r="EE548" s="19"/>
      <c r="EF548" s="19"/>
      <c r="EX548" s="19" t="s">
        <v>2101</v>
      </c>
    </row>
    <row r="549" spans="1:165" x14ac:dyDescent="0.35">
      <c r="A549">
        <v>2026</v>
      </c>
      <c r="B549" t="s">
        <v>444</v>
      </c>
      <c r="C549" s="112" t="s">
        <v>445</v>
      </c>
      <c r="D549" t="s">
        <v>1750</v>
      </c>
      <c r="E549" t="s">
        <v>447</v>
      </c>
      <c r="F549">
        <v>309</v>
      </c>
      <c r="G549" s="113">
        <v>0</v>
      </c>
      <c r="I549" t="s">
        <v>1391</v>
      </c>
      <c r="J549">
        <v>122</v>
      </c>
      <c r="K549">
        <v>104</v>
      </c>
      <c r="L549">
        <v>113</v>
      </c>
      <c r="M549">
        <v>175</v>
      </c>
      <c r="N549">
        <v>147.9</v>
      </c>
      <c r="O549">
        <v>161.6696</v>
      </c>
      <c r="P549">
        <v>122.5</v>
      </c>
      <c r="Q549">
        <v>103.53</v>
      </c>
      <c r="R549">
        <v>113.1687</v>
      </c>
      <c r="V549" t="s">
        <v>170</v>
      </c>
      <c r="W549" t="s">
        <v>171</v>
      </c>
      <c r="X549" t="s">
        <v>1703</v>
      </c>
      <c r="Y549">
        <v>1</v>
      </c>
      <c r="Z549" t="s">
        <v>173</v>
      </c>
      <c r="AA549" t="s">
        <v>173</v>
      </c>
      <c r="AB549" t="s">
        <v>174</v>
      </c>
      <c r="AC549" t="s">
        <v>175</v>
      </c>
      <c r="AF549">
        <v>291</v>
      </c>
      <c r="AG549" t="s">
        <v>1392</v>
      </c>
      <c r="AH549" t="s">
        <v>1393</v>
      </c>
      <c r="AI549" t="s">
        <v>178</v>
      </c>
      <c r="AJ549" t="s">
        <v>179</v>
      </c>
      <c r="AK549">
        <v>4</v>
      </c>
      <c r="AL549" t="s">
        <v>1394</v>
      </c>
      <c r="AO549">
        <v>100</v>
      </c>
      <c r="AP549">
        <v>30</v>
      </c>
      <c r="AS549">
        <v>750</v>
      </c>
      <c r="AT549">
        <v>750</v>
      </c>
      <c r="BN549" s="114"/>
      <c r="BQ549">
        <v>30</v>
      </c>
      <c r="BR549" t="s">
        <v>798</v>
      </c>
      <c r="BT549" t="s">
        <v>1395</v>
      </c>
      <c r="BU549" s="115">
        <v>45909</v>
      </c>
      <c r="BV549">
        <v>37563</v>
      </c>
      <c r="BW549" s="116"/>
      <c r="BX549" t="s">
        <v>172</v>
      </c>
      <c r="BY549" t="s">
        <v>173</v>
      </c>
      <c r="CB549" t="s">
        <v>173</v>
      </c>
      <c r="CC549" t="s">
        <v>173</v>
      </c>
      <c r="CK549" t="s">
        <v>259</v>
      </c>
      <c r="CM549">
        <v>1</v>
      </c>
      <c r="CN549" t="s">
        <v>260</v>
      </c>
      <c r="CP549">
        <v>350</v>
      </c>
      <c r="CQ549">
        <v>233</v>
      </c>
      <c r="CR549">
        <v>161.69999999999999</v>
      </c>
      <c r="CS549" t="s">
        <v>1437</v>
      </c>
      <c r="CV549" t="s">
        <v>262</v>
      </c>
      <c r="CX549" t="s">
        <v>702</v>
      </c>
      <c r="CY549" t="s">
        <v>172</v>
      </c>
      <c r="DC549" t="s">
        <v>1751</v>
      </c>
      <c r="DD549">
        <v>1</v>
      </c>
      <c r="DE549" t="s">
        <v>307</v>
      </c>
      <c r="DF549" t="s">
        <v>1752</v>
      </c>
      <c r="DG549">
        <v>210</v>
      </c>
      <c r="DL549" t="s">
        <v>173</v>
      </c>
      <c r="DM549" t="s">
        <v>172</v>
      </c>
      <c r="DP549" t="s">
        <v>173</v>
      </c>
      <c r="DQ549" t="s">
        <v>189</v>
      </c>
      <c r="EA549" s="117"/>
      <c r="EB549">
        <v>9</v>
      </c>
      <c r="EC549">
        <v>10</v>
      </c>
      <c r="EE549" t="s">
        <v>1753</v>
      </c>
      <c r="EF549">
        <v>10</v>
      </c>
      <c r="EU549">
        <v>4750</v>
      </c>
      <c r="EW549">
        <v>0</v>
      </c>
      <c r="EX549">
        <v>0</v>
      </c>
      <c r="EY549">
        <v>0</v>
      </c>
      <c r="FA549">
        <v>8</v>
      </c>
      <c r="FG549" s="94">
        <v>313</v>
      </c>
      <c r="FH549" s="94">
        <v>264</v>
      </c>
      <c r="FI549" s="94">
        <v>291</v>
      </c>
    </row>
    <row r="550" spans="1:165" x14ac:dyDescent="0.35">
      <c r="A550">
        <v>2026</v>
      </c>
      <c r="B550" t="s">
        <v>444</v>
      </c>
      <c r="C550" s="112" t="s">
        <v>445</v>
      </c>
      <c r="D550" t="s">
        <v>1750</v>
      </c>
      <c r="E550" t="s">
        <v>447</v>
      </c>
      <c r="F550">
        <v>309</v>
      </c>
      <c r="G550" s="113">
        <v>0</v>
      </c>
      <c r="I550" t="s">
        <v>1391</v>
      </c>
      <c r="J550">
        <v>28</v>
      </c>
      <c r="K550">
        <v>33</v>
      </c>
      <c r="L550">
        <v>30</v>
      </c>
      <c r="M550">
        <v>19.260400000000001</v>
      </c>
      <c r="N550">
        <v>22.7852</v>
      </c>
      <c r="O550">
        <v>20.846599999999999</v>
      </c>
      <c r="P550">
        <v>27.514299999999999</v>
      </c>
      <c r="Q550">
        <v>32.555799999999998</v>
      </c>
      <c r="R550">
        <v>29.783000000000001</v>
      </c>
      <c r="V550" t="s">
        <v>170</v>
      </c>
      <c r="W550" t="s">
        <v>171</v>
      </c>
      <c r="X550" t="s">
        <v>1703</v>
      </c>
      <c r="Y550">
        <v>1</v>
      </c>
      <c r="Z550" t="s">
        <v>173</v>
      </c>
      <c r="AA550" t="s">
        <v>173</v>
      </c>
      <c r="AB550" t="s">
        <v>174</v>
      </c>
      <c r="AC550" t="s">
        <v>175</v>
      </c>
      <c r="AF550">
        <v>291</v>
      </c>
      <c r="AG550" t="s">
        <v>1392</v>
      </c>
      <c r="AH550" t="s">
        <v>1393</v>
      </c>
      <c r="AI550" t="s">
        <v>1399</v>
      </c>
      <c r="AJ550" t="s">
        <v>1400</v>
      </c>
      <c r="AK550">
        <v>4</v>
      </c>
      <c r="AL550" t="s">
        <v>1394</v>
      </c>
      <c r="AO550">
        <v>100</v>
      </c>
      <c r="AP550">
        <v>30</v>
      </c>
      <c r="AS550">
        <v>750</v>
      </c>
      <c r="AT550">
        <v>750</v>
      </c>
      <c r="BN550" s="114"/>
      <c r="BQ550">
        <v>30</v>
      </c>
      <c r="BR550" t="s">
        <v>798</v>
      </c>
      <c r="BT550" t="s">
        <v>1395</v>
      </c>
      <c r="BU550" s="115">
        <v>45909</v>
      </c>
      <c r="BV550">
        <v>37563</v>
      </c>
      <c r="BW550" s="116"/>
      <c r="BX550" t="s">
        <v>172</v>
      </c>
      <c r="BY550" t="s">
        <v>173</v>
      </c>
      <c r="CB550" t="s">
        <v>173</v>
      </c>
      <c r="CC550" t="s">
        <v>173</v>
      </c>
      <c r="CK550" t="s">
        <v>259</v>
      </c>
      <c r="CM550">
        <v>1</v>
      </c>
      <c r="CN550" t="s">
        <v>260</v>
      </c>
      <c r="CP550">
        <v>350</v>
      </c>
      <c r="CQ550">
        <v>233</v>
      </c>
      <c r="CR550">
        <v>161.69999999999999</v>
      </c>
      <c r="CS550" t="s">
        <v>1437</v>
      </c>
      <c r="CV550" t="s">
        <v>262</v>
      </c>
      <c r="CX550" t="s">
        <v>702</v>
      </c>
      <c r="CY550" t="s">
        <v>172</v>
      </c>
      <c r="DC550" t="s">
        <v>1751</v>
      </c>
      <c r="DD550">
        <v>1</v>
      </c>
      <c r="DE550" t="s">
        <v>307</v>
      </c>
      <c r="DF550" t="s">
        <v>1752</v>
      </c>
      <c r="DG550">
        <v>210</v>
      </c>
      <c r="DL550" t="s">
        <v>173</v>
      </c>
      <c r="DM550" t="s">
        <v>172</v>
      </c>
      <c r="DP550" t="s">
        <v>173</v>
      </c>
      <c r="DQ550" t="s">
        <v>189</v>
      </c>
      <c r="EA550" s="117"/>
      <c r="EB550">
        <v>9</v>
      </c>
      <c r="EC550">
        <v>10</v>
      </c>
      <c r="EE550" t="s">
        <v>1753</v>
      </c>
      <c r="EF550">
        <v>10</v>
      </c>
      <c r="EU550">
        <v>4750</v>
      </c>
      <c r="EW550">
        <v>0</v>
      </c>
      <c r="EX550">
        <v>0</v>
      </c>
      <c r="EY550">
        <v>0</v>
      </c>
      <c r="FA550">
        <v>8</v>
      </c>
      <c r="FG550" s="94">
        <v>313</v>
      </c>
      <c r="FH550" s="94">
        <v>264</v>
      </c>
      <c r="FI550" s="94">
        <v>291</v>
      </c>
    </row>
    <row r="551" spans="1:165" x14ac:dyDescent="0.35">
      <c r="A551" s="19"/>
      <c r="B551" s="19"/>
      <c r="C551" s="19"/>
      <c r="D551" s="19"/>
      <c r="E551" s="19"/>
      <c r="F551" s="128"/>
      <c r="G551" s="19"/>
      <c r="H551" s="19"/>
      <c r="I551" s="19"/>
      <c r="J551" s="19"/>
      <c r="K551" s="19" t="str">
        <f>_xlfn.CONCAT(A552," ",C552," ",D552)</f>
        <v>2026 Volkswagen ID.4 AWD</v>
      </c>
      <c r="L551" s="19"/>
      <c r="M551" s="19"/>
      <c r="N551" s="19"/>
      <c r="O551" s="19"/>
      <c r="P551" s="19"/>
      <c r="Q551" s="19"/>
      <c r="R551" s="19"/>
      <c r="S551" s="19"/>
      <c r="T551" s="19"/>
      <c r="U551" s="19"/>
      <c r="V551" s="19"/>
      <c r="W551" s="19"/>
      <c r="X551" s="19"/>
      <c r="Y551" s="19"/>
      <c r="Z551" s="19"/>
      <c r="AA551" s="19"/>
      <c r="AB551" s="19" t="str">
        <f>$K551</f>
        <v>2026 Volkswagen ID.4 AWD</v>
      </c>
      <c r="AC551" s="19"/>
      <c r="AD551" s="19"/>
      <c r="AE551" s="19"/>
      <c r="AF551" s="19"/>
      <c r="AG551" s="19"/>
      <c r="AH551" s="19"/>
      <c r="AI551" s="19"/>
      <c r="AJ551" s="19"/>
      <c r="AK551" s="19"/>
      <c r="AL551" s="19"/>
      <c r="AM551" s="19"/>
      <c r="AN551" s="19"/>
      <c r="AO551" s="19"/>
      <c r="AP551" s="19"/>
      <c r="AQ551" s="19"/>
      <c r="AR551" s="19" t="str">
        <f>$K551</f>
        <v>2026 Volkswagen ID.4 AWD</v>
      </c>
      <c r="AS551" s="19"/>
      <c r="AT551" s="19"/>
      <c r="AU551" s="19"/>
      <c r="AV551" s="19"/>
      <c r="AW551" s="19"/>
      <c r="AX551" s="19"/>
      <c r="AY551" s="19"/>
      <c r="AZ551" s="19"/>
      <c r="BA551" s="19"/>
      <c r="BB551" s="19"/>
      <c r="BC551" s="19"/>
      <c r="BD551" s="19"/>
      <c r="BE551" s="19"/>
      <c r="BF551" s="19"/>
      <c r="BG551" s="19" t="str">
        <f>$K551</f>
        <v>2026 Volkswagen ID.4 AWD</v>
      </c>
      <c r="BH551" s="19"/>
      <c r="BI551" s="19"/>
      <c r="BJ551" s="19"/>
      <c r="BK551" s="19"/>
      <c r="BL551" s="19"/>
      <c r="BM551" s="129"/>
      <c r="BN551" s="19"/>
      <c r="BO551" s="19"/>
      <c r="BP551" s="19"/>
      <c r="BQ551" s="19"/>
      <c r="BR551" s="19"/>
      <c r="BS551" s="19"/>
      <c r="BT551" s="130"/>
      <c r="BU551" s="19"/>
      <c r="BV551" s="19"/>
      <c r="BW551" s="116"/>
      <c r="BX551" s="19"/>
      <c r="BY551" s="19"/>
      <c r="BZ551" s="19"/>
      <c r="CA551" s="19"/>
      <c r="CB551" s="19"/>
      <c r="CC551" s="19"/>
      <c r="CD551" s="19"/>
      <c r="CE551" s="19"/>
      <c r="CF551" s="19"/>
      <c r="CG551" s="19"/>
      <c r="CH551" s="19"/>
      <c r="CI551" s="19"/>
      <c r="CJ551" s="19"/>
      <c r="CK551" s="19"/>
      <c r="CL551" s="19"/>
      <c r="CM551" s="19" t="str">
        <f>$K551</f>
        <v>2026 Volkswagen ID.4 AWD</v>
      </c>
      <c r="CN551" s="19"/>
      <c r="CO551" s="19"/>
      <c r="CP551" s="19"/>
      <c r="CQ551" s="19"/>
      <c r="CR551" s="19"/>
      <c r="CS551" s="19"/>
      <c r="CT551" s="19"/>
      <c r="CU551" s="19"/>
      <c r="CV551" s="19"/>
      <c r="CW551" s="19"/>
      <c r="CX551" s="19"/>
      <c r="CY551" s="19"/>
      <c r="CZ551" s="19"/>
      <c r="DA551" s="19"/>
      <c r="DB551" s="19"/>
      <c r="DC551" s="19"/>
      <c r="DD551" s="19" t="str">
        <f>$K551</f>
        <v>2026 Volkswagen ID.4 AWD</v>
      </c>
      <c r="DE551" s="19"/>
      <c r="DF551" s="19"/>
      <c r="DG551" s="19"/>
      <c r="DH551" s="19"/>
      <c r="DI551" s="19"/>
      <c r="DJ551" s="19"/>
      <c r="DK551" s="19"/>
      <c r="DL551" s="19"/>
      <c r="DM551" s="19"/>
      <c r="DN551" s="19"/>
      <c r="DO551" s="19"/>
      <c r="DP551" s="19"/>
      <c r="DQ551" s="19"/>
      <c r="DR551" s="19"/>
      <c r="DS551" s="19"/>
      <c r="DT551" s="19"/>
      <c r="DU551" s="19" t="str">
        <f>$K551</f>
        <v>2026 Volkswagen ID.4 AWD</v>
      </c>
      <c r="DV551" s="19"/>
      <c r="DW551" s="19"/>
      <c r="DX551" s="19"/>
      <c r="DY551" s="19"/>
      <c r="DZ551" s="19"/>
      <c r="EA551" s="117"/>
      <c r="EB551" s="19"/>
      <c r="EC551" s="19"/>
      <c r="ED551" s="19"/>
      <c r="EE551" s="19"/>
      <c r="EF551" s="19"/>
      <c r="EX551" s="19" t="s">
        <v>2102</v>
      </c>
    </row>
    <row r="552" spans="1:165" x14ac:dyDescent="0.35">
      <c r="A552">
        <v>2026</v>
      </c>
      <c r="B552" t="s">
        <v>444</v>
      </c>
      <c r="C552" s="112" t="s">
        <v>445</v>
      </c>
      <c r="D552" t="s">
        <v>1775</v>
      </c>
      <c r="E552" t="s">
        <v>447</v>
      </c>
      <c r="F552">
        <v>308</v>
      </c>
      <c r="G552" s="113">
        <v>0</v>
      </c>
      <c r="I552" t="s">
        <v>1391</v>
      </c>
      <c r="J552">
        <v>108</v>
      </c>
      <c r="K552">
        <v>96</v>
      </c>
      <c r="L552">
        <v>102</v>
      </c>
      <c r="M552">
        <v>154.6</v>
      </c>
      <c r="N552">
        <v>136.80000000000001</v>
      </c>
      <c r="O552">
        <v>146.04849999999999</v>
      </c>
      <c r="P552">
        <v>108.22</v>
      </c>
      <c r="Q552">
        <v>95.76</v>
      </c>
      <c r="R552">
        <v>102.23399999999999</v>
      </c>
      <c r="V552" t="s">
        <v>170</v>
      </c>
      <c r="W552" t="s">
        <v>171</v>
      </c>
      <c r="X552" t="s">
        <v>1703</v>
      </c>
      <c r="Y552">
        <v>1</v>
      </c>
      <c r="Z552" t="s">
        <v>173</v>
      </c>
      <c r="AA552" t="s">
        <v>173</v>
      </c>
      <c r="AB552" t="s">
        <v>170</v>
      </c>
      <c r="AC552" t="s">
        <v>232</v>
      </c>
      <c r="AF552">
        <v>263</v>
      </c>
      <c r="AG552" t="s">
        <v>1392</v>
      </c>
      <c r="AH552" t="s">
        <v>1393</v>
      </c>
      <c r="AI552" t="s">
        <v>178</v>
      </c>
      <c r="AJ552" t="s">
        <v>179</v>
      </c>
      <c r="AK552">
        <v>4</v>
      </c>
      <c r="AL552" t="s">
        <v>1394</v>
      </c>
      <c r="AO552">
        <v>100</v>
      </c>
      <c r="AP552">
        <v>30</v>
      </c>
      <c r="AS552">
        <v>850</v>
      </c>
      <c r="AT552">
        <v>850</v>
      </c>
      <c r="BN552" s="114"/>
      <c r="BQ552">
        <v>31</v>
      </c>
      <c r="BR552" t="s">
        <v>887</v>
      </c>
      <c r="BT552" t="s">
        <v>1395</v>
      </c>
      <c r="BU552" s="115">
        <v>45909</v>
      </c>
      <c r="BV552">
        <v>37562</v>
      </c>
      <c r="BW552" s="116"/>
      <c r="BX552" t="s">
        <v>172</v>
      </c>
      <c r="BY552" t="s">
        <v>173</v>
      </c>
      <c r="CB552" t="s">
        <v>173</v>
      </c>
      <c r="CC552" t="s">
        <v>173</v>
      </c>
      <c r="CK552" t="s">
        <v>259</v>
      </c>
      <c r="CM552">
        <v>12</v>
      </c>
      <c r="CN552" t="s">
        <v>260</v>
      </c>
      <c r="CP552">
        <v>350</v>
      </c>
      <c r="CQ552">
        <v>233</v>
      </c>
      <c r="CR552">
        <v>161.69999999999999</v>
      </c>
      <c r="CS552" t="s">
        <v>1437</v>
      </c>
      <c r="CV552" t="s">
        <v>262</v>
      </c>
      <c r="CX552" t="s">
        <v>263</v>
      </c>
      <c r="CY552" t="s">
        <v>172</v>
      </c>
      <c r="DC552" t="s">
        <v>1776</v>
      </c>
      <c r="DD552">
        <v>2</v>
      </c>
      <c r="DE552" t="s">
        <v>307</v>
      </c>
      <c r="DF552" t="s">
        <v>1777</v>
      </c>
      <c r="DG552" t="s">
        <v>1778</v>
      </c>
      <c r="DL552" t="s">
        <v>173</v>
      </c>
      <c r="DM552" t="s">
        <v>172</v>
      </c>
      <c r="DP552" t="s">
        <v>173</v>
      </c>
      <c r="DQ552" t="s">
        <v>189</v>
      </c>
      <c r="EA552" s="117"/>
      <c r="EB552">
        <v>9</v>
      </c>
      <c r="EC552">
        <v>10</v>
      </c>
      <c r="EE552" t="s">
        <v>1779</v>
      </c>
      <c r="EF552">
        <v>10</v>
      </c>
      <c r="EU552">
        <v>4250</v>
      </c>
      <c r="EW552">
        <v>0</v>
      </c>
      <c r="EX552">
        <v>0</v>
      </c>
      <c r="EY552">
        <v>0</v>
      </c>
      <c r="FA552">
        <v>8</v>
      </c>
      <c r="FG552" s="94">
        <v>277</v>
      </c>
      <c r="FH552" s="94">
        <v>245</v>
      </c>
      <c r="FI552" s="94">
        <v>263</v>
      </c>
    </row>
    <row r="553" spans="1:165" x14ac:dyDescent="0.35">
      <c r="A553">
        <v>2026</v>
      </c>
      <c r="B553" t="s">
        <v>444</v>
      </c>
      <c r="C553" s="112" t="s">
        <v>445</v>
      </c>
      <c r="D553" t="s">
        <v>1775</v>
      </c>
      <c r="E553" t="s">
        <v>447</v>
      </c>
      <c r="F553">
        <v>308</v>
      </c>
      <c r="G553" s="113">
        <v>0</v>
      </c>
      <c r="I553" t="s">
        <v>1391</v>
      </c>
      <c r="J553">
        <v>31</v>
      </c>
      <c r="K553">
        <v>35</v>
      </c>
      <c r="L553">
        <v>33</v>
      </c>
      <c r="M553">
        <v>21.797499999999999</v>
      </c>
      <c r="N553">
        <v>24.642499999999998</v>
      </c>
      <c r="O553">
        <v>23.0777</v>
      </c>
      <c r="P553">
        <v>31.1449</v>
      </c>
      <c r="Q553">
        <v>35.197400000000002</v>
      </c>
      <c r="R553">
        <v>32.968499999999999</v>
      </c>
      <c r="V553" t="s">
        <v>170</v>
      </c>
      <c r="W553" t="s">
        <v>171</v>
      </c>
      <c r="X553" t="s">
        <v>1703</v>
      </c>
      <c r="Y553">
        <v>1</v>
      </c>
      <c r="Z553" t="s">
        <v>173</v>
      </c>
      <c r="AA553" t="s">
        <v>173</v>
      </c>
      <c r="AB553" t="s">
        <v>170</v>
      </c>
      <c r="AC553" t="s">
        <v>232</v>
      </c>
      <c r="AF553">
        <v>263</v>
      </c>
      <c r="AG553" t="s">
        <v>1392</v>
      </c>
      <c r="AH553" t="s">
        <v>1393</v>
      </c>
      <c r="AI553" t="s">
        <v>1399</v>
      </c>
      <c r="AJ553" t="s">
        <v>1400</v>
      </c>
      <c r="AK553">
        <v>4</v>
      </c>
      <c r="AL553" t="s">
        <v>1394</v>
      </c>
      <c r="AO553">
        <v>100</v>
      </c>
      <c r="AP553">
        <v>30</v>
      </c>
      <c r="AS553">
        <v>850</v>
      </c>
      <c r="AT553">
        <v>850</v>
      </c>
      <c r="BN553" s="114"/>
      <c r="BQ553">
        <v>31</v>
      </c>
      <c r="BR553" t="s">
        <v>887</v>
      </c>
      <c r="BT553" t="s">
        <v>1395</v>
      </c>
      <c r="BU553" s="115">
        <v>45909</v>
      </c>
      <c r="BV553">
        <v>37562</v>
      </c>
      <c r="BW553" s="116"/>
      <c r="BX553" t="s">
        <v>172</v>
      </c>
      <c r="BY553" t="s">
        <v>173</v>
      </c>
      <c r="CB553" t="s">
        <v>173</v>
      </c>
      <c r="CC553" t="s">
        <v>173</v>
      </c>
      <c r="CK553" t="s">
        <v>259</v>
      </c>
      <c r="CM553">
        <v>12</v>
      </c>
      <c r="CN553" t="s">
        <v>260</v>
      </c>
      <c r="CP553">
        <v>350</v>
      </c>
      <c r="CQ553">
        <v>233</v>
      </c>
      <c r="CR553">
        <v>161.69999999999999</v>
      </c>
      <c r="CS553" t="s">
        <v>1437</v>
      </c>
      <c r="CV553" t="s">
        <v>262</v>
      </c>
      <c r="CX553" t="s">
        <v>263</v>
      </c>
      <c r="CY553" t="s">
        <v>172</v>
      </c>
      <c r="DC553" t="s">
        <v>1776</v>
      </c>
      <c r="DD553">
        <v>2</v>
      </c>
      <c r="DE553" t="s">
        <v>307</v>
      </c>
      <c r="DF553" t="s">
        <v>1777</v>
      </c>
      <c r="DG553" t="s">
        <v>1778</v>
      </c>
      <c r="DL553" t="s">
        <v>173</v>
      </c>
      <c r="DM553" t="s">
        <v>172</v>
      </c>
      <c r="DP553" t="s">
        <v>173</v>
      </c>
      <c r="DQ553" t="s">
        <v>189</v>
      </c>
      <c r="EA553" s="117"/>
      <c r="EB553">
        <v>9</v>
      </c>
      <c r="EC553">
        <v>10</v>
      </c>
      <c r="EE553" t="s">
        <v>1779</v>
      </c>
      <c r="EF553">
        <v>10</v>
      </c>
      <c r="EU553">
        <v>4250</v>
      </c>
      <c r="EW553">
        <v>0</v>
      </c>
      <c r="EX553">
        <v>0</v>
      </c>
      <c r="EY553">
        <v>0</v>
      </c>
      <c r="FA553">
        <v>8</v>
      </c>
      <c r="FG553" s="94">
        <v>277</v>
      </c>
      <c r="FH553" s="94">
        <v>245</v>
      </c>
      <c r="FI553" s="94">
        <v>263</v>
      </c>
    </row>
    <row r="554" spans="1:165" x14ac:dyDescent="0.35">
      <c r="A554" s="19"/>
      <c r="B554" s="19"/>
      <c r="C554" s="19"/>
      <c r="D554" s="19"/>
      <c r="E554" s="19"/>
      <c r="F554" s="128"/>
      <c r="G554" s="19"/>
      <c r="H554" s="19"/>
      <c r="I554" s="19"/>
      <c r="J554" s="19"/>
      <c r="K554" s="19" t="str">
        <f>_xlfn.CONCAT(A555," ",C555," ",D555)</f>
        <v>2026 Volvo Cars of North America, LLC EC40</v>
      </c>
      <c r="L554" s="19"/>
      <c r="M554" s="19"/>
      <c r="N554" s="19"/>
      <c r="O554" s="19"/>
      <c r="P554" s="19"/>
      <c r="Q554" s="19"/>
      <c r="R554" s="19"/>
      <c r="S554" s="19"/>
      <c r="T554" s="19"/>
      <c r="U554" s="19"/>
      <c r="V554" s="19"/>
      <c r="W554" s="19"/>
      <c r="X554" s="19"/>
      <c r="Y554" s="19"/>
      <c r="Z554" s="19"/>
      <c r="AA554" s="19"/>
      <c r="AB554" s="19" t="str">
        <f>$K554</f>
        <v>2026 Volvo Cars of North America, LLC EC40</v>
      </c>
      <c r="AC554" s="19"/>
      <c r="AD554" s="19"/>
      <c r="AE554" s="19"/>
      <c r="AF554" s="19"/>
      <c r="AG554" s="19"/>
      <c r="AH554" s="19"/>
      <c r="AI554" s="19"/>
      <c r="AJ554" s="19"/>
      <c r="AK554" s="19"/>
      <c r="AL554" s="19"/>
      <c r="AM554" s="19"/>
      <c r="AN554" s="19"/>
      <c r="AO554" s="19"/>
      <c r="AP554" s="19"/>
      <c r="AQ554" s="19"/>
      <c r="AR554" s="19" t="str">
        <f>$K554</f>
        <v>2026 Volvo Cars of North America, LLC EC40</v>
      </c>
      <c r="AS554" s="19"/>
      <c r="AT554" s="19"/>
      <c r="AU554" s="19"/>
      <c r="AV554" s="19"/>
      <c r="AW554" s="19"/>
      <c r="AX554" s="19"/>
      <c r="AY554" s="19"/>
      <c r="AZ554" s="19"/>
      <c r="BA554" s="19"/>
      <c r="BB554" s="19"/>
      <c r="BC554" s="19"/>
      <c r="BD554" s="19"/>
      <c r="BE554" s="19"/>
      <c r="BF554" s="19"/>
      <c r="BG554" s="19" t="str">
        <f>$K554</f>
        <v>2026 Volvo Cars of North America, LLC EC40</v>
      </c>
      <c r="BH554" s="19"/>
      <c r="BI554" s="19"/>
      <c r="BJ554" s="19"/>
      <c r="BK554" s="19"/>
      <c r="BL554" s="19"/>
      <c r="BM554" s="129"/>
      <c r="BN554" s="19"/>
      <c r="BO554" s="19"/>
      <c r="BP554" s="19"/>
      <c r="BQ554" s="19"/>
      <c r="BR554" s="19"/>
      <c r="BS554" s="19"/>
      <c r="BT554" s="130"/>
      <c r="BU554" s="19"/>
      <c r="BV554" s="19"/>
      <c r="BW554" s="116"/>
      <c r="BX554" s="19"/>
      <c r="BY554" s="19"/>
      <c r="BZ554" s="19"/>
      <c r="CA554" s="19"/>
      <c r="CB554" s="19"/>
      <c r="CC554" s="19"/>
      <c r="CD554" s="19"/>
      <c r="CE554" s="19"/>
      <c r="CF554" s="19"/>
      <c r="CG554" s="19"/>
      <c r="CH554" s="19"/>
      <c r="CI554" s="19"/>
      <c r="CJ554" s="19"/>
      <c r="CK554" s="19"/>
      <c r="CL554" s="19"/>
      <c r="CM554" s="19" t="str">
        <f>$K554</f>
        <v>2026 Volvo Cars of North America, LLC EC40</v>
      </c>
      <c r="CN554" s="19"/>
      <c r="CO554" s="19"/>
      <c r="CP554" s="19"/>
      <c r="CQ554" s="19"/>
      <c r="CR554" s="19"/>
      <c r="CS554" s="19"/>
      <c r="CT554" s="19"/>
      <c r="CU554" s="19"/>
      <c r="CV554" s="19"/>
      <c r="CW554" s="19"/>
      <c r="CX554" s="19"/>
      <c r="CY554" s="19"/>
      <c r="CZ554" s="19"/>
      <c r="DA554" s="19"/>
      <c r="DB554" s="19"/>
      <c r="DC554" s="19"/>
      <c r="DD554" s="19" t="str">
        <f>$K554</f>
        <v>2026 Volvo Cars of North America, LLC EC40</v>
      </c>
      <c r="DE554" s="19"/>
      <c r="DF554" s="19"/>
      <c r="DG554" s="19"/>
      <c r="DH554" s="19"/>
      <c r="DI554" s="19"/>
      <c r="DJ554" s="19"/>
      <c r="DK554" s="19"/>
      <c r="DL554" s="19"/>
      <c r="DM554" s="19"/>
      <c r="DN554" s="19"/>
      <c r="DO554" s="19"/>
      <c r="DP554" s="19"/>
      <c r="DQ554" s="19"/>
      <c r="DR554" s="19"/>
      <c r="DS554" s="19"/>
      <c r="DT554" s="19"/>
      <c r="DU554" s="19" t="str">
        <f>$K554</f>
        <v>2026 Volvo Cars of North America, LLC EC40</v>
      </c>
      <c r="DV554" s="19"/>
      <c r="DW554" s="19"/>
      <c r="DX554" s="19"/>
      <c r="DY554" s="19"/>
      <c r="DZ554" s="19"/>
      <c r="EA554" s="117"/>
      <c r="EB554" s="19"/>
      <c r="EC554" s="19"/>
      <c r="ED554" s="19"/>
      <c r="EE554" s="19"/>
      <c r="EF554" s="19"/>
      <c r="EX554" s="19" t="s">
        <v>2103</v>
      </c>
    </row>
    <row r="555" spans="1:165" x14ac:dyDescent="0.35">
      <c r="A555">
        <v>2026</v>
      </c>
      <c r="B555" t="s">
        <v>524</v>
      </c>
      <c r="C555" s="112" t="s">
        <v>525</v>
      </c>
      <c r="D555" t="s">
        <v>1697</v>
      </c>
      <c r="E555" t="s">
        <v>527</v>
      </c>
      <c r="F555">
        <v>266</v>
      </c>
      <c r="G555" s="113">
        <v>0</v>
      </c>
      <c r="I555" t="s">
        <v>1391</v>
      </c>
      <c r="J555">
        <v>118</v>
      </c>
      <c r="K555">
        <v>95</v>
      </c>
      <c r="L555">
        <v>106</v>
      </c>
      <c r="M555">
        <v>168</v>
      </c>
      <c r="N555">
        <v>136.1</v>
      </c>
      <c r="O555">
        <v>151.971</v>
      </c>
      <c r="P555">
        <v>117.6</v>
      </c>
      <c r="Q555">
        <v>95.3</v>
      </c>
      <c r="R555">
        <v>106.3797</v>
      </c>
      <c r="V555" t="s">
        <v>170</v>
      </c>
      <c r="W555" t="s">
        <v>171</v>
      </c>
      <c r="Y555">
        <v>1</v>
      </c>
      <c r="Z555" t="s">
        <v>173</v>
      </c>
      <c r="AA555" t="s">
        <v>173</v>
      </c>
      <c r="AB555" t="s">
        <v>174</v>
      </c>
      <c r="AC555" t="s">
        <v>175</v>
      </c>
      <c r="AF555">
        <v>298</v>
      </c>
      <c r="AG555" t="s">
        <v>1392</v>
      </c>
      <c r="AH555" t="s">
        <v>1393</v>
      </c>
      <c r="AI555" t="s">
        <v>178</v>
      </c>
      <c r="AJ555" t="s">
        <v>179</v>
      </c>
      <c r="AK555">
        <v>4</v>
      </c>
      <c r="AL555" t="s">
        <v>1394</v>
      </c>
      <c r="AS555">
        <v>800</v>
      </c>
      <c r="AT555">
        <v>800</v>
      </c>
      <c r="BN555" s="114"/>
      <c r="BQ555">
        <v>30</v>
      </c>
      <c r="BR555" t="s">
        <v>798</v>
      </c>
      <c r="BT555" t="s">
        <v>1402</v>
      </c>
      <c r="BU555" s="115">
        <v>45800</v>
      </c>
      <c r="BV555">
        <v>36359</v>
      </c>
      <c r="BW555" s="116"/>
      <c r="BX555" t="s">
        <v>173</v>
      </c>
      <c r="BY555" t="s">
        <v>173</v>
      </c>
      <c r="CB555" t="s">
        <v>173</v>
      </c>
      <c r="CC555" t="s">
        <v>173</v>
      </c>
      <c r="CK555" t="s">
        <v>259</v>
      </c>
      <c r="CM555">
        <v>1</v>
      </c>
      <c r="CN555" t="s">
        <v>260</v>
      </c>
      <c r="CP555">
        <v>404</v>
      </c>
      <c r="CQ555">
        <v>202</v>
      </c>
      <c r="CR555">
        <v>165</v>
      </c>
      <c r="CS555" t="s">
        <v>261</v>
      </c>
      <c r="CV555" t="s">
        <v>262</v>
      </c>
      <c r="CX555" t="s">
        <v>702</v>
      </c>
      <c r="CY555" t="s">
        <v>173</v>
      </c>
      <c r="DC555" t="s">
        <v>1695</v>
      </c>
      <c r="DD555">
        <v>1</v>
      </c>
      <c r="DE555" t="s">
        <v>307</v>
      </c>
      <c r="DF555" t="s">
        <v>330</v>
      </c>
      <c r="DG555">
        <v>185</v>
      </c>
      <c r="DL555" t="s">
        <v>173</v>
      </c>
      <c r="DM555" t="s">
        <v>172</v>
      </c>
      <c r="DP555" t="s">
        <v>173</v>
      </c>
      <c r="DQ555" t="s">
        <v>189</v>
      </c>
      <c r="EA555" s="117"/>
      <c r="EB555">
        <v>9</v>
      </c>
      <c r="EC555">
        <v>10</v>
      </c>
      <c r="EE555" t="s">
        <v>1696</v>
      </c>
      <c r="EF555">
        <v>10</v>
      </c>
      <c r="EU555">
        <v>4500</v>
      </c>
      <c r="EW555">
        <v>0</v>
      </c>
      <c r="EX555">
        <v>0</v>
      </c>
      <c r="EY555">
        <v>0</v>
      </c>
      <c r="FA555">
        <v>8</v>
      </c>
      <c r="FC555">
        <v>298</v>
      </c>
      <c r="FG555" s="94">
        <v>326</v>
      </c>
      <c r="FH555" s="94">
        <v>264</v>
      </c>
      <c r="FI555" s="94">
        <v>298</v>
      </c>
    </row>
    <row r="556" spans="1:165" x14ac:dyDescent="0.35">
      <c r="A556">
        <v>2026</v>
      </c>
      <c r="B556" t="s">
        <v>524</v>
      </c>
      <c r="C556" s="112" t="s">
        <v>525</v>
      </c>
      <c r="D556" t="s">
        <v>1697</v>
      </c>
      <c r="E556" t="s">
        <v>527</v>
      </c>
      <c r="F556">
        <v>266</v>
      </c>
      <c r="G556" s="113">
        <v>0</v>
      </c>
      <c r="I556" t="s">
        <v>1391</v>
      </c>
      <c r="J556">
        <v>29</v>
      </c>
      <c r="K556">
        <v>35</v>
      </c>
      <c r="L556">
        <v>32</v>
      </c>
      <c r="M556">
        <v>20.064</v>
      </c>
      <c r="N556">
        <v>24.7714</v>
      </c>
      <c r="O556">
        <v>22.182400000000001</v>
      </c>
      <c r="P556">
        <v>28.660699999999999</v>
      </c>
      <c r="Q556">
        <v>35.378399999999999</v>
      </c>
      <c r="R556">
        <v>31.683700000000002</v>
      </c>
      <c r="V556" t="s">
        <v>170</v>
      </c>
      <c r="W556" t="s">
        <v>171</v>
      </c>
      <c r="Y556">
        <v>1</v>
      </c>
      <c r="Z556" t="s">
        <v>173</v>
      </c>
      <c r="AA556" t="s">
        <v>173</v>
      </c>
      <c r="AB556" t="s">
        <v>174</v>
      </c>
      <c r="AC556" t="s">
        <v>175</v>
      </c>
      <c r="AF556">
        <v>298</v>
      </c>
      <c r="AG556" t="s">
        <v>1392</v>
      </c>
      <c r="AH556" t="s">
        <v>1393</v>
      </c>
      <c r="AI556" t="s">
        <v>1399</v>
      </c>
      <c r="AJ556" t="s">
        <v>1400</v>
      </c>
      <c r="AK556">
        <v>4</v>
      </c>
      <c r="AL556" t="s">
        <v>1394</v>
      </c>
      <c r="AS556">
        <v>800</v>
      </c>
      <c r="AT556">
        <v>800</v>
      </c>
      <c r="BN556" s="114"/>
      <c r="BQ556">
        <v>30</v>
      </c>
      <c r="BR556" t="s">
        <v>798</v>
      </c>
      <c r="BT556" t="s">
        <v>1402</v>
      </c>
      <c r="BU556" s="115">
        <v>45800</v>
      </c>
      <c r="BV556">
        <v>36359</v>
      </c>
      <c r="BW556" s="116"/>
      <c r="BX556" t="s">
        <v>173</v>
      </c>
      <c r="BY556" t="s">
        <v>173</v>
      </c>
      <c r="CB556" t="s">
        <v>173</v>
      </c>
      <c r="CC556" t="s">
        <v>173</v>
      </c>
      <c r="CK556" t="s">
        <v>259</v>
      </c>
      <c r="CM556">
        <v>1</v>
      </c>
      <c r="CN556" t="s">
        <v>260</v>
      </c>
      <c r="CP556">
        <v>404</v>
      </c>
      <c r="CQ556">
        <v>202</v>
      </c>
      <c r="CR556">
        <v>165</v>
      </c>
      <c r="CS556" t="s">
        <v>261</v>
      </c>
      <c r="CV556" t="s">
        <v>262</v>
      </c>
      <c r="CX556" t="s">
        <v>702</v>
      </c>
      <c r="CY556" t="s">
        <v>173</v>
      </c>
      <c r="DC556" t="s">
        <v>1695</v>
      </c>
      <c r="DD556">
        <v>1</v>
      </c>
      <c r="DE556" t="s">
        <v>307</v>
      </c>
      <c r="DF556" t="s">
        <v>330</v>
      </c>
      <c r="DG556">
        <v>185</v>
      </c>
      <c r="DL556" t="s">
        <v>173</v>
      </c>
      <c r="DM556" t="s">
        <v>172</v>
      </c>
      <c r="DP556" t="s">
        <v>173</v>
      </c>
      <c r="DQ556" t="s">
        <v>189</v>
      </c>
      <c r="EA556" s="117"/>
      <c r="EB556">
        <v>9</v>
      </c>
      <c r="EC556">
        <v>10</v>
      </c>
      <c r="EE556" t="s">
        <v>1696</v>
      </c>
      <c r="EF556">
        <v>10</v>
      </c>
      <c r="EU556">
        <v>4500</v>
      </c>
      <c r="EW556">
        <v>0</v>
      </c>
      <c r="EX556">
        <v>0</v>
      </c>
      <c r="EY556">
        <v>0</v>
      </c>
      <c r="FA556">
        <v>8</v>
      </c>
      <c r="FC556">
        <v>298</v>
      </c>
      <c r="FG556" s="94">
        <v>326</v>
      </c>
      <c r="FH556" s="94">
        <v>264</v>
      </c>
      <c r="FI556" s="94">
        <v>298</v>
      </c>
    </row>
    <row r="557" spans="1:165" x14ac:dyDescent="0.35">
      <c r="A557" s="19"/>
      <c r="B557" s="19"/>
      <c r="C557" s="19"/>
      <c r="D557" s="19"/>
      <c r="E557" s="19"/>
      <c r="F557" s="128"/>
      <c r="G557" s="19"/>
      <c r="H557" s="19"/>
      <c r="I557" s="19"/>
      <c r="J557" s="19"/>
      <c r="K557" s="19" t="str">
        <f>_xlfn.CONCAT(A558," ",C558," ",D558)</f>
        <v>2026 Volvo Cars of North America, LLC EX30 Single motor extended range</v>
      </c>
      <c r="L557" s="19"/>
      <c r="M557" s="19"/>
      <c r="N557" s="19"/>
      <c r="O557" s="19"/>
      <c r="P557" s="19"/>
      <c r="Q557" s="19"/>
      <c r="R557" s="19"/>
      <c r="S557" s="19"/>
      <c r="T557" s="19"/>
      <c r="U557" s="19"/>
      <c r="V557" s="19"/>
      <c r="W557" s="19"/>
      <c r="X557" s="19"/>
      <c r="Y557" s="19"/>
      <c r="Z557" s="19"/>
      <c r="AA557" s="19"/>
      <c r="AB557" s="19" t="str">
        <f>$K557</f>
        <v>2026 Volvo Cars of North America, LLC EX30 Single motor extended range</v>
      </c>
      <c r="AC557" s="19"/>
      <c r="AD557" s="19"/>
      <c r="AE557" s="19"/>
      <c r="AF557" s="19"/>
      <c r="AG557" s="19"/>
      <c r="AH557" s="19"/>
      <c r="AI557" s="19"/>
      <c r="AJ557" s="19"/>
      <c r="AK557" s="19"/>
      <c r="AL557" s="19"/>
      <c r="AM557" s="19"/>
      <c r="AN557" s="19"/>
      <c r="AO557" s="19"/>
      <c r="AP557" s="19"/>
      <c r="AQ557" s="19"/>
      <c r="AR557" s="19" t="str">
        <f>$K557</f>
        <v>2026 Volvo Cars of North America, LLC EX30 Single motor extended range</v>
      </c>
      <c r="AS557" s="19"/>
      <c r="AT557" s="19"/>
      <c r="AU557" s="19"/>
      <c r="AV557" s="19"/>
      <c r="AW557" s="19"/>
      <c r="AX557" s="19"/>
      <c r="AY557" s="19"/>
      <c r="AZ557" s="19"/>
      <c r="BA557" s="19"/>
      <c r="BB557" s="19"/>
      <c r="BC557" s="19"/>
      <c r="BD557" s="19"/>
      <c r="BE557" s="19"/>
      <c r="BF557" s="19"/>
      <c r="BG557" s="19" t="str">
        <f>$K557</f>
        <v>2026 Volvo Cars of North America, LLC EX30 Single motor extended range</v>
      </c>
      <c r="BH557" s="19"/>
      <c r="BI557" s="19"/>
      <c r="BJ557" s="19"/>
      <c r="BK557" s="19"/>
      <c r="BL557" s="19"/>
      <c r="BM557" s="129"/>
      <c r="BN557" s="19"/>
      <c r="BO557" s="19"/>
      <c r="BP557" s="19"/>
      <c r="BQ557" s="19"/>
      <c r="BR557" s="19"/>
      <c r="BS557" s="19"/>
      <c r="BT557" s="130"/>
      <c r="BU557" s="19"/>
      <c r="BV557" s="19"/>
      <c r="BW557" s="116"/>
      <c r="BX557" s="19"/>
      <c r="BY557" s="19"/>
      <c r="BZ557" s="19"/>
      <c r="CA557" s="19"/>
      <c r="CB557" s="19"/>
      <c r="CC557" s="19"/>
      <c r="CD557" s="19"/>
      <c r="CE557" s="19"/>
      <c r="CF557" s="19"/>
      <c r="CG557" s="19"/>
      <c r="CH557" s="19"/>
      <c r="CI557" s="19"/>
      <c r="CJ557" s="19"/>
      <c r="CK557" s="19"/>
      <c r="CL557" s="19"/>
      <c r="CM557" s="19" t="str">
        <f>$K557</f>
        <v>2026 Volvo Cars of North America, LLC EX30 Single motor extended range</v>
      </c>
      <c r="CN557" s="19"/>
      <c r="CO557" s="19"/>
      <c r="CP557" s="19"/>
      <c r="CQ557" s="19"/>
      <c r="CR557" s="19"/>
      <c r="CS557" s="19"/>
      <c r="CT557" s="19"/>
      <c r="CU557" s="19"/>
      <c r="CV557" s="19"/>
      <c r="CW557" s="19"/>
      <c r="CX557" s="19"/>
      <c r="CY557" s="19"/>
      <c r="CZ557" s="19"/>
      <c r="DA557" s="19"/>
      <c r="DB557" s="19"/>
      <c r="DC557" s="19"/>
      <c r="DD557" s="19" t="str">
        <f>$K557</f>
        <v>2026 Volvo Cars of North America, LLC EX30 Single motor extended range</v>
      </c>
      <c r="DE557" s="19"/>
      <c r="DF557" s="19"/>
      <c r="DG557" s="19"/>
      <c r="DH557" s="19"/>
      <c r="DI557" s="19"/>
      <c r="DJ557" s="19"/>
      <c r="DK557" s="19"/>
      <c r="DL557" s="19"/>
      <c r="DM557" s="19"/>
      <c r="DN557" s="19"/>
      <c r="DO557" s="19"/>
      <c r="DP557" s="19"/>
      <c r="DQ557" s="19"/>
      <c r="DR557" s="19"/>
      <c r="DS557" s="19"/>
      <c r="DT557" s="19"/>
      <c r="DU557" s="19" t="str">
        <f>$K557</f>
        <v>2026 Volvo Cars of North America, LLC EX30 Single motor extended range</v>
      </c>
      <c r="DV557" s="19"/>
      <c r="DW557" s="19"/>
      <c r="DX557" s="19"/>
      <c r="DY557" s="19"/>
      <c r="DZ557" s="19"/>
      <c r="EA557" s="117"/>
      <c r="EB557" s="19"/>
      <c r="EC557" s="19"/>
      <c r="ED557" s="19"/>
      <c r="EE557" s="19"/>
      <c r="EF557" s="19"/>
      <c r="EX557" s="19" t="s">
        <v>2104</v>
      </c>
    </row>
    <row r="558" spans="1:165" x14ac:dyDescent="0.35">
      <c r="A558">
        <v>2026</v>
      </c>
      <c r="B558" t="s">
        <v>524</v>
      </c>
      <c r="C558" s="112" t="s">
        <v>525</v>
      </c>
      <c r="D558" t="s">
        <v>1754</v>
      </c>
      <c r="E558" t="s">
        <v>527</v>
      </c>
      <c r="F558">
        <v>283</v>
      </c>
      <c r="G558" s="113">
        <v>0</v>
      </c>
      <c r="I558" t="s">
        <v>1391</v>
      </c>
      <c r="J558">
        <v>127</v>
      </c>
      <c r="K558">
        <v>104</v>
      </c>
      <c r="L558">
        <v>116</v>
      </c>
      <c r="M558">
        <v>181.1</v>
      </c>
      <c r="N558">
        <v>149</v>
      </c>
      <c r="O558">
        <v>165.095</v>
      </c>
      <c r="P558">
        <v>126.77</v>
      </c>
      <c r="Q558">
        <v>104.3</v>
      </c>
      <c r="R558">
        <v>115.5663</v>
      </c>
      <c r="V558" t="s">
        <v>170</v>
      </c>
      <c r="W558" t="s">
        <v>171</v>
      </c>
      <c r="Y558">
        <v>1</v>
      </c>
      <c r="Z558" t="s">
        <v>173</v>
      </c>
      <c r="AA558" t="s">
        <v>173</v>
      </c>
      <c r="AB558" t="s">
        <v>174</v>
      </c>
      <c r="AC558" t="s">
        <v>175</v>
      </c>
      <c r="AF558">
        <v>261</v>
      </c>
      <c r="AG558" t="s">
        <v>1392</v>
      </c>
      <c r="AH558" t="s">
        <v>1393</v>
      </c>
      <c r="AI558" t="s">
        <v>178</v>
      </c>
      <c r="AJ558" t="s">
        <v>179</v>
      </c>
      <c r="AK558">
        <v>4</v>
      </c>
      <c r="AL558" t="s">
        <v>1394</v>
      </c>
      <c r="AS558">
        <v>750</v>
      </c>
      <c r="AT558">
        <v>750</v>
      </c>
      <c r="BN558" s="114"/>
      <c r="BQ558">
        <v>30</v>
      </c>
      <c r="BR558" t="s">
        <v>798</v>
      </c>
      <c r="BT558" t="s">
        <v>1402</v>
      </c>
      <c r="BU558" s="115">
        <v>45915</v>
      </c>
      <c r="BV558">
        <v>37346</v>
      </c>
      <c r="BW558" s="116"/>
      <c r="BX558" t="s">
        <v>173</v>
      </c>
      <c r="BY558" t="s">
        <v>173</v>
      </c>
      <c r="CB558" t="s">
        <v>173</v>
      </c>
      <c r="CC558" t="s">
        <v>173</v>
      </c>
      <c r="CK558" t="s">
        <v>259</v>
      </c>
      <c r="CM558">
        <v>1</v>
      </c>
      <c r="CN558" t="s">
        <v>260</v>
      </c>
      <c r="CP558">
        <v>392</v>
      </c>
      <c r="CQ558">
        <v>169</v>
      </c>
      <c r="CR558">
        <v>180</v>
      </c>
      <c r="CS558" t="s">
        <v>261</v>
      </c>
      <c r="CV558" t="s">
        <v>262</v>
      </c>
      <c r="CX558" t="s">
        <v>702</v>
      </c>
      <c r="CY558" t="s">
        <v>173</v>
      </c>
      <c r="DC558" t="s">
        <v>1755</v>
      </c>
      <c r="DD558">
        <v>1</v>
      </c>
      <c r="DE558" t="s">
        <v>307</v>
      </c>
      <c r="DF558" t="s">
        <v>330</v>
      </c>
      <c r="DG558">
        <v>200</v>
      </c>
      <c r="DL558" t="s">
        <v>173</v>
      </c>
      <c r="DM558" t="s">
        <v>172</v>
      </c>
      <c r="DP558" t="s">
        <v>173</v>
      </c>
      <c r="DQ558" t="s">
        <v>189</v>
      </c>
      <c r="EA558" s="117"/>
      <c r="EB558">
        <v>9</v>
      </c>
      <c r="EC558">
        <v>10</v>
      </c>
      <c r="EE558" t="s">
        <v>1756</v>
      </c>
      <c r="EF558">
        <v>10</v>
      </c>
      <c r="EU558">
        <v>4750</v>
      </c>
      <c r="EW558">
        <v>0</v>
      </c>
      <c r="EX558">
        <v>0</v>
      </c>
      <c r="EY558">
        <v>0</v>
      </c>
      <c r="FA558">
        <v>8</v>
      </c>
      <c r="FC558">
        <v>261</v>
      </c>
      <c r="FG558" s="94">
        <v>284</v>
      </c>
      <c r="FH558" s="94">
        <v>233</v>
      </c>
      <c r="FI558" s="94">
        <v>261</v>
      </c>
    </row>
    <row r="559" spans="1:165" x14ac:dyDescent="0.35">
      <c r="A559">
        <v>2026</v>
      </c>
      <c r="B559" t="s">
        <v>524</v>
      </c>
      <c r="C559" s="112" t="s">
        <v>525</v>
      </c>
      <c r="D559" t="s">
        <v>1754</v>
      </c>
      <c r="E559" t="s">
        <v>527</v>
      </c>
      <c r="F559">
        <v>283</v>
      </c>
      <c r="G559" s="113">
        <v>0</v>
      </c>
      <c r="I559" t="s">
        <v>1391</v>
      </c>
      <c r="J559">
        <v>27</v>
      </c>
      <c r="K559">
        <v>32</v>
      </c>
      <c r="L559">
        <v>29</v>
      </c>
      <c r="M559">
        <v>18.616</v>
      </c>
      <c r="N559">
        <v>22.618099999999998</v>
      </c>
      <c r="O559">
        <v>20.416899999999998</v>
      </c>
      <c r="P559">
        <v>26.587499999999999</v>
      </c>
      <c r="Q559">
        <v>32.315399999999997</v>
      </c>
      <c r="R559">
        <v>29.165099999999999</v>
      </c>
      <c r="V559" t="s">
        <v>170</v>
      </c>
      <c r="W559" t="s">
        <v>171</v>
      </c>
      <c r="Y559">
        <v>1</v>
      </c>
      <c r="Z559" t="s">
        <v>173</v>
      </c>
      <c r="AA559" t="s">
        <v>173</v>
      </c>
      <c r="AB559" t="s">
        <v>174</v>
      </c>
      <c r="AC559" t="s">
        <v>175</v>
      </c>
      <c r="AF559">
        <v>261</v>
      </c>
      <c r="AG559" t="s">
        <v>1392</v>
      </c>
      <c r="AH559" t="s">
        <v>1393</v>
      </c>
      <c r="AI559" t="s">
        <v>1399</v>
      </c>
      <c r="AJ559" t="s">
        <v>1400</v>
      </c>
      <c r="AK559">
        <v>4</v>
      </c>
      <c r="AL559" t="s">
        <v>1394</v>
      </c>
      <c r="AS559">
        <v>750</v>
      </c>
      <c r="AT559">
        <v>750</v>
      </c>
      <c r="BN559" s="114"/>
      <c r="BQ559">
        <v>30</v>
      </c>
      <c r="BR559" t="s">
        <v>798</v>
      </c>
      <c r="BT559" t="s">
        <v>1402</v>
      </c>
      <c r="BU559" s="115">
        <v>45915</v>
      </c>
      <c r="BV559">
        <v>37346</v>
      </c>
      <c r="BW559" s="116"/>
      <c r="BX559" t="s">
        <v>173</v>
      </c>
      <c r="BY559" t="s">
        <v>173</v>
      </c>
      <c r="CB559" t="s">
        <v>173</v>
      </c>
      <c r="CC559" t="s">
        <v>173</v>
      </c>
      <c r="CK559" t="s">
        <v>259</v>
      </c>
      <c r="CM559">
        <v>1</v>
      </c>
      <c r="CN559" t="s">
        <v>260</v>
      </c>
      <c r="CP559">
        <v>392</v>
      </c>
      <c r="CQ559">
        <v>169</v>
      </c>
      <c r="CR559">
        <v>180</v>
      </c>
      <c r="CS559" t="s">
        <v>261</v>
      </c>
      <c r="CV559" t="s">
        <v>262</v>
      </c>
      <c r="CX559" t="s">
        <v>702</v>
      </c>
      <c r="CY559" t="s">
        <v>173</v>
      </c>
      <c r="DC559" t="s">
        <v>1755</v>
      </c>
      <c r="DD559">
        <v>1</v>
      </c>
      <c r="DE559" t="s">
        <v>307</v>
      </c>
      <c r="DF559" t="s">
        <v>330</v>
      </c>
      <c r="DG559">
        <v>200</v>
      </c>
      <c r="DL559" t="s">
        <v>173</v>
      </c>
      <c r="DM559" t="s">
        <v>172</v>
      </c>
      <c r="DP559" t="s">
        <v>173</v>
      </c>
      <c r="DQ559" t="s">
        <v>189</v>
      </c>
      <c r="EA559" s="117"/>
      <c r="EB559">
        <v>9</v>
      </c>
      <c r="EC559">
        <v>10</v>
      </c>
      <c r="EE559" t="s">
        <v>1756</v>
      </c>
      <c r="EF559">
        <v>10</v>
      </c>
      <c r="EU559">
        <v>4750</v>
      </c>
      <c r="EW559">
        <v>0</v>
      </c>
      <c r="EX559">
        <v>0</v>
      </c>
      <c r="EY559">
        <v>0</v>
      </c>
      <c r="FA559">
        <v>8</v>
      </c>
      <c r="FC559">
        <v>261</v>
      </c>
      <c r="FG559" s="94">
        <v>284</v>
      </c>
      <c r="FH559" s="94">
        <v>233</v>
      </c>
      <c r="FI559" s="94">
        <v>261</v>
      </c>
    </row>
    <row r="560" spans="1:165" x14ac:dyDescent="0.35">
      <c r="A560" s="19"/>
      <c r="B560" s="19"/>
      <c r="C560" s="19"/>
      <c r="D560" s="19"/>
      <c r="E560" s="19"/>
      <c r="F560" s="128"/>
      <c r="G560" s="19"/>
      <c r="H560" s="19"/>
      <c r="I560" s="19"/>
      <c r="J560" s="19"/>
      <c r="K560" s="19" t="str">
        <f>_xlfn.CONCAT(A561," ",C561," ",D561)</f>
        <v>2026 Volvo Cars of North America, LLC EX40</v>
      </c>
      <c r="L560" s="19"/>
      <c r="M560" s="19"/>
      <c r="N560" s="19"/>
      <c r="O560" s="19"/>
      <c r="P560" s="19"/>
      <c r="Q560" s="19"/>
      <c r="R560" s="19"/>
      <c r="S560" s="19"/>
      <c r="T560" s="19"/>
      <c r="U560" s="19"/>
      <c r="V560" s="19"/>
      <c r="W560" s="19"/>
      <c r="X560" s="19"/>
      <c r="Y560" s="19"/>
      <c r="Z560" s="19"/>
      <c r="AA560" s="19"/>
      <c r="AB560" s="19" t="str">
        <f>$K560</f>
        <v>2026 Volvo Cars of North America, LLC EX40</v>
      </c>
      <c r="AC560" s="19"/>
      <c r="AD560" s="19"/>
      <c r="AE560" s="19"/>
      <c r="AF560" s="19"/>
      <c r="AG560" s="19"/>
      <c r="AH560" s="19"/>
      <c r="AI560" s="19"/>
      <c r="AJ560" s="19"/>
      <c r="AK560" s="19"/>
      <c r="AL560" s="19"/>
      <c r="AM560" s="19"/>
      <c r="AN560" s="19"/>
      <c r="AO560" s="19"/>
      <c r="AP560" s="19"/>
      <c r="AQ560" s="19"/>
      <c r="AR560" s="19" t="str">
        <f>$K560</f>
        <v>2026 Volvo Cars of North America, LLC EX40</v>
      </c>
      <c r="AS560" s="19"/>
      <c r="AT560" s="19"/>
      <c r="AU560" s="19"/>
      <c r="AV560" s="19"/>
      <c r="AW560" s="19"/>
      <c r="AX560" s="19"/>
      <c r="AY560" s="19"/>
      <c r="AZ560" s="19"/>
      <c r="BA560" s="19"/>
      <c r="BB560" s="19"/>
      <c r="BC560" s="19"/>
      <c r="BD560" s="19"/>
      <c r="BE560" s="19"/>
      <c r="BF560" s="19"/>
      <c r="BG560" s="19" t="str">
        <f>$K560</f>
        <v>2026 Volvo Cars of North America, LLC EX40</v>
      </c>
      <c r="BH560" s="19"/>
      <c r="BI560" s="19"/>
      <c r="BJ560" s="19"/>
      <c r="BK560" s="19"/>
      <c r="BL560" s="19"/>
      <c r="BM560" s="129"/>
      <c r="BN560" s="19"/>
      <c r="BO560" s="19"/>
      <c r="BP560" s="19"/>
      <c r="BQ560" s="19"/>
      <c r="BR560" s="19"/>
      <c r="BS560" s="19"/>
      <c r="BT560" s="130"/>
      <c r="BU560" s="19"/>
      <c r="BV560" s="19"/>
      <c r="BW560" s="116"/>
      <c r="BX560" s="19"/>
      <c r="BY560" s="19"/>
      <c r="BZ560" s="19"/>
      <c r="CA560" s="19"/>
      <c r="CB560" s="19"/>
      <c r="CC560" s="19"/>
      <c r="CD560" s="19"/>
      <c r="CE560" s="19"/>
      <c r="CF560" s="19"/>
      <c r="CG560" s="19"/>
      <c r="CH560" s="19"/>
      <c r="CI560" s="19"/>
      <c r="CJ560" s="19"/>
      <c r="CK560" s="19"/>
      <c r="CL560" s="19"/>
      <c r="CM560" s="19" t="str">
        <f>$K560</f>
        <v>2026 Volvo Cars of North America, LLC EX40</v>
      </c>
      <c r="CN560" s="19"/>
      <c r="CO560" s="19"/>
      <c r="CP560" s="19"/>
      <c r="CQ560" s="19"/>
      <c r="CR560" s="19"/>
      <c r="CS560" s="19"/>
      <c r="CT560" s="19"/>
      <c r="CU560" s="19"/>
      <c r="CV560" s="19"/>
      <c r="CW560" s="19"/>
      <c r="CX560" s="19"/>
      <c r="CY560" s="19"/>
      <c r="CZ560" s="19"/>
      <c r="DA560" s="19"/>
      <c r="DB560" s="19"/>
      <c r="DC560" s="19"/>
      <c r="DD560" s="19" t="str">
        <f>$K560</f>
        <v>2026 Volvo Cars of North America, LLC EX40</v>
      </c>
      <c r="DE560" s="19"/>
      <c r="DF560" s="19"/>
      <c r="DG560" s="19"/>
      <c r="DH560" s="19"/>
      <c r="DI560" s="19"/>
      <c r="DJ560" s="19"/>
      <c r="DK560" s="19"/>
      <c r="DL560" s="19"/>
      <c r="DM560" s="19"/>
      <c r="DN560" s="19"/>
      <c r="DO560" s="19"/>
      <c r="DP560" s="19"/>
      <c r="DQ560" s="19"/>
      <c r="DR560" s="19"/>
      <c r="DS560" s="19"/>
      <c r="DT560" s="19"/>
      <c r="DU560" s="19" t="str">
        <f>$K560</f>
        <v>2026 Volvo Cars of North America, LLC EX40</v>
      </c>
      <c r="DV560" s="19"/>
      <c r="DW560" s="19"/>
      <c r="DX560" s="19"/>
      <c r="DY560" s="19"/>
      <c r="DZ560" s="19"/>
      <c r="EA560" s="117"/>
      <c r="EB560" s="19"/>
      <c r="EC560" s="19"/>
      <c r="ED560" s="19"/>
      <c r="EE560" s="19"/>
      <c r="EF560" s="19"/>
      <c r="EX560" s="19" t="s">
        <v>2105</v>
      </c>
    </row>
    <row r="561" spans="1:165" x14ac:dyDescent="0.35">
      <c r="A561">
        <v>2026</v>
      </c>
      <c r="B561" t="s">
        <v>524</v>
      </c>
      <c r="C561" s="112" t="s">
        <v>525</v>
      </c>
      <c r="D561" t="s">
        <v>1694</v>
      </c>
      <c r="E561" t="s">
        <v>527</v>
      </c>
      <c r="F561">
        <v>265</v>
      </c>
      <c r="G561" s="113">
        <v>0</v>
      </c>
      <c r="I561" t="s">
        <v>1391</v>
      </c>
      <c r="J561">
        <v>118</v>
      </c>
      <c r="K561">
        <v>94</v>
      </c>
      <c r="L561">
        <v>106</v>
      </c>
      <c r="M561">
        <v>169.2</v>
      </c>
      <c r="N561">
        <v>135</v>
      </c>
      <c r="O561">
        <v>151.88509999999999</v>
      </c>
      <c r="P561">
        <v>118.44</v>
      </c>
      <c r="Q561">
        <v>94.5</v>
      </c>
      <c r="R561">
        <v>106.31959999999999</v>
      </c>
      <c r="V561" t="s">
        <v>170</v>
      </c>
      <c r="W561" t="s">
        <v>171</v>
      </c>
      <c r="Y561">
        <v>1</v>
      </c>
      <c r="Z561" t="s">
        <v>173</v>
      </c>
      <c r="AA561" t="s">
        <v>173</v>
      </c>
      <c r="AB561" t="s">
        <v>174</v>
      </c>
      <c r="AC561" t="s">
        <v>175</v>
      </c>
      <c r="AF561">
        <v>296</v>
      </c>
      <c r="AG561" t="s">
        <v>1392</v>
      </c>
      <c r="AH561" t="s">
        <v>1393</v>
      </c>
      <c r="AI561" t="s">
        <v>178</v>
      </c>
      <c r="AJ561" t="s">
        <v>179</v>
      </c>
      <c r="AK561">
        <v>4</v>
      </c>
      <c r="AL561" t="s">
        <v>1394</v>
      </c>
      <c r="AS561">
        <v>800</v>
      </c>
      <c r="AT561">
        <v>800</v>
      </c>
      <c r="BN561" s="114"/>
      <c r="BQ561">
        <v>30</v>
      </c>
      <c r="BR561" t="s">
        <v>798</v>
      </c>
      <c r="BT561" t="s">
        <v>1402</v>
      </c>
      <c r="BU561" s="115">
        <v>45800</v>
      </c>
      <c r="BV561">
        <v>36358</v>
      </c>
      <c r="BW561" s="116"/>
      <c r="BX561" t="s">
        <v>173</v>
      </c>
      <c r="BY561" t="s">
        <v>173</v>
      </c>
      <c r="CB561" t="s">
        <v>173</v>
      </c>
      <c r="CC561" t="s">
        <v>173</v>
      </c>
      <c r="CK561" t="s">
        <v>259</v>
      </c>
      <c r="CM561">
        <v>1</v>
      </c>
      <c r="CN561" t="s">
        <v>260</v>
      </c>
      <c r="CP561">
        <v>404</v>
      </c>
      <c r="CQ561">
        <v>202</v>
      </c>
      <c r="CR561">
        <v>165</v>
      </c>
      <c r="CS561" t="s">
        <v>261</v>
      </c>
      <c r="CV561" t="s">
        <v>262</v>
      </c>
      <c r="CX561" t="s">
        <v>702</v>
      </c>
      <c r="CY561" t="s">
        <v>173</v>
      </c>
      <c r="DC561" t="s">
        <v>1695</v>
      </c>
      <c r="DD561">
        <v>1</v>
      </c>
      <c r="DE561" t="s">
        <v>307</v>
      </c>
      <c r="DF561" t="s">
        <v>330</v>
      </c>
      <c r="DG561">
        <v>185</v>
      </c>
      <c r="DL561" t="s">
        <v>173</v>
      </c>
      <c r="DM561" t="s">
        <v>172</v>
      </c>
      <c r="DP561" t="s">
        <v>173</v>
      </c>
      <c r="DQ561" t="s">
        <v>189</v>
      </c>
      <c r="EA561" s="117"/>
      <c r="EB561">
        <v>9</v>
      </c>
      <c r="EC561">
        <v>10</v>
      </c>
      <c r="EE561" t="s">
        <v>1696</v>
      </c>
      <c r="EF561">
        <v>10</v>
      </c>
      <c r="EU561">
        <v>4500</v>
      </c>
      <c r="EW561">
        <v>0</v>
      </c>
      <c r="EX561">
        <v>0</v>
      </c>
      <c r="EY561">
        <v>0</v>
      </c>
      <c r="FA561">
        <v>8</v>
      </c>
      <c r="FC561">
        <v>296</v>
      </c>
      <c r="FG561" s="94">
        <v>326</v>
      </c>
      <c r="FH561" s="94">
        <v>260</v>
      </c>
      <c r="FI561" s="94">
        <v>296</v>
      </c>
    </row>
    <row r="562" spans="1:165" x14ac:dyDescent="0.35">
      <c r="A562">
        <v>2026</v>
      </c>
      <c r="B562" t="s">
        <v>524</v>
      </c>
      <c r="C562" s="112" t="s">
        <v>525</v>
      </c>
      <c r="D562" t="s">
        <v>1694</v>
      </c>
      <c r="E562" t="s">
        <v>527</v>
      </c>
      <c r="F562">
        <v>265</v>
      </c>
      <c r="G562" s="113">
        <v>0</v>
      </c>
      <c r="I562" t="s">
        <v>1391</v>
      </c>
      <c r="J562">
        <v>28</v>
      </c>
      <c r="K562">
        <v>36</v>
      </c>
      <c r="L562">
        <v>32</v>
      </c>
      <c r="M562">
        <v>19.924199999999999</v>
      </c>
      <c r="N562">
        <v>24.974399999999999</v>
      </c>
      <c r="O562">
        <v>22.1968</v>
      </c>
      <c r="P562">
        <v>28.4574</v>
      </c>
      <c r="Q562">
        <v>35.666699999999999</v>
      </c>
      <c r="R562">
        <v>31.701599999999999</v>
      </c>
      <c r="V562" t="s">
        <v>170</v>
      </c>
      <c r="W562" t="s">
        <v>171</v>
      </c>
      <c r="Y562">
        <v>1</v>
      </c>
      <c r="Z562" t="s">
        <v>173</v>
      </c>
      <c r="AA562" t="s">
        <v>173</v>
      </c>
      <c r="AB562" t="s">
        <v>174</v>
      </c>
      <c r="AC562" t="s">
        <v>175</v>
      </c>
      <c r="AF562">
        <v>296</v>
      </c>
      <c r="AG562" t="s">
        <v>1392</v>
      </c>
      <c r="AH562" t="s">
        <v>1393</v>
      </c>
      <c r="AI562" t="s">
        <v>1399</v>
      </c>
      <c r="AJ562" t="s">
        <v>1400</v>
      </c>
      <c r="AK562">
        <v>4</v>
      </c>
      <c r="AL562" t="s">
        <v>1394</v>
      </c>
      <c r="AS562">
        <v>800</v>
      </c>
      <c r="AT562">
        <v>800</v>
      </c>
      <c r="BN562" s="114"/>
      <c r="BQ562">
        <v>30</v>
      </c>
      <c r="BR562" t="s">
        <v>798</v>
      </c>
      <c r="BT562" t="s">
        <v>1402</v>
      </c>
      <c r="BU562" s="115">
        <v>45800</v>
      </c>
      <c r="BV562">
        <v>36358</v>
      </c>
      <c r="BW562" s="116"/>
      <c r="BX562" t="s">
        <v>173</v>
      </c>
      <c r="BY562" t="s">
        <v>173</v>
      </c>
      <c r="CB562" t="s">
        <v>173</v>
      </c>
      <c r="CC562" t="s">
        <v>173</v>
      </c>
      <c r="CK562" t="s">
        <v>259</v>
      </c>
      <c r="CM562">
        <v>1</v>
      </c>
      <c r="CN562" t="s">
        <v>260</v>
      </c>
      <c r="CP562">
        <v>404</v>
      </c>
      <c r="CQ562">
        <v>202</v>
      </c>
      <c r="CR562">
        <v>165</v>
      </c>
      <c r="CS562" t="s">
        <v>261</v>
      </c>
      <c r="CV562" t="s">
        <v>262</v>
      </c>
      <c r="CX562" t="s">
        <v>702</v>
      </c>
      <c r="CY562" t="s">
        <v>173</v>
      </c>
      <c r="DC562" t="s">
        <v>1695</v>
      </c>
      <c r="DD562">
        <v>1</v>
      </c>
      <c r="DE562" t="s">
        <v>307</v>
      </c>
      <c r="DF562" t="s">
        <v>330</v>
      </c>
      <c r="DG562">
        <v>185</v>
      </c>
      <c r="DL562" t="s">
        <v>173</v>
      </c>
      <c r="DM562" t="s">
        <v>172</v>
      </c>
      <c r="DP562" t="s">
        <v>173</v>
      </c>
      <c r="DQ562" t="s">
        <v>189</v>
      </c>
      <c r="EA562" s="117"/>
      <c r="EB562">
        <v>9</v>
      </c>
      <c r="EC562">
        <v>10</v>
      </c>
      <c r="EE562" t="s">
        <v>1696</v>
      </c>
      <c r="EF562">
        <v>10</v>
      </c>
      <c r="EU562">
        <v>4500</v>
      </c>
      <c r="EW562">
        <v>0</v>
      </c>
      <c r="EX562">
        <v>0</v>
      </c>
      <c r="EY562">
        <v>0</v>
      </c>
      <c r="FA562">
        <v>8</v>
      </c>
      <c r="FC562">
        <v>296</v>
      </c>
      <c r="FG562" s="94">
        <v>326</v>
      </c>
      <c r="FH562" s="94">
        <v>260</v>
      </c>
      <c r="FI562" s="94">
        <v>296</v>
      </c>
    </row>
    <row r="563" spans="1:165" x14ac:dyDescent="0.35">
      <c r="A563" s="19"/>
      <c r="B563" s="19"/>
      <c r="C563" s="19"/>
      <c r="D563" s="19"/>
      <c r="E563" s="19"/>
      <c r="F563" s="128"/>
      <c r="G563" s="19"/>
      <c r="H563" s="19"/>
      <c r="I563" s="19"/>
      <c r="J563" s="19"/>
      <c r="K563" s="19" t="str">
        <f>_xlfn.CONCAT(A564," ",C564," ",D564)</f>
        <v>2026 Volvo Cars of North America, LLC EC40 Twin</v>
      </c>
      <c r="L563" s="19"/>
      <c r="M563" s="19"/>
      <c r="N563" s="19"/>
      <c r="O563" s="19"/>
      <c r="P563" s="19"/>
      <c r="Q563" s="19"/>
      <c r="R563" s="19"/>
      <c r="S563" s="19"/>
      <c r="T563" s="19"/>
      <c r="U563" s="19"/>
      <c r="V563" s="19"/>
      <c r="W563" s="19"/>
      <c r="X563" s="19"/>
      <c r="Y563" s="19"/>
      <c r="Z563" s="19"/>
      <c r="AA563" s="19"/>
      <c r="AB563" s="19" t="str">
        <f>$K563</f>
        <v>2026 Volvo Cars of North America, LLC EC40 Twin</v>
      </c>
      <c r="AC563" s="19"/>
      <c r="AD563" s="19"/>
      <c r="AE563" s="19"/>
      <c r="AF563" s="19"/>
      <c r="AG563" s="19"/>
      <c r="AH563" s="19"/>
      <c r="AI563" s="19"/>
      <c r="AJ563" s="19"/>
      <c r="AK563" s="19"/>
      <c r="AL563" s="19"/>
      <c r="AM563" s="19"/>
      <c r="AN563" s="19"/>
      <c r="AO563" s="19"/>
      <c r="AP563" s="19"/>
      <c r="AQ563" s="19"/>
      <c r="AR563" s="19" t="str">
        <f>$K563</f>
        <v>2026 Volvo Cars of North America, LLC EC40 Twin</v>
      </c>
      <c r="AS563" s="19"/>
      <c r="AT563" s="19"/>
      <c r="AU563" s="19"/>
      <c r="AV563" s="19"/>
      <c r="AW563" s="19"/>
      <c r="AX563" s="19"/>
      <c r="AY563" s="19"/>
      <c r="AZ563" s="19"/>
      <c r="BA563" s="19"/>
      <c r="BB563" s="19"/>
      <c r="BC563" s="19"/>
      <c r="BD563" s="19"/>
      <c r="BE563" s="19"/>
      <c r="BF563" s="19"/>
      <c r="BG563" s="19" t="str">
        <f>$K563</f>
        <v>2026 Volvo Cars of North America, LLC EC40 Twin</v>
      </c>
      <c r="BH563" s="19"/>
      <c r="BI563" s="19"/>
      <c r="BJ563" s="19"/>
      <c r="BK563" s="19"/>
      <c r="BL563" s="19"/>
      <c r="BM563" s="129"/>
      <c r="BN563" s="19"/>
      <c r="BO563" s="19"/>
      <c r="BP563" s="19"/>
      <c r="BQ563" s="19"/>
      <c r="BR563" s="19"/>
      <c r="BS563" s="19"/>
      <c r="BT563" s="130"/>
      <c r="BU563" s="19"/>
      <c r="BV563" s="19"/>
      <c r="BW563" s="116"/>
      <c r="BX563" s="19"/>
      <c r="BY563" s="19"/>
      <c r="BZ563" s="19"/>
      <c r="CA563" s="19"/>
      <c r="CB563" s="19"/>
      <c r="CC563" s="19"/>
      <c r="CD563" s="19"/>
      <c r="CE563" s="19"/>
      <c r="CF563" s="19"/>
      <c r="CG563" s="19"/>
      <c r="CH563" s="19"/>
      <c r="CI563" s="19"/>
      <c r="CJ563" s="19"/>
      <c r="CK563" s="19"/>
      <c r="CL563" s="19"/>
      <c r="CM563" s="19" t="str">
        <f>$K563</f>
        <v>2026 Volvo Cars of North America, LLC EC40 Twin</v>
      </c>
      <c r="CN563" s="19"/>
      <c r="CO563" s="19"/>
      <c r="CP563" s="19"/>
      <c r="CQ563" s="19"/>
      <c r="CR563" s="19"/>
      <c r="CS563" s="19"/>
      <c r="CT563" s="19"/>
      <c r="CU563" s="19"/>
      <c r="CV563" s="19"/>
      <c r="CW563" s="19"/>
      <c r="CX563" s="19"/>
      <c r="CY563" s="19"/>
      <c r="CZ563" s="19"/>
      <c r="DA563" s="19"/>
      <c r="DB563" s="19"/>
      <c r="DC563" s="19"/>
      <c r="DD563" s="19" t="str">
        <f>$K563</f>
        <v>2026 Volvo Cars of North America, LLC EC40 Twin</v>
      </c>
      <c r="DE563" s="19"/>
      <c r="DF563" s="19"/>
      <c r="DG563" s="19"/>
      <c r="DH563" s="19"/>
      <c r="DI563" s="19"/>
      <c r="DJ563" s="19"/>
      <c r="DK563" s="19"/>
      <c r="DL563" s="19"/>
      <c r="DM563" s="19"/>
      <c r="DN563" s="19"/>
      <c r="DO563" s="19"/>
      <c r="DP563" s="19"/>
      <c r="DQ563" s="19"/>
      <c r="DR563" s="19"/>
      <c r="DS563" s="19"/>
      <c r="DT563" s="19"/>
      <c r="DU563" s="19" t="str">
        <f>$K563</f>
        <v>2026 Volvo Cars of North America, LLC EC40 Twin</v>
      </c>
      <c r="DV563" s="19"/>
      <c r="DW563" s="19"/>
      <c r="DX563" s="19"/>
      <c r="DY563" s="19"/>
      <c r="DZ563" s="19"/>
      <c r="EA563" s="117"/>
      <c r="EB563" s="19"/>
      <c r="EC563" s="19"/>
      <c r="ED563" s="19"/>
      <c r="EE563" s="19"/>
      <c r="EF563" s="19"/>
      <c r="EX563" s="19" t="s">
        <v>2106</v>
      </c>
    </row>
    <row r="564" spans="1:165" x14ac:dyDescent="0.35">
      <c r="A564">
        <v>2026</v>
      </c>
      <c r="B564" t="s">
        <v>524</v>
      </c>
      <c r="C564" s="112" t="s">
        <v>525</v>
      </c>
      <c r="D564" t="s">
        <v>1702</v>
      </c>
      <c r="E564" t="s">
        <v>527</v>
      </c>
      <c r="F564">
        <v>262</v>
      </c>
      <c r="G564" s="113">
        <v>0</v>
      </c>
      <c r="I564" t="s">
        <v>1391</v>
      </c>
      <c r="J564">
        <v>105</v>
      </c>
      <c r="K564">
        <v>88</v>
      </c>
      <c r="L564">
        <v>97</v>
      </c>
      <c r="M564">
        <v>150.1</v>
      </c>
      <c r="N564">
        <v>126</v>
      </c>
      <c r="O564">
        <v>138.2045</v>
      </c>
      <c r="P564">
        <v>105.07</v>
      </c>
      <c r="Q564">
        <v>88.2</v>
      </c>
      <c r="R564">
        <v>96.743200000000002</v>
      </c>
      <c r="V564" t="s">
        <v>170</v>
      </c>
      <c r="W564" t="s">
        <v>171</v>
      </c>
      <c r="Y564">
        <v>1</v>
      </c>
      <c r="Z564" t="s">
        <v>173</v>
      </c>
      <c r="AA564" t="s">
        <v>173</v>
      </c>
      <c r="AB564" t="s">
        <v>170</v>
      </c>
      <c r="AC564" t="s">
        <v>232</v>
      </c>
      <c r="AF564">
        <v>268</v>
      </c>
      <c r="AG564" t="s">
        <v>1392</v>
      </c>
      <c r="AH564" t="s">
        <v>1393</v>
      </c>
      <c r="AI564" t="s">
        <v>178</v>
      </c>
      <c r="AJ564" t="s">
        <v>179</v>
      </c>
      <c r="AK564">
        <v>4</v>
      </c>
      <c r="AL564" t="s">
        <v>1394</v>
      </c>
      <c r="AS564">
        <v>900</v>
      </c>
      <c r="AT564">
        <v>900</v>
      </c>
      <c r="BN564" s="114"/>
      <c r="BQ564">
        <v>31</v>
      </c>
      <c r="BR564" t="s">
        <v>887</v>
      </c>
      <c r="BT564" t="s">
        <v>1402</v>
      </c>
      <c r="BU564" s="115">
        <v>45800</v>
      </c>
      <c r="BV564">
        <v>36357</v>
      </c>
      <c r="BW564" s="116"/>
      <c r="BX564" t="s">
        <v>173</v>
      </c>
      <c r="BY564" t="s">
        <v>173</v>
      </c>
      <c r="CB564" t="s">
        <v>173</v>
      </c>
      <c r="CC564" t="s">
        <v>173</v>
      </c>
      <c r="CK564" t="s">
        <v>259</v>
      </c>
      <c r="CM564">
        <v>1</v>
      </c>
      <c r="CN564" t="s">
        <v>260</v>
      </c>
      <c r="CP564">
        <v>404</v>
      </c>
      <c r="CQ564">
        <v>202</v>
      </c>
      <c r="CR564">
        <v>165</v>
      </c>
      <c r="CS564" t="s">
        <v>261</v>
      </c>
      <c r="CV564" t="s">
        <v>262</v>
      </c>
      <c r="CX564" t="s">
        <v>263</v>
      </c>
      <c r="CY564" t="s">
        <v>173</v>
      </c>
      <c r="DC564" t="s">
        <v>1699</v>
      </c>
      <c r="DD564">
        <v>3</v>
      </c>
      <c r="DE564" t="s">
        <v>760</v>
      </c>
      <c r="DG564" t="s">
        <v>1700</v>
      </c>
      <c r="DL564" t="s">
        <v>173</v>
      </c>
      <c r="DM564" t="s">
        <v>172</v>
      </c>
      <c r="DP564" t="s">
        <v>173</v>
      </c>
      <c r="DQ564" t="s">
        <v>189</v>
      </c>
      <c r="EA564" s="117"/>
      <c r="EB564">
        <v>9</v>
      </c>
      <c r="EC564">
        <v>10</v>
      </c>
      <c r="EE564" t="s">
        <v>1701</v>
      </c>
      <c r="EF564">
        <v>10</v>
      </c>
      <c r="EU564">
        <v>4000</v>
      </c>
      <c r="EW564">
        <v>0</v>
      </c>
      <c r="EX564">
        <v>0</v>
      </c>
      <c r="EY564">
        <v>0</v>
      </c>
      <c r="FA564">
        <v>8</v>
      </c>
      <c r="FC564">
        <v>268</v>
      </c>
      <c r="FG564" s="94">
        <v>289</v>
      </c>
      <c r="FH564" s="94">
        <v>242</v>
      </c>
      <c r="FI564" s="94">
        <v>268</v>
      </c>
    </row>
    <row r="565" spans="1:165" x14ac:dyDescent="0.35">
      <c r="A565">
        <v>2026</v>
      </c>
      <c r="B565" t="s">
        <v>524</v>
      </c>
      <c r="C565" s="112" t="s">
        <v>525</v>
      </c>
      <c r="D565" t="s">
        <v>1702</v>
      </c>
      <c r="E565" t="s">
        <v>527</v>
      </c>
      <c r="F565">
        <v>262</v>
      </c>
      <c r="G565" s="113">
        <v>0</v>
      </c>
      <c r="I565" t="s">
        <v>1391</v>
      </c>
      <c r="J565">
        <v>32</v>
      </c>
      <c r="K565">
        <v>38</v>
      </c>
      <c r="L565">
        <v>35</v>
      </c>
      <c r="M565">
        <v>22.457599999999999</v>
      </c>
      <c r="N565">
        <v>26.7486</v>
      </c>
      <c r="O565">
        <v>24.388500000000001</v>
      </c>
      <c r="P565">
        <v>32.078600000000002</v>
      </c>
      <c r="Q565">
        <v>38.214300000000001</v>
      </c>
      <c r="R565">
        <v>34.839700000000001</v>
      </c>
      <c r="V565" t="s">
        <v>170</v>
      </c>
      <c r="W565" t="s">
        <v>171</v>
      </c>
      <c r="Y565">
        <v>1</v>
      </c>
      <c r="Z565" t="s">
        <v>173</v>
      </c>
      <c r="AA565" t="s">
        <v>173</v>
      </c>
      <c r="AB565" t="s">
        <v>170</v>
      </c>
      <c r="AC565" t="s">
        <v>232</v>
      </c>
      <c r="AF565">
        <v>268</v>
      </c>
      <c r="AG565" t="s">
        <v>1392</v>
      </c>
      <c r="AH565" t="s">
        <v>1393</v>
      </c>
      <c r="AI565" t="s">
        <v>1399</v>
      </c>
      <c r="AJ565" t="s">
        <v>1400</v>
      </c>
      <c r="AK565">
        <v>4</v>
      </c>
      <c r="AL565" t="s">
        <v>1394</v>
      </c>
      <c r="AS565">
        <v>900</v>
      </c>
      <c r="AT565">
        <v>900</v>
      </c>
      <c r="BN565" s="114"/>
      <c r="BQ565">
        <v>31</v>
      </c>
      <c r="BR565" t="s">
        <v>887</v>
      </c>
      <c r="BT565" t="s">
        <v>1402</v>
      </c>
      <c r="BU565" s="115">
        <v>45800</v>
      </c>
      <c r="BV565">
        <v>36357</v>
      </c>
      <c r="BW565" s="116"/>
      <c r="BX565" t="s">
        <v>173</v>
      </c>
      <c r="BY565" t="s">
        <v>173</v>
      </c>
      <c r="CB565" t="s">
        <v>173</v>
      </c>
      <c r="CC565" t="s">
        <v>173</v>
      </c>
      <c r="CK565" t="s">
        <v>259</v>
      </c>
      <c r="CM565">
        <v>1</v>
      </c>
      <c r="CN565" t="s">
        <v>260</v>
      </c>
      <c r="CP565">
        <v>404</v>
      </c>
      <c r="CQ565">
        <v>202</v>
      </c>
      <c r="CR565">
        <v>165</v>
      </c>
      <c r="CS565" t="s">
        <v>261</v>
      </c>
      <c r="CV565" t="s">
        <v>262</v>
      </c>
      <c r="CX565" t="s">
        <v>263</v>
      </c>
      <c r="CY565" t="s">
        <v>173</v>
      </c>
      <c r="DC565" t="s">
        <v>1699</v>
      </c>
      <c r="DD565">
        <v>3</v>
      </c>
      <c r="DE565" t="s">
        <v>760</v>
      </c>
      <c r="DG565" t="s">
        <v>1700</v>
      </c>
      <c r="DL565" t="s">
        <v>173</v>
      </c>
      <c r="DM565" t="s">
        <v>172</v>
      </c>
      <c r="DP565" t="s">
        <v>173</v>
      </c>
      <c r="DQ565" t="s">
        <v>189</v>
      </c>
      <c r="EA565" s="117"/>
      <c r="EB565">
        <v>9</v>
      </c>
      <c r="EC565">
        <v>10</v>
      </c>
      <c r="EE565" t="s">
        <v>1701</v>
      </c>
      <c r="EF565">
        <v>10</v>
      </c>
      <c r="EU565">
        <v>4000</v>
      </c>
      <c r="EW565">
        <v>0</v>
      </c>
      <c r="EX565">
        <v>0</v>
      </c>
      <c r="EY565">
        <v>0</v>
      </c>
      <c r="FA565">
        <v>8</v>
      </c>
      <c r="FC565">
        <v>268</v>
      </c>
      <c r="FG565" s="94">
        <v>289</v>
      </c>
      <c r="FH565" s="94">
        <v>242</v>
      </c>
      <c r="FI565" s="94">
        <v>268</v>
      </c>
    </row>
    <row r="566" spans="1:165" x14ac:dyDescent="0.35">
      <c r="A566" s="19"/>
      <c r="B566" s="19"/>
      <c r="C566" s="19"/>
      <c r="D566" s="19"/>
      <c r="E566" s="19"/>
      <c r="F566" s="128"/>
      <c r="G566" s="19"/>
      <c r="H566" s="19"/>
      <c r="I566" s="19"/>
      <c r="J566" s="19"/>
      <c r="K566" s="19" t="str">
        <f>_xlfn.CONCAT(A567," ",C567," ",D567)</f>
        <v>2026 Volvo Cars of North America, LLC EX30 Cross Country (18 Inch wheels)</v>
      </c>
      <c r="L566" s="19"/>
      <c r="M566" s="19"/>
      <c r="N566" s="19"/>
      <c r="O566" s="19"/>
      <c r="P566" s="19"/>
      <c r="Q566" s="19"/>
      <c r="R566" s="19"/>
      <c r="S566" s="19"/>
      <c r="T566" s="19"/>
      <c r="U566" s="19"/>
      <c r="V566" s="19"/>
      <c r="W566" s="19"/>
      <c r="X566" s="19"/>
      <c r="Y566" s="19"/>
      <c r="Z566" s="19"/>
      <c r="AA566" s="19"/>
      <c r="AB566" s="19" t="str">
        <f>$K566</f>
        <v>2026 Volvo Cars of North America, LLC EX30 Cross Country (18 Inch wheels)</v>
      </c>
      <c r="AC566" s="19"/>
      <c r="AD566" s="19"/>
      <c r="AE566" s="19"/>
      <c r="AF566" s="19"/>
      <c r="AG566" s="19"/>
      <c r="AH566" s="19"/>
      <c r="AI566" s="19"/>
      <c r="AJ566" s="19"/>
      <c r="AK566" s="19"/>
      <c r="AL566" s="19"/>
      <c r="AM566" s="19"/>
      <c r="AN566" s="19"/>
      <c r="AO566" s="19"/>
      <c r="AP566" s="19"/>
      <c r="AQ566" s="19"/>
      <c r="AR566" s="19" t="str">
        <f>$K566</f>
        <v>2026 Volvo Cars of North America, LLC EX30 Cross Country (18 Inch wheels)</v>
      </c>
      <c r="AS566" s="19"/>
      <c r="AT566" s="19"/>
      <c r="AU566" s="19"/>
      <c r="AV566" s="19"/>
      <c r="AW566" s="19"/>
      <c r="AX566" s="19"/>
      <c r="AY566" s="19"/>
      <c r="AZ566" s="19"/>
      <c r="BA566" s="19"/>
      <c r="BB566" s="19"/>
      <c r="BC566" s="19"/>
      <c r="BD566" s="19"/>
      <c r="BE566" s="19"/>
      <c r="BF566" s="19"/>
      <c r="BG566" s="19" t="str">
        <f>$K566</f>
        <v>2026 Volvo Cars of North America, LLC EX30 Cross Country (18 Inch wheels)</v>
      </c>
      <c r="BH566" s="19"/>
      <c r="BI566" s="19"/>
      <c r="BJ566" s="19"/>
      <c r="BK566" s="19"/>
      <c r="BL566" s="19"/>
      <c r="BM566" s="129"/>
      <c r="BN566" s="19"/>
      <c r="BO566" s="19"/>
      <c r="BP566" s="19"/>
      <c r="BQ566" s="19"/>
      <c r="BR566" s="19"/>
      <c r="BS566" s="19"/>
      <c r="BT566" s="130"/>
      <c r="BU566" s="19"/>
      <c r="BV566" s="19"/>
      <c r="BW566" s="116"/>
      <c r="BX566" s="19"/>
      <c r="BY566" s="19"/>
      <c r="BZ566" s="19"/>
      <c r="CA566" s="19"/>
      <c r="CB566" s="19"/>
      <c r="CC566" s="19"/>
      <c r="CD566" s="19"/>
      <c r="CE566" s="19"/>
      <c r="CF566" s="19"/>
      <c r="CG566" s="19"/>
      <c r="CH566" s="19"/>
      <c r="CI566" s="19"/>
      <c r="CJ566" s="19"/>
      <c r="CK566" s="19"/>
      <c r="CL566" s="19"/>
      <c r="CM566" s="19" t="str">
        <f>$K566</f>
        <v>2026 Volvo Cars of North America, LLC EX30 Cross Country (18 Inch wheels)</v>
      </c>
      <c r="CN566" s="19"/>
      <c r="CO566" s="19"/>
      <c r="CP566" s="19"/>
      <c r="CQ566" s="19"/>
      <c r="CR566" s="19"/>
      <c r="CS566" s="19"/>
      <c r="CT566" s="19"/>
      <c r="CU566" s="19"/>
      <c r="CV566" s="19"/>
      <c r="CW566" s="19"/>
      <c r="CX566" s="19"/>
      <c r="CY566" s="19"/>
      <c r="CZ566" s="19"/>
      <c r="DA566" s="19"/>
      <c r="DB566" s="19"/>
      <c r="DC566" s="19"/>
      <c r="DD566" s="19" t="str">
        <f>$K566</f>
        <v>2026 Volvo Cars of North America, LLC EX30 Cross Country (18 Inch wheels)</v>
      </c>
      <c r="DE566" s="19"/>
      <c r="DF566" s="19"/>
      <c r="DG566" s="19"/>
      <c r="DH566" s="19"/>
      <c r="DI566" s="19"/>
      <c r="DJ566" s="19"/>
      <c r="DK566" s="19"/>
      <c r="DL566" s="19"/>
      <c r="DM566" s="19"/>
      <c r="DN566" s="19"/>
      <c r="DO566" s="19"/>
      <c r="DP566" s="19"/>
      <c r="DQ566" s="19"/>
      <c r="DR566" s="19"/>
      <c r="DS566" s="19"/>
      <c r="DT566" s="19"/>
      <c r="DU566" s="19" t="str">
        <f>$K566</f>
        <v>2026 Volvo Cars of North America, LLC EX30 Cross Country (18 Inch wheels)</v>
      </c>
      <c r="DV566" s="19"/>
      <c r="DW566" s="19"/>
      <c r="DX566" s="19"/>
      <c r="DY566" s="19"/>
      <c r="DZ566" s="19"/>
      <c r="EA566" s="117"/>
      <c r="EB566" s="19"/>
      <c r="EC566" s="19"/>
      <c r="ED566" s="19"/>
      <c r="EE566" s="19"/>
      <c r="EF566" s="19"/>
      <c r="EX566" s="19" t="s">
        <v>2107</v>
      </c>
    </row>
    <row r="567" spans="1:165" x14ac:dyDescent="0.35">
      <c r="A567">
        <v>2026</v>
      </c>
      <c r="B567" t="s">
        <v>524</v>
      </c>
      <c r="C567" s="112" t="s">
        <v>525</v>
      </c>
      <c r="D567" t="s">
        <v>1780</v>
      </c>
      <c r="E567" t="s">
        <v>527</v>
      </c>
      <c r="F567">
        <v>284</v>
      </c>
      <c r="G567" s="113">
        <v>0</v>
      </c>
      <c r="I567" t="s">
        <v>1391</v>
      </c>
      <c r="J567">
        <v>95</v>
      </c>
      <c r="K567">
        <v>83</v>
      </c>
      <c r="L567">
        <v>89</v>
      </c>
      <c r="M567">
        <v>135.30000000000001</v>
      </c>
      <c r="N567">
        <v>118.8</v>
      </c>
      <c r="O567">
        <v>127.3412</v>
      </c>
      <c r="P567">
        <v>94.71</v>
      </c>
      <c r="Q567">
        <v>83.16</v>
      </c>
      <c r="R567">
        <v>89.138800000000003</v>
      </c>
      <c r="V567" t="s">
        <v>170</v>
      </c>
      <c r="W567" t="s">
        <v>171</v>
      </c>
      <c r="Y567">
        <v>1</v>
      </c>
      <c r="Z567" t="s">
        <v>173</v>
      </c>
      <c r="AA567" t="s">
        <v>173</v>
      </c>
      <c r="AB567" t="s">
        <v>170</v>
      </c>
      <c r="AC567" t="s">
        <v>232</v>
      </c>
      <c r="AF567">
        <v>203</v>
      </c>
      <c r="AG567" t="s">
        <v>1392</v>
      </c>
      <c r="AH567" t="s">
        <v>1393</v>
      </c>
      <c r="AI567" t="s">
        <v>178</v>
      </c>
      <c r="AJ567" t="s">
        <v>179</v>
      </c>
      <c r="AK567">
        <v>4</v>
      </c>
      <c r="AL567" t="s">
        <v>1394</v>
      </c>
      <c r="AS567">
        <v>950</v>
      </c>
      <c r="AT567">
        <v>950</v>
      </c>
      <c r="BN567" s="114"/>
      <c r="BQ567">
        <v>31</v>
      </c>
      <c r="BR567" t="s">
        <v>887</v>
      </c>
      <c r="BT567" t="s">
        <v>1402</v>
      </c>
      <c r="BU567" s="115">
        <v>45915</v>
      </c>
      <c r="BV567">
        <v>37347</v>
      </c>
      <c r="BW567" s="116"/>
      <c r="BX567" t="s">
        <v>173</v>
      </c>
      <c r="BY567" t="s">
        <v>173</v>
      </c>
      <c r="CB567" t="s">
        <v>173</v>
      </c>
      <c r="CC567" t="s">
        <v>173</v>
      </c>
      <c r="CK567" t="s">
        <v>259</v>
      </c>
      <c r="CM567">
        <v>1</v>
      </c>
      <c r="CN567" t="s">
        <v>260</v>
      </c>
      <c r="CP567">
        <v>392</v>
      </c>
      <c r="CQ567">
        <v>169</v>
      </c>
      <c r="CR567">
        <v>180</v>
      </c>
      <c r="CS567" t="s">
        <v>261</v>
      </c>
      <c r="CV567" t="s">
        <v>262</v>
      </c>
      <c r="CX567" t="s">
        <v>263</v>
      </c>
      <c r="CY567" t="s">
        <v>173</v>
      </c>
      <c r="DC567" t="s">
        <v>1755</v>
      </c>
      <c r="DD567">
        <v>2</v>
      </c>
      <c r="DE567" t="s">
        <v>307</v>
      </c>
      <c r="DF567" t="s">
        <v>330</v>
      </c>
      <c r="DG567" t="s">
        <v>1781</v>
      </c>
      <c r="DL567" t="s">
        <v>173</v>
      </c>
      <c r="DM567" t="s">
        <v>172</v>
      </c>
      <c r="DP567" t="s">
        <v>173</v>
      </c>
      <c r="DQ567" t="s">
        <v>189</v>
      </c>
      <c r="EA567" s="117"/>
      <c r="EB567">
        <v>9</v>
      </c>
      <c r="EC567">
        <v>10</v>
      </c>
      <c r="EE567" t="s">
        <v>1782</v>
      </c>
      <c r="EF567">
        <v>10</v>
      </c>
      <c r="EU567">
        <v>3750</v>
      </c>
      <c r="EW567">
        <v>0</v>
      </c>
      <c r="EX567">
        <v>0</v>
      </c>
      <c r="EY567">
        <v>0</v>
      </c>
      <c r="FA567">
        <v>8</v>
      </c>
      <c r="FC567">
        <v>203</v>
      </c>
      <c r="FG567" s="94">
        <v>215</v>
      </c>
      <c r="FH567" s="94">
        <v>189</v>
      </c>
      <c r="FI567" s="94">
        <v>203</v>
      </c>
    </row>
    <row r="568" spans="1:165" x14ac:dyDescent="0.35">
      <c r="A568">
        <v>2026</v>
      </c>
      <c r="B568" t="s">
        <v>524</v>
      </c>
      <c r="C568" s="112" t="s">
        <v>525</v>
      </c>
      <c r="D568" t="s">
        <v>1780</v>
      </c>
      <c r="E568" t="s">
        <v>527</v>
      </c>
      <c r="F568">
        <v>284</v>
      </c>
      <c r="G568" s="113">
        <v>0</v>
      </c>
      <c r="I568" t="s">
        <v>1391</v>
      </c>
      <c r="J568">
        <v>36</v>
      </c>
      <c r="K568">
        <v>41</v>
      </c>
      <c r="L568">
        <v>38</v>
      </c>
      <c r="M568">
        <v>24.910499999999999</v>
      </c>
      <c r="N568">
        <v>28.3596</v>
      </c>
      <c r="O568">
        <v>26.462599999999998</v>
      </c>
      <c r="P568">
        <v>35.587600000000002</v>
      </c>
      <c r="Q568">
        <v>40.530299999999997</v>
      </c>
      <c r="R568">
        <v>37.811799999999998</v>
      </c>
      <c r="V568" t="s">
        <v>170</v>
      </c>
      <c r="W568" t="s">
        <v>171</v>
      </c>
      <c r="Y568">
        <v>1</v>
      </c>
      <c r="Z568" t="s">
        <v>173</v>
      </c>
      <c r="AA568" t="s">
        <v>173</v>
      </c>
      <c r="AB568" t="s">
        <v>170</v>
      </c>
      <c r="AC568" t="s">
        <v>232</v>
      </c>
      <c r="AF568">
        <v>203</v>
      </c>
      <c r="AG568" t="s">
        <v>1392</v>
      </c>
      <c r="AH568" t="s">
        <v>1393</v>
      </c>
      <c r="AI568" t="s">
        <v>1399</v>
      </c>
      <c r="AJ568" t="s">
        <v>1400</v>
      </c>
      <c r="AK568">
        <v>4</v>
      </c>
      <c r="AL568" t="s">
        <v>1394</v>
      </c>
      <c r="AS568">
        <v>950</v>
      </c>
      <c r="AT568">
        <v>950</v>
      </c>
      <c r="BN568" s="114"/>
      <c r="BQ568">
        <v>31</v>
      </c>
      <c r="BR568" t="s">
        <v>887</v>
      </c>
      <c r="BT568" t="s">
        <v>1402</v>
      </c>
      <c r="BU568" s="115">
        <v>45915</v>
      </c>
      <c r="BV568">
        <v>37347</v>
      </c>
      <c r="BW568" s="116"/>
      <c r="BX568" t="s">
        <v>173</v>
      </c>
      <c r="BY568" t="s">
        <v>173</v>
      </c>
      <c r="CB568" t="s">
        <v>173</v>
      </c>
      <c r="CC568" t="s">
        <v>173</v>
      </c>
      <c r="CK568" t="s">
        <v>259</v>
      </c>
      <c r="CM568">
        <v>1</v>
      </c>
      <c r="CN568" t="s">
        <v>260</v>
      </c>
      <c r="CP568">
        <v>392</v>
      </c>
      <c r="CQ568">
        <v>169</v>
      </c>
      <c r="CR568">
        <v>180</v>
      </c>
      <c r="CS568" t="s">
        <v>261</v>
      </c>
      <c r="CV568" t="s">
        <v>262</v>
      </c>
      <c r="CX568" t="s">
        <v>263</v>
      </c>
      <c r="CY568" t="s">
        <v>173</v>
      </c>
      <c r="DC568" t="s">
        <v>1755</v>
      </c>
      <c r="DD568">
        <v>2</v>
      </c>
      <c r="DE568" t="s">
        <v>307</v>
      </c>
      <c r="DF568" t="s">
        <v>330</v>
      </c>
      <c r="DG568" t="s">
        <v>1781</v>
      </c>
      <c r="DL568" t="s">
        <v>173</v>
      </c>
      <c r="DM568" t="s">
        <v>172</v>
      </c>
      <c r="DP568" t="s">
        <v>173</v>
      </c>
      <c r="DQ568" t="s">
        <v>189</v>
      </c>
      <c r="EA568" s="117"/>
      <c r="EB568">
        <v>9</v>
      </c>
      <c r="EC568">
        <v>10</v>
      </c>
      <c r="EE568" t="s">
        <v>1782</v>
      </c>
      <c r="EF568">
        <v>10</v>
      </c>
      <c r="EU568">
        <v>3750</v>
      </c>
      <c r="EW568">
        <v>0</v>
      </c>
      <c r="EX568">
        <v>0</v>
      </c>
      <c r="EY568">
        <v>0</v>
      </c>
      <c r="FA568">
        <v>8</v>
      </c>
      <c r="FC568">
        <v>203</v>
      </c>
      <c r="FG568" s="94">
        <v>215</v>
      </c>
      <c r="FH568" s="94">
        <v>189</v>
      </c>
      <c r="FI568" s="94">
        <v>203</v>
      </c>
    </row>
    <row r="569" spans="1:165" x14ac:dyDescent="0.35">
      <c r="A569" s="19"/>
      <c r="B569" s="19"/>
      <c r="C569" s="19"/>
      <c r="D569" s="19"/>
      <c r="E569" s="19"/>
      <c r="F569" s="128"/>
      <c r="G569" s="19"/>
      <c r="H569" s="19"/>
      <c r="I569" s="19"/>
      <c r="J569" s="19"/>
      <c r="K569" s="19" t="str">
        <f>_xlfn.CONCAT(A570," ",C570," ",D570)</f>
        <v>2026 Volvo Cars of North America, LLC EX30 Cross Country (19 Inch wheels)</v>
      </c>
      <c r="L569" s="19"/>
      <c r="M569" s="19"/>
      <c r="N569" s="19"/>
      <c r="O569" s="19"/>
      <c r="P569" s="19"/>
      <c r="Q569" s="19"/>
      <c r="R569" s="19"/>
      <c r="S569" s="19"/>
      <c r="T569" s="19"/>
      <c r="U569" s="19"/>
      <c r="V569" s="19"/>
      <c r="W569" s="19"/>
      <c r="X569" s="19"/>
      <c r="Y569" s="19"/>
      <c r="Z569" s="19"/>
      <c r="AA569" s="19"/>
      <c r="AB569" s="19" t="str">
        <f>$K569</f>
        <v>2026 Volvo Cars of North America, LLC EX30 Cross Country (19 Inch wheels)</v>
      </c>
      <c r="AC569" s="19"/>
      <c r="AD569" s="19"/>
      <c r="AE569" s="19"/>
      <c r="AF569" s="19"/>
      <c r="AG569" s="19"/>
      <c r="AH569" s="19"/>
      <c r="AI569" s="19"/>
      <c r="AJ569" s="19"/>
      <c r="AK569" s="19"/>
      <c r="AL569" s="19"/>
      <c r="AM569" s="19"/>
      <c r="AN569" s="19"/>
      <c r="AO569" s="19"/>
      <c r="AP569" s="19"/>
      <c r="AQ569" s="19"/>
      <c r="AR569" s="19" t="str">
        <f>$K569</f>
        <v>2026 Volvo Cars of North America, LLC EX30 Cross Country (19 Inch wheels)</v>
      </c>
      <c r="AS569" s="19"/>
      <c r="AT569" s="19"/>
      <c r="AU569" s="19"/>
      <c r="AV569" s="19"/>
      <c r="AW569" s="19"/>
      <c r="AX569" s="19"/>
      <c r="AY569" s="19"/>
      <c r="AZ569" s="19"/>
      <c r="BA569" s="19"/>
      <c r="BB569" s="19"/>
      <c r="BC569" s="19"/>
      <c r="BD569" s="19"/>
      <c r="BE569" s="19"/>
      <c r="BF569" s="19"/>
      <c r="BG569" s="19" t="str">
        <f>$K569</f>
        <v>2026 Volvo Cars of North America, LLC EX30 Cross Country (19 Inch wheels)</v>
      </c>
      <c r="BH569" s="19"/>
      <c r="BI569" s="19"/>
      <c r="BJ569" s="19"/>
      <c r="BK569" s="19"/>
      <c r="BL569" s="19"/>
      <c r="BM569" s="129"/>
      <c r="BN569" s="19"/>
      <c r="BO569" s="19"/>
      <c r="BP569" s="19"/>
      <c r="BQ569" s="19"/>
      <c r="BR569" s="19"/>
      <c r="BS569" s="19"/>
      <c r="BT569" s="130"/>
      <c r="BU569" s="19"/>
      <c r="BV569" s="19"/>
      <c r="BW569" s="116"/>
      <c r="BX569" s="19"/>
      <c r="BY569" s="19"/>
      <c r="BZ569" s="19"/>
      <c r="CA569" s="19"/>
      <c r="CB569" s="19"/>
      <c r="CC569" s="19"/>
      <c r="CD569" s="19"/>
      <c r="CE569" s="19"/>
      <c r="CF569" s="19"/>
      <c r="CG569" s="19"/>
      <c r="CH569" s="19"/>
      <c r="CI569" s="19"/>
      <c r="CJ569" s="19"/>
      <c r="CK569" s="19"/>
      <c r="CL569" s="19"/>
      <c r="CM569" s="19" t="str">
        <f>$K569</f>
        <v>2026 Volvo Cars of North America, LLC EX30 Cross Country (19 Inch wheels)</v>
      </c>
      <c r="CN569" s="19"/>
      <c r="CO569" s="19"/>
      <c r="CP569" s="19"/>
      <c r="CQ569" s="19"/>
      <c r="CR569" s="19"/>
      <c r="CS569" s="19"/>
      <c r="CT569" s="19"/>
      <c r="CU569" s="19"/>
      <c r="CV569" s="19"/>
      <c r="CW569" s="19"/>
      <c r="CX569" s="19"/>
      <c r="CY569" s="19"/>
      <c r="CZ569" s="19"/>
      <c r="DA569" s="19"/>
      <c r="DB569" s="19"/>
      <c r="DC569" s="19"/>
      <c r="DD569" s="19" t="str">
        <f>$K569</f>
        <v>2026 Volvo Cars of North America, LLC EX30 Cross Country (19 Inch wheels)</v>
      </c>
      <c r="DE569" s="19"/>
      <c r="DF569" s="19"/>
      <c r="DG569" s="19"/>
      <c r="DH569" s="19"/>
      <c r="DI569" s="19"/>
      <c r="DJ569" s="19"/>
      <c r="DK569" s="19"/>
      <c r="DL569" s="19"/>
      <c r="DM569" s="19"/>
      <c r="DN569" s="19"/>
      <c r="DO569" s="19"/>
      <c r="DP569" s="19"/>
      <c r="DQ569" s="19"/>
      <c r="DR569" s="19"/>
      <c r="DS569" s="19"/>
      <c r="DT569" s="19"/>
      <c r="DU569" s="19" t="str">
        <f>$K569</f>
        <v>2026 Volvo Cars of North America, LLC EX30 Cross Country (19 Inch wheels)</v>
      </c>
      <c r="DV569" s="19"/>
      <c r="DW569" s="19"/>
      <c r="DX569" s="19"/>
      <c r="DY569" s="19"/>
      <c r="DZ569" s="19"/>
      <c r="EA569" s="117"/>
      <c r="EB569" s="19"/>
      <c r="EC569" s="19"/>
      <c r="ED569" s="19"/>
      <c r="EE569" s="19"/>
      <c r="EF569" s="19"/>
      <c r="EX569" s="19" t="s">
        <v>2108</v>
      </c>
    </row>
    <row r="570" spans="1:165" x14ac:dyDescent="0.35">
      <c r="A570">
        <v>2026</v>
      </c>
      <c r="B570" t="s">
        <v>524</v>
      </c>
      <c r="C570" s="112" t="s">
        <v>525</v>
      </c>
      <c r="D570" t="s">
        <v>1783</v>
      </c>
      <c r="E570" t="s">
        <v>527</v>
      </c>
      <c r="F570">
        <v>285</v>
      </c>
      <c r="G570" s="113">
        <v>0</v>
      </c>
      <c r="I570" t="s">
        <v>1391</v>
      </c>
      <c r="J570">
        <v>106</v>
      </c>
      <c r="K570">
        <v>92</v>
      </c>
      <c r="L570">
        <v>99</v>
      </c>
      <c r="M570">
        <v>151.1</v>
      </c>
      <c r="N570">
        <v>130.80000000000001</v>
      </c>
      <c r="O570">
        <v>141.23609999999999</v>
      </c>
      <c r="P570">
        <v>105.77</v>
      </c>
      <c r="Q570">
        <v>91.56</v>
      </c>
      <c r="R570">
        <v>98.865300000000005</v>
      </c>
      <c r="V570" t="s">
        <v>170</v>
      </c>
      <c r="W570" t="s">
        <v>171</v>
      </c>
      <c r="Y570">
        <v>1</v>
      </c>
      <c r="Z570" t="s">
        <v>173</v>
      </c>
      <c r="AA570" t="s">
        <v>173</v>
      </c>
      <c r="AB570" t="s">
        <v>170</v>
      </c>
      <c r="AC570" t="s">
        <v>232</v>
      </c>
      <c r="AF570">
        <v>227</v>
      </c>
      <c r="AG570" t="s">
        <v>1392</v>
      </c>
      <c r="AH570" t="s">
        <v>1393</v>
      </c>
      <c r="AI570" t="s">
        <v>178</v>
      </c>
      <c r="AJ570" t="s">
        <v>179</v>
      </c>
      <c r="AK570">
        <v>4</v>
      </c>
      <c r="AL570" t="s">
        <v>1394</v>
      </c>
      <c r="AS570">
        <v>850</v>
      </c>
      <c r="AT570">
        <v>850</v>
      </c>
      <c r="BN570" s="114"/>
      <c r="BQ570">
        <v>31</v>
      </c>
      <c r="BR570" t="s">
        <v>887</v>
      </c>
      <c r="BT570" t="s">
        <v>1402</v>
      </c>
      <c r="BU570" s="115">
        <v>45915</v>
      </c>
      <c r="BV570">
        <v>37348</v>
      </c>
      <c r="BW570" s="116"/>
      <c r="BX570" t="s">
        <v>173</v>
      </c>
      <c r="BY570" t="s">
        <v>173</v>
      </c>
      <c r="CB570" t="s">
        <v>173</v>
      </c>
      <c r="CC570" t="s">
        <v>173</v>
      </c>
      <c r="CK570" t="s">
        <v>259</v>
      </c>
      <c r="CM570">
        <v>1</v>
      </c>
      <c r="CN570" t="s">
        <v>260</v>
      </c>
      <c r="CP570">
        <v>392</v>
      </c>
      <c r="CQ570">
        <v>169</v>
      </c>
      <c r="CR570">
        <v>180</v>
      </c>
      <c r="CS570" t="s">
        <v>261</v>
      </c>
      <c r="CV570" t="s">
        <v>262</v>
      </c>
      <c r="CX570" t="s">
        <v>263</v>
      </c>
      <c r="CY570" t="s">
        <v>173</v>
      </c>
      <c r="DC570" t="s">
        <v>1755</v>
      </c>
      <c r="DD570">
        <v>2</v>
      </c>
      <c r="DE570" t="s">
        <v>307</v>
      </c>
      <c r="DF570" t="s">
        <v>330</v>
      </c>
      <c r="DG570" t="s">
        <v>1781</v>
      </c>
      <c r="DL570" t="s">
        <v>173</v>
      </c>
      <c r="DM570" t="s">
        <v>172</v>
      </c>
      <c r="DP570" t="s">
        <v>173</v>
      </c>
      <c r="DQ570" t="s">
        <v>189</v>
      </c>
      <c r="EA570" s="117"/>
      <c r="EB570">
        <v>9</v>
      </c>
      <c r="EC570">
        <v>10</v>
      </c>
      <c r="EE570" t="s">
        <v>1782</v>
      </c>
      <c r="EF570">
        <v>10</v>
      </c>
      <c r="EU570">
        <v>4250</v>
      </c>
      <c r="EW570">
        <v>0</v>
      </c>
      <c r="EX570">
        <v>0</v>
      </c>
      <c r="EY570">
        <v>0</v>
      </c>
      <c r="FA570">
        <v>8</v>
      </c>
      <c r="FC570">
        <v>227</v>
      </c>
      <c r="FG570" s="94">
        <v>242</v>
      </c>
      <c r="FH570" s="94">
        <v>209</v>
      </c>
      <c r="FI570" s="94">
        <v>227</v>
      </c>
    </row>
    <row r="571" spans="1:165" x14ac:dyDescent="0.35">
      <c r="A571">
        <v>2026</v>
      </c>
      <c r="B571" t="s">
        <v>524</v>
      </c>
      <c r="C571" s="112" t="s">
        <v>525</v>
      </c>
      <c r="D571" t="s">
        <v>1783</v>
      </c>
      <c r="E571" t="s">
        <v>527</v>
      </c>
      <c r="F571">
        <v>285</v>
      </c>
      <c r="G571" s="113">
        <v>0</v>
      </c>
      <c r="I571" t="s">
        <v>1391</v>
      </c>
      <c r="J571">
        <v>32</v>
      </c>
      <c r="K571">
        <v>37</v>
      </c>
      <c r="L571">
        <v>34</v>
      </c>
      <c r="M571">
        <v>22.305399999999999</v>
      </c>
      <c r="N571">
        <v>25.778099999999998</v>
      </c>
      <c r="O571">
        <v>23.868099999999998</v>
      </c>
      <c r="P571">
        <v>31.866299999999999</v>
      </c>
      <c r="Q571">
        <v>36.811900000000001</v>
      </c>
      <c r="R571">
        <v>34.091900000000003</v>
      </c>
      <c r="V571" t="s">
        <v>170</v>
      </c>
      <c r="W571" t="s">
        <v>171</v>
      </c>
      <c r="Y571">
        <v>1</v>
      </c>
      <c r="Z571" t="s">
        <v>173</v>
      </c>
      <c r="AA571" t="s">
        <v>173</v>
      </c>
      <c r="AB571" t="s">
        <v>170</v>
      </c>
      <c r="AC571" t="s">
        <v>232</v>
      </c>
      <c r="AF571">
        <v>227</v>
      </c>
      <c r="AG571" t="s">
        <v>1392</v>
      </c>
      <c r="AH571" t="s">
        <v>1393</v>
      </c>
      <c r="AI571" t="s">
        <v>1399</v>
      </c>
      <c r="AJ571" t="s">
        <v>1400</v>
      </c>
      <c r="AK571">
        <v>4</v>
      </c>
      <c r="AL571" t="s">
        <v>1394</v>
      </c>
      <c r="AS571">
        <v>850</v>
      </c>
      <c r="AT571">
        <v>850</v>
      </c>
      <c r="BN571" s="114"/>
      <c r="BQ571">
        <v>31</v>
      </c>
      <c r="BR571" t="s">
        <v>887</v>
      </c>
      <c r="BT571" t="s">
        <v>1402</v>
      </c>
      <c r="BU571" s="115">
        <v>45915</v>
      </c>
      <c r="BV571">
        <v>37348</v>
      </c>
      <c r="BW571" s="116"/>
      <c r="BX571" t="s">
        <v>173</v>
      </c>
      <c r="BY571" t="s">
        <v>173</v>
      </c>
      <c r="CB571" t="s">
        <v>173</v>
      </c>
      <c r="CC571" t="s">
        <v>173</v>
      </c>
      <c r="CK571" t="s">
        <v>259</v>
      </c>
      <c r="CM571">
        <v>1</v>
      </c>
      <c r="CN571" t="s">
        <v>260</v>
      </c>
      <c r="CP571">
        <v>392</v>
      </c>
      <c r="CQ571">
        <v>169</v>
      </c>
      <c r="CR571">
        <v>180</v>
      </c>
      <c r="CS571" t="s">
        <v>261</v>
      </c>
      <c r="CV571" t="s">
        <v>262</v>
      </c>
      <c r="CX571" t="s">
        <v>263</v>
      </c>
      <c r="CY571" t="s">
        <v>173</v>
      </c>
      <c r="DC571" t="s">
        <v>1755</v>
      </c>
      <c r="DD571">
        <v>2</v>
      </c>
      <c r="DE571" t="s">
        <v>307</v>
      </c>
      <c r="DF571" t="s">
        <v>330</v>
      </c>
      <c r="DG571" t="s">
        <v>1781</v>
      </c>
      <c r="DL571" t="s">
        <v>173</v>
      </c>
      <c r="DM571" t="s">
        <v>172</v>
      </c>
      <c r="DP571" t="s">
        <v>173</v>
      </c>
      <c r="DQ571" t="s">
        <v>189</v>
      </c>
      <c r="EA571" s="117"/>
      <c r="EB571">
        <v>9</v>
      </c>
      <c r="EC571">
        <v>10</v>
      </c>
      <c r="EE571" t="s">
        <v>1782</v>
      </c>
      <c r="EF571">
        <v>10</v>
      </c>
      <c r="EU571">
        <v>4250</v>
      </c>
      <c r="EW571">
        <v>0</v>
      </c>
      <c r="EX571">
        <v>0</v>
      </c>
      <c r="EY571">
        <v>0</v>
      </c>
      <c r="FA571">
        <v>8</v>
      </c>
      <c r="FC571">
        <v>227</v>
      </c>
      <c r="FG571" s="94">
        <v>242</v>
      </c>
      <c r="FH571" s="94">
        <v>209</v>
      </c>
      <c r="FI571" s="94">
        <v>227</v>
      </c>
    </row>
    <row r="572" spans="1:165" x14ac:dyDescent="0.35">
      <c r="A572" s="19"/>
      <c r="B572" s="19"/>
      <c r="C572" s="19"/>
      <c r="D572" s="19"/>
      <c r="E572" s="19"/>
      <c r="F572" s="128"/>
      <c r="G572" s="19"/>
      <c r="H572" s="19"/>
      <c r="I572" s="19"/>
      <c r="J572" s="19"/>
      <c r="K572" s="19" t="str">
        <f>_xlfn.CONCAT(A573," ",C573," ",D573)</f>
        <v>2026 Volvo Cars of North America, LLC EX30 Twin Performance</v>
      </c>
      <c r="L572" s="19"/>
      <c r="M572" s="19"/>
      <c r="N572" s="19"/>
      <c r="O572" s="19"/>
      <c r="P572" s="19"/>
      <c r="Q572" s="19"/>
      <c r="R572" s="19"/>
      <c r="S572" s="19"/>
      <c r="T572" s="19"/>
      <c r="U572" s="19"/>
      <c r="V572" s="19"/>
      <c r="W572" s="19"/>
      <c r="X572" s="19"/>
      <c r="Y572" s="19"/>
      <c r="Z572" s="19"/>
      <c r="AA572" s="19"/>
      <c r="AB572" s="19" t="str">
        <f>$K572</f>
        <v>2026 Volvo Cars of North America, LLC EX30 Twin Performance</v>
      </c>
      <c r="AC572" s="19"/>
      <c r="AD572" s="19"/>
      <c r="AE572" s="19"/>
      <c r="AF572" s="19"/>
      <c r="AG572" s="19"/>
      <c r="AH572" s="19"/>
      <c r="AI572" s="19"/>
      <c r="AJ572" s="19"/>
      <c r="AK572" s="19"/>
      <c r="AL572" s="19"/>
      <c r="AM572" s="19"/>
      <c r="AN572" s="19"/>
      <c r="AO572" s="19"/>
      <c r="AP572" s="19"/>
      <c r="AQ572" s="19"/>
      <c r="AR572" s="19" t="str">
        <f>$K572</f>
        <v>2026 Volvo Cars of North America, LLC EX30 Twin Performance</v>
      </c>
      <c r="AS572" s="19"/>
      <c r="AT572" s="19"/>
      <c r="AU572" s="19"/>
      <c r="AV572" s="19"/>
      <c r="AW572" s="19"/>
      <c r="AX572" s="19"/>
      <c r="AY572" s="19"/>
      <c r="AZ572" s="19"/>
      <c r="BA572" s="19"/>
      <c r="BB572" s="19"/>
      <c r="BC572" s="19"/>
      <c r="BD572" s="19"/>
      <c r="BE572" s="19"/>
      <c r="BF572" s="19"/>
      <c r="BG572" s="19" t="str">
        <f>$K572</f>
        <v>2026 Volvo Cars of North America, LLC EX30 Twin Performance</v>
      </c>
      <c r="BH572" s="19"/>
      <c r="BI572" s="19"/>
      <c r="BJ572" s="19"/>
      <c r="BK572" s="19"/>
      <c r="BL572" s="19"/>
      <c r="BM572" s="129"/>
      <c r="BN572" s="19"/>
      <c r="BO572" s="19"/>
      <c r="BP572" s="19"/>
      <c r="BQ572" s="19"/>
      <c r="BR572" s="19"/>
      <c r="BS572" s="19"/>
      <c r="BT572" s="130"/>
      <c r="BU572" s="19"/>
      <c r="BV572" s="19"/>
      <c r="BW572" s="116"/>
      <c r="BX572" s="19"/>
      <c r="BY572" s="19"/>
      <c r="BZ572" s="19"/>
      <c r="CA572" s="19"/>
      <c r="CB572" s="19"/>
      <c r="CC572" s="19"/>
      <c r="CD572" s="19"/>
      <c r="CE572" s="19"/>
      <c r="CF572" s="19"/>
      <c r="CG572" s="19"/>
      <c r="CH572" s="19"/>
      <c r="CI572" s="19"/>
      <c r="CJ572" s="19"/>
      <c r="CK572" s="19"/>
      <c r="CL572" s="19"/>
      <c r="CM572" s="19" t="str">
        <f>$K572</f>
        <v>2026 Volvo Cars of North America, LLC EX30 Twin Performance</v>
      </c>
      <c r="CN572" s="19"/>
      <c r="CO572" s="19"/>
      <c r="CP572" s="19"/>
      <c r="CQ572" s="19"/>
      <c r="CR572" s="19"/>
      <c r="CS572" s="19"/>
      <c r="CT572" s="19"/>
      <c r="CU572" s="19"/>
      <c r="CV572" s="19"/>
      <c r="CW572" s="19"/>
      <c r="CX572" s="19"/>
      <c r="CY572" s="19"/>
      <c r="CZ572" s="19"/>
      <c r="DA572" s="19"/>
      <c r="DB572" s="19"/>
      <c r="DC572" s="19"/>
      <c r="DD572" s="19" t="str">
        <f>$K572</f>
        <v>2026 Volvo Cars of North America, LLC EX30 Twin Performance</v>
      </c>
      <c r="DE572" s="19"/>
      <c r="DF572" s="19"/>
      <c r="DG572" s="19"/>
      <c r="DH572" s="19"/>
      <c r="DI572" s="19"/>
      <c r="DJ572" s="19"/>
      <c r="DK572" s="19"/>
      <c r="DL572" s="19"/>
      <c r="DM572" s="19"/>
      <c r="DN572" s="19"/>
      <c r="DO572" s="19"/>
      <c r="DP572" s="19"/>
      <c r="DQ572" s="19"/>
      <c r="DR572" s="19"/>
      <c r="DS572" s="19"/>
      <c r="DT572" s="19"/>
      <c r="DU572" s="19" t="str">
        <f>$K572</f>
        <v>2026 Volvo Cars of North America, LLC EX30 Twin Performance</v>
      </c>
      <c r="DV572" s="19"/>
      <c r="DW572" s="19"/>
      <c r="DX572" s="19"/>
      <c r="DY572" s="19"/>
      <c r="DZ572" s="19"/>
      <c r="EA572" s="117"/>
      <c r="EB572" s="19"/>
      <c r="EC572" s="19"/>
      <c r="ED572" s="19"/>
      <c r="EE572" s="19"/>
      <c r="EF572" s="19"/>
      <c r="EX572" s="19" t="s">
        <v>2109</v>
      </c>
    </row>
    <row r="573" spans="1:165" x14ac:dyDescent="0.35">
      <c r="A573">
        <v>2026</v>
      </c>
      <c r="B573" t="s">
        <v>524</v>
      </c>
      <c r="C573" s="112" t="s">
        <v>525</v>
      </c>
      <c r="D573" t="s">
        <v>1784</v>
      </c>
      <c r="E573" t="s">
        <v>527</v>
      </c>
      <c r="F573">
        <v>282</v>
      </c>
      <c r="G573" s="113">
        <v>0</v>
      </c>
      <c r="I573" t="s">
        <v>1391</v>
      </c>
      <c r="J573">
        <v>116</v>
      </c>
      <c r="K573">
        <v>100</v>
      </c>
      <c r="L573">
        <v>109</v>
      </c>
      <c r="M573">
        <v>166</v>
      </c>
      <c r="N573">
        <v>143.4</v>
      </c>
      <c r="O573">
        <v>155.0068</v>
      </c>
      <c r="P573">
        <v>116.2</v>
      </c>
      <c r="Q573">
        <v>100.38</v>
      </c>
      <c r="R573">
        <v>108.5048</v>
      </c>
      <c r="V573" t="s">
        <v>170</v>
      </c>
      <c r="W573" t="s">
        <v>171</v>
      </c>
      <c r="Y573">
        <v>1</v>
      </c>
      <c r="Z573" t="s">
        <v>173</v>
      </c>
      <c r="AA573" t="s">
        <v>173</v>
      </c>
      <c r="AB573" t="s">
        <v>170</v>
      </c>
      <c r="AC573" t="s">
        <v>232</v>
      </c>
      <c r="AF573">
        <v>253</v>
      </c>
      <c r="AG573" t="s">
        <v>1392</v>
      </c>
      <c r="AH573" t="s">
        <v>1393</v>
      </c>
      <c r="AI573" t="s">
        <v>178</v>
      </c>
      <c r="AJ573" t="s">
        <v>179</v>
      </c>
      <c r="AK573">
        <v>4</v>
      </c>
      <c r="AL573" t="s">
        <v>1394</v>
      </c>
      <c r="AS573">
        <v>800</v>
      </c>
      <c r="AT573">
        <v>800</v>
      </c>
      <c r="BN573" s="114"/>
      <c r="BQ573">
        <v>31</v>
      </c>
      <c r="BR573" t="s">
        <v>887</v>
      </c>
      <c r="BT573" t="s">
        <v>1402</v>
      </c>
      <c r="BU573" s="115">
        <v>45915</v>
      </c>
      <c r="BV573">
        <v>37345</v>
      </c>
      <c r="BW573" s="116"/>
      <c r="BX573" t="s">
        <v>173</v>
      </c>
      <c r="BY573" t="s">
        <v>173</v>
      </c>
      <c r="CB573" t="s">
        <v>173</v>
      </c>
      <c r="CC573" t="s">
        <v>173</v>
      </c>
      <c r="CK573" t="s">
        <v>259</v>
      </c>
      <c r="CM573">
        <v>1</v>
      </c>
      <c r="CN573" t="s">
        <v>260</v>
      </c>
      <c r="CP573">
        <v>392</v>
      </c>
      <c r="CQ573">
        <v>169</v>
      </c>
      <c r="CR573">
        <v>180</v>
      </c>
      <c r="CS573" t="s">
        <v>261</v>
      </c>
      <c r="CV573" t="s">
        <v>262</v>
      </c>
      <c r="CX573" t="s">
        <v>263</v>
      </c>
      <c r="CY573" t="s">
        <v>173</v>
      </c>
      <c r="DC573" t="s">
        <v>1755</v>
      </c>
      <c r="DD573">
        <v>2</v>
      </c>
      <c r="DE573" t="s">
        <v>307</v>
      </c>
      <c r="DF573" t="s">
        <v>330</v>
      </c>
      <c r="DG573" t="s">
        <v>1781</v>
      </c>
      <c r="DL573" t="s">
        <v>173</v>
      </c>
      <c r="DM573" t="s">
        <v>172</v>
      </c>
      <c r="DP573" t="s">
        <v>173</v>
      </c>
      <c r="DQ573" t="s">
        <v>189</v>
      </c>
      <c r="EA573" s="117"/>
      <c r="EB573">
        <v>9</v>
      </c>
      <c r="EC573">
        <v>10</v>
      </c>
      <c r="EE573" t="s">
        <v>1782</v>
      </c>
      <c r="EF573">
        <v>10</v>
      </c>
      <c r="EU573">
        <v>4500</v>
      </c>
      <c r="EW573">
        <v>0</v>
      </c>
      <c r="EX573">
        <v>0</v>
      </c>
      <c r="EY573">
        <v>0</v>
      </c>
      <c r="FA573">
        <v>8</v>
      </c>
      <c r="FC573">
        <v>253</v>
      </c>
      <c r="FG573" s="94">
        <v>270</v>
      </c>
      <c r="FH573" s="94">
        <v>233</v>
      </c>
      <c r="FI573" s="94">
        <v>253</v>
      </c>
    </row>
    <row r="574" spans="1:165" x14ac:dyDescent="0.35">
      <c r="A574">
        <v>2026</v>
      </c>
      <c r="B574" t="s">
        <v>524</v>
      </c>
      <c r="C574" s="112" t="s">
        <v>525</v>
      </c>
      <c r="D574" t="s">
        <v>1784</v>
      </c>
      <c r="E574" t="s">
        <v>527</v>
      </c>
      <c r="F574">
        <v>282</v>
      </c>
      <c r="G574" s="113">
        <v>0</v>
      </c>
      <c r="I574" t="s">
        <v>1391</v>
      </c>
      <c r="J574">
        <v>29</v>
      </c>
      <c r="K574">
        <v>34</v>
      </c>
      <c r="L574">
        <v>31</v>
      </c>
      <c r="M574">
        <v>20.302600000000002</v>
      </c>
      <c r="N574">
        <v>23.507000000000001</v>
      </c>
      <c r="O574">
        <v>21.744499999999999</v>
      </c>
      <c r="P574">
        <v>29.006</v>
      </c>
      <c r="Q574">
        <v>33.577399999999997</v>
      </c>
      <c r="R574">
        <v>31.063199999999998</v>
      </c>
      <c r="V574" t="s">
        <v>170</v>
      </c>
      <c r="W574" t="s">
        <v>171</v>
      </c>
      <c r="Y574">
        <v>1</v>
      </c>
      <c r="Z574" t="s">
        <v>173</v>
      </c>
      <c r="AA574" t="s">
        <v>173</v>
      </c>
      <c r="AB574" t="s">
        <v>170</v>
      </c>
      <c r="AC574" t="s">
        <v>232</v>
      </c>
      <c r="AF574">
        <v>253</v>
      </c>
      <c r="AG574" t="s">
        <v>1392</v>
      </c>
      <c r="AH574" t="s">
        <v>1393</v>
      </c>
      <c r="AI574" t="s">
        <v>1399</v>
      </c>
      <c r="AJ574" t="s">
        <v>1400</v>
      </c>
      <c r="AK574">
        <v>4</v>
      </c>
      <c r="AL574" t="s">
        <v>1394</v>
      </c>
      <c r="AS574">
        <v>800</v>
      </c>
      <c r="AT574">
        <v>800</v>
      </c>
      <c r="BN574" s="114"/>
      <c r="BQ574">
        <v>31</v>
      </c>
      <c r="BR574" t="s">
        <v>887</v>
      </c>
      <c r="BT574" t="s">
        <v>1402</v>
      </c>
      <c r="BU574" s="115">
        <v>45915</v>
      </c>
      <c r="BV574">
        <v>37345</v>
      </c>
      <c r="BW574" s="116"/>
      <c r="BX574" t="s">
        <v>173</v>
      </c>
      <c r="BY574" t="s">
        <v>173</v>
      </c>
      <c r="CB574" t="s">
        <v>173</v>
      </c>
      <c r="CC574" t="s">
        <v>173</v>
      </c>
      <c r="CK574" t="s">
        <v>259</v>
      </c>
      <c r="CM574">
        <v>1</v>
      </c>
      <c r="CN574" t="s">
        <v>260</v>
      </c>
      <c r="CP574">
        <v>392</v>
      </c>
      <c r="CQ574">
        <v>169</v>
      </c>
      <c r="CR574">
        <v>180</v>
      </c>
      <c r="CS574" t="s">
        <v>261</v>
      </c>
      <c r="CV574" t="s">
        <v>262</v>
      </c>
      <c r="CX574" t="s">
        <v>263</v>
      </c>
      <c r="CY574" t="s">
        <v>173</v>
      </c>
      <c r="DC574" t="s">
        <v>1755</v>
      </c>
      <c r="DD574">
        <v>2</v>
      </c>
      <c r="DE574" t="s">
        <v>307</v>
      </c>
      <c r="DF574" t="s">
        <v>330</v>
      </c>
      <c r="DG574" t="s">
        <v>1781</v>
      </c>
      <c r="DL574" t="s">
        <v>173</v>
      </c>
      <c r="DM574" t="s">
        <v>172</v>
      </c>
      <c r="DP574" t="s">
        <v>173</v>
      </c>
      <c r="DQ574" t="s">
        <v>189</v>
      </c>
      <c r="EA574" s="117"/>
      <c r="EB574">
        <v>9</v>
      </c>
      <c r="EC574">
        <v>10</v>
      </c>
      <c r="EE574" t="s">
        <v>1782</v>
      </c>
      <c r="EF574">
        <v>10</v>
      </c>
      <c r="EU574">
        <v>4500</v>
      </c>
      <c r="EW574">
        <v>0</v>
      </c>
      <c r="EX574">
        <v>0</v>
      </c>
      <c r="EY574">
        <v>0</v>
      </c>
      <c r="FA574">
        <v>8</v>
      </c>
      <c r="FC574">
        <v>253</v>
      </c>
      <c r="FG574" s="94">
        <v>270</v>
      </c>
      <c r="FH574" s="94">
        <v>233</v>
      </c>
      <c r="FI574" s="94">
        <v>253</v>
      </c>
    </row>
    <row r="575" spans="1:165" x14ac:dyDescent="0.35">
      <c r="A575" s="19"/>
      <c r="B575" s="19"/>
      <c r="C575" s="19"/>
      <c r="D575" s="19"/>
      <c r="E575" s="19"/>
      <c r="F575" s="128"/>
      <c r="G575" s="19"/>
      <c r="H575" s="19"/>
      <c r="I575" s="19"/>
      <c r="J575" s="19"/>
      <c r="K575" s="19" t="str">
        <f>_xlfn.CONCAT(A576," ",C576," ",D576)</f>
        <v>2026 Volvo Cars of North America, LLC EX40 Twin</v>
      </c>
      <c r="L575" s="19"/>
      <c r="M575" s="19"/>
      <c r="N575" s="19"/>
      <c r="O575" s="19"/>
      <c r="P575" s="19"/>
      <c r="Q575" s="19"/>
      <c r="R575" s="19"/>
      <c r="S575" s="19"/>
      <c r="T575" s="19"/>
      <c r="U575" s="19"/>
      <c r="V575" s="19"/>
      <c r="W575" s="19"/>
      <c r="X575" s="19"/>
      <c r="Y575" s="19"/>
      <c r="Z575" s="19"/>
      <c r="AA575" s="19"/>
      <c r="AB575" s="19" t="str">
        <f>$K575</f>
        <v>2026 Volvo Cars of North America, LLC EX40 Twin</v>
      </c>
      <c r="AC575" s="19"/>
      <c r="AD575" s="19"/>
      <c r="AE575" s="19"/>
      <c r="AF575" s="19"/>
      <c r="AG575" s="19"/>
      <c r="AH575" s="19"/>
      <c r="AI575" s="19"/>
      <c r="AJ575" s="19"/>
      <c r="AK575" s="19"/>
      <c r="AL575" s="19"/>
      <c r="AM575" s="19"/>
      <c r="AN575" s="19"/>
      <c r="AO575" s="19"/>
      <c r="AP575" s="19"/>
      <c r="AQ575" s="19"/>
      <c r="AR575" s="19" t="str">
        <f>$K575</f>
        <v>2026 Volvo Cars of North America, LLC EX40 Twin</v>
      </c>
      <c r="AS575" s="19"/>
      <c r="AT575" s="19"/>
      <c r="AU575" s="19"/>
      <c r="AV575" s="19"/>
      <c r="AW575" s="19"/>
      <c r="AX575" s="19"/>
      <c r="AY575" s="19"/>
      <c r="AZ575" s="19"/>
      <c r="BA575" s="19"/>
      <c r="BB575" s="19"/>
      <c r="BC575" s="19"/>
      <c r="BD575" s="19"/>
      <c r="BE575" s="19"/>
      <c r="BF575" s="19"/>
      <c r="BG575" s="19" t="str">
        <f>$K575</f>
        <v>2026 Volvo Cars of North America, LLC EX40 Twin</v>
      </c>
      <c r="BH575" s="19"/>
      <c r="BI575" s="19"/>
      <c r="BJ575" s="19"/>
      <c r="BK575" s="19"/>
      <c r="BL575" s="19"/>
      <c r="BM575" s="129"/>
      <c r="BN575" s="19"/>
      <c r="BO575" s="19"/>
      <c r="BP575" s="19"/>
      <c r="BQ575" s="19"/>
      <c r="BR575" s="19"/>
      <c r="BS575" s="19"/>
      <c r="BT575" s="130"/>
      <c r="BU575" s="19"/>
      <c r="BV575" s="19"/>
      <c r="BW575" s="116"/>
      <c r="BX575" s="19"/>
      <c r="BY575" s="19"/>
      <c r="BZ575" s="19"/>
      <c r="CA575" s="19"/>
      <c r="CB575" s="19"/>
      <c r="CC575" s="19"/>
      <c r="CD575" s="19"/>
      <c r="CE575" s="19"/>
      <c r="CF575" s="19"/>
      <c r="CG575" s="19"/>
      <c r="CH575" s="19"/>
      <c r="CI575" s="19"/>
      <c r="CJ575" s="19"/>
      <c r="CK575" s="19"/>
      <c r="CL575" s="19"/>
      <c r="CM575" s="19" t="str">
        <f>$K575</f>
        <v>2026 Volvo Cars of North America, LLC EX40 Twin</v>
      </c>
      <c r="CN575" s="19"/>
      <c r="CO575" s="19"/>
      <c r="CP575" s="19"/>
      <c r="CQ575" s="19"/>
      <c r="CR575" s="19"/>
      <c r="CS575" s="19"/>
      <c r="CT575" s="19"/>
      <c r="CU575" s="19"/>
      <c r="CV575" s="19"/>
      <c r="CW575" s="19"/>
      <c r="CX575" s="19"/>
      <c r="CY575" s="19"/>
      <c r="CZ575" s="19"/>
      <c r="DA575" s="19"/>
      <c r="DB575" s="19"/>
      <c r="DC575" s="19"/>
      <c r="DD575" s="19" t="str">
        <f>$K575</f>
        <v>2026 Volvo Cars of North America, LLC EX40 Twin</v>
      </c>
      <c r="DE575" s="19"/>
      <c r="DF575" s="19"/>
      <c r="DG575" s="19"/>
      <c r="DH575" s="19"/>
      <c r="DI575" s="19"/>
      <c r="DJ575" s="19"/>
      <c r="DK575" s="19"/>
      <c r="DL575" s="19"/>
      <c r="DM575" s="19"/>
      <c r="DN575" s="19"/>
      <c r="DO575" s="19"/>
      <c r="DP575" s="19"/>
      <c r="DQ575" s="19"/>
      <c r="DR575" s="19"/>
      <c r="DS575" s="19"/>
      <c r="DT575" s="19"/>
      <c r="DU575" s="19" t="str">
        <f>$K575</f>
        <v>2026 Volvo Cars of North America, LLC EX40 Twin</v>
      </c>
      <c r="DV575" s="19"/>
      <c r="DW575" s="19"/>
      <c r="DX575" s="19"/>
      <c r="DY575" s="19"/>
      <c r="DZ575" s="19"/>
      <c r="EA575" s="117"/>
      <c r="EB575" s="19"/>
      <c r="EC575" s="19"/>
      <c r="ED575" s="19"/>
      <c r="EE575" s="19"/>
      <c r="EF575" s="19"/>
      <c r="EX575" s="19" t="s">
        <v>2110</v>
      </c>
    </row>
    <row r="576" spans="1:165" x14ac:dyDescent="0.35">
      <c r="A576">
        <v>2026</v>
      </c>
      <c r="B576" t="s">
        <v>524</v>
      </c>
      <c r="C576" s="112" t="s">
        <v>525</v>
      </c>
      <c r="D576" t="s">
        <v>1698</v>
      </c>
      <c r="E576" t="s">
        <v>527</v>
      </c>
      <c r="F576">
        <v>261</v>
      </c>
      <c r="G576" s="113">
        <v>0</v>
      </c>
      <c r="I576" t="s">
        <v>1391</v>
      </c>
      <c r="J576">
        <v>103</v>
      </c>
      <c r="K576">
        <v>85</v>
      </c>
      <c r="L576">
        <v>94</v>
      </c>
      <c r="M576">
        <v>146.80000000000001</v>
      </c>
      <c r="N576">
        <v>120.8</v>
      </c>
      <c r="O576">
        <v>133.8373</v>
      </c>
      <c r="P576">
        <v>102.76</v>
      </c>
      <c r="Q576">
        <v>84.56</v>
      </c>
      <c r="R576">
        <v>93.686099999999996</v>
      </c>
      <c r="V576" t="s">
        <v>170</v>
      </c>
      <c r="W576" t="s">
        <v>171</v>
      </c>
      <c r="Y576">
        <v>1</v>
      </c>
      <c r="Z576" t="s">
        <v>173</v>
      </c>
      <c r="AA576" t="s">
        <v>173</v>
      </c>
      <c r="AB576" t="s">
        <v>170</v>
      </c>
      <c r="AC576" t="s">
        <v>232</v>
      </c>
      <c r="AF576">
        <v>260</v>
      </c>
      <c r="AG576" t="s">
        <v>1392</v>
      </c>
      <c r="AH576" t="s">
        <v>1393</v>
      </c>
      <c r="AI576" t="s">
        <v>178</v>
      </c>
      <c r="AJ576" t="s">
        <v>179</v>
      </c>
      <c r="AK576">
        <v>4</v>
      </c>
      <c r="AL576" t="s">
        <v>1394</v>
      </c>
      <c r="AS576">
        <v>900</v>
      </c>
      <c r="AT576">
        <v>900</v>
      </c>
      <c r="BN576" s="114"/>
      <c r="BQ576">
        <v>31</v>
      </c>
      <c r="BR576" t="s">
        <v>887</v>
      </c>
      <c r="BT576" t="s">
        <v>1402</v>
      </c>
      <c r="BU576" s="115">
        <v>45800</v>
      </c>
      <c r="BV576">
        <v>36356</v>
      </c>
      <c r="BW576" s="116"/>
      <c r="BX576" t="s">
        <v>173</v>
      </c>
      <c r="BY576" t="s">
        <v>173</v>
      </c>
      <c r="CB576" t="s">
        <v>173</v>
      </c>
      <c r="CC576" t="s">
        <v>173</v>
      </c>
      <c r="CK576" t="s">
        <v>259</v>
      </c>
      <c r="CM576">
        <v>1</v>
      </c>
      <c r="CN576" t="s">
        <v>260</v>
      </c>
      <c r="CP576">
        <v>404</v>
      </c>
      <c r="CQ576">
        <v>202</v>
      </c>
      <c r="CR576">
        <v>165</v>
      </c>
      <c r="CS576" t="s">
        <v>261</v>
      </c>
      <c r="CV576" t="s">
        <v>262</v>
      </c>
      <c r="CX576" t="s">
        <v>263</v>
      </c>
      <c r="CY576" t="s">
        <v>173</v>
      </c>
      <c r="DC576" t="s">
        <v>1699</v>
      </c>
      <c r="DD576">
        <v>3</v>
      </c>
      <c r="DE576" t="s">
        <v>760</v>
      </c>
      <c r="DG576" t="s">
        <v>1700</v>
      </c>
      <c r="DL576" t="s">
        <v>173</v>
      </c>
      <c r="DM576" t="s">
        <v>172</v>
      </c>
      <c r="DP576" t="s">
        <v>173</v>
      </c>
      <c r="DQ576" t="s">
        <v>189</v>
      </c>
      <c r="EA576" s="117"/>
      <c r="EB576">
        <v>9</v>
      </c>
      <c r="EC576">
        <v>10</v>
      </c>
      <c r="EE576" t="s">
        <v>1701</v>
      </c>
      <c r="EF576">
        <v>10</v>
      </c>
      <c r="EU576">
        <v>4000</v>
      </c>
      <c r="EW576">
        <v>0</v>
      </c>
      <c r="EX576">
        <v>0</v>
      </c>
      <c r="EY576">
        <v>0</v>
      </c>
      <c r="FA576">
        <v>8</v>
      </c>
      <c r="FC576">
        <v>260</v>
      </c>
      <c r="FG576" s="94">
        <v>283</v>
      </c>
      <c r="FH576" s="94">
        <v>232</v>
      </c>
      <c r="FI576" s="94">
        <v>260</v>
      </c>
    </row>
    <row r="577" spans="1:165" x14ac:dyDescent="0.35">
      <c r="A577">
        <v>2026</v>
      </c>
      <c r="B577" t="s">
        <v>524</v>
      </c>
      <c r="C577" s="112" t="s">
        <v>525</v>
      </c>
      <c r="D577" t="s">
        <v>1698</v>
      </c>
      <c r="E577" t="s">
        <v>527</v>
      </c>
      <c r="F577">
        <v>261</v>
      </c>
      <c r="G577" s="113">
        <v>0</v>
      </c>
      <c r="I577" t="s">
        <v>1391</v>
      </c>
      <c r="J577">
        <v>33</v>
      </c>
      <c r="K577">
        <v>40</v>
      </c>
      <c r="L577">
        <v>36</v>
      </c>
      <c r="M577">
        <v>22.956900000000001</v>
      </c>
      <c r="N577">
        <v>27.906099999999999</v>
      </c>
      <c r="O577">
        <v>25.184000000000001</v>
      </c>
      <c r="P577">
        <v>32.799700000000001</v>
      </c>
      <c r="Q577">
        <v>39.859299999999998</v>
      </c>
      <c r="R577">
        <v>35.976500000000001</v>
      </c>
      <c r="V577" t="s">
        <v>170</v>
      </c>
      <c r="W577" t="s">
        <v>171</v>
      </c>
      <c r="Y577">
        <v>1</v>
      </c>
      <c r="Z577" t="s">
        <v>173</v>
      </c>
      <c r="AA577" t="s">
        <v>173</v>
      </c>
      <c r="AB577" t="s">
        <v>170</v>
      </c>
      <c r="AC577" t="s">
        <v>232</v>
      </c>
      <c r="AF577">
        <v>260</v>
      </c>
      <c r="AG577" t="s">
        <v>1392</v>
      </c>
      <c r="AH577" t="s">
        <v>1393</v>
      </c>
      <c r="AI577" t="s">
        <v>1399</v>
      </c>
      <c r="AJ577" t="s">
        <v>1400</v>
      </c>
      <c r="AK577">
        <v>4</v>
      </c>
      <c r="AL577" t="s">
        <v>1394</v>
      </c>
      <c r="AS577">
        <v>900</v>
      </c>
      <c r="AT577">
        <v>900</v>
      </c>
      <c r="BN577" s="114"/>
      <c r="BQ577">
        <v>31</v>
      </c>
      <c r="BR577" t="s">
        <v>887</v>
      </c>
      <c r="BT577" t="s">
        <v>1402</v>
      </c>
      <c r="BU577" s="115">
        <v>45800</v>
      </c>
      <c r="BV577">
        <v>36356</v>
      </c>
      <c r="BW577" s="116"/>
      <c r="BX577" t="s">
        <v>173</v>
      </c>
      <c r="BY577" t="s">
        <v>173</v>
      </c>
      <c r="CB577" t="s">
        <v>173</v>
      </c>
      <c r="CC577" t="s">
        <v>173</v>
      </c>
      <c r="CK577" t="s">
        <v>259</v>
      </c>
      <c r="CM577">
        <v>1</v>
      </c>
      <c r="CN577" t="s">
        <v>260</v>
      </c>
      <c r="CP577">
        <v>404</v>
      </c>
      <c r="CQ577">
        <v>202</v>
      </c>
      <c r="CR577">
        <v>165</v>
      </c>
      <c r="CS577" t="s">
        <v>261</v>
      </c>
      <c r="CV577" t="s">
        <v>262</v>
      </c>
      <c r="CX577" t="s">
        <v>263</v>
      </c>
      <c r="CY577" t="s">
        <v>173</v>
      </c>
      <c r="DC577" t="s">
        <v>1699</v>
      </c>
      <c r="DD577">
        <v>3</v>
      </c>
      <c r="DE577" t="s">
        <v>307</v>
      </c>
      <c r="DF577" t="s">
        <v>330</v>
      </c>
      <c r="DG577" t="s">
        <v>1700</v>
      </c>
      <c r="DL577" t="s">
        <v>173</v>
      </c>
      <c r="DM577" t="s">
        <v>172</v>
      </c>
      <c r="DP577" t="s">
        <v>173</v>
      </c>
      <c r="DQ577" t="s">
        <v>189</v>
      </c>
      <c r="EA577" s="117"/>
      <c r="EB577">
        <v>9</v>
      </c>
      <c r="EC577">
        <v>10</v>
      </c>
      <c r="EE577" t="s">
        <v>1701</v>
      </c>
      <c r="EF577">
        <v>10</v>
      </c>
      <c r="EU577">
        <v>4000</v>
      </c>
      <c r="EW577">
        <v>0</v>
      </c>
      <c r="EX577">
        <v>0</v>
      </c>
      <c r="EY577">
        <v>0</v>
      </c>
      <c r="FA577">
        <v>8</v>
      </c>
      <c r="FC577">
        <v>260</v>
      </c>
      <c r="FG577" s="94">
        <v>283</v>
      </c>
      <c r="FH577" s="94">
        <v>232</v>
      </c>
      <c r="FI577" s="94">
        <v>260</v>
      </c>
    </row>
    <row r="578" spans="1:165" x14ac:dyDescent="0.35">
      <c r="A578" s="19"/>
      <c r="B578" s="19"/>
      <c r="C578" s="19"/>
      <c r="D578" s="19"/>
      <c r="E578" s="19"/>
      <c r="F578" s="128"/>
      <c r="G578" s="19"/>
      <c r="H578" s="19"/>
      <c r="I578" s="19"/>
      <c r="J578" s="19"/>
      <c r="K578" s="19" t="str">
        <f>_xlfn.CONCAT(A579," ",C579," ",D579)</f>
        <v xml:space="preserve">  </v>
      </c>
      <c r="L578" s="19"/>
      <c r="M578" s="19"/>
      <c r="N578" s="19"/>
      <c r="O578" s="19"/>
      <c r="P578" s="19"/>
      <c r="Q578" s="19"/>
      <c r="R578" s="19"/>
      <c r="S578" s="19"/>
      <c r="T578" s="19"/>
      <c r="U578" s="19"/>
      <c r="V578" s="19"/>
      <c r="W578" s="19"/>
      <c r="X578" s="19"/>
      <c r="Y578" s="19"/>
      <c r="Z578" s="19"/>
      <c r="AA578" s="19"/>
      <c r="AB578" s="19" t="str">
        <f>$K578</f>
        <v xml:space="preserve">  </v>
      </c>
      <c r="AC578" s="19"/>
      <c r="AD578" s="19"/>
      <c r="AE578" s="19"/>
      <c r="AF578" s="19"/>
      <c r="AG578" s="19"/>
      <c r="AH578" s="19"/>
      <c r="AI578" s="19"/>
      <c r="AJ578" s="19"/>
      <c r="AK578" s="19"/>
      <c r="AL578" s="19"/>
      <c r="AM578" s="19"/>
      <c r="AN578" s="19"/>
      <c r="AO578" s="19"/>
      <c r="AP578" s="19"/>
      <c r="AQ578" s="19"/>
      <c r="AR578" s="19" t="str">
        <f>$K578</f>
        <v xml:space="preserve">  </v>
      </c>
      <c r="AS578" s="19"/>
      <c r="AT578" s="19"/>
      <c r="AU578" s="19"/>
      <c r="AV578" s="19"/>
      <c r="AW578" s="19"/>
      <c r="AX578" s="19"/>
      <c r="AY578" s="19"/>
      <c r="AZ578" s="19"/>
      <c r="BA578" s="19"/>
      <c r="BB578" s="19"/>
      <c r="BC578" s="19"/>
      <c r="BD578" s="19"/>
      <c r="BE578" s="19"/>
      <c r="BF578" s="19"/>
      <c r="BG578" s="19" t="str">
        <f>$K578</f>
        <v xml:space="preserve">  </v>
      </c>
      <c r="BH578" s="19"/>
      <c r="BI578" s="19"/>
      <c r="BJ578" s="19"/>
      <c r="BK578" s="19"/>
      <c r="BL578" s="19"/>
      <c r="BM578" s="129"/>
      <c r="BN578" s="19"/>
      <c r="BO578" s="19"/>
      <c r="BP578" s="19"/>
      <c r="BQ578" s="19"/>
      <c r="BR578" s="19"/>
      <c r="BS578" s="19"/>
      <c r="BT578" s="130"/>
      <c r="BU578" s="19"/>
      <c r="BV578" s="19"/>
      <c r="BW578" s="116"/>
      <c r="BX578" s="19"/>
      <c r="BY578" s="19"/>
      <c r="BZ578" s="19"/>
      <c r="CA578" s="19"/>
      <c r="CB578" s="19"/>
      <c r="CC578" s="19"/>
      <c r="CD578" s="19"/>
      <c r="CE578" s="19"/>
      <c r="CF578" s="19"/>
      <c r="CG578" s="19"/>
      <c r="CH578" s="19"/>
      <c r="CI578" s="19"/>
      <c r="CJ578" s="19"/>
      <c r="CK578" s="19"/>
      <c r="CL578" s="19"/>
      <c r="CM578" s="19" t="str">
        <f>$K578</f>
        <v xml:space="preserve">  </v>
      </c>
      <c r="CN578" s="19"/>
      <c r="CO578" s="19"/>
      <c r="CP578" s="19"/>
      <c r="CQ578" s="19"/>
      <c r="CR578" s="19"/>
      <c r="CS578" s="19"/>
      <c r="CT578" s="19"/>
      <c r="CU578" s="19"/>
      <c r="CV578" s="19"/>
      <c r="CW578" s="19"/>
      <c r="CX578" s="19"/>
      <c r="CY578" s="19"/>
      <c r="CZ578" s="19"/>
      <c r="DA578" s="19"/>
      <c r="DB578" s="19"/>
      <c r="DC578" s="19"/>
      <c r="DD578" s="19" t="str">
        <f>$K578</f>
        <v xml:space="preserve">  </v>
      </c>
      <c r="DE578" s="19"/>
      <c r="DF578" s="19"/>
      <c r="DG578" s="19"/>
      <c r="DH578" s="19"/>
      <c r="DI578" s="19"/>
      <c r="DJ578" s="19"/>
      <c r="DK578" s="19"/>
      <c r="DL578" s="19"/>
      <c r="DM578" s="19"/>
      <c r="DN578" s="19"/>
      <c r="DO578" s="19"/>
      <c r="DP578" s="19"/>
      <c r="DQ578" s="19"/>
      <c r="DR578" s="19"/>
      <c r="DS578" s="19"/>
      <c r="DT578" s="19"/>
      <c r="DU578" s="19" t="str">
        <f>$K578</f>
        <v xml:space="preserve">  </v>
      </c>
      <c r="DV578" s="19"/>
      <c r="DW578" s="19"/>
      <c r="DX578" s="19"/>
      <c r="DY578" s="19"/>
      <c r="DZ578" s="19"/>
      <c r="EA578" s="117"/>
      <c r="EB578" s="19"/>
      <c r="EC578" s="19"/>
      <c r="ED578" s="19"/>
      <c r="EE578" s="19"/>
      <c r="EF578" s="19"/>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93CF70-383B-455B-9279-89C631E3CB69}">
  <sheetPr codeName="Sheet3"/>
  <dimension ref="A2:GH76"/>
  <sheetViews>
    <sheetView zoomScaleNormal="100" workbookViewId="0">
      <selection activeCell="AU1" sqref="AU1:AU1048576"/>
    </sheetView>
  </sheetViews>
  <sheetFormatPr defaultRowHeight="14.5" x14ac:dyDescent="0.35"/>
  <cols>
    <col min="2" max="2" width="17" customWidth="1"/>
    <col min="3" max="3" width="29.453125" customWidth="1"/>
    <col min="4" max="4" width="18.54296875" customWidth="1"/>
    <col min="47" max="47" width="16.453125" customWidth="1"/>
    <col min="73" max="73" width="15.81640625" customWidth="1"/>
  </cols>
  <sheetData>
    <row r="2" spans="1:190" ht="15" customHeight="1" x14ac:dyDescent="0.45">
      <c r="B2" s="18"/>
      <c r="F2" t="s">
        <v>1793</v>
      </c>
      <c r="I2" s="19"/>
      <c r="FS2" s="20"/>
    </row>
    <row r="3" spans="1:190" ht="15" customHeight="1" thickBot="1" x14ac:dyDescent="0.5">
      <c r="B3" s="18"/>
      <c r="I3" s="19"/>
      <c r="FS3" s="20"/>
    </row>
    <row r="4" spans="1:190" ht="21" customHeight="1" thickBot="1" x14ac:dyDescent="0.4">
      <c r="FC4" s="21" t="s">
        <v>1794</v>
      </c>
      <c r="FG4" s="148" t="s">
        <v>1795</v>
      </c>
      <c r="FH4" s="149"/>
      <c r="FI4" s="149"/>
      <c r="FJ4" s="149"/>
      <c r="FK4" s="149"/>
      <c r="FL4" s="149"/>
      <c r="FM4" s="149"/>
      <c r="FN4" s="149"/>
      <c r="FO4" s="149"/>
      <c r="FP4" s="149"/>
      <c r="FQ4" s="149"/>
      <c r="FR4" s="149"/>
      <c r="FS4" s="150"/>
    </row>
    <row r="5" spans="1:190" ht="15" thickBot="1" x14ac:dyDescent="0.4">
      <c r="A5" s="145" t="s">
        <v>1796</v>
      </c>
      <c r="B5" s="146"/>
      <c r="C5" s="146"/>
      <c r="D5" s="146"/>
      <c r="E5" s="146"/>
      <c r="F5" s="146"/>
      <c r="G5" s="146"/>
      <c r="H5" s="146"/>
      <c r="I5" s="147"/>
      <c r="J5" s="145" t="s">
        <v>1797</v>
      </c>
      <c r="K5" s="146"/>
      <c r="L5" s="146"/>
      <c r="M5" s="146"/>
      <c r="N5" s="146"/>
      <c r="O5" s="146"/>
      <c r="P5" s="146"/>
      <c r="Q5" s="146"/>
      <c r="R5" s="146"/>
      <c r="S5" s="146"/>
      <c r="T5" s="146"/>
      <c r="U5" s="146"/>
      <c r="V5" s="146"/>
      <c r="W5" s="146"/>
      <c r="X5" s="146"/>
      <c r="Y5" s="146"/>
      <c r="Z5" s="146"/>
      <c r="AA5" s="146"/>
      <c r="AB5" s="146"/>
      <c r="AC5" s="146"/>
      <c r="AD5" s="146"/>
      <c r="AE5" s="146"/>
      <c r="AF5" s="146"/>
      <c r="AG5" s="146"/>
      <c r="AH5" s="146"/>
      <c r="AI5" s="146"/>
      <c r="AJ5" s="147"/>
      <c r="AK5" s="145" t="s">
        <v>1798</v>
      </c>
      <c r="AL5" s="146"/>
      <c r="AM5" s="146"/>
      <c r="AN5" s="146"/>
      <c r="AO5" s="146"/>
      <c r="AP5" s="146"/>
      <c r="AQ5" s="146"/>
      <c r="AR5" s="147"/>
      <c r="AS5" s="145" t="s">
        <v>1799</v>
      </c>
      <c r="AT5" s="146"/>
      <c r="AU5" s="146" t="s">
        <v>1800</v>
      </c>
      <c r="AV5" s="146"/>
      <c r="AW5" s="146"/>
      <c r="AX5" s="146"/>
      <c r="AY5" s="146"/>
      <c r="AZ5" s="146"/>
      <c r="BA5" s="146"/>
      <c r="BB5" s="146"/>
      <c r="BC5" s="146"/>
      <c r="BD5" s="146"/>
      <c r="BE5" s="146"/>
      <c r="BF5" s="146"/>
      <c r="BG5" s="146"/>
      <c r="BH5" s="146"/>
      <c r="BI5" s="146"/>
      <c r="BJ5" s="146"/>
      <c r="BK5" s="146"/>
      <c r="BL5" s="146"/>
      <c r="BM5" s="147"/>
      <c r="BN5" s="145" t="s">
        <v>1801</v>
      </c>
      <c r="BO5" s="146"/>
      <c r="BP5" s="146"/>
      <c r="BQ5" s="146"/>
      <c r="BR5" s="146"/>
      <c r="BS5" s="146"/>
      <c r="BT5" s="146"/>
      <c r="BU5" s="146"/>
      <c r="BV5" s="147"/>
      <c r="BW5" s="22" t="s">
        <v>1802</v>
      </c>
      <c r="BX5" s="146" t="s">
        <v>1803</v>
      </c>
      <c r="BY5" s="146"/>
      <c r="BZ5" s="146"/>
      <c r="CA5" s="146"/>
      <c r="CB5" s="146"/>
      <c r="CC5" s="146"/>
      <c r="CD5" s="146"/>
      <c r="CE5" s="146"/>
      <c r="CF5" s="146"/>
      <c r="CG5" s="146"/>
      <c r="CH5" s="146"/>
      <c r="CI5" s="146"/>
      <c r="CJ5" s="146"/>
      <c r="CK5" s="146"/>
      <c r="CL5" s="146"/>
      <c r="CM5" s="146"/>
      <c r="CN5" s="146"/>
      <c r="CO5" s="146"/>
      <c r="CP5" s="146"/>
      <c r="CQ5" s="146"/>
      <c r="CR5" s="146"/>
      <c r="CS5" s="146"/>
      <c r="CT5" s="146"/>
      <c r="CU5" s="146"/>
      <c r="CV5" s="146"/>
      <c r="CW5" s="146"/>
      <c r="CX5" s="146"/>
      <c r="CY5" s="146"/>
      <c r="CZ5" s="146"/>
      <c r="DA5" s="146"/>
      <c r="DB5" s="146"/>
      <c r="DC5" s="146"/>
      <c r="DD5" s="146"/>
      <c r="DE5" s="146"/>
      <c r="DF5" s="146"/>
      <c r="DG5" s="146"/>
      <c r="DH5" s="146"/>
      <c r="DI5" s="146"/>
      <c r="DJ5" s="146"/>
      <c r="DK5" s="146"/>
      <c r="DL5" s="146"/>
      <c r="DM5" s="146"/>
      <c r="DN5" s="146"/>
      <c r="DO5" s="146"/>
      <c r="DP5" s="146"/>
      <c r="DQ5" s="146"/>
      <c r="DR5" s="146"/>
      <c r="DS5" s="146"/>
      <c r="DT5" s="146"/>
      <c r="DU5" s="146"/>
      <c r="DV5" s="146"/>
      <c r="DW5" s="146"/>
      <c r="DX5" s="146"/>
      <c r="DY5" s="146"/>
      <c r="DZ5" s="146"/>
      <c r="EA5" s="23"/>
      <c r="EB5" s="146" t="s">
        <v>1804</v>
      </c>
      <c r="EC5" s="146"/>
      <c r="ED5" s="147"/>
      <c r="EE5" s="145" t="s">
        <v>134</v>
      </c>
      <c r="EF5" s="146"/>
      <c r="EG5" s="146"/>
      <c r="EH5" s="147"/>
      <c r="EI5" s="145" t="s">
        <v>138</v>
      </c>
      <c r="EJ5" s="146"/>
      <c r="EK5" s="146"/>
      <c r="EL5" s="146"/>
      <c r="EM5" s="148" t="s">
        <v>142</v>
      </c>
      <c r="EN5" s="149"/>
      <c r="EO5" s="149"/>
      <c r="EP5" s="150"/>
      <c r="EQ5" s="149" t="s">
        <v>146</v>
      </c>
      <c r="ER5" s="149"/>
      <c r="ES5" s="149"/>
      <c r="ET5" s="149"/>
      <c r="EU5" s="148" t="s">
        <v>1805</v>
      </c>
      <c r="EV5" s="150"/>
      <c r="EW5" s="146" t="s">
        <v>1806</v>
      </c>
      <c r="EX5" s="146"/>
      <c r="EY5" s="146"/>
      <c r="EZ5" s="24" t="s">
        <v>1807</v>
      </c>
      <c r="FA5" s="25" t="s">
        <v>1808</v>
      </c>
      <c r="FB5" s="25"/>
      <c r="FC5" s="26" t="s">
        <v>1809</v>
      </c>
      <c r="FD5" s="146" t="s">
        <v>1810</v>
      </c>
      <c r="FE5" s="146"/>
      <c r="FF5" s="147"/>
      <c r="FG5" s="145" t="s">
        <v>1811</v>
      </c>
      <c r="FH5" s="146"/>
      <c r="FI5" s="147"/>
      <c r="FJ5" s="145" t="s">
        <v>1812</v>
      </c>
      <c r="FK5" s="146"/>
      <c r="FL5" s="147"/>
      <c r="FM5" s="145" t="s">
        <v>1813</v>
      </c>
      <c r="FN5" s="146"/>
      <c r="FO5" s="147"/>
      <c r="FP5" s="146" t="s">
        <v>1814</v>
      </c>
      <c r="FQ5" s="146"/>
      <c r="FR5" s="146"/>
      <c r="FS5" s="27" t="s">
        <v>1815</v>
      </c>
    </row>
    <row r="6" spans="1:190" ht="15" thickBot="1" x14ac:dyDescent="0.4">
      <c r="A6" s="28" t="s">
        <v>1816</v>
      </c>
      <c r="B6" s="28" t="s">
        <v>1</v>
      </c>
      <c r="C6" s="28" t="s">
        <v>2</v>
      </c>
      <c r="D6" s="28" t="s">
        <v>3</v>
      </c>
      <c r="E6" s="28" t="s">
        <v>4</v>
      </c>
      <c r="F6" s="29" t="s">
        <v>5</v>
      </c>
      <c r="G6" s="28" t="s">
        <v>6</v>
      </c>
      <c r="H6" s="28" t="s">
        <v>7</v>
      </c>
      <c r="I6" s="30" t="s">
        <v>8</v>
      </c>
      <c r="J6" s="31" t="s">
        <v>9</v>
      </c>
      <c r="K6" s="31" t="s">
        <v>10</v>
      </c>
      <c r="L6" s="31" t="s">
        <v>11</v>
      </c>
      <c r="M6" s="31" t="s">
        <v>12</v>
      </c>
      <c r="N6" s="31" t="s">
        <v>13</v>
      </c>
      <c r="O6" s="31" t="s">
        <v>14</v>
      </c>
      <c r="P6" s="31" t="s">
        <v>15</v>
      </c>
      <c r="Q6" s="31" t="s">
        <v>16</v>
      </c>
      <c r="R6" s="31" t="s">
        <v>17</v>
      </c>
      <c r="S6" s="32" t="s">
        <v>18</v>
      </c>
      <c r="T6" s="28" t="s">
        <v>19</v>
      </c>
      <c r="U6" s="28" t="s">
        <v>20</v>
      </c>
      <c r="V6" s="28" t="s">
        <v>21</v>
      </c>
      <c r="W6" s="28" t="s">
        <v>22</v>
      </c>
      <c r="X6" s="28" t="s">
        <v>23</v>
      </c>
      <c r="Y6" s="28" t="s">
        <v>24</v>
      </c>
      <c r="Z6" s="28" t="s">
        <v>1817</v>
      </c>
      <c r="AA6" s="28" t="s">
        <v>26</v>
      </c>
      <c r="AB6" s="28" t="s">
        <v>27</v>
      </c>
      <c r="AC6" s="28" t="s">
        <v>28</v>
      </c>
      <c r="AD6" s="28" t="s">
        <v>29</v>
      </c>
      <c r="AE6" s="28" t="s">
        <v>30</v>
      </c>
      <c r="AF6" s="31" t="s">
        <v>31</v>
      </c>
      <c r="AG6" s="31" t="s">
        <v>32</v>
      </c>
      <c r="AH6" s="31" t="s">
        <v>33</v>
      </c>
      <c r="AI6" s="31" t="s">
        <v>34</v>
      </c>
      <c r="AJ6" s="31" t="s">
        <v>35</v>
      </c>
      <c r="AK6" s="33" t="s">
        <v>36</v>
      </c>
      <c r="AL6" s="28" t="s">
        <v>37</v>
      </c>
      <c r="AM6" s="28" t="s">
        <v>38</v>
      </c>
      <c r="AN6" s="28" t="s">
        <v>39</v>
      </c>
      <c r="AO6" s="28" t="s">
        <v>40</v>
      </c>
      <c r="AP6" s="28" t="s">
        <v>41</v>
      </c>
      <c r="AQ6" s="28" t="s">
        <v>42</v>
      </c>
      <c r="AR6" s="34" t="s">
        <v>43</v>
      </c>
      <c r="AS6" s="31" t="s">
        <v>44</v>
      </c>
      <c r="AT6" s="35" t="s">
        <v>45</v>
      </c>
      <c r="AU6" s="36"/>
      <c r="AV6" s="36" t="s">
        <v>47</v>
      </c>
      <c r="AW6" s="36" t="s">
        <v>48</v>
      </c>
      <c r="AX6" s="36" t="s">
        <v>49</v>
      </c>
      <c r="AY6" s="36" t="s">
        <v>50</v>
      </c>
      <c r="AZ6" s="36" t="s">
        <v>51</v>
      </c>
      <c r="BA6" s="36" t="s">
        <v>52</v>
      </c>
      <c r="BB6" s="36" t="s">
        <v>53</v>
      </c>
      <c r="BC6" s="36" t="s">
        <v>54</v>
      </c>
      <c r="BD6" s="36" t="s">
        <v>55</v>
      </c>
      <c r="BE6" s="36" t="s">
        <v>1789</v>
      </c>
      <c r="BF6" s="36" t="s">
        <v>1790</v>
      </c>
      <c r="BG6" s="36" t="s">
        <v>58</v>
      </c>
      <c r="BH6" s="36" t="s">
        <v>59</v>
      </c>
      <c r="BI6" s="36" t="s">
        <v>60</v>
      </c>
      <c r="BJ6" s="36" t="s">
        <v>152</v>
      </c>
      <c r="BK6" s="36" t="s">
        <v>153</v>
      </c>
      <c r="BL6" s="36" t="s">
        <v>1818</v>
      </c>
      <c r="BM6" s="37" t="s">
        <v>64</v>
      </c>
      <c r="BN6" s="38" t="s">
        <v>65</v>
      </c>
      <c r="BO6" s="28" t="s">
        <v>66</v>
      </c>
      <c r="BP6" s="28" t="s">
        <v>67</v>
      </c>
      <c r="BQ6" s="28" t="s">
        <v>68</v>
      </c>
      <c r="BR6" s="28" t="s">
        <v>69</v>
      </c>
      <c r="BS6" s="28" t="s">
        <v>70</v>
      </c>
      <c r="BT6" s="28" t="s">
        <v>71</v>
      </c>
      <c r="BU6" s="28" t="s">
        <v>1819</v>
      </c>
      <c r="BV6" s="34" t="s">
        <v>73</v>
      </c>
      <c r="BW6" s="39" t="s">
        <v>1802</v>
      </c>
      <c r="BX6" s="40" t="s">
        <v>75</v>
      </c>
      <c r="BY6" s="28" t="s">
        <v>76</v>
      </c>
      <c r="BZ6" s="41" t="s">
        <v>77</v>
      </c>
      <c r="CA6" s="28" t="s">
        <v>78</v>
      </c>
      <c r="CB6" s="28" t="s">
        <v>79</v>
      </c>
      <c r="CC6" s="28" t="s">
        <v>80</v>
      </c>
      <c r="CD6" s="28" t="s">
        <v>81</v>
      </c>
      <c r="CE6" s="28" t="s">
        <v>82</v>
      </c>
      <c r="CF6" s="41" t="s">
        <v>83</v>
      </c>
      <c r="CG6" s="28" t="s">
        <v>84</v>
      </c>
      <c r="CH6" s="28" t="s">
        <v>85</v>
      </c>
      <c r="CI6" s="28" t="s">
        <v>86</v>
      </c>
      <c r="CJ6" s="28" t="s">
        <v>87</v>
      </c>
      <c r="CK6" s="35" t="s">
        <v>88</v>
      </c>
      <c r="CL6" s="35" t="s">
        <v>89</v>
      </c>
      <c r="CM6" s="35" t="s">
        <v>90</v>
      </c>
      <c r="CN6" s="35" t="s">
        <v>91</v>
      </c>
      <c r="CO6" s="35" t="s">
        <v>92</v>
      </c>
      <c r="CP6" s="35" t="s">
        <v>93</v>
      </c>
      <c r="CQ6" s="35" t="s">
        <v>94</v>
      </c>
      <c r="CR6" s="35" t="s">
        <v>95</v>
      </c>
      <c r="CS6" s="35" t="s">
        <v>96</v>
      </c>
      <c r="CT6" s="35" t="s">
        <v>97</v>
      </c>
      <c r="CU6" s="35" t="s">
        <v>98</v>
      </c>
      <c r="CV6" s="35" t="s">
        <v>99</v>
      </c>
      <c r="CW6" s="35" t="s">
        <v>100</v>
      </c>
      <c r="CX6" s="35" t="s">
        <v>101</v>
      </c>
      <c r="CY6" s="35" t="s">
        <v>102</v>
      </c>
      <c r="CZ6" s="42" t="s">
        <v>103</v>
      </c>
      <c r="DA6" s="42" t="s">
        <v>104</v>
      </c>
      <c r="DB6" s="42" t="s">
        <v>105</v>
      </c>
      <c r="DC6" s="35" t="s">
        <v>106</v>
      </c>
      <c r="DD6" s="35" t="s">
        <v>107</v>
      </c>
      <c r="DE6" s="35" t="s">
        <v>108</v>
      </c>
      <c r="DF6" s="35" t="s">
        <v>109</v>
      </c>
      <c r="DG6" s="35" t="s">
        <v>110</v>
      </c>
      <c r="DH6" s="28" t="s">
        <v>111</v>
      </c>
      <c r="DI6" s="28" t="s">
        <v>112</v>
      </c>
      <c r="DJ6" s="43" t="s">
        <v>113</v>
      </c>
      <c r="DK6" s="43" t="s">
        <v>114</v>
      </c>
      <c r="DL6" s="44" t="s">
        <v>115</v>
      </c>
      <c r="DM6" s="43" t="s">
        <v>116</v>
      </c>
      <c r="DN6" s="43" t="s">
        <v>117</v>
      </c>
      <c r="DO6" s="43" t="s">
        <v>118</v>
      </c>
      <c r="DP6" s="43" t="s">
        <v>119</v>
      </c>
      <c r="DQ6" s="43" t="s">
        <v>120</v>
      </c>
      <c r="DR6" s="43" t="s">
        <v>121</v>
      </c>
      <c r="DS6" s="44" t="s">
        <v>1820</v>
      </c>
      <c r="DT6" s="44" t="s">
        <v>1821</v>
      </c>
      <c r="DU6" s="44" t="s">
        <v>1822</v>
      </c>
      <c r="DV6" s="44" t="s">
        <v>1823</v>
      </c>
      <c r="DW6" s="43" t="s">
        <v>126</v>
      </c>
      <c r="DX6" s="43" t="s">
        <v>127</v>
      </c>
      <c r="DY6" s="44" t="s">
        <v>128</v>
      </c>
      <c r="DZ6" s="43" t="s">
        <v>129</v>
      </c>
      <c r="EA6" s="23" t="s">
        <v>1802</v>
      </c>
      <c r="EB6" s="44" t="s">
        <v>131</v>
      </c>
      <c r="EC6" s="44" t="s">
        <v>132</v>
      </c>
      <c r="ED6" s="44" t="s">
        <v>133</v>
      </c>
      <c r="EE6" s="45" t="s">
        <v>134</v>
      </c>
      <c r="EF6" s="46" t="s">
        <v>135</v>
      </c>
      <c r="EG6" s="46" t="s">
        <v>136</v>
      </c>
      <c r="EH6" s="47" t="s">
        <v>137</v>
      </c>
      <c r="EI6" s="48" t="s">
        <v>138</v>
      </c>
      <c r="EJ6" s="46" t="s">
        <v>139</v>
      </c>
      <c r="EK6" s="46" t="s">
        <v>140</v>
      </c>
      <c r="EL6" s="46" t="s">
        <v>141</v>
      </c>
      <c r="EM6" s="49" t="s">
        <v>142</v>
      </c>
      <c r="EN6" s="46" t="s">
        <v>143</v>
      </c>
      <c r="EO6" s="46" t="s">
        <v>144</v>
      </c>
      <c r="EP6" s="47" t="s">
        <v>145</v>
      </c>
      <c r="EQ6" s="48" t="s">
        <v>146</v>
      </c>
      <c r="ER6" s="46" t="s">
        <v>147</v>
      </c>
      <c r="ES6" s="46" t="s">
        <v>148</v>
      </c>
      <c r="ET6" s="46" t="s">
        <v>149</v>
      </c>
      <c r="EU6" s="50" t="s">
        <v>150</v>
      </c>
      <c r="EV6" s="51" t="s">
        <v>151</v>
      </c>
      <c r="EW6" s="52" t="s">
        <v>152</v>
      </c>
      <c r="EX6" s="52" t="s">
        <v>153</v>
      </c>
      <c r="EY6" s="53" t="s">
        <v>154</v>
      </c>
      <c r="EZ6" s="54" t="s">
        <v>155</v>
      </c>
      <c r="FA6" s="53" t="s">
        <v>156</v>
      </c>
      <c r="FB6" s="53" t="s">
        <v>157</v>
      </c>
      <c r="FC6" s="55" t="s">
        <v>158</v>
      </c>
      <c r="FD6" s="53" t="s">
        <v>159</v>
      </c>
      <c r="FE6" s="53" t="s">
        <v>160</v>
      </c>
      <c r="FF6" s="53" t="s">
        <v>161</v>
      </c>
      <c r="FG6" s="56" t="s">
        <v>1824</v>
      </c>
      <c r="FH6" s="52" t="s">
        <v>1825</v>
      </c>
      <c r="FI6" s="57" t="s">
        <v>155</v>
      </c>
      <c r="FJ6" s="58" t="s">
        <v>1826</v>
      </c>
      <c r="FK6" s="59" t="s">
        <v>1827</v>
      </c>
      <c r="FL6" s="60" t="s">
        <v>1828</v>
      </c>
      <c r="FM6" s="61" t="s">
        <v>1829</v>
      </c>
      <c r="FN6" s="53" t="s">
        <v>1830</v>
      </c>
      <c r="FO6" s="62" t="s">
        <v>1831</v>
      </c>
      <c r="FP6" s="63" t="s">
        <v>1832</v>
      </c>
      <c r="FQ6" s="63" t="s">
        <v>1833</v>
      </c>
      <c r="FR6" s="63" t="s">
        <v>1834</v>
      </c>
      <c r="FS6" s="64" t="s">
        <v>1835</v>
      </c>
    </row>
    <row r="7" spans="1:190" s="66" customFormat="1" x14ac:dyDescent="0.35">
      <c r="A7" s="17"/>
      <c r="E7" s="17"/>
      <c r="F7" s="17"/>
      <c r="G7" s="67"/>
      <c r="H7" s="17"/>
      <c r="I7" s="68"/>
      <c r="J7" s="69"/>
      <c r="K7" s="70"/>
      <c r="L7" s="70"/>
      <c r="M7" s="19"/>
      <c r="N7" s="70"/>
      <c r="O7" s="70"/>
      <c r="P7" s="70"/>
      <c r="Q7" s="70"/>
      <c r="R7" s="70"/>
      <c r="S7" s="70"/>
      <c r="T7" s="70"/>
      <c r="U7" s="70"/>
      <c r="V7" s="70"/>
      <c r="W7" s="70"/>
      <c r="X7" s="70"/>
      <c r="Y7" s="70"/>
      <c r="Z7" s="70"/>
      <c r="AA7" s="70"/>
      <c r="AB7" s="70"/>
      <c r="AC7" s="70"/>
      <c r="AD7" s="19"/>
      <c r="AE7" s="70"/>
      <c r="AF7" s="70"/>
      <c r="AG7" s="70"/>
      <c r="AH7" s="70"/>
      <c r="AI7" s="70"/>
      <c r="AJ7" s="70"/>
      <c r="AK7" s="71"/>
      <c r="AL7" s="1"/>
      <c r="AM7" s="1"/>
      <c r="AN7" s="1"/>
      <c r="AO7" s="1"/>
      <c r="AP7" s="1"/>
      <c r="AQ7" s="1"/>
      <c r="AR7" s="72"/>
      <c r="AS7" s="70"/>
      <c r="AT7" s="19"/>
      <c r="AU7" s="70"/>
      <c r="AV7" s="70"/>
      <c r="AW7" s="70"/>
      <c r="AX7" s="70"/>
      <c r="AY7" s="70"/>
      <c r="AZ7" s="70"/>
      <c r="BA7" s="70"/>
      <c r="BB7" s="70"/>
      <c r="BC7" s="70"/>
      <c r="BD7" s="70"/>
      <c r="BE7" s="70"/>
      <c r="BF7" s="70"/>
      <c r="BG7" s="70"/>
      <c r="BH7" s="70"/>
      <c r="BI7" s="19"/>
      <c r="BJ7" s="70"/>
      <c r="BK7" s="70"/>
      <c r="BL7" s="70"/>
      <c r="BM7" s="70"/>
      <c r="BN7" s="71"/>
      <c r="BO7" s="1"/>
      <c r="BP7" s="1"/>
      <c r="BQ7" s="1"/>
      <c r="BR7" s="1"/>
      <c r="BS7" s="1"/>
      <c r="BT7" s="73"/>
      <c r="BU7" s="1"/>
      <c r="BV7" s="72"/>
      <c r="BW7" s="74"/>
      <c r="BX7" s="70"/>
      <c r="BY7" s="19"/>
      <c r="BZ7" s="70"/>
      <c r="CA7" s="70"/>
      <c r="CB7" s="70"/>
      <c r="CC7" s="70"/>
      <c r="CD7" s="70"/>
      <c r="CE7" s="75"/>
      <c r="CF7" s="70"/>
      <c r="CG7" s="70"/>
      <c r="CH7" s="70"/>
      <c r="CI7" s="70"/>
      <c r="CJ7" s="70"/>
      <c r="CK7" s="70"/>
      <c r="CL7" s="70"/>
      <c r="CM7" s="70"/>
      <c r="CN7" s="70"/>
      <c r="CO7" s="19"/>
      <c r="CP7" s="70"/>
      <c r="CQ7" s="70"/>
      <c r="CR7" s="70"/>
      <c r="CS7" s="70"/>
      <c r="CT7" s="70"/>
      <c r="CU7" s="70"/>
      <c r="CV7" s="70"/>
      <c r="CW7" s="70"/>
      <c r="CX7" s="70"/>
      <c r="CY7" s="70"/>
      <c r="CZ7" s="70"/>
      <c r="DA7" s="70"/>
      <c r="DB7" s="70"/>
      <c r="DC7" s="70"/>
      <c r="DD7" s="70"/>
      <c r="DE7" s="70"/>
      <c r="DF7" s="19"/>
      <c r="DG7" s="70"/>
      <c r="DH7" s="70"/>
      <c r="DI7" s="70"/>
      <c r="DJ7" s="70"/>
      <c r="DK7" s="70"/>
      <c r="DL7" s="70"/>
      <c r="DM7" s="70"/>
      <c r="DN7" s="70"/>
      <c r="DO7" s="70"/>
      <c r="DP7" s="70"/>
      <c r="DQ7" s="70"/>
      <c r="DR7" s="19"/>
      <c r="DS7" s="19"/>
      <c r="DT7" s="19"/>
      <c r="DU7" s="19"/>
      <c r="DV7" s="19"/>
      <c r="DW7" s="19"/>
      <c r="DX7" s="19"/>
      <c r="DY7" s="19"/>
      <c r="DZ7" s="19"/>
      <c r="EA7" s="76"/>
      <c r="EB7" s="19"/>
      <c r="EC7" s="19"/>
      <c r="ED7" s="19"/>
      <c r="EE7" s="69"/>
      <c r="EF7" s="19"/>
      <c r="EG7" s="19"/>
      <c r="EH7" s="77"/>
      <c r="EI7" s="19"/>
      <c r="EK7"/>
      <c r="EL7" s="19"/>
      <c r="EM7" s="69"/>
      <c r="EP7" s="65"/>
      <c r="EU7" s="78"/>
      <c r="EV7" s="65"/>
      <c r="EZ7" s="79"/>
      <c r="FA7" s="19"/>
      <c r="FC7" s="80"/>
      <c r="FD7" s="19"/>
      <c r="FE7" s="19"/>
      <c r="FF7" s="19"/>
      <c r="FG7" s="69"/>
      <c r="FH7" s="19"/>
      <c r="FI7" s="77"/>
      <c r="FJ7" s="69"/>
      <c r="FK7" s="19"/>
      <c r="FL7" s="77"/>
      <c r="FM7" s="69"/>
      <c r="FN7" s="19"/>
      <c r="FO7" s="77"/>
      <c r="FP7" s="81"/>
      <c r="FQ7" s="81"/>
      <c r="FR7" s="81"/>
      <c r="FS7" s="82"/>
      <c r="FT7" s="19"/>
      <c r="FU7" s="19"/>
      <c r="FV7" s="19"/>
      <c r="FW7" s="19"/>
      <c r="FX7" s="19"/>
      <c r="FY7" s="19"/>
      <c r="FZ7" s="19"/>
      <c r="GA7" s="19"/>
      <c r="GB7" s="19"/>
      <c r="GC7" s="19"/>
      <c r="GD7" s="19"/>
      <c r="GE7" s="19"/>
      <c r="GF7" s="19"/>
      <c r="GG7" s="19"/>
      <c r="GH7" s="19"/>
    </row>
    <row r="8" spans="1:190" s="66" customFormat="1" x14ac:dyDescent="0.35">
      <c r="A8" s="17"/>
      <c r="E8" s="17"/>
      <c r="F8" s="17"/>
      <c r="G8" s="67"/>
      <c r="H8" s="17"/>
      <c r="I8" s="68"/>
      <c r="J8" s="69"/>
      <c r="K8" s="70"/>
      <c r="L8" s="70"/>
      <c r="M8" s="19" t="str">
        <f>_xlfn.CONCAT(A9," ",C9," ",D9)</f>
        <v>2026 Bentley Bentayga Hybrid</v>
      </c>
      <c r="N8" s="70"/>
      <c r="O8" s="70"/>
      <c r="P8" s="70"/>
      <c r="Q8" s="70"/>
      <c r="R8" s="70"/>
      <c r="S8" s="70"/>
      <c r="T8" s="70"/>
      <c r="U8" s="70"/>
      <c r="V8" s="70"/>
      <c r="W8" s="70"/>
      <c r="X8" s="70"/>
      <c r="Y8" s="70"/>
      <c r="Z8" s="70"/>
      <c r="AA8" s="70"/>
      <c r="AB8" s="70"/>
      <c r="AC8" s="70"/>
      <c r="AD8" s="19" t="str">
        <f>$M8</f>
        <v>2026 Bentley Bentayga Hybrid</v>
      </c>
      <c r="AE8" s="70"/>
      <c r="AF8" s="70"/>
      <c r="AG8" s="70"/>
      <c r="AH8" s="70"/>
      <c r="AI8" s="70"/>
      <c r="AJ8" s="70"/>
      <c r="AK8" s="71"/>
      <c r="AL8" s="1"/>
      <c r="AM8" s="1"/>
      <c r="AN8" s="1"/>
      <c r="AO8" s="1"/>
      <c r="AP8" s="1"/>
      <c r="AQ8" s="1"/>
      <c r="AR8" s="72"/>
      <c r="AS8" s="70"/>
      <c r="AT8" s="19" t="str">
        <f>$M8</f>
        <v>2026 Bentley Bentayga Hybrid</v>
      </c>
      <c r="AU8" s="70"/>
      <c r="AV8" s="70"/>
      <c r="AW8" s="70"/>
      <c r="AX8" s="70"/>
      <c r="AY8" s="70"/>
      <c r="AZ8" s="70"/>
      <c r="BA8" s="70"/>
      <c r="BB8" s="70"/>
      <c r="BC8" s="70"/>
      <c r="BD8" s="70"/>
      <c r="BE8" s="70"/>
      <c r="BF8" s="70"/>
      <c r="BG8" s="70"/>
      <c r="BH8" s="70"/>
      <c r="BI8" s="19" t="str">
        <f>$M8</f>
        <v>2026 Bentley Bentayga Hybrid</v>
      </c>
      <c r="BJ8" s="70"/>
      <c r="BK8" s="70"/>
      <c r="BL8" s="70"/>
      <c r="BM8" s="70"/>
      <c r="BN8" s="71"/>
      <c r="BO8" s="1"/>
      <c r="BP8" s="1"/>
      <c r="BQ8" s="1"/>
      <c r="BR8" s="1"/>
      <c r="BS8" s="1"/>
      <c r="BT8" s="73"/>
      <c r="BU8" s="1"/>
      <c r="BV8" s="72"/>
      <c r="BW8" s="74"/>
      <c r="BX8" s="70"/>
      <c r="BY8" s="19" t="str">
        <f>$M8</f>
        <v>2026 Bentley Bentayga Hybrid</v>
      </c>
      <c r="BZ8" s="70"/>
      <c r="CA8" s="70"/>
      <c r="CB8" s="70"/>
      <c r="CC8" s="70"/>
      <c r="CD8" s="70"/>
      <c r="CE8" s="75"/>
      <c r="CF8" s="70"/>
      <c r="CG8" s="70"/>
      <c r="CH8" s="70"/>
      <c r="CI8" s="70"/>
      <c r="CJ8" s="70"/>
      <c r="CK8" s="70"/>
      <c r="CL8" s="70"/>
      <c r="CM8" s="70"/>
      <c r="CN8" s="70"/>
      <c r="CO8" s="19" t="str">
        <f>$M8</f>
        <v>2026 Bentley Bentayga Hybrid</v>
      </c>
      <c r="CP8" s="70"/>
      <c r="CQ8" s="70"/>
      <c r="CR8" s="70"/>
      <c r="CS8" s="70"/>
      <c r="CT8" s="70"/>
      <c r="CU8" s="70"/>
      <c r="CV8" s="70"/>
      <c r="CW8" s="70"/>
      <c r="CX8" s="70"/>
      <c r="CY8" s="70"/>
      <c r="CZ8" s="70"/>
      <c r="DA8" s="70"/>
      <c r="DB8" s="70"/>
      <c r="DC8" s="70"/>
      <c r="DD8" s="70"/>
      <c r="DE8" s="70"/>
      <c r="DF8" s="19" t="str">
        <f>$M8</f>
        <v>2026 Bentley Bentayga Hybrid</v>
      </c>
      <c r="DG8" s="70"/>
      <c r="DH8" s="70"/>
      <c r="DI8" s="70"/>
      <c r="DJ8" s="70"/>
      <c r="DK8" s="70"/>
      <c r="DL8" s="70"/>
      <c r="DM8" s="70"/>
      <c r="DN8" s="70"/>
      <c r="DO8" s="70"/>
      <c r="DP8" s="70"/>
      <c r="DQ8" s="70"/>
      <c r="DR8" s="19"/>
      <c r="DS8" s="19"/>
      <c r="DT8" s="19"/>
      <c r="DU8" s="19"/>
      <c r="DV8" s="19"/>
      <c r="DW8" s="19" t="str">
        <f>$M8</f>
        <v>2026 Bentley Bentayga Hybrid</v>
      </c>
      <c r="DX8" s="19"/>
      <c r="DY8" s="19"/>
      <c r="DZ8" s="19"/>
      <c r="EA8" s="76"/>
      <c r="EB8" s="19"/>
      <c r="EC8" s="19"/>
      <c r="ED8" s="19"/>
      <c r="EE8" s="69"/>
      <c r="EF8" s="19"/>
      <c r="EG8" s="19"/>
      <c r="EH8" s="77"/>
      <c r="EI8" s="19"/>
      <c r="EK8" t="s">
        <v>1802</v>
      </c>
      <c r="EL8" s="19" t="str">
        <f>$M8</f>
        <v>2026 Bentley Bentayga Hybrid</v>
      </c>
      <c r="EM8" s="69"/>
      <c r="EP8" s="65"/>
      <c r="EU8" s="78"/>
      <c r="EV8" s="65"/>
      <c r="EZ8" s="83"/>
      <c r="FA8" s="19" t="str">
        <f>$M8</f>
        <v>2026 Bentley Bentayga Hybrid</v>
      </c>
      <c r="FC8" s="79"/>
      <c r="FD8" s="19"/>
      <c r="FE8" s="19"/>
      <c r="FF8" s="19"/>
      <c r="FG8" s="69"/>
      <c r="FH8" s="19"/>
      <c r="FI8" s="77"/>
      <c r="FJ8" s="69"/>
      <c r="FK8" s="19"/>
      <c r="FL8" s="77"/>
      <c r="FM8" s="69" t="str">
        <f>$M8</f>
        <v>2026 Bentley Bentayga Hybrid</v>
      </c>
      <c r="FN8" s="19"/>
      <c r="FO8" s="77"/>
      <c r="FP8" s="81"/>
      <c r="FQ8" s="81"/>
      <c r="FR8" s="81"/>
      <c r="FS8" s="82"/>
      <c r="FT8" s="19"/>
      <c r="FU8" s="19"/>
      <c r="FV8" s="19"/>
      <c r="FW8" s="19"/>
      <c r="FX8" s="19"/>
      <c r="FY8" s="19"/>
      <c r="FZ8" s="19"/>
      <c r="GA8" s="19"/>
      <c r="GB8" s="19"/>
      <c r="GC8" s="19"/>
      <c r="GD8" s="19"/>
      <c r="GE8" s="19"/>
      <c r="GF8" s="19"/>
      <c r="GG8" s="19"/>
      <c r="GH8" s="19"/>
    </row>
    <row r="9" spans="1:190" s="17" customFormat="1" x14ac:dyDescent="0.35">
      <c r="A9" s="17">
        <v>2026</v>
      </c>
      <c r="B9" s="17" t="s">
        <v>444</v>
      </c>
      <c r="C9" s="17" t="s">
        <v>1069</v>
      </c>
      <c r="D9" s="17" t="s">
        <v>1836</v>
      </c>
      <c r="E9" s="17" t="s">
        <v>447</v>
      </c>
      <c r="F9" s="17">
        <v>600</v>
      </c>
      <c r="G9" s="67">
        <v>3</v>
      </c>
      <c r="H9" s="17">
        <v>6</v>
      </c>
      <c r="I9" s="68" t="s">
        <v>195</v>
      </c>
      <c r="J9" s="17">
        <v>19</v>
      </c>
      <c r="K9" s="17">
        <v>23</v>
      </c>
      <c r="L9" s="17">
        <v>21</v>
      </c>
      <c r="M9" s="17">
        <v>24</v>
      </c>
      <c r="N9" s="17">
        <v>32.6</v>
      </c>
      <c r="O9" s="17">
        <v>27.232900000000001</v>
      </c>
      <c r="P9" s="17">
        <v>19.073599999999999</v>
      </c>
      <c r="Q9" s="17">
        <v>23.310199999999998</v>
      </c>
      <c r="R9" s="17">
        <v>20.772500000000001</v>
      </c>
      <c r="T9" s="17" t="s">
        <v>168</v>
      </c>
      <c r="U9" s="17" t="s">
        <v>169</v>
      </c>
      <c r="V9" s="17" t="s">
        <v>196</v>
      </c>
      <c r="W9" s="17" t="s">
        <v>197</v>
      </c>
      <c r="Y9" s="17">
        <v>8</v>
      </c>
      <c r="Z9" s="17" t="s">
        <v>172</v>
      </c>
      <c r="AA9" s="17" t="s">
        <v>173</v>
      </c>
      <c r="AB9" s="17" t="s">
        <v>170</v>
      </c>
      <c r="AC9" s="17" t="s">
        <v>232</v>
      </c>
      <c r="AD9" s="17">
        <v>15</v>
      </c>
      <c r="AF9" s="17">
        <v>420</v>
      </c>
      <c r="AG9" s="17" t="s">
        <v>176</v>
      </c>
      <c r="AH9" s="17" t="s">
        <v>177</v>
      </c>
      <c r="AI9" s="17" t="s">
        <v>178</v>
      </c>
      <c r="AJ9" s="17" t="s">
        <v>179</v>
      </c>
      <c r="AK9" s="84" t="s">
        <v>664</v>
      </c>
      <c r="AL9" s="17" t="s">
        <v>665</v>
      </c>
      <c r="AR9" s="68"/>
      <c r="AS9" s="17">
        <v>2500</v>
      </c>
      <c r="AT9" s="17">
        <v>2500</v>
      </c>
      <c r="AU9" s="17">
        <v>71</v>
      </c>
      <c r="AV9" s="17">
        <v>62</v>
      </c>
      <c r="AW9" s="17">
        <v>67</v>
      </c>
      <c r="AX9" s="17">
        <v>50.5</v>
      </c>
      <c r="AY9" s="17">
        <v>44.9</v>
      </c>
      <c r="AZ9" s="17">
        <v>47.98</v>
      </c>
      <c r="BA9" s="17">
        <v>70.510999999999996</v>
      </c>
      <c r="BB9" s="17">
        <v>62.494999999999997</v>
      </c>
      <c r="BC9" s="17">
        <v>66.903800000000004</v>
      </c>
      <c r="BD9" s="17">
        <v>20</v>
      </c>
      <c r="BE9" s="17" t="s">
        <v>1392</v>
      </c>
      <c r="BF9" s="17" t="s">
        <v>1393</v>
      </c>
      <c r="BG9" s="17" t="s">
        <v>1399</v>
      </c>
      <c r="BH9" s="17" t="s">
        <v>1400</v>
      </c>
      <c r="BI9" s="17">
        <v>2500</v>
      </c>
      <c r="BN9" s="86" t="s">
        <v>1837</v>
      </c>
      <c r="BO9" s="17">
        <v>2</v>
      </c>
      <c r="BP9" s="17">
        <v>2</v>
      </c>
      <c r="BQ9" s="17">
        <v>33</v>
      </c>
      <c r="BR9" s="17" t="s">
        <v>1062</v>
      </c>
      <c r="BT9" s="17" t="s">
        <v>1838</v>
      </c>
      <c r="BU9" s="87">
        <v>45863</v>
      </c>
      <c r="BV9" s="68">
        <v>36997</v>
      </c>
      <c r="BW9" s="88"/>
      <c r="BX9" s="17" t="s">
        <v>173</v>
      </c>
      <c r="BY9" s="17" t="s">
        <v>173</v>
      </c>
      <c r="CB9" s="17" t="s">
        <v>173</v>
      </c>
      <c r="CC9" s="17" t="s">
        <v>173</v>
      </c>
      <c r="CD9" s="17" t="s">
        <v>1839</v>
      </c>
      <c r="CE9" s="17" t="s">
        <v>173</v>
      </c>
      <c r="CG9" s="17" t="s">
        <v>172</v>
      </c>
      <c r="CH9" s="17" t="s">
        <v>1840</v>
      </c>
      <c r="CI9" s="17" t="s">
        <v>173</v>
      </c>
      <c r="CK9" s="17" t="s">
        <v>259</v>
      </c>
      <c r="CM9" s="17">
        <v>8</v>
      </c>
      <c r="CN9" s="17" t="s">
        <v>260</v>
      </c>
      <c r="CP9" s="17">
        <v>374</v>
      </c>
      <c r="CQ9" s="17">
        <v>48.2</v>
      </c>
      <c r="CR9" s="17">
        <v>137</v>
      </c>
      <c r="CS9" s="17" t="s">
        <v>1437</v>
      </c>
      <c r="CV9" s="17" t="s">
        <v>262</v>
      </c>
      <c r="CX9" s="17" t="s">
        <v>263</v>
      </c>
      <c r="CY9" s="17" t="s">
        <v>172</v>
      </c>
      <c r="DD9" s="17">
        <v>1</v>
      </c>
      <c r="DE9" s="17" t="s">
        <v>760</v>
      </c>
      <c r="DG9" s="17">
        <v>100</v>
      </c>
      <c r="DJ9" s="17" t="s">
        <v>201</v>
      </c>
      <c r="DK9" s="17" t="s">
        <v>202</v>
      </c>
      <c r="DL9" s="17" t="s">
        <v>173</v>
      </c>
      <c r="DM9" s="17" t="s">
        <v>172</v>
      </c>
      <c r="DN9" s="17" t="s">
        <v>173</v>
      </c>
      <c r="DO9" s="17" t="s">
        <v>520</v>
      </c>
      <c r="DP9" s="17" t="s">
        <v>172</v>
      </c>
      <c r="DQ9" s="17" t="s">
        <v>204</v>
      </c>
      <c r="DS9" s="17" t="s">
        <v>1841</v>
      </c>
      <c r="DT9" s="17" t="s">
        <v>1842</v>
      </c>
      <c r="DU9" s="17" t="s">
        <v>1843</v>
      </c>
      <c r="DV9" s="17" t="s">
        <v>1844</v>
      </c>
      <c r="EA9" s="89"/>
      <c r="EB9" s="17">
        <v>6</v>
      </c>
      <c r="EC9" s="17">
        <v>7</v>
      </c>
      <c r="EE9" s="84" t="s">
        <v>1845</v>
      </c>
      <c r="EF9" s="17">
        <v>2</v>
      </c>
      <c r="EH9" s="68"/>
      <c r="EM9" s="84"/>
      <c r="EP9" s="68"/>
      <c r="EU9" s="84"/>
      <c r="EV9" s="68">
        <v>4000</v>
      </c>
      <c r="EW9" s="17">
        <v>0</v>
      </c>
      <c r="EX9" s="17">
        <v>0</v>
      </c>
      <c r="EY9" s="17">
        <v>0</v>
      </c>
      <c r="EZ9" s="85">
        <v>206</v>
      </c>
      <c r="FA9" s="17">
        <v>3</v>
      </c>
      <c r="FC9" s="85">
        <v>440</v>
      </c>
      <c r="FD9" s="17">
        <v>27</v>
      </c>
      <c r="FE9" s="17">
        <v>33</v>
      </c>
      <c r="FF9" s="17">
        <v>29</v>
      </c>
      <c r="FG9" s="84">
        <v>228</v>
      </c>
      <c r="FH9" s="17">
        <v>173</v>
      </c>
      <c r="FI9" s="68">
        <v>203</v>
      </c>
      <c r="FJ9" s="90">
        <v>19.985900000000001</v>
      </c>
      <c r="FK9" s="91">
        <v>22.16</v>
      </c>
      <c r="FL9" s="68">
        <v>21</v>
      </c>
      <c r="FM9" s="84">
        <v>0.52300000000000002</v>
      </c>
      <c r="FN9" s="17">
        <v>0.55600000000000005</v>
      </c>
      <c r="FO9" s="68">
        <v>0.53800000000000003</v>
      </c>
      <c r="FP9" s="92">
        <v>0</v>
      </c>
      <c r="FQ9" s="92">
        <v>0</v>
      </c>
      <c r="FR9" s="92">
        <v>0</v>
      </c>
      <c r="FS9" s="93">
        <v>19.8</v>
      </c>
    </row>
    <row r="10" spans="1:190" s="17" customFormat="1" x14ac:dyDescent="0.35">
      <c r="A10" s="17">
        <v>2026</v>
      </c>
      <c r="B10" s="141" t="s">
        <v>1846</v>
      </c>
      <c r="C10" s="141" t="s">
        <v>1069</v>
      </c>
      <c r="D10" s="141" t="s">
        <v>1836</v>
      </c>
      <c r="E10" s="141" t="s">
        <v>447</v>
      </c>
      <c r="F10" s="141">
        <v>600</v>
      </c>
      <c r="G10" s="141">
        <v>3</v>
      </c>
      <c r="H10" s="141">
        <v>6</v>
      </c>
      <c r="I10" s="142" t="s">
        <v>195</v>
      </c>
      <c r="J10" s="17">
        <v>19</v>
      </c>
      <c r="K10" s="17">
        <v>23</v>
      </c>
      <c r="L10" s="17">
        <v>21</v>
      </c>
      <c r="M10" s="17">
        <v>24</v>
      </c>
      <c r="N10" s="17">
        <v>32.6</v>
      </c>
      <c r="O10" s="17">
        <v>27.232900000000001</v>
      </c>
      <c r="P10" s="17">
        <v>19.073599999999999</v>
      </c>
      <c r="Q10" s="17">
        <v>23.310199999999998</v>
      </c>
      <c r="R10" s="17">
        <v>20.772500000000001</v>
      </c>
      <c r="T10" s="17" t="s">
        <v>168</v>
      </c>
      <c r="U10" s="17" t="s">
        <v>169</v>
      </c>
      <c r="V10" s="17" t="s">
        <v>196</v>
      </c>
      <c r="W10" s="17" t="s">
        <v>197</v>
      </c>
      <c r="Y10" s="17">
        <v>8</v>
      </c>
      <c r="Z10" s="17" t="s">
        <v>172</v>
      </c>
      <c r="AA10" s="17" t="s">
        <v>173</v>
      </c>
      <c r="AB10" s="17" t="s">
        <v>170</v>
      </c>
      <c r="AC10" s="17" t="s">
        <v>232</v>
      </c>
      <c r="AD10" s="17">
        <v>15</v>
      </c>
      <c r="AF10" s="17">
        <v>420</v>
      </c>
      <c r="AG10" s="17" t="s">
        <v>176</v>
      </c>
      <c r="AH10" s="17" t="s">
        <v>177</v>
      </c>
      <c r="AI10" s="17" t="s">
        <v>178</v>
      </c>
      <c r="AJ10" s="17" t="s">
        <v>179</v>
      </c>
      <c r="AK10" s="84" t="s">
        <v>664</v>
      </c>
      <c r="AL10" s="17" t="s">
        <v>665</v>
      </c>
      <c r="AR10" s="68"/>
      <c r="AS10" s="17">
        <v>2500</v>
      </c>
      <c r="AT10" s="17">
        <v>2500</v>
      </c>
      <c r="AU10" s="17">
        <v>41</v>
      </c>
      <c r="AV10" s="17">
        <v>43</v>
      </c>
      <c r="AW10" s="17">
        <v>42</v>
      </c>
      <c r="AX10" s="17">
        <v>66.7</v>
      </c>
      <c r="AY10" s="17">
        <v>75.099999999999994</v>
      </c>
      <c r="AZ10" s="17">
        <v>70.235100000000003</v>
      </c>
      <c r="BA10" s="17">
        <v>41</v>
      </c>
      <c r="BB10" s="17">
        <v>43</v>
      </c>
      <c r="BC10" s="17">
        <v>42</v>
      </c>
      <c r="BD10" s="17">
        <v>20</v>
      </c>
      <c r="BE10" s="17" t="s">
        <v>1392</v>
      </c>
      <c r="BF10" s="17" t="s">
        <v>1393</v>
      </c>
      <c r="BG10" s="17" t="s">
        <v>178</v>
      </c>
      <c r="BH10" s="17" t="s">
        <v>179</v>
      </c>
      <c r="BI10" s="17">
        <v>2500</v>
      </c>
      <c r="BN10" s="86" t="s">
        <v>1837</v>
      </c>
      <c r="BO10" s="17">
        <v>2</v>
      </c>
      <c r="BP10" s="17">
        <v>2</v>
      </c>
      <c r="BQ10" s="17">
        <v>33</v>
      </c>
      <c r="BR10" s="17" t="s">
        <v>1062</v>
      </c>
      <c r="BT10" s="17" t="s">
        <v>1838</v>
      </c>
      <c r="BU10" s="87">
        <v>45863</v>
      </c>
      <c r="BV10" s="68">
        <v>36997</v>
      </c>
      <c r="BW10" s="88"/>
      <c r="BX10" s="17" t="s">
        <v>173</v>
      </c>
      <c r="BY10" s="17" t="s">
        <v>173</v>
      </c>
      <c r="CB10" s="17" t="s">
        <v>173</v>
      </c>
      <c r="CC10" s="17" t="s">
        <v>173</v>
      </c>
      <c r="CD10" s="17" t="s">
        <v>1839</v>
      </c>
      <c r="CE10" s="17" t="s">
        <v>173</v>
      </c>
      <c r="CG10" s="17" t="s">
        <v>172</v>
      </c>
      <c r="CH10" s="17" t="s">
        <v>1840</v>
      </c>
      <c r="CI10" s="17" t="s">
        <v>173</v>
      </c>
      <c r="CK10" s="17" t="s">
        <v>259</v>
      </c>
      <c r="CM10" s="17">
        <v>8</v>
      </c>
      <c r="CN10" s="17" t="s">
        <v>260</v>
      </c>
      <c r="CP10" s="17">
        <v>374</v>
      </c>
      <c r="CQ10" s="17">
        <v>48.2</v>
      </c>
      <c r="CR10" s="17">
        <v>137</v>
      </c>
      <c r="CS10" s="17" t="s">
        <v>1437</v>
      </c>
      <c r="CV10" s="17" t="s">
        <v>262</v>
      </c>
      <c r="CX10" s="17" t="s">
        <v>263</v>
      </c>
      <c r="CY10" s="17" t="s">
        <v>172</v>
      </c>
      <c r="DD10" s="17">
        <v>1</v>
      </c>
      <c r="DE10" s="17" t="s">
        <v>760</v>
      </c>
      <c r="DG10" s="17">
        <v>100</v>
      </c>
      <c r="DJ10" s="17" t="s">
        <v>201</v>
      </c>
      <c r="DK10" s="17" t="s">
        <v>202</v>
      </c>
      <c r="DL10" s="17" t="s">
        <v>173</v>
      </c>
      <c r="DM10" s="17" t="s">
        <v>172</v>
      </c>
      <c r="DN10" s="17" t="s">
        <v>173</v>
      </c>
      <c r="DO10" s="17" t="s">
        <v>520</v>
      </c>
      <c r="DP10" s="17" t="s">
        <v>172</v>
      </c>
      <c r="DQ10" s="17" t="s">
        <v>204</v>
      </c>
      <c r="DS10" s="17" t="s">
        <v>1841</v>
      </c>
      <c r="DT10" s="17" t="s">
        <v>1842</v>
      </c>
      <c r="DU10" s="17" t="s">
        <v>1843</v>
      </c>
      <c r="DV10" s="17" t="s">
        <v>1844</v>
      </c>
      <c r="EA10" s="89"/>
      <c r="EB10" s="17">
        <v>6</v>
      </c>
      <c r="EC10" s="17">
        <v>7</v>
      </c>
      <c r="EE10" s="84" t="s">
        <v>1845</v>
      </c>
      <c r="EF10" s="17">
        <v>2</v>
      </c>
      <c r="EH10" s="68"/>
      <c r="EM10" s="84"/>
      <c r="EP10" s="68"/>
      <c r="EU10" s="84"/>
      <c r="EV10" s="68">
        <v>4000</v>
      </c>
      <c r="EW10" s="17">
        <v>467</v>
      </c>
      <c r="EX10" s="17">
        <v>382</v>
      </c>
      <c r="EY10" s="17">
        <v>206</v>
      </c>
      <c r="EZ10" s="85">
        <v>206</v>
      </c>
      <c r="FA10" s="17">
        <v>3</v>
      </c>
      <c r="FC10" s="85">
        <v>440</v>
      </c>
      <c r="FD10" s="17">
        <v>27</v>
      </c>
      <c r="FE10" s="17">
        <v>33</v>
      </c>
      <c r="FF10" s="17">
        <v>29</v>
      </c>
      <c r="FG10" s="84">
        <v>228</v>
      </c>
      <c r="FH10" s="17">
        <v>173</v>
      </c>
      <c r="FI10" s="68">
        <v>203</v>
      </c>
      <c r="FJ10" s="86" t="s">
        <v>1847</v>
      </c>
      <c r="FK10" s="94"/>
      <c r="FL10" s="95"/>
      <c r="FM10" s="84">
        <v>0.52300000000000002</v>
      </c>
      <c r="FN10" s="17">
        <v>0.55600000000000005</v>
      </c>
      <c r="FO10" s="68">
        <v>0.53800000000000003</v>
      </c>
      <c r="FP10" s="92"/>
      <c r="FQ10" s="92"/>
      <c r="FR10" s="92"/>
      <c r="FS10" s="93">
        <v>19.8</v>
      </c>
    </row>
    <row r="11" spans="1:190" s="66" customFormat="1" x14ac:dyDescent="0.35">
      <c r="A11" s="17"/>
      <c r="E11" s="17"/>
      <c r="F11" s="17"/>
      <c r="G11" s="67"/>
      <c r="H11" s="17"/>
      <c r="I11" s="68"/>
      <c r="J11" s="69"/>
      <c r="K11" s="70"/>
      <c r="L11" s="70"/>
      <c r="M11" s="19" t="str">
        <f>_xlfn.CONCAT(A12," ",C12," ",D12)</f>
        <v>2026 Bentley Continental GT</v>
      </c>
      <c r="N11" s="70"/>
      <c r="O11" s="70"/>
      <c r="P11" s="70"/>
      <c r="Q11" s="70"/>
      <c r="R11" s="70"/>
      <c r="S11" s="70"/>
      <c r="T11" s="70"/>
      <c r="U11" s="70"/>
      <c r="V11" s="70"/>
      <c r="W11" s="70"/>
      <c r="X11" s="70"/>
      <c r="Y11" s="70"/>
      <c r="Z11" s="70"/>
      <c r="AA11" s="70"/>
      <c r="AB11" s="70"/>
      <c r="AC11" s="70"/>
      <c r="AD11" s="19" t="str">
        <f>$M11</f>
        <v>2026 Bentley Continental GT</v>
      </c>
      <c r="AE11" s="70"/>
      <c r="AF11" s="70"/>
      <c r="AG11" s="70"/>
      <c r="AH11" s="70"/>
      <c r="AI11" s="70"/>
      <c r="AJ11" s="70"/>
      <c r="AK11" s="71"/>
      <c r="AL11" s="1"/>
      <c r="AM11" s="1"/>
      <c r="AN11" s="1"/>
      <c r="AO11" s="1"/>
      <c r="AP11" s="1"/>
      <c r="AQ11" s="1"/>
      <c r="AR11" s="72"/>
      <c r="AS11" s="70"/>
      <c r="AT11" s="19" t="str">
        <f>$M11</f>
        <v>2026 Bentley Continental GT</v>
      </c>
      <c r="AU11" s="70"/>
      <c r="AV11" s="70"/>
      <c r="AW11" s="70"/>
      <c r="AX11" s="70"/>
      <c r="AY11" s="70"/>
      <c r="AZ11" s="70"/>
      <c r="BA11" s="70"/>
      <c r="BB11" s="70"/>
      <c r="BC11" s="70"/>
      <c r="BD11" s="70"/>
      <c r="BE11" s="70"/>
      <c r="BF11" s="70"/>
      <c r="BG11" s="70"/>
      <c r="BH11" s="70"/>
      <c r="BI11" s="19" t="str">
        <f>$M11</f>
        <v>2026 Bentley Continental GT</v>
      </c>
      <c r="BJ11" s="70"/>
      <c r="BK11" s="70"/>
      <c r="BL11" s="70"/>
      <c r="BM11" s="70"/>
      <c r="BN11" s="71"/>
      <c r="BO11" s="1"/>
      <c r="BP11" s="1"/>
      <c r="BQ11" s="1"/>
      <c r="BR11" s="1"/>
      <c r="BS11" s="1"/>
      <c r="BT11" s="73"/>
      <c r="BU11" s="1"/>
      <c r="BV11" s="72"/>
      <c r="BW11" s="74"/>
      <c r="BX11" s="70"/>
      <c r="BY11" s="19" t="str">
        <f>$M11</f>
        <v>2026 Bentley Continental GT</v>
      </c>
      <c r="BZ11" s="70"/>
      <c r="CA11" s="70"/>
      <c r="CB11" s="70"/>
      <c r="CC11" s="70"/>
      <c r="CD11" s="70"/>
      <c r="CE11" s="75"/>
      <c r="CF11" s="70"/>
      <c r="CG11" s="70"/>
      <c r="CH11" s="70"/>
      <c r="CI11" s="70"/>
      <c r="CJ11" s="70"/>
      <c r="CK11" s="70"/>
      <c r="CL11" s="70"/>
      <c r="CM11" s="70"/>
      <c r="CN11" s="70"/>
      <c r="CO11" s="19" t="str">
        <f>$M11</f>
        <v>2026 Bentley Continental GT</v>
      </c>
      <c r="CP11" s="70"/>
      <c r="CQ11" s="70"/>
      <c r="CR11" s="70"/>
      <c r="CS11" s="70"/>
      <c r="CT11" s="70"/>
      <c r="CU11" s="70"/>
      <c r="CV11" s="70"/>
      <c r="CW11" s="70"/>
      <c r="CX11" s="70"/>
      <c r="CY11" s="70"/>
      <c r="CZ11" s="70"/>
      <c r="DA11" s="70"/>
      <c r="DB11" s="70"/>
      <c r="DC11" s="70"/>
      <c r="DD11" s="70"/>
      <c r="DE11" s="70"/>
      <c r="DF11" s="19" t="str">
        <f>$M11</f>
        <v>2026 Bentley Continental GT</v>
      </c>
      <c r="DG11" s="70"/>
      <c r="DH11" s="70"/>
      <c r="DI11" s="70"/>
      <c r="DJ11" s="70"/>
      <c r="DK11" s="70"/>
      <c r="DL11" s="70"/>
      <c r="DM11" s="70"/>
      <c r="DN11" s="70"/>
      <c r="DO11" s="70"/>
      <c r="DP11" s="70"/>
      <c r="DQ11" s="70"/>
      <c r="DR11" s="19"/>
      <c r="DS11" s="19"/>
      <c r="DT11" s="19"/>
      <c r="DU11" s="19"/>
      <c r="DV11" s="19"/>
      <c r="DW11" s="19" t="str">
        <f>$M11</f>
        <v>2026 Bentley Continental GT</v>
      </c>
      <c r="DX11" s="19"/>
      <c r="DY11" s="19"/>
      <c r="DZ11" s="19"/>
      <c r="EA11" s="76"/>
      <c r="EB11" s="19"/>
      <c r="EC11" s="19"/>
      <c r="ED11" s="19"/>
      <c r="EE11" s="69"/>
      <c r="EF11" s="19"/>
      <c r="EG11" s="19"/>
      <c r="EH11" s="77"/>
      <c r="EI11" s="19"/>
      <c r="EK11" t="s">
        <v>1802</v>
      </c>
      <c r="EL11" s="19" t="str">
        <f>$M11</f>
        <v>2026 Bentley Continental GT</v>
      </c>
      <c r="EM11" s="69"/>
      <c r="EP11" s="65"/>
      <c r="EU11" s="78"/>
      <c r="EV11" s="65"/>
      <c r="EZ11" s="83"/>
      <c r="FA11" s="19" t="str">
        <f>$M11</f>
        <v>2026 Bentley Continental GT</v>
      </c>
      <c r="FC11" s="79"/>
      <c r="FD11" s="19"/>
      <c r="FE11" s="19"/>
      <c r="FF11" s="19"/>
      <c r="FG11" s="69"/>
      <c r="FH11" s="19"/>
      <c r="FI11" s="77"/>
      <c r="FJ11" s="69"/>
      <c r="FK11" s="19"/>
      <c r="FL11" s="77"/>
      <c r="FM11" s="69" t="str">
        <f>$M11</f>
        <v>2026 Bentley Continental GT</v>
      </c>
      <c r="FN11" s="19"/>
      <c r="FO11" s="77"/>
      <c r="FP11" s="81"/>
      <c r="FQ11" s="81"/>
      <c r="FR11" s="81"/>
      <c r="FS11" s="82"/>
      <c r="FT11" s="19"/>
      <c r="FU11" s="19"/>
      <c r="FV11" s="19"/>
      <c r="FW11" s="19"/>
      <c r="FX11" s="19"/>
      <c r="FY11" s="19"/>
      <c r="FZ11" s="19"/>
      <c r="GA11" s="19"/>
      <c r="GB11" s="19"/>
      <c r="GC11" s="19"/>
      <c r="GD11" s="19"/>
      <c r="GE11" s="19"/>
      <c r="GF11" s="19"/>
      <c r="GG11" s="19"/>
      <c r="GH11" s="19"/>
    </row>
    <row r="12" spans="1:190" s="17" customFormat="1" x14ac:dyDescent="0.35">
      <c r="A12" s="17">
        <v>2026</v>
      </c>
      <c r="B12" s="17" t="s">
        <v>444</v>
      </c>
      <c r="C12" s="17" t="s">
        <v>1069</v>
      </c>
      <c r="D12" s="96" t="s">
        <v>1848</v>
      </c>
      <c r="E12" s="17" t="s">
        <v>447</v>
      </c>
      <c r="F12" s="17">
        <v>735</v>
      </c>
      <c r="G12" s="67">
        <v>4</v>
      </c>
      <c r="H12" s="17">
        <v>8</v>
      </c>
      <c r="I12" s="68" t="s">
        <v>289</v>
      </c>
      <c r="J12" s="84">
        <v>17</v>
      </c>
      <c r="K12" s="17">
        <v>22</v>
      </c>
      <c r="L12" s="17">
        <v>19</v>
      </c>
      <c r="M12" s="17">
        <v>21.4</v>
      </c>
      <c r="N12" s="17">
        <v>31.1</v>
      </c>
      <c r="O12" s="17">
        <v>24.893999999999998</v>
      </c>
      <c r="P12" s="17">
        <v>17.1523</v>
      </c>
      <c r="Q12" s="17">
        <v>22.3141</v>
      </c>
      <c r="R12" s="17">
        <v>19.145199999999999</v>
      </c>
      <c r="T12" s="17" t="s">
        <v>168</v>
      </c>
      <c r="U12" s="17" t="s">
        <v>169</v>
      </c>
      <c r="V12" s="17" t="s">
        <v>275</v>
      </c>
      <c r="W12" s="17" t="s">
        <v>276</v>
      </c>
      <c r="Y12" s="17">
        <v>8</v>
      </c>
      <c r="Z12" s="17" t="s">
        <v>173</v>
      </c>
      <c r="AA12" s="17" t="s">
        <v>173</v>
      </c>
      <c r="AB12" s="17" t="s">
        <v>170</v>
      </c>
      <c r="AC12" s="17" t="s">
        <v>232</v>
      </c>
      <c r="AD12" s="17">
        <v>15</v>
      </c>
      <c r="AF12" s="17">
        <v>410</v>
      </c>
      <c r="AG12" s="17" t="s">
        <v>176</v>
      </c>
      <c r="AH12" s="17" t="s">
        <v>177</v>
      </c>
      <c r="AI12" s="17" t="s">
        <v>178</v>
      </c>
      <c r="AJ12" s="17" t="s">
        <v>179</v>
      </c>
      <c r="AK12" s="84" t="s">
        <v>173</v>
      </c>
      <c r="AL12" s="17" t="s">
        <v>180</v>
      </c>
      <c r="AM12" s="17">
        <v>87</v>
      </c>
      <c r="AN12" s="17">
        <v>11</v>
      </c>
      <c r="AR12" s="68"/>
      <c r="AS12" s="17">
        <v>2400</v>
      </c>
      <c r="AT12" s="17">
        <v>2400</v>
      </c>
      <c r="AU12" s="17">
        <v>68</v>
      </c>
      <c r="AV12" s="17">
        <v>58</v>
      </c>
      <c r="AW12" s="17">
        <v>64</v>
      </c>
      <c r="AX12" s="17">
        <v>48.2</v>
      </c>
      <c r="AY12" s="17">
        <v>41.6</v>
      </c>
      <c r="AZ12" s="17">
        <v>45.23</v>
      </c>
      <c r="BA12" s="17">
        <v>68.370999999999995</v>
      </c>
      <c r="BB12" s="17">
        <v>57.991</v>
      </c>
      <c r="BC12" s="17">
        <v>63.7</v>
      </c>
      <c r="BD12" s="17">
        <v>30</v>
      </c>
      <c r="BE12" s="17" t="s">
        <v>1392</v>
      </c>
      <c r="BF12" s="17" t="s">
        <v>1393</v>
      </c>
      <c r="BG12" s="17" t="s">
        <v>1399</v>
      </c>
      <c r="BH12" s="17" t="s">
        <v>1400</v>
      </c>
      <c r="BI12" s="17">
        <v>2400</v>
      </c>
      <c r="BJ12" s="1"/>
      <c r="BK12" s="1"/>
      <c r="BL12" s="1"/>
      <c r="BN12" s="86" t="s">
        <v>1837</v>
      </c>
      <c r="BO12" s="17">
        <v>2</v>
      </c>
      <c r="BP12" s="17">
        <v>2</v>
      </c>
      <c r="BQ12" s="17">
        <v>3</v>
      </c>
      <c r="BR12" s="17" t="s">
        <v>300</v>
      </c>
      <c r="BS12" s="17" t="s">
        <v>182</v>
      </c>
      <c r="BT12" s="17" t="s">
        <v>1838</v>
      </c>
      <c r="BU12" s="87">
        <v>45814</v>
      </c>
      <c r="BV12" s="68">
        <v>36698</v>
      </c>
      <c r="BW12" s="88"/>
      <c r="BX12" s="17" t="s">
        <v>173</v>
      </c>
      <c r="BY12" s="17" t="s">
        <v>173</v>
      </c>
      <c r="CB12" s="17" t="s">
        <v>173</v>
      </c>
      <c r="CC12" s="17" t="s">
        <v>173</v>
      </c>
      <c r="CD12" s="17" t="s">
        <v>1849</v>
      </c>
      <c r="CE12" s="17" t="s">
        <v>173</v>
      </c>
      <c r="CG12" s="17" t="s">
        <v>172</v>
      </c>
      <c r="CH12" s="17" t="s">
        <v>1850</v>
      </c>
      <c r="CI12" s="17" t="s">
        <v>172</v>
      </c>
      <c r="CJ12" s="17" t="s">
        <v>721</v>
      </c>
      <c r="CK12" s="17" t="s">
        <v>259</v>
      </c>
      <c r="CM12" s="17">
        <v>1</v>
      </c>
      <c r="CN12" s="17" t="s">
        <v>260</v>
      </c>
      <c r="CP12" s="17">
        <v>370</v>
      </c>
      <c r="CQ12" s="17">
        <v>70</v>
      </c>
      <c r="CR12" s="17">
        <v>145.69999999999999</v>
      </c>
      <c r="CS12" s="17" t="s">
        <v>1396</v>
      </c>
      <c r="CV12" s="17" t="s">
        <v>262</v>
      </c>
      <c r="CX12" s="17" t="s">
        <v>263</v>
      </c>
      <c r="CY12" s="17" t="s">
        <v>172</v>
      </c>
      <c r="DD12" s="17">
        <v>1</v>
      </c>
      <c r="DE12" s="17" t="s">
        <v>530</v>
      </c>
      <c r="DG12" s="17">
        <v>140</v>
      </c>
      <c r="DJ12" s="17" t="s">
        <v>201</v>
      </c>
      <c r="DK12" s="17" t="s">
        <v>202</v>
      </c>
      <c r="DL12" s="17" t="s">
        <v>173</v>
      </c>
      <c r="DM12" s="17" t="s">
        <v>172</v>
      </c>
      <c r="DN12" s="17" t="s">
        <v>173</v>
      </c>
      <c r="DO12" s="17" t="s">
        <v>1851</v>
      </c>
      <c r="DP12" s="17" t="s">
        <v>172</v>
      </c>
      <c r="DQ12" s="17" t="s">
        <v>204</v>
      </c>
      <c r="DS12" s="17" t="s">
        <v>1852</v>
      </c>
      <c r="DT12" s="17" t="s">
        <v>1853</v>
      </c>
      <c r="DU12" s="17" t="s">
        <v>1843</v>
      </c>
      <c r="DV12" s="17" t="s">
        <v>1844</v>
      </c>
      <c r="DY12" s="17">
        <v>25.1</v>
      </c>
      <c r="EA12" s="89"/>
      <c r="EB12" s="17">
        <v>6</v>
      </c>
      <c r="EC12" s="17">
        <v>8</v>
      </c>
      <c r="EE12" s="84" t="s">
        <v>1854</v>
      </c>
      <c r="EF12" s="17">
        <v>4</v>
      </c>
      <c r="EH12" s="68"/>
      <c r="EM12" s="84"/>
      <c r="EP12" s="68"/>
      <c r="EU12" s="84"/>
      <c r="EV12" s="68">
        <v>3500</v>
      </c>
      <c r="EW12" s="17">
        <v>0</v>
      </c>
      <c r="EX12" s="17">
        <v>0</v>
      </c>
      <c r="EY12" s="17">
        <v>0</v>
      </c>
      <c r="EZ12" s="83">
        <v>161</v>
      </c>
      <c r="FA12" s="17">
        <v>3</v>
      </c>
      <c r="FC12" s="85">
        <v>440</v>
      </c>
      <c r="FD12" s="17">
        <v>29</v>
      </c>
      <c r="FE12" s="17">
        <v>38</v>
      </c>
      <c r="FF12" s="17">
        <v>32</v>
      </c>
      <c r="FG12" s="84">
        <v>186</v>
      </c>
      <c r="FH12" s="17">
        <v>127</v>
      </c>
      <c r="FI12" s="95">
        <v>159</v>
      </c>
      <c r="FJ12" s="90">
        <v>28.296700000000001</v>
      </c>
      <c r="FK12" s="91">
        <v>31.9</v>
      </c>
      <c r="FL12" s="68">
        <v>30</v>
      </c>
      <c r="FM12" s="84">
        <v>0.65100000000000002</v>
      </c>
      <c r="FN12" s="17">
        <v>0.68799999999999994</v>
      </c>
      <c r="FO12" s="68">
        <v>0.66800000000000004</v>
      </c>
      <c r="FP12" s="92">
        <v>0</v>
      </c>
      <c r="FQ12" s="92">
        <v>0</v>
      </c>
      <c r="FR12" s="92">
        <v>0</v>
      </c>
      <c r="FS12" s="93">
        <v>21.1</v>
      </c>
    </row>
    <row r="13" spans="1:190" s="17" customFormat="1" x14ac:dyDescent="0.35">
      <c r="A13" s="17">
        <v>2026</v>
      </c>
      <c r="B13" s="141" t="s">
        <v>1846</v>
      </c>
      <c r="C13" s="141" t="s">
        <v>1069</v>
      </c>
      <c r="D13" s="141" t="s">
        <v>1836</v>
      </c>
      <c r="E13" s="141" t="s">
        <v>447</v>
      </c>
      <c r="F13" s="141">
        <v>600</v>
      </c>
      <c r="G13" s="141">
        <v>3</v>
      </c>
      <c r="H13" s="141">
        <v>6</v>
      </c>
      <c r="I13" s="142" t="s">
        <v>195</v>
      </c>
      <c r="J13" s="84">
        <v>17</v>
      </c>
      <c r="K13" s="17">
        <v>22</v>
      </c>
      <c r="L13" s="17">
        <v>19</v>
      </c>
      <c r="M13" s="17">
        <v>21.4</v>
      </c>
      <c r="N13" s="17">
        <v>31.1</v>
      </c>
      <c r="O13" s="17">
        <v>24.893999999999998</v>
      </c>
      <c r="P13" s="17">
        <v>17.1523</v>
      </c>
      <c r="Q13" s="17">
        <v>22.3141</v>
      </c>
      <c r="R13" s="17">
        <v>19.145199999999999</v>
      </c>
      <c r="T13" s="17" t="s">
        <v>168</v>
      </c>
      <c r="U13" s="17" t="s">
        <v>169</v>
      </c>
      <c r="V13" s="17" t="s">
        <v>275</v>
      </c>
      <c r="W13" s="17" t="s">
        <v>276</v>
      </c>
      <c r="Y13" s="17">
        <v>8</v>
      </c>
      <c r="Z13" s="17" t="s">
        <v>173</v>
      </c>
      <c r="AA13" s="17" t="s">
        <v>173</v>
      </c>
      <c r="AB13" s="17" t="s">
        <v>170</v>
      </c>
      <c r="AC13" s="17" t="s">
        <v>232</v>
      </c>
      <c r="AD13" s="17">
        <v>15</v>
      </c>
      <c r="AF13" s="17">
        <v>410</v>
      </c>
      <c r="AG13" s="17" t="s">
        <v>176</v>
      </c>
      <c r="AH13" s="17" t="s">
        <v>177</v>
      </c>
      <c r="AI13" s="17" t="s">
        <v>178</v>
      </c>
      <c r="AJ13" s="17" t="s">
        <v>179</v>
      </c>
      <c r="AK13" s="84" t="s">
        <v>173</v>
      </c>
      <c r="AL13" s="17" t="s">
        <v>180</v>
      </c>
      <c r="AM13" s="17">
        <v>87</v>
      </c>
      <c r="AN13" s="17">
        <v>11</v>
      </c>
      <c r="AR13" s="68"/>
      <c r="AS13" s="17">
        <v>2400</v>
      </c>
      <c r="AT13" s="17">
        <v>2400</v>
      </c>
      <c r="AU13" s="17">
        <v>43</v>
      </c>
      <c r="AV13" s="17">
        <v>51</v>
      </c>
      <c r="AW13" s="17">
        <v>46</v>
      </c>
      <c r="AX13" s="17">
        <v>70</v>
      </c>
      <c r="AY13" s="17">
        <v>81</v>
      </c>
      <c r="AZ13" s="17">
        <v>74.556200000000004</v>
      </c>
      <c r="BA13" s="17">
        <v>49.369799999999998</v>
      </c>
      <c r="BB13" s="17">
        <v>56.669499999999999</v>
      </c>
      <c r="BC13" s="17">
        <v>52.407600000000002</v>
      </c>
      <c r="BD13" s="17">
        <v>30</v>
      </c>
      <c r="BE13" s="17" t="s">
        <v>1392</v>
      </c>
      <c r="BF13" s="17" t="s">
        <v>1393</v>
      </c>
      <c r="BG13" s="17" t="s">
        <v>178</v>
      </c>
      <c r="BH13" s="17" t="s">
        <v>179</v>
      </c>
      <c r="BI13" s="17">
        <v>2400</v>
      </c>
      <c r="BN13" s="86" t="s">
        <v>1837</v>
      </c>
      <c r="BO13" s="17">
        <v>2</v>
      </c>
      <c r="BP13" s="17">
        <v>2</v>
      </c>
      <c r="BQ13" s="17">
        <v>3</v>
      </c>
      <c r="BR13" s="17" t="s">
        <v>300</v>
      </c>
      <c r="BS13" s="17" t="s">
        <v>182</v>
      </c>
      <c r="BT13" s="17" t="s">
        <v>1838</v>
      </c>
      <c r="BU13" s="87">
        <v>45814</v>
      </c>
      <c r="BV13" s="68">
        <v>36698</v>
      </c>
      <c r="BW13" s="88"/>
      <c r="BX13" s="17" t="s">
        <v>173</v>
      </c>
      <c r="BY13" s="17" t="s">
        <v>173</v>
      </c>
      <c r="CB13" s="17" t="s">
        <v>173</v>
      </c>
      <c r="CC13" s="17" t="s">
        <v>173</v>
      </c>
      <c r="CD13" s="17" t="s">
        <v>1849</v>
      </c>
      <c r="CE13" s="17" t="s">
        <v>173</v>
      </c>
      <c r="CG13" s="17" t="s">
        <v>172</v>
      </c>
      <c r="CH13" s="17" t="s">
        <v>1850</v>
      </c>
      <c r="CI13" s="17" t="s">
        <v>172</v>
      </c>
      <c r="CJ13" s="17" t="s">
        <v>721</v>
      </c>
      <c r="CK13" s="17" t="s">
        <v>259</v>
      </c>
      <c r="CM13" s="17">
        <v>1</v>
      </c>
      <c r="CN13" s="17" t="s">
        <v>260</v>
      </c>
      <c r="CP13" s="17">
        <v>370</v>
      </c>
      <c r="CQ13" s="17">
        <v>70</v>
      </c>
      <c r="CR13" s="17">
        <v>145.69999999999999</v>
      </c>
      <c r="CS13" s="17" t="s">
        <v>1396</v>
      </c>
      <c r="CV13" s="17" t="s">
        <v>262</v>
      </c>
      <c r="CX13" s="17" t="s">
        <v>263</v>
      </c>
      <c r="CY13" s="17" t="s">
        <v>172</v>
      </c>
      <c r="DD13" s="17">
        <v>1</v>
      </c>
      <c r="DE13" s="17" t="s">
        <v>530</v>
      </c>
      <c r="DG13" s="17">
        <v>140</v>
      </c>
      <c r="DJ13" s="17" t="s">
        <v>201</v>
      </c>
      <c r="DK13" s="17" t="s">
        <v>202</v>
      </c>
      <c r="DL13" s="17" t="s">
        <v>173</v>
      </c>
      <c r="DM13" s="17" t="s">
        <v>172</v>
      </c>
      <c r="DN13" s="17" t="s">
        <v>173</v>
      </c>
      <c r="DO13" s="17" t="s">
        <v>1851</v>
      </c>
      <c r="DP13" s="17" t="s">
        <v>172</v>
      </c>
      <c r="DQ13" s="17" t="s">
        <v>204</v>
      </c>
      <c r="DS13" s="17" t="s">
        <v>1852</v>
      </c>
      <c r="DT13" s="17" t="s">
        <v>1853</v>
      </c>
      <c r="DU13" s="17" t="s">
        <v>1843</v>
      </c>
      <c r="DV13" s="17" t="s">
        <v>1844</v>
      </c>
      <c r="DY13" s="17">
        <v>25.1</v>
      </c>
      <c r="EA13" s="89"/>
      <c r="EB13" s="17">
        <v>6</v>
      </c>
      <c r="EC13" s="17">
        <v>8</v>
      </c>
      <c r="EE13" s="84" t="s">
        <v>1854</v>
      </c>
      <c r="EF13" s="17">
        <v>4</v>
      </c>
      <c r="EH13" s="68"/>
      <c r="EM13" s="84"/>
      <c r="EP13" s="68"/>
      <c r="EU13" s="84"/>
      <c r="EV13" s="68">
        <v>3500</v>
      </c>
      <c r="EW13" s="17">
        <v>520</v>
      </c>
      <c r="EX13" s="17">
        <v>400</v>
      </c>
      <c r="EY13" s="17">
        <v>161</v>
      </c>
      <c r="EZ13" s="83">
        <v>161</v>
      </c>
      <c r="FA13" s="17">
        <v>3</v>
      </c>
      <c r="FC13" s="85">
        <v>440</v>
      </c>
      <c r="FD13" s="17">
        <v>29</v>
      </c>
      <c r="FE13" s="17">
        <v>38</v>
      </c>
      <c r="FF13" s="17">
        <v>32</v>
      </c>
      <c r="FG13" s="84">
        <v>186</v>
      </c>
      <c r="FH13" s="17">
        <v>127</v>
      </c>
      <c r="FI13" s="95">
        <v>159</v>
      </c>
      <c r="FJ13" s="86" t="s">
        <v>1855</v>
      </c>
      <c r="FK13" s="94"/>
      <c r="FL13" s="95"/>
      <c r="FM13" s="84">
        <v>0.65100000000000002</v>
      </c>
      <c r="FN13" s="17">
        <v>0.68799999999999994</v>
      </c>
      <c r="FO13" s="68">
        <v>0.66800000000000004</v>
      </c>
      <c r="FP13" s="92"/>
      <c r="FQ13" s="92"/>
      <c r="FR13" s="92"/>
      <c r="FS13" s="93">
        <v>21.1</v>
      </c>
    </row>
    <row r="14" spans="1:190" s="66" customFormat="1" x14ac:dyDescent="0.35">
      <c r="A14" s="17"/>
      <c r="E14" s="17"/>
      <c r="F14" s="17"/>
      <c r="G14" s="67"/>
      <c r="H14" s="17"/>
      <c r="I14" s="68"/>
      <c r="J14" s="69"/>
      <c r="K14" s="70"/>
      <c r="L14" s="70"/>
      <c r="M14" s="19" t="str">
        <f>_xlfn.CONCAT(A15," ",C15," ",D15)</f>
        <v>2026 Bentley Continental GTC</v>
      </c>
      <c r="N14" s="70"/>
      <c r="O14" s="70"/>
      <c r="P14" s="70"/>
      <c r="Q14" s="70"/>
      <c r="R14" s="70"/>
      <c r="S14" s="70"/>
      <c r="T14" s="70"/>
      <c r="U14" s="70"/>
      <c r="V14" s="70"/>
      <c r="W14" s="70"/>
      <c r="X14" s="70"/>
      <c r="Y14" s="70"/>
      <c r="Z14" s="70"/>
      <c r="AA14" s="70"/>
      <c r="AB14" s="70"/>
      <c r="AC14" s="70"/>
      <c r="AD14" s="19" t="str">
        <f>$M14</f>
        <v>2026 Bentley Continental GTC</v>
      </c>
      <c r="AE14" s="70"/>
      <c r="AF14" s="70"/>
      <c r="AG14" s="70"/>
      <c r="AH14" s="70"/>
      <c r="AI14" s="70"/>
      <c r="AJ14" s="70"/>
      <c r="AK14" s="71"/>
      <c r="AL14" s="1"/>
      <c r="AM14" s="1"/>
      <c r="AN14" s="1"/>
      <c r="AO14" s="1"/>
      <c r="AP14" s="1"/>
      <c r="AQ14" s="1"/>
      <c r="AR14" s="72"/>
      <c r="AS14" s="70"/>
      <c r="AT14" s="19" t="str">
        <f>$M14</f>
        <v>2026 Bentley Continental GTC</v>
      </c>
      <c r="AU14" s="70"/>
      <c r="AV14" s="70"/>
      <c r="AW14" s="70"/>
      <c r="AX14" s="70"/>
      <c r="AY14" s="70"/>
      <c r="AZ14" s="70"/>
      <c r="BA14" s="70"/>
      <c r="BB14" s="70"/>
      <c r="BC14" s="70"/>
      <c r="BD14" s="70"/>
      <c r="BE14" s="70"/>
      <c r="BF14" s="70"/>
      <c r="BG14" s="70"/>
      <c r="BH14" s="70"/>
      <c r="BI14" s="19" t="str">
        <f>$M14</f>
        <v>2026 Bentley Continental GTC</v>
      </c>
      <c r="BJ14" s="70"/>
      <c r="BK14" s="70"/>
      <c r="BL14" s="70"/>
      <c r="BM14" s="70"/>
      <c r="BN14" s="71"/>
      <c r="BO14" s="1"/>
      <c r="BP14" s="1"/>
      <c r="BQ14" s="1"/>
      <c r="BR14" s="17"/>
      <c r="BS14" s="1"/>
      <c r="BT14" s="73"/>
      <c r="BU14" s="1"/>
      <c r="BV14" s="72"/>
      <c r="BW14" s="74"/>
      <c r="BX14" s="70"/>
      <c r="BY14" s="19" t="str">
        <f>$M14</f>
        <v>2026 Bentley Continental GTC</v>
      </c>
      <c r="BZ14" s="70"/>
      <c r="CA14" s="70"/>
      <c r="CB14" s="70"/>
      <c r="CC14" s="70"/>
      <c r="CD14" s="70"/>
      <c r="CE14" s="75"/>
      <c r="CF14" s="70"/>
      <c r="CG14" s="70"/>
      <c r="CH14" s="70"/>
      <c r="CI14" s="70"/>
      <c r="CJ14" s="70"/>
      <c r="CK14" s="70"/>
      <c r="CL14" s="70"/>
      <c r="CM14" s="70"/>
      <c r="CN14" s="70"/>
      <c r="CO14" s="19" t="str">
        <f>$M14</f>
        <v>2026 Bentley Continental GTC</v>
      </c>
      <c r="CP14" s="70"/>
      <c r="CQ14" s="70"/>
      <c r="CR14" s="70"/>
      <c r="CS14" s="70"/>
      <c r="CT14" s="70"/>
      <c r="CU14" s="70"/>
      <c r="CV14" s="70"/>
      <c r="CW14" s="70"/>
      <c r="CX14" s="70"/>
      <c r="CY14" s="70"/>
      <c r="CZ14" s="70"/>
      <c r="DA14" s="70"/>
      <c r="DB14" s="70"/>
      <c r="DC14" s="70"/>
      <c r="DD14" s="70"/>
      <c r="DE14" s="70"/>
      <c r="DF14" s="19" t="str">
        <f>$M14</f>
        <v>2026 Bentley Continental GTC</v>
      </c>
      <c r="DG14" s="70"/>
      <c r="DH14" s="70"/>
      <c r="DI14" s="70"/>
      <c r="DJ14" s="70"/>
      <c r="DK14" s="70"/>
      <c r="DL14" s="70"/>
      <c r="DM14" s="70"/>
      <c r="DN14" s="70"/>
      <c r="DO14" s="70"/>
      <c r="DP14" s="70"/>
      <c r="DQ14" s="70"/>
      <c r="DR14" s="19"/>
      <c r="DS14" s="19"/>
      <c r="DT14" s="19"/>
      <c r="DU14" s="19"/>
      <c r="DV14" s="19"/>
      <c r="DW14" s="19" t="str">
        <f>$M14</f>
        <v>2026 Bentley Continental GTC</v>
      </c>
      <c r="DX14" s="19"/>
      <c r="DY14" s="19"/>
      <c r="DZ14" s="19"/>
      <c r="EA14" s="76"/>
      <c r="EB14" s="19"/>
      <c r="EC14" s="19"/>
      <c r="ED14" s="19"/>
      <c r="EE14" s="69"/>
      <c r="EF14" s="19"/>
      <c r="EG14" s="19"/>
      <c r="EH14" s="77"/>
      <c r="EI14" s="19"/>
      <c r="EK14" t="s">
        <v>1802</v>
      </c>
      <c r="EL14" s="19" t="str">
        <f>$M14</f>
        <v>2026 Bentley Continental GTC</v>
      </c>
      <c r="EM14" s="69"/>
      <c r="EP14" s="65"/>
      <c r="EU14" s="78"/>
      <c r="EV14" s="65"/>
      <c r="EZ14" s="83"/>
      <c r="FA14" s="19" t="str">
        <f>$M14</f>
        <v>2026 Bentley Continental GTC</v>
      </c>
      <c r="FC14" s="79"/>
      <c r="FD14" s="19"/>
      <c r="FE14" s="19"/>
      <c r="FF14" s="19"/>
      <c r="FG14" s="69"/>
      <c r="FH14" s="19"/>
      <c r="FI14" s="77"/>
      <c r="FJ14" s="69"/>
      <c r="FK14" s="19"/>
      <c r="FL14" s="77"/>
      <c r="FM14" s="69" t="str">
        <f>$M14</f>
        <v>2026 Bentley Continental GTC</v>
      </c>
      <c r="FN14" s="19"/>
      <c r="FO14" s="77"/>
      <c r="FP14" s="81"/>
      <c r="FQ14" s="81"/>
      <c r="FR14" s="81"/>
      <c r="FS14" s="82"/>
      <c r="FT14" s="19"/>
      <c r="FU14" s="19"/>
      <c r="FV14" s="19"/>
      <c r="FW14" s="19"/>
      <c r="FX14" s="19"/>
      <c r="FY14" s="19"/>
      <c r="FZ14" s="19"/>
      <c r="GA14" s="19"/>
      <c r="GB14" s="19"/>
      <c r="GC14" s="19"/>
      <c r="GD14" s="19"/>
      <c r="GE14" s="19"/>
      <c r="GF14" s="19"/>
      <c r="GG14" s="19"/>
      <c r="GH14" s="19"/>
    </row>
    <row r="15" spans="1:190" s="17" customFormat="1" x14ac:dyDescent="0.35">
      <c r="A15" s="17">
        <v>2026</v>
      </c>
      <c r="B15" s="17" t="s">
        <v>444</v>
      </c>
      <c r="C15" s="17" t="s">
        <v>1069</v>
      </c>
      <c r="D15" s="96" t="s">
        <v>1856</v>
      </c>
      <c r="E15" s="17" t="s">
        <v>447</v>
      </c>
      <c r="F15" s="17">
        <v>746</v>
      </c>
      <c r="G15" s="67">
        <v>4</v>
      </c>
      <c r="H15" s="17">
        <v>8</v>
      </c>
      <c r="I15" s="68" t="s">
        <v>289</v>
      </c>
      <c r="J15" s="84">
        <v>17</v>
      </c>
      <c r="K15" s="17">
        <v>22</v>
      </c>
      <c r="L15" s="17">
        <v>19</v>
      </c>
      <c r="M15" s="17">
        <v>21.4</v>
      </c>
      <c r="N15" s="17">
        <v>31.1</v>
      </c>
      <c r="O15" s="17">
        <v>24.893999999999998</v>
      </c>
      <c r="P15" s="17">
        <v>17.1523</v>
      </c>
      <c r="Q15" s="17">
        <v>22.3141</v>
      </c>
      <c r="R15" s="17">
        <v>19.145199999999999</v>
      </c>
      <c r="T15" s="17" t="s">
        <v>168</v>
      </c>
      <c r="U15" s="17" t="s">
        <v>169</v>
      </c>
      <c r="V15" s="17" t="s">
        <v>275</v>
      </c>
      <c r="W15" s="17" t="s">
        <v>276</v>
      </c>
      <c r="Y15" s="17">
        <v>8</v>
      </c>
      <c r="Z15" s="17" t="s">
        <v>173</v>
      </c>
      <c r="AA15" s="17" t="s">
        <v>173</v>
      </c>
      <c r="AB15" s="17" t="s">
        <v>170</v>
      </c>
      <c r="AC15" s="17" t="s">
        <v>232</v>
      </c>
      <c r="AD15" s="17">
        <v>15</v>
      </c>
      <c r="AF15" s="17">
        <v>410</v>
      </c>
      <c r="AG15" s="17" t="s">
        <v>176</v>
      </c>
      <c r="AH15" s="17" t="s">
        <v>177</v>
      </c>
      <c r="AI15" s="17" t="s">
        <v>178</v>
      </c>
      <c r="AJ15" s="17" t="s">
        <v>179</v>
      </c>
      <c r="AK15" s="84" t="s">
        <v>173</v>
      </c>
      <c r="AL15" s="17" t="s">
        <v>180</v>
      </c>
      <c r="AM15" s="17">
        <v>77</v>
      </c>
      <c r="AN15" s="17">
        <v>6</v>
      </c>
      <c r="AR15" s="68"/>
      <c r="AS15" s="17">
        <v>2400</v>
      </c>
      <c r="AT15" s="17">
        <v>2400</v>
      </c>
      <c r="AU15" s="17">
        <v>68</v>
      </c>
      <c r="AV15" s="17">
        <v>58</v>
      </c>
      <c r="AW15" s="17">
        <v>64</v>
      </c>
      <c r="AX15" s="17">
        <v>48.2</v>
      </c>
      <c r="AY15" s="17">
        <v>41.6</v>
      </c>
      <c r="AZ15" s="17">
        <v>45.23</v>
      </c>
      <c r="BA15" s="17">
        <v>68.370999999999995</v>
      </c>
      <c r="BB15" s="17">
        <v>57.991</v>
      </c>
      <c r="BC15" s="17">
        <v>63.7</v>
      </c>
      <c r="BD15" s="17">
        <v>30</v>
      </c>
      <c r="BE15" s="17" t="s">
        <v>1392</v>
      </c>
      <c r="BF15" s="17" t="s">
        <v>1393</v>
      </c>
      <c r="BG15" s="17" t="s">
        <v>1399</v>
      </c>
      <c r="BH15" s="17" t="s">
        <v>1400</v>
      </c>
      <c r="BI15" s="17">
        <v>2400</v>
      </c>
      <c r="BJ15" s="1"/>
      <c r="BK15" s="1"/>
      <c r="BL15" s="1"/>
      <c r="BN15" s="86" t="s">
        <v>1837</v>
      </c>
      <c r="BO15" s="17">
        <v>2</v>
      </c>
      <c r="BP15" s="17">
        <v>2</v>
      </c>
      <c r="BQ15" s="17">
        <v>2</v>
      </c>
      <c r="BR15" s="17" t="s">
        <v>248</v>
      </c>
      <c r="BS15" s="17" t="s">
        <v>182</v>
      </c>
      <c r="BT15" s="17" t="s">
        <v>1838</v>
      </c>
      <c r="BU15" s="87">
        <v>45814</v>
      </c>
      <c r="BV15" s="68">
        <v>36699</v>
      </c>
      <c r="BW15" s="88"/>
      <c r="BX15" s="17" t="s">
        <v>173</v>
      </c>
      <c r="BY15" s="17" t="s">
        <v>173</v>
      </c>
      <c r="CB15" s="17" t="s">
        <v>173</v>
      </c>
      <c r="CC15" s="17" t="s">
        <v>173</v>
      </c>
      <c r="CD15" s="17" t="s">
        <v>1849</v>
      </c>
      <c r="CE15" s="17" t="s">
        <v>173</v>
      </c>
      <c r="CG15" s="17" t="s">
        <v>172</v>
      </c>
      <c r="CH15" s="17" t="s">
        <v>1850</v>
      </c>
      <c r="CI15" s="17" t="s">
        <v>172</v>
      </c>
      <c r="CJ15" s="17" t="s">
        <v>721</v>
      </c>
      <c r="CK15" s="17" t="s">
        <v>259</v>
      </c>
      <c r="CM15" s="17">
        <v>1</v>
      </c>
      <c r="CN15" s="17" t="s">
        <v>260</v>
      </c>
      <c r="CP15" s="17">
        <v>370</v>
      </c>
      <c r="CQ15" s="17">
        <v>70</v>
      </c>
      <c r="CR15" s="17">
        <v>145.69999999999999</v>
      </c>
      <c r="CS15" s="17" t="s">
        <v>1396</v>
      </c>
      <c r="CV15" s="17" t="s">
        <v>262</v>
      </c>
      <c r="CX15" s="17" t="s">
        <v>263</v>
      </c>
      <c r="CY15" s="17" t="s">
        <v>172</v>
      </c>
      <c r="DD15" s="17">
        <v>1</v>
      </c>
      <c r="DE15" s="17" t="s">
        <v>530</v>
      </c>
      <c r="DG15" s="17">
        <v>140</v>
      </c>
      <c r="DJ15" s="17" t="s">
        <v>201</v>
      </c>
      <c r="DK15" s="17" t="s">
        <v>202</v>
      </c>
      <c r="DL15" s="17" t="s">
        <v>173</v>
      </c>
      <c r="DM15" s="17" t="s">
        <v>172</v>
      </c>
      <c r="DN15" s="17" t="s">
        <v>173</v>
      </c>
      <c r="DO15" s="17" t="s">
        <v>1851</v>
      </c>
      <c r="DP15" s="17" t="s">
        <v>172</v>
      </c>
      <c r="DQ15" s="17" t="s">
        <v>204</v>
      </c>
      <c r="DS15" s="17" t="s">
        <v>1852</v>
      </c>
      <c r="DT15" s="17" t="s">
        <v>1853</v>
      </c>
      <c r="DU15" s="17" t="s">
        <v>1843</v>
      </c>
      <c r="DV15" s="17" t="s">
        <v>1844</v>
      </c>
      <c r="DY15" s="17">
        <v>25.1</v>
      </c>
      <c r="EA15" s="89"/>
      <c r="EB15" s="17">
        <v>6</v>
      </c>
      <c r="EC15" s="17">
        <v>8</v>
      </c>
      <c r="EE15" s="84" t="s">
        <v>1854</v>
      </c>
      <c r="EF15" s="17">
        <v>4</v>
      </c>
      <c r="EH15" s="68"/>
      <c r="EM15" s="84"/>
      <c r="EP15" s="68"/>
      <c r="EU15" s="84"/>
      <c r="EV15" s="68">
        <v>3500</v>
      </c>
      <c r="EW15" s="17">
        <v>0</v>
      </c>
      <c r="EX15" s="17">
        <v>0</v>
      </c>
      <c r="EY15" s="17">
        <v>0</v>
      </c>
      <c r="EZ15" s="83">
        <v>161</v>
      </c>
      <c r="FA15" s="17">
        <v>3</v>
      </c>
      <c r="FC15" s="85">
        <v>440</v>
      </c>
      <c r="FD15" s="17">
        <v>29</v>
      </c>
      <c r="FE15" s="17">
        <v>38</v>
      </c>
      <c r="FF15" s="17">
        <v>32</v>
      </c>
      <c r="FG15" s="84">
        <v>186</v>
      </c>
      <c r="FH15" s="17">
        <v>127</v>
      </c>
      <c r="FI15" s="95">
        <v>159</v>
      </c>
      <c r="FJ15" s="90">
        <v>28.296700000000001</v>
      </c>
      <c r="FK15" s="91">
        <v>31.9</v>
      </c>
      <c r="FL15" s="68">
        <v>30</v>
      </c>
      <c r="FM15" s="84">
        <v>0.65100000000000002</v>
      </c>
      <c r="FN15" s="17">
        <v>0.68799999999999994</v>
      </c>
      <c r="FO15" s="68">
        <v>0.66800000000000004</v>
      </c>
      <c r="FP15" s="92">
        <v>0</v>
      </c>
      <c r="FQ15" s="92">
        <v>0</v>
      </c>
      <c r="FR15" s="92">
        <v>0</v>
      </c>
      <c r="FS15" s="93">
        <v>21.1</v>
      </c>
    </row>
    <row r="16" spans="1:190" s="17" customFormat="1" x14ac:dyDescent="0.35">
      <c r="A16" s="17">
        <v>2026</v>
      </c>
      <c r="B16" s="141" t="s">
        <v>1846</v>
      </c>
      <c r="C16" s="141" t="s">
        <v>1069</v>
      </c>
      <c r="D16" s="141" t="s">
        <v>1836</v>
      </c>
      <c r="E16" s="141" t="s">
        <v>447</v>
      </c>
      <c r="F16" s="141">
        <v>600</v>
      </c>
      <c r="G16" s="141">
        <v>3</v>
      </c>
      <c r="H16" s="141">
        <v>6</v>
      </c>
      <c r="I16" s="142" t="s">
        <v>195</v>
      </c>
      <c r="J16" s="84">
        <v>17</v>
      </c>
      <c r="K16" s="17">
        <v>22</v>
      </c>
      <c r="L16" s="17">
        <v>19</v>
      </c>
      <c r="M16" s="17">
        <v>21.4</v>
      </c>
      <c r="N16" s="17">
        <v>31.1</v>
      </c>
      <c r="O16" s="17">
        <v>24.893999999999998</v>
      </c>
      <c r="P16" s="17">
        <v>17.1523</v>
      </c>
      <c r="Q16" s="17">
        <v>22.3141</v>
      </c>
      <c r="R16" s="17">
        <v>19.145199999999999</v>
      </c>
      <c r="T16" s="17" t="s">
        <v>168</v>
      </c>
      <c r="U16" s="17" t="s">
        <v>169</v>
      </c>
      <c r="V16" s="17" t="s">
        <v>275</v>
      </c>
      <c r="W16" s="17" t="s">
        <v>276</v>
      </c>
      <c r="Y16" s="17">
        <v>8</v>
      </c>
      <c r="Z16" s="17" t="s">
        <v>173</v>
      </c>
      <c r="AA16" s="17" t="s">
        <v>173</v>
      </c>
      <c r="AB16" s="17" t="s">
        <v>170</v>
      </c>
      <c r="AC16" s="17" t="s">
        <v>232</v>
      </c>
      <c r="AD16" s="17">
        <v>15</v>
      </c>
      <c r="AF16" s="17">
        <v>410</v>
      </c>
      <c r="AG16" s="17" t="s">
        <v>176</v>
      </c>
      <c r="AH16" s="17" t="s">
        <v>177</v>
      </c>
      <c r="AI16" s="17" t="s">
        <v>178</v>
      </c>
      <c r="AJ16" s="17" t="s">
        <v>179</v>
      </c>
      <c r="AK16" s="84" t="s">
        <v>173</v>
      </c>
      <c r="AL16" s="17" t="s">
        <v>180</v>
      </c>
      <c r="AM16" s="17">
        <v>77</v>
      </c>
      <c r="AN16" s="17">
        <v>6</v>
      </c>
      <c r="AR16" s="68"/>
      <c r="AS16" s="17">
        <v>2400</v>
      </c>
      <c r="AT16" s="17">
        <v>2400</v>
      </c>
      <c r="AU16" s="17">
        <v>43</v>
      </c>
      <c r="AV16" s="17">
        <v>51</v>
      </c>
      <c r="AW16" s="17">
        <v>46</v>
      </c>
      <c r="AX16" s="17">
        <v>70</v>
      </c>
      <c r="AY16" s="17">
        <v>81</v>
      </c>
      <c r="AZ16" s="17">
        <v>74.556200000000004</v>
      </c>
      <c r="BA16" s="17">
        <v>49.369799999999998</v>
      </c>
      <c r="BB16" s="17">
        <v>56.669499999999999</v>
      </c>
      <c r="BC16" s="17">
        <v>52.407600000000002</v>
      </c>
      <c r="BD16" s="17">
        <v>30</v>
      </c>
      <c r="BE16" s="17" t="s">
        <v>1392</v>
      </c>
      <c r="BF16" s="17" t="s">
        <v>1393</v>
      </c>
      <c r="BG16" s="17" t="s">
        <v>178</v>
      </c>
      <c r="BH16" s="17" t="s">
        <v>179</v>
      </c>
      <c r="BI16" s="17">
        <v>2400</v>
      </c>
      <c r="BN16" s="86" t="s">
        <v>1837</v>
      </c>
      <c r="BO16" s="17">
        <v>2</v>
      </c>
      <c r="BP16" s="17">
        <v>2</v>
      </c>
      <c r="BQ16" s="17">
        <v>2</v>
      </c>
      <c r="BR16" s="17" t="s">
        <v>248</v>
      </c>
      <c r="BS16" s="17" t="s">
        <v>182</v>
      </c>
      <c r="BT16" s="17" t="s">
        <v>1838</v>
      </c>
      <c r="BU16" s="87">
        <v>45814</v>
      </c>
      <c r="BV16" s="68">
        <v>36699</v>
      </c>
      <c r="BW16" s="88"/>
      <c r="BX16" s="17" t="s">
        <v>173</v>
      </c>
      <c r="BY16" s="17" t="s">
        <v>173</v>
      </c>
      <c r="CB16" s="17" t="s">
        <v>173</v>
      </c>
      <c r="CC16" s="17" t="s">
        <v>173</v>
      </c>
      <c r="CD16" s="17" t="s">
        <v>1849</v>
      </c>
      <c r="CE16" s="17" t="s">
        <v>173</v>
      </c>
      <c r="CG16" s="17" t="s">
        <v>172</v>
      </c>
      <c r="CH16" s="17" t="s">
        <v>1850</v>
      </c>
      <c r="CI16" s="17" t="s">
        <v>172</v>
      </c>
      <c r="CJ16" s="17" t="s">
        <v>721</v>
      </c>
      <c r="CK16" s="17" t="s">
        <v>259</v>
      </c>
      <c r="CM16" s="17">
        <v>1</v>
      </c>
      <c r="CN16" s="17" t="s">
        <v>260</v>
      </c>
      <c r="CP16" s="17">
        <v>370</v>
      </c>
      <c r="CQ16" s="17">
        <v>70</v>
      </c>
      <c r="CR16" s="17">
        <v>145.69999999999999</v>
      </c>
      <c r="CS16" s="17" t="s">
        <v>1396</v>
      </c>
      <c r="CV16" s="17" t="s">
        <v>262</v>
      </c>
      <c r="CX16" s="17" t="s">
        <v>263</v>
      </c>
      <c r="CY16" s="17" t="s">
        <v>172</v>
      </c>
      <c r="DD16" s="17">
        <v>1</v>
      </c>
      <c r="DE16" s="17" t="s">
        <v>530</v>
      </c>
      <c r="DG16" s="17">
        <v>140</v>
      </c>
      <c r="DJ16" s="17" t="s">
        <v>201</v>
      </c>
      <c r="DK16" s="17" t="s">
        <v>202</v>
      </c>
      <c r="DL16" s="17" t="s">
        <v>173</v>
      </c>
      <c r="DM16" s="17" t="s">
        <v>172</v>
      </c>
      <c r="DN16" s="17" t="s">
        <v>173</v>
      </c>
      <c r="DO16" s="17" t="s">
        <v>1851</v>
      </c>
      <c r="DP16" s="17" t="s">
        <v>172</v>
      </c>
      <c r="DQ16" s="17" t="s">
        <v>204</v>
      </c>
      <c r="DS16" s="17" t="s">
        <v>1852</v>
      </c>
      <c r="DT16" s="17" t="s">
        <v>1853</v>
      </c>
      <c r="DU16" s="17" t="s">
        <v>1843</v>
      </c>
      <c r="DV16" s="17" t="s">
        <v>1844</v>
      </c>
      <c r="DY16" s="17">
        <v>25.1</v>
      </c>
      <c r="EA16" s="89"/>
      <c r="EB16" s="17">
        <v>6</v>
      </c>
      <c r="EC16" s="17">
        <v>8</v>
      </c>
      <c r="EE16" s="84" t="s">
        <v>1854</v>
      </c>
      <c r="EF16" s="17">
        <v>4</v>
      </c>
      <c r="EH16" s="68"/>
      <c r="EM16" s="84"/>
      <c r="EP16" s="68"/>
      <c r="EU16" s="84"/>
      <c r="EV16" s="68">
        <v>3500</v>
      </c>
      <c r="EW16" s="17">
        <v>520</v>
      </c>
      <c r="EX16" s="17">
        <v>400</v>
      </c>
      <c r="EY16" s="17">
        <v>161</v>
      </c>
      <c r="EZ16" s="83">
        <v>161</v>
      </c>
      <c r="FA16" s="17">
        <v>3</v>
      </c>
      <c r="FC16" s="85">
        <v>440</v>
      </c>
      <c r="FD16" s="17">
        <v>29</v>
      </c>
      <c r="FE16" s="17">
        <v>38</v>
      </c>
      <c r="FF16" s="17">
        <v>32</v>
      </c>
      <c r="FG16" s="84">
        <v>186</v>
      </c>
      <c r="FH16" s="17">
        <v>127</v>
      </c>
      <c r="FI16" s="95">
        <v>159</v>
      </c>
      <c r="FJ16" s="86" t="s">
        <v>1855</v>
      </c>
      <c r="FK16" s="94"/>
      <c r="FL16" s="95"/>
      <c r="FM16" s="84">
        <v>0.65100000000000002</v>
      </c>
      <c r="FN16" s="17">
        <v>0.68799999999999994</v>
      </c>
      <c r="FO16" s="68">
        <v>0.66800000000000004</v>
      </c>
      <c r="FP16" s="92"/>
      <c r="FQ16" s="92"/>
      <c r="FR16" s="92"/>
      <c r="FS16" s="93">
        <v>21.1</v>
      </c>
    </row>
    <row r="17" spans="1:190" s="66" customFormat="1" x14ac:dyDescent="0.35">
      <c r="A17" s="17"/>
      <c r="E17" s="17"/>
      <c r="F17" s="17"/>
      <c r="G17" s="67"/>
      <c r="H17" s="17"/>
      <c r="I17" s="68"/>
      <c r="J17" s="69"/>
      <c r="K17" s="70"/>
      <c r="L17" s="70"/>
      <c r="M17" s="19" t="str">
        <f>_xlfn.CONCAT(A18," ",C18," ",D18)</f>
        <v>2026 Bentley Flying Spur</v>
      </c>
      <c r="N17" s="70"/>
      <c r="O17" s="70"/>
      <c r="P17" s="70"/>
      <c r="Q17" s="70"/>
      <c r="R17" s="70"/>
      <c r="S17" s="70"/>
      <c r="T17" s="70"/>
      <c r="U17" s="70"/>
      <c r="V17" s="70"/>
      <c r="W17" s="70"/>
      <c r="X17" s="70"/>
      <c r="Y17" s="70"/>
      <c r="Z17" s="70"/>
      <c r="AA17" s="70"/>
      <c r="AB17" s="70"/>
      <c r="AC17" s="70"/>
      <c r="AD17" s="19" t="str">
        <f>$M17</f>
        <v>2026 Bentley Flying Spur</v>
      </c>
      <c r="AE17" s="70"/>
      <c r="AF17" s="70"/>
      <c r="AG17" s="70"/>
      <c r="AH17" s="70"/>
      <c r="AI17" s="70"/>
      <c r="AJ17" s="70"/>
      <c r="AK17" s="71"/>
      <c r="AL17" s="1"/>
      <c r="AM17" s="1"/>
      <c r="AN17" s="1"/>
      <c r="AO17" s="1"/>
      <c r="AP17" s="1"/>
      <c r="AQ17" s="1"/>
      <c r="AR17" s="72"/>
      <c r="AS17" s="70"/>
      <c r="AT17" s="19" t="str">
        <f>$M17</f>
        <v>2026 Bentley Flying Spur</v>
      </c>
      <c r="AU17" s="70"/>
      <c r="AV17" s="70"/>
      <c r="AW17" s="70"/>
      <c r="AX17" s="70"/>
      <c r="AY17" s="70"/>
      <c r="AZ17" s="70"/>
      <c r="BA17" s="70"/>
      <c r="BB17" s="70"/>
      <c r="BC17" s="70"/>
      <c r="BD17" s="70"/>
      <c r="BE17" s="70"/>
      <c r="BF17" s="70"/>
      <c r="BG17" s="70"/>
      <c r="BH17" s="70"/>
      <c r="BI17" s="19" t="str">
        <f>$M17</f>
        <v>2026 Bentley Flying Spur</v>
      </c>
      <c r="BJ17" s="70"/>
      <c r="BK17" s="70"/>
      <c r="BL17" s="70"/>
      <c r="BM17" s="70"/>
      <c r="BN17" s="71"/>
      <c r="BO17" s="1"/>
      <c r="BP17" s="1"/>
      <c r="BQ17" s="1"/>
      <c r="BR17" s="1"/>
      <c r="BS17" s="1"/>
      <c r="BT17" s="73"/>
      <c r="BU17" s="1"/>
      <c r="BV17" s="72"/>
      <c r="BW17" s="74"/>
      <c r="BX17" s="70"/>
      <c r="BY17" s="19" t="str">
        <f>$M17</f>
        <v>2026 Bentley Flying Spur</v>
      </c>
      <c r="BZ17" s="70"/>
      <c r="CA17" s="70"/>
      <c r="CB17" s="70"/>
      <c r="CC17" s="70"/>
      <c r="CD17" s="70"/>
      <c r="CE17" s="75"/>
      <c r="CF17" s="70"/>
      <c r="CG17" s="70"/>
      <c r="CH17" s="70"/>
      <c r="CI17" s="70"/>
      <c r="CJ17" s="70"/>
      <c r="CK17" s="70"/>
      <c r="CL17" s="70"/>
      <c r="CM17" s="70"/>
      <c r="CN17" s="70"/>
      <c r="CO17" s="19" t="str">
        <f>$M17</f>
        <v>2026 Bentley Flying Spur</v>
      </c>
      <c r="CP17" s="70"/>
      <c r="CQ17" s="70"/>
      <c r="CR17" s="70"/>
      <c r="CS17" s="70"/>
      <c r="CT17" s="70"/>
      <c r="CU17" s="70"/>
      <c r="CV17" s="70"/>
      <c r="CW17" s="70"/>
      <c r="CX17" s="70"/>
      <c r="CY17" s="70"/>
      <c r="CZ17" s="70"/>
      <c r="DA17" s="70"/>
      <c r="DB17" s="70"/>
      <c r="DC17" s="70"/>
      <c r="DD17" s="70"/>
      <c r="DE17" s="70"/>
      <c r="DF17" s="19" t="str">
        <f>$M17</f>
        <v>2026 Bentley Flying Spur</v>
      </c>
      <c r="DG17" s="70"/>
      <c r="DH17" s="70"/>
      <c r="DI17" s="70"/>
      <c r="DJ17" s="70"/>
      <c r="DK17" s="70"/>
      <c r="DL17" s="70"/>
      <c r="DM17" s="70"/>
      <c r="DN17" s="70"/>
      <c r="DO17" s="70"/>
      <c r="DP17" s="70"/>
      <c r="DQ17" s="70"/>
      <c r="DR17" s="19"/>
      <c r="DS17" s="19"/>
      <c r="DT17" s="19"/>
      <c r="DU17" s="19"/>
      <c r="DV17" s="19"/>
      <c r="DW17" s="19" t="str">
        <f>$M17</f>
        <v>2026 Bentley Flying Spur</v>
      </c>
      <c r="DX17" s="19"/>
      <c r="DY17" s="19"/>
      <c r="DZ17" s="19"/>
      <c r="EA17" s="76"/>
      <c r="EB17" s="19"/>
      <c r="EC17" s="19"/>
      <c r="ED17" s="19"/>
      <c r="EE17" s="69"/>
      <c r="EF17" s="19"/>
      <c r="EG17" s="19"/>
      <c r="EH17" s="77"/>
      <c r="EI17" s="19"/>
      <c r="EK17" t="s">
        <v>1802</v>
      </c>
      <c r="EL17" s="19" t="str">
        <f>$M17</f>
        <v>2026 Bentley Flying Spur</v>
      </c>
      <c r="EM17" s="69"/>
      <c r="EP17" s="65"/>
      <c r="EU17" s="78"/>
      <c r="EV17" s="65"/>
      <c r="EZ17" s="83"/>
      <c r="FA17" s="19" t="str">
        <f>$M17</f>
        <v>2026 Bentley Flying Spur</v>
      </c>
      <c r="FC17" s="79"/>
      <c r="FD17" s="19"/>
      <c r="FE17" s="19"/>
      <c r="FF17" s="19"/>
      <c r="FG17" s="69"/>
      <c r="FH17" s="19"/>
      <c r="FI17" s="77"/>
      <c r="FJ17" s="69"/>
      <c r="FK17" s="19"/>
      <c r="FL17" s="77"/>
      <c r="FM17" s="69" t="str">
        <f>$M17</f>
        <v>2026 Bentley Flying Spur</v>
      </c>
      <c r="FN17" s="19"/>
      <c r="FO17" s="77"/>
      <c r="FP17" s="81"/>
      <c r="FQ17" s="81"/>
      <c r="FR17" s="81"/>
      <c r="FS17" s="82"/>
      <c r="FT17" s="19"/>
      <c r="FU17" s="19"/>
      <c r="FV17" s="19"/>
      <c r="FW17" s="19"/>
      <c r="FX17" s="19"/>
      <c r="FY17" s="19"/>
      <c r="FZ17" s="19"/>
      <c r="GA17" s="19"/>
      <c r="GB17" s="19"/>
      <c r="GC17" s="19"/>
      <c r="GD17" s="19"/>
      <c r="GE17" s="19"/>
      <c r="GF17" s="19"/>
      <c r="GG17" s="19"/>
      <c r="GH17" s="19"/>
    </row>
    <row r="18" spans="1:190" s="17" customFormat="1" x14ac:dyDescent="0.35">
      <c r="A18" s="17">
        <v>2026</v>
      </c>
      <c r="B18" s="17" t="s">
        <v>444</v>
      </c>
      <c r="C18" s="17" t="s">
        <v>1069</v>
      </c>
      <c r="D18" s="96" t="s">
        <v>1857</v>
      </c>
      <c r="E18" s="17" t="s">
        <v>447</v>
      </c>
      <c r="F18" s="17">
        <v>748</v>
      </c>
      <c r="G18" s="67">
        <v>4</v>
      </c>
      <c r="H18" s="17">
        <v>8</v>
      </c>
      <c r="I18" s="68" t="s">
        <v>289</v>
      </c>
      <c r="J18" s="84">
        <v>17</v>
      </c>
      <c r="K18" s="17">
        <v>22</v>
      </c>
      <c r="L18" s="17">
        <v>19</v>
      </c>
      <c r="M18" s="17">
        <v>21.4</v>
      </c>
      <c r="N18" s="17">
        <v>31.1</v>
      </c>
      <c r="O18" s="17">
        <v>24.893999999999998</v>
      </c>
      <c r="P18" s="17">
        <v>17.1523</v>
      </c>
      <c r="Q18" s="17">
        <v>22.3141</v>
      </c>
      <c r="R18" s="17">
        <v>19.145199999999999</v>
      </c>
      <c r="T18" s="17" t="s">
        <v>168</v>
      </c>
      <c r="U18" s="17" t="s">
        <v>169</v>
      </c>
      <c r="V18" s="17" t="s">
        <v>275</v>
      </c>
      <c r="W18" s="17" t="s">
        <v>276</v>
      </c>
      <c r="Y18" s="17">
        <v>8</v>
      </c>
      <c r="Z18" s="17" t="s">
        <v>173</v>
      </c>
      <c r="AA18" s="17" t="s">
        <v>173</v>
      </c>
      <c r="AB18" s="17" t="s">
        <v>170</v>
      </c>
      <c r="AC18" s="17" t="s">
        <v>232</v>
      </c>
      <c r="AD18" s="17">
        <v>15</v>
      </c>
      <c r="AF18" s="17">
        <v>410</v>
      </c>
      <c r="AG18" s="17" t="s">
        <v>176</v>
      </c>
      <c r="AH18" s="17" t="s">
        <v>177</v>
      </c>
      <c r="AI18" s="17" t="s">
        <v>178</v>
      </c>
      <c r="AJ18" s="17" t="s">
        <v>179</v>
      </c>
      <c r="AK18" s="84" t="s">
        <v>173</v>
      </c>
      <c r="AL18" s="17" t="s">
        <v>180</v>
      </c>
      <c r="AM18" s="17">
        <v>102</v>
      </c>
      <c r="AN18" s="17">
        <v>13</v>
      </c>
      <c r="AR18" s="68"/>
      <c r="AS18" s="17">
        <v>2400</v>
      </c>
      <c r="AT18" s="17">
        <v>2400</v>
      </c>
      <c r="AU18" s="17">
        <v>68</v>
      </c>
      <c r="AV18" s="17">
        <v>58</v>
      </c>
      <c r="AW18" s="17">
        <v>64</v>
      </c>
      <c r="AX18" s="17">
        <v>48.2</v>
      </c>
      <c r="AY18" s="17">
        <v>41.6</v>
      </c>
      <c r="AZ18" s="17">
        <v>45.23</v>
      </c>
      <c r="BA18" s="17">
        <v>68.370999999999995</v>
      </c>
      <c r="BB18" s="17">
        <v>57.991</v>
      </c>
      <c r="BC18" s="17">
        <v>63.7</v>
      </c>
      <c r="BD18" s="17">
        <v>30</v>
      </c>
      <c r="BE18" s="17" t="s">
        <v>1392</v>
      </c>
      <c r="BF18" s="17" t="s">
        <v>1393</v>
      </c>
      <c r="BG18" s="17" t="s">
        <v>1399</v>
      </c>
      <c r="BH18" s="17" t="s">
        <v>1400</v>
      </c>
      <c r="BI18" s="17">
        <v>2400</v>
      </c>
      <c r="BJ18" s="1"/>
      <c r="BK18" s="1"/>
      <c r="BL18" s="1"/>
      <c r="BN18" s="86" t="s">
        <v>1837</v>
      </c>
      <c r="BO18" s="17">
        <v>2</v>
      </c>
      <c r="BP18" s="17">
        <v>2</v>
      </c>
      <c r="BQ18" s="17">
        <v>5</v>
      </c>
      <c r="BR18" s="17" t="s">
        <v>460</v>
      </c>
      <c r="BS18" s="17" t="s">
        <v>182</v>
      </c>
      <c r="BT18" s="17" t="s">
        <v>1838</v>
      </c>
      <c r="BU18" s="87">
        <v>45814</v>
      </c>
      <c r="BV18" s="68">
        <v>36701</v>
      </c>
      <c r="BW18" s="88"/>
      <c r="BX18" s="17" t="s">
        <v>173</v>
      </c>
      <c r="BY18" s="17" t="s">
        <v>173</v>
      </c>
      <c r="CB18" s="17" t="s">
        <v>173</v>
      </c>
      <c r="CC18" s="17" t="s">
        <v>173</v>
      </c>
      <c r="CD18" s="17" t="s">
        <v>1849</v>
      </c>
      <c r="CE18" s="17" t="s">
        <v>173</v>
      </c>
      <c r="CG18" s="17" t="s">
        <v>172</v>
      </c>
      <c r="CH18" s="17" t="s">
        <v>1850</v>
      </c>
      <c r="CI18" s="17" t="s">
        <v>172</v>
      </c>
      <c r="CJ18" s="17" t="s">
        <v>721</v>
      </c>
      <c r="CK18" s="17" t="s">
        <v>259</v>
      </c>
      <c r="CM18" s="17">
        <v>1</v>
      </c>
      <c r="CN18" s="17" t="s">
        <v>260</v>
      </c>
      <c r="CP18" s="17">
        <v>370</v>
      </c>
      <c r="CQ18" s="17">
        <v>70</v>
      </c>
      <c r="CR18" s="17">
        <v>145.69999999999999</v>
      </c>
      <c r="CS18" s="17" t="s">
        <v>1396</v>
      </c>
      <c r="CV18" s="17" t="s">
        <v>262</v>
      </c>
      <c r="CX18" s="17" t="s">
        <v>263</v>
      </c>
      <c r="CY18" s="17" t="s">
        <v>172</v>
      </c>
      <c r="DD18" s="17">
        <v>1</v>
      </c>
      <c r="DE18" s="17" t="s">
        <v>530</v>
      </c>
      <c r="DG18" s="17">
        <v>140</v>
      </c>
      <c r="DJ18" s="17" t="s">
        <v>201</v>
      </c>
      <c r="DK18" s="17" t="s">
        <v>202</v>
      </c>
      <c r="DL18" s="17" t="s">
        <v>173</v>
      </c>
      <c r="DM18" s="17" t="s">
        <v>172</v>
      </c>
      <c r="DN18" s="17" t="s">
        <v>173</v>
      </c>
      <c r="DO18" s="17" t="s">
        <v>1851</v>
      </c>
      <c r="DP18" s="17" t="s">
        <v>172</v>
      </c>
      <c r="DQ18" s="17" t="s">
        <v>204</v>
      </c>
      <c r="DS18" s="17" t="s">
        <v>1852</v>
      </c>
      <c r="DT18" s="17" t="s">
        <v>1853</v>
      </c>
      <c r="DU18" s="17" t="s">
        <v>1843</v>
      </c>
      <c r="DV18" s="17" t="s">
        <v>1844</v>
      </c>
      <c r="DY18" s="17">
        <v>25.1</v>
      </c>
      <c r="EA18" s="89"/>
      <c r="EB18" s="17">
        <v>6</v>
      </c>
      <c r="EC18" s="17">
        <v>8</v>
      </c>
      <c r="ED18" s="17">
        <v>10</v>
      </c>
      <c r="EE18" s="84" t="s">
        <v>1854</v>
      </c>
      <c r="EF18" s="17">
        <v>4</v>
      </c>
      <c r="EH18" s="68"/>
      <c r="EM18" s="84"/>
      <c r="EP18" s="68"/>
      <c r="EU18" s="84"/>
      <c r="EV18" s="68">
        <v>3500</v>
      </c>
      <c r="EW18" s="17">
        <v>0</v>
      </c>
      <c r="EX18" s="17">
        <v>0</v>
      </c>
      <c r="EY18" s="17">
        <v>0</v>
      </c>
      <c r="EZ18" s="83">
        <v>161</v>
      </c>
      <c r="FA18" s="17">
        <v>3</v>
      </c>
      <c r="FC18" s="85">
        <v>440</v>
      </c>
      <c r="FD18" s="17">
        <v>29</v>
      </c>
      <c r="FE18" s="17">
        <v>38</v>
      </c>
      <c r="FF18" s="17">
        <v>32</v>
      </c>
      <c r="FG18" s="84">
        <v>186</v>
      </c>
      <c r="FH18" s="17">
        <v>127</v>
      </c>
      <c r="FI18" s="95">
        <v>159</v>
      </c>
      <c r="FJ18" s="90">
        <v>28.296700000000001</v>
      </c>
      <c r="FK18" s="91">
        <v>31.9</v>
      </c>
      <c r="FL18" s="68">
        <v>30</v>
      </c>
      <c r="FM18" s="84">
        <v>0.65100000000000002</v>
      </c>
      <c r="FN18" s="17">
        <v>0.68799999999999994</v>
      </c>
      <c r="FO18" s="68">
        <v>0.66800000000000004</v>
      </c>
      <c r="FP18" s="92">
        <v>0</v>
      </c>
      <c r="FQ18" s="92">
        <v>0</v>
      </c>
      <c r="FR18" s="92">
        <v>0</v>
      </c>
      <c r="FS18" s="93">
        <v>21.1</v>
      </c>
    </row>
    <row r="19" spans="1:190" s="17" customFormat="1" x14ac:dyDescent="0.35">
      <c r="A19" s="17">
        <v>2026</v>
      </c>
      <c r="B19" s="141" t="s">
        <v>1846</v>
      </c>
      <c r="C19" s="141" t="s">
        <v>1069</v>
      </c>
      <c r="D19" s="141" t="s">
        <v>1836</v>
      </c>
      <c r="E19" s="141" t="s">
        <v>447</v>
      </c>
      <c r="F19" s="141">
        <v>600</v>
      </c>
      <c r="G19" s="141">
        <v>3</v>
      </c>
      <c r="H19" s="141">
        <v>6</v>
      </c>
      <c r="I19" s="142" t="s">
        <v>195</v>
      </c>
      <c r="J19" s="84">
        <v>17</v>
      </c>
      <c r="K19" s="17">
        <v>22</v>
      </c>
      <c r="L19" s="17">
        <v>19</v>
      </c>
      <c r="M19" s="17">
        <v>21.4</v>
      </c>
      <c r="N19" s="17">
        <v>31.1</v>
      </c>
      <c r="O19" s="17">
        <v>24.893999999999998</v>
      </c>
      <c r="P19" s="17">
        <v>17.1523</v>
      </c>
      <c r="Q19" s="17">
        <v>22.3141</v>
      </c>
      <c r="R19" s="17">
        <v>19.145199999999999</v>
      </c>
      <c r="T19" s="17" t="s">
        <v>168</v>
      </c>
      <c r="U19" s="17" t="s">
        <v>169</v>
      </c>
      <c r="V19" s="17" t="s">
        <v>275</v>
      </c>
      <c r="W19" s="17" t="s">
        <v>276</v>
      </c>
      <c r="Y19" s="17">
        <v>8</v>
      </c>
      <c r="Z19" s="17" t="s">
        <v>173</v>
      </c>
      <c r="AA19" s="17" t="s">
        <v>173</v>
      </c>
      <c r="AB19" s="17" t="s">
        <v>170</v>
      </c>
      <c r="AC19" s="17" t="s">
        <v>232</v>
      </c>
      <c r="AD19" s="17">
        <v>15</v>
      </c>
      <c r="AF19" s="17">
        <v>410</v>
      </c>
      <c r="AG19" s="17" t="s">
        <v>176</v>
      </c>
      <c r="AH19" s="17" t="s">
        <v>177</v>
      </c>
      <c r="AI19" s="17" t="s">
        <v>178</v>
      </c>
      <c r="AJ19" s="17" t="s">
        <v>179</v>
      </c>
      <c r="AK19" s="84" t="s">
        <v>173</v>
      </c>
      <c r="AL19" s="17" t="s">
        <v>180</v>
      </c>
      <c r="AM19" s="17">
        <v>102</v>
      </c>
      <c r="AN19" s="17">
        <v>13</v>
      </c>
      <c r="AR19" s="68"/>
      <c r="AS19" s="17">
        <v>2400</v>
      </c>
      <c r="AT19" s="17">
        <v>2400</v>
      </c>
      <c r="AU19" s="17">
        <v>43</v>
      </c>
      <c r="AV19" s="17">
        <v>51</v>
      </c>
      <c r="AW19" s="17">
        <v>46</v>
      </c>
      <c r="AX19" s="17">
        <v>70</v>
      </c>
      <c r="AY19" s="17">
        <v>81</v>
      </c>
      <c r="AZ19" s="17">
        <v>74.556200000000004</v>
      </c>
      <c r="BA19" s="17">
        <v>49.369799999999998</v>
      </c>
      <c r="BB19" s="17">
        <v>56.669499999999999</v>
      </c>
      <c r="BC19" s="17">
        <v>52.407600000000002</v>
      </c>
      <c r="BD19" s="17">
        <v>30</v>
      </c>
      <c r="BE19" s="17" t="s">
        <v>1392</v>
      </c>
      <c r="BF19" s="17" t="s">
        <v>1393</v>
      </c>
      <c r="BG19" s="17" t="s">
        <v>178</v>
      </c>
      <c r="BH19" s="17" t="s">
        <v>179</v>
      </c>
      <c r="BI19" s="17">
        <v>2400</v>
      </c>
      <c r="BN19" s="86" t="s">
        <v>1837</v>
      </c>
      <c r="BO19" s="17">
        <v>2</v>
      </c>
      <c r="BP19" s="17">
        <v>2</v>
      </c>
      <c r="BQ19" s="17">
        <v>5</v>
      </c>
      <c r="BR19" s="17" t="s">
        <v>460</v>
      </c>
      <c r="BS19" s="17" t="s">
        <v>182</v>
      </c>
      <c r="BT19" s="17" t="s">
        <v>1838</v>
      </c>
      <c r="BU19" s="87">
        <v>45814</v>
      </c>
      <c r="BV19" s="68">
        <v>36701</v>
      </c>
      <c r="BW19" s="88"/>
      <c r="BX19" s="17" t="s">
        <v>173</v>
      </c>
      <c r="BY19" s="17" t="s">
        <v>173</v>
      </c>
      <c r="CB19" s="17" t="s">
        <v>173</v>
      </c>
      <c r="CC19" s="17" t="s">
        <v>173</v>
      </c>
      <c r="CD19" s="17" t="s">
        <v>1849</v>
      </c>
      <c r="CE19" s="17" t="s">
        <v>173</v>
      </c>
      <c r="CG19" s="17" t="s">
        <v>172</v>
      </c>
      <c r="CH19" s="17" t="s">
        <v>1850</v>
      </c>
      <c r="CI19" s="17" t="s">
        <v>172</v>
      </c>
      <c r="CJ19" s="17" t="s">
        <v>721</v>
      </c>
      <c r="CK19" s="17" t="s">
        <v>259</v>
      </c>
      <c r="CM19" s="17">
        <v>1</v>
      </c>
      <c r="CN19" s="17" t="s">
        <v>260</v>
      </c>
      <c r="CP19" s="17">
        <v>370</v>
      </c>
      <c r="CQ19" s="17">
        <v>70</v>
      </c>
      <c r="CR19" s="17">
        <v>145.69999999999999</v>
      </c>
      <c r="CS19" s="17" t="s">
        <v>1396</v>
      </c>
      <c r="CV19" s="17" t="s">
        <v>262</v>
      </c>
      <c r="CX19" s="17" t="s">
        <v>263</v>
      </c>
      <c r="CY19" s="17" t="s">
        <v>172</v>
      </c>
      <c r="DD19" s="17">
        <v>1</v>
      </c>
      <c r="DE19" s="17" t="s">
        <v>530</v>
      </c>
      <c r="DG19" s="17">
        <v>140</v>
      </c>
      <c r="DJ19" s="17" t="s">
        <v>201</v>
      </c>
      <c r="DK19" s="17" t="s">
        <v>202</v>
      </c>
      <c r="DL19" s="17" t="s">
        <v>173</v>
      </c>
      <c r="DM19" s="17" t="s">
        <v>172</v>
      </c>
      <c r="DN19" s="17" t="s">
        <v>173</v>
      </c>
      <c r="DO19" s="17" t="s">
        <v>1851</v>
      </c>
      <c r="DP19" s="17" t="s">
        <v>172</v>
      </c>
      <c r="DQ19" s="17" t="s">
        <v>204</v>
      </c>
      <c r="DS19" s="17" t="s">
        <v>1852</v>
      </c>
      <c r="DT19" s="17" t="s">
        <v>1853</v>
      </c>
      <c r="DU19" s="17" t="s">
        <v>1843</v>
      </c>
      <c r="DV19" s="17" t="s">
        <v>1844</v>
      </c>
      <c r="DY19" s="17">
        <v>25.1</v>
      </c>
      <c r="EA19" s="89"/>
      <c r="EB19" s="17">
        <v>6</v>
      </c>
      <c r="EC19" s="17">
        <v>8</v>
      </c>
      <c r="ED19" s="17">
        <v>10</v>
      </c>
      <c r="EE19" s="84" t="s">
        <v>1854</v>
      </c>
      <c r="EF19" s="17">
        <v>4</v>
      </c>
      <c r="EH19" s="68"/>
      <c r="EM19" s="84"/>
      <c r="EP19" s="68"/>
      <c r="EU19" s="84"/>
      <c r="EV19" s="68">
        <v>3500</v>
      </c>
      <c r="EW19" s="17">
        <v>520</v>
      </c>
      <c r="EX19" s="17">
        <v>400</v>
      </c>
      <c r="EY19" s="17">
        <v>161</v>
      </c>
      <c r="EZ19" s="83">
        <v>161</v>
      </c>
      <c r="FA19" s="17">
        <v>3</v>
      </c>
      <c r="FC19" s="85">
        <v>440</v>
      </c>
      <c r="FD19" s="17">
        <v>29</v>
      </c>
      <c r="FE19" s="17">
        <v>38</v>
      </c>
      <c r="FF19" s="17">
        <v>32</v>
      </c>
      <c r="FG19" s="84">
        <v>186</v>
      </c>
      <c r="FH19" s="17">
        <v>127</v>
      </c>
      <c r="FI19" s="95">
        <v>159</v>
      </c>
      <c r="FJ19" s="86" t="s">
        <v>1855</v>
      </c>
      <c r="FK19" s="94"/>
      <c r="FL19" s="95"/>
      <c r="FM19" s="84">
        <v>0.65100000000000002</v>
      </c>
      <c r="FN19" s="17">
        <v>0.68799999999999994</v>
      </c>
      <c r="FO19" s="68">
        <v>0.66800000000000004</v>
      </c>
      <c r="FP19" s="92"/>
      <c r="FQ19" s="92"/>
      <c r="FR19" s="92"/>
      <c r="FS19" s="93">
        <v>21.1</v>
      </c>
    </row>
    <row r="20" spans="1:190" s="66" customFormat="1" x14ac:dyDescent="0.35">
      <c r="A20" s="17"/>
      <c r="E20" s="17"/>
      <c r="F20" s="17"/>
      <c r="G20" s="67"/>
      <c r="H20" s="17"/>
      <c r="I20" s="68"/>
      <c r="J20" s="69"/>
      <c r="K20" s="70"/>
      <c r="L20" s="70"/>
      <c r="M20" s="19" t="str">
        <f>_xlfn.CONCAT(A21," ",C21," ",D21)</f>
        <v>2026 Lamborghini Urus SE</v>
      </c>
      <c r="N20" s="70"/>
      <c r="O20" s="70"/>
      <c r="P20" s="70"/>
      <c r="Q20" s="70"/>
      <c r="R20" s="70"/>
      <c r="S20" s="70"/>
      <c r="T20" s="70"/>
      <c r="U20" s="70"/>
      <c r="V20" s="70"/>
      <c r="W20" s="70"/>
      <c r="X20" s="70"/>
      <c r="Y20" s="70"/>
      <c r="Z20" s="70"/>
      <c r="AA20" s="70"/>
      <c r="AB20" s="70"/>
      <c r="AC20" s="70"/>
      <c r="AD20" s="19" t="str">
        <f>$M20</f>
        <v>2026 Lamborghini Urus SE</v>
      </c>
      <c r="AE20" s="70"/>
      <c r="AF20" s="70"/>
      <c r="AG20" s="70"/>
      <c r="AH20" s="70"/>
      <c r="AI20" s="70"/>
      <c r="AJ20" s="70"/>
      <c r="AK20" s="71"/>
      <c r="AL20" s="1"/>
      <c r="AM20" s="1"/>
      <c r="AN20" s="1"/>
      <c r="AO20" s="1"/>
      <c r="AP20" s="1"/>
      <c r="AQ20" s="1"/>
      <c r="AR20" s="72"/>
      <c r="AS20" s="70"/>
      <c r="AT20" s="19" t="str">
        <f>$M20</f>
        <v>2026 Lamborghini Urus SE</v>
      </c>
      <c r="AU20" s="70"/>
      <c r="AV20" s="70"/>
      <c r="AW20" s="70"/>
      <c r="AX20" s="70"/>
      <c r="AY20" s="70"/>
      <c r="AZ20" s="70"/>
      <c r="BA20" s="70"/>
      <c r="BB20" s="70"/>
      <c r="BC20" s="70"/>
      <c r="BD20" s="70"/>
      <c r="BE20" s="70"/>
      <c r="BF20" s="70"/>
      <c r="BG20" s="70"/>
      <c r="BH20" s="70"/>
      <c r="BI20" s="19" t="str">
        <f>$M20</f>
        <v>2026 Lamborghini Urus SE</v>
      </c>
      <c r="BJ20" s="70"/>
      <c r="BK20" s="70"/>
      <c r="BL20" s="70"/>
      <c r="BM20" s="70"/>
      <c r="BN20" s="71"/>
      <c r="BO20" s="1"/>
      <c r="BP20" s="1"/>
      <c r="BQ20" s="1"/>
      <c r="BR20" s="1"/>
      <c r="BS20" s="1"/>
      <c r="BT20" s="73"/>
      <c r="BU20" s="1"/>
      <c r="BV20" s="72"/>
      <c r="BW20" s="74"/>
      <c r="BX20" s="70"/>
      <c r="BY20" s="19" t="str">
        <f>$M20</f>
        <v>2026 Lamborghini Urus SE</v>
      </c>
      <c r="BZ20" s="70"/>
      <c r="CA20" s="70"/>
      <c r="CB20" s="70"/>
      <c r="CC20" s="70"/>
      <c r="CD20" s="70"/>
      <c r="CE20" s="75"/>
      <c r="CF20" s="70"/>
      <c r="CG20" s="70"/>
      <c r="CH20" s="70"/>
      <c r="CI20" s="70"/>
      <c r="CJ20" s="70"/>
      <c r="CK20" s="70"/>
      <c r="CL20" s="70"/>
      <c r="CM20" s="70"/>
      <c r="CN20" s="70"/>
      <c r="CO20" s="19" t="str">
        <f>$M20</f>
        <v>2026 Lamborghini Urus SE</v>
      </c>
      <c r="CP20" s="70"/>
      <c r="CQ20" s="70"/>
      <c r="CR20" s="70"/>
      <c r="CS20" s="70"/>
      <c r="CT20" s="70"/>
      <c r="CU20" s="70"/>
      <c r="CV20" s="70"/>
      <c r="CW20" s="70"/>
      <c r="CX20" s="70"/>
      <c r="CY20" s="70"/>
      <c r="CZ20" s="70"/>
      <c r="DA20" s="70"/>
      <c r="DB20" s="70"/>
      <c r="DC20" s="70"/>
      <c r="DD20" s="70"/>
      <c r="DE20" s="70"/>
      <c r="DF20" s="19" t="str">
        <f>$M20</f>
        <v>2026 Lamborghini Urus SE</v>
      </c>
      <c r="DG20" s="70"/>
      <c r="DH20" s="70"/>
      <c r="DI20" s="70"/>
      <c r="DJ20" s="70"/>
      <c r="DK20" s="70"/>
      <c r="DL20" s="70"/>
      <c r="DM20" s="70"/>
      <c r="DN20" s="70"/>
      <c r="DO20" s="70"/>
      <c r="DP20" s="70"/>
      <c r="DQ20" s="70"/>
      <c r="DR20" s="19"/>
      <c r="DS20" s="19"/>
      <c r="DT20" s="19"/>
      <c r="DU20" s="19"/>
      <c r="DV20" s="19"/>
      <c r="DW20" s="19" t="str">
        <f>$M20</f>
        <v>2026 Lamborghini Urus SE</v>
      </c>
      <c r="DX20" s="19"/>
      <c r="DY20" s="19"/>
      <c r="DZ20" s="19"/>
      <c r="EA20" s="76"/>
      <c r="EB20" s="19"/>
      <c r="EC20" s="19"/>
      <c r="ED20" s="19"/>
      <c r="EE20" s="69"/>
      <c r="EF20" s="19"/>
      <c r="EG20" s="19"/>
      <c r="EH20" s="77"/>
      <c r="EI20" s="19"/>
      <c r="EK20" t="s">
        <v>1802</v>
      </c>
      <c r="EL20" s="19" t="str">
        <f>$M20</f>
        <v>2026 Lamborghini Urus SE</v>
      </c>
      <c r="EM20" s="69"/>
      <c r="EP20" s="65"/>
      <c r="EU20" s="78"/>
      <c r="EV20" s="65"/>
      <c r="EZ20" s="83"/>
      <c r="FA20" s="19" t="str">
        <f>$M20</f>
        <v>2026 Lamborghini Urus SE</v>
      </c>
      <c r="FC20" s="79"/>
      <c r="FD20" s="19"/>
      <c r="FE20" s="19"/>
      <c r="FF20" s="19"/>
      <c r="FG20" s="69"/>
      <c r="FH20" s="19"/>
      <c r="FI20" s="77"/>
      <c r="FJ20" s="69"/>
      <c r="FK20" s="19"/>
      <c r="FL20" s="77"/>
      <c r="FM20" s="69" t="str">
        <f>$M20</f>
        <v>2026 Lamborghini Urus SE</v>
      </c>
      <c r="FN20" s="19"/>
      <c r="FO20" s="77"/>
      <c r="FP20" s="81"/>
      <c r="FQ20" s="81"/>
      <c r="FR20" s="81"/>
      <c r="FS20" s="82"/>
      <c r="FT20" s="19"/>
      <c r="FU20" s="19"/>
      <c r="FV20" s="19"/>
      <c r="FW20" s="19"/>
      <c r="FX20" s="19"/>
      <c r="FY20" s="19"/>
      <c r="FZ20" s="19"/>
      <c r="GA20" s="19"/>
      <c r="GB20" s="19"/>
      <c r="GC20" s="19"/>
      <c r="GD20" s="19"/>
      <c r="GE20" s="19"/>
      <c r="GF20" s="19"/>
      <c r="GG20" s="19"/>
      <c r="GH20" s="19"/>
    </row>
    <row r="21" spans="1:190" s="17" customFormat="1" x14ac:dyDescent="0.35">
      <c r="A21" s="17">
        <v>2026</v>
      </c>
      <c r="B21" s="17" t="s">
        <v>444</v>
      </c>
      <c r="C21" s="96" t="s">
        <v>1858</v>
      </c>
      <c r="D21" s="96" t="s">
        <v>1859</v>
      </c>
      <c r="E21" s="17" t="s">
        <v>447</v>
      </c>
      <c r="F21" s="17">
        <v>410</v>
      </c>
      <c r="G21" s="67">
        <v>4</v>
      </c>
      <c r="H21" s="17">
        <v>8</v>
      </c>
      <c r="I21" s="68" t="s">
        <v>195</v>
      </c>
      <c r="J21" s="84">
        <v>19</v>
      </c>
      <c r="K21" s="17">
        <v>21</v>
      </c>
      <c r="L21" s="17">
        <v>20</v>
      </c>
      <c r="M21" s="17">
        <v>23.7</v>
      </c>
      <c r="N21" s="17">
        <v>29.1</v>
      </c>
      <c r="O21" s="17">
        <v>25.859400000000001</v>
      </c>
      <c r="P21" s="17">
        <v>18.8536</v>
      </c>
      <c r="Q21" s="17">
        <v>20.975100000000001</v>
      </c>
      <c r="R21" s="17">
        <v>19.752600000000001</v>
      </c>
      <c r="T21" s="17" t="s">
        <v>168</v>
      </c>
      <c r="U21" s="17" t="s">
        <v>169</v>
      </c>
      <c r="V21" s="17" t="s">
        <v>196</v>
      </c>
      <c r="W21" s="17" t="s">
        <v>197</v>
      </c>
      <c r="Y21" s="17">
        <v>8</v>
      </c>
      <c r="Z21" s="17" t="s">
        <v>173</v>
      </c>
      <c r="AA21" s="17" t="s">
        <v>173</v>
      </c>
      <c r="AB21" s="17">
        <v>4</v>
      </c>
      <c r="AC21" s="17" t="s">
        <v>423</v>
      </c>
      <c r="AD21" s="17">
        <v>15</v>
      </c>
      <c r="AF21" s="17">
        <v>415</v>
      </c>
      <c r="AG21" s="17" t="s">
        <v>216</v>
      </c>
      <c r="AH21" s="17" t="s">
        <v>217</v>
      </c>
      <c r="AI21" s="17" t="s">
        <v>178</v>
      </c>
      <c r="AJ21" s="17" t="s">
        <v>179</v>
      </c>
      <c r="AK21" s="84" t="s">
        <v>664</v>
      </c>
      <c r="AL21" s="17" t="s">
        <v>665</v>
      </c>
      <c r="AO21" s="17">
        <v>104</v>
      </c>
      <c r="AP21" s="17">
        <v>16</v>
      </c>
      <c r="AR21" s="68"/>
      <c r="AS21" s="17">
        <v>2300</v>
      </c>
      <c r="AT21" s="17">
        <v>2300</v>
      </c>
      <c r="AU21" s="17">
        <v>72</v>
      </c>
      <c r="AV21" s="17">
        <v>67</v>
      </c>
      <c r="AW21" s="17">
        <v>70</v>
      </c>
      <c r="AX21" s="17">
        <v>51.5</v>
      </c>
      <c r="AY21" s="17">
        <v>47.4</v>
      </c>
      <c r="AZ21" s="17">
        <v>49.655000000000001</v>
      </c>
      <c r="BA21" s="17">
        <v>71.953000000000003</v>
      </c>
      <c r="BB21" s="17">
        <v>67.397999999999996</v>
      </c>
      <c r="BC21" s="17">
        <v>69.903199999999998</v>
      </c>
      <c r="BD21" s="17">
        <v>35</v>
      </c>
      <c r="BE21" s="17" t="s">
        <v>1392</v>
      </c>
      <c r="BF21" s="17" t="s">
        <v>1393</v>
      </c>
      <c r="BG21" s="17" t="s">
        <v>1399</v>
      </c>
      <c r="BH21" s="17" t="s">
        <v>1400</v>
      </c>
      <c r="BI21" s="17">
        <v>2300</v>
      </c>
      <c r="BJ21" s="1"/>
      <c r="BK21" s="1"/>
      <c r="BL21" s="1"/>
      <c r="BN21" s="86" t="s">
        <v>1837</v>
      </c>
      <c r="BO21" s="17">
        <v>2</v>
      </c>
      <c r="BP21" s="17">
        <v>2</v>
      </c>
      <c r="BQ21" s="17">
        <v>33</v>
      </c>
      <c r="BR21" s="17" t="s">
        <v>1062</v>
      </c>
      <c r="BT21" s="17" t="s">
        <v>1838</v>
      </c>
      <c r="BU21" s="87">
        <v>45821</v>
      </c>
      <c r="BV21" s="68">
        <v>36752</v>
      </c>
      <c r="BW21" s="88"/>
      <c r="BX21" s="17" t="s">
        <v>172</v>
      </c>
      <c r="BY21" s="17" t="s">
        <v>173</v>
      </c>
      <c r="CB21" s="17" t="s">
        <v>173</v>
      </c>
      <c r="CC21" s="17" t="s">
        <v>173</v>
      </c>
      <c r="CD21" s="17" t="s">
        <v>1860</v>
      </c>
      <c r="CE21" s="17" t="s">
        <v>173</v>
      </c>
      <c r="CG21" s="17" t="s">
        <v>172</v>
      </c>
      <c r="CH21" s="17" t="s">
        <v>1861</v>
      </c>
      <c r="CI21" s="17" t="s">
        <v>173</v>
      </c>
      <c r="CK21" s="17" t="s">
        <v>259</v>
      </c>
      <c r="CM21" s="17">
        <v>1</v>
      </c>
      <c r="CN21" s="17" t="s">
        <v>260</v>
      </c>
      <c r="CP21" s="17">
        <v>370</v>
      </c>
      <c r="CQ21" s="17">
        <v>70</v>
      </c>
      <c r="CR21" s="17">
        <v>157.80000000000001</v>
      </c>
      <c r="CS21" s="17" t="s">
        <v>1396</v>
      </c>
      <c r="CV21" s="17" t="s">
        <v>262</v>
      </c>
      <c r="CX21" s="17" t="s">
        <v>263</v>
      </c>
      <c r="CY21" s="17" t="s">
        <v>173</v>
      </c>
      <c r="DC21" s="17" t="s">
        <v>1862</v>
      </c>
      <c r="DD21" s="17">
        <v>1</v>
      </c>
      <c r="DE21" s="17" t="s">
        <v>307</v>
      </c>
      <c r="DF21" s="17" t="s">
        <v>1863</v>
      </c>
      <c r="DG21" s="17">
        <v>141</v>
      </c>
      <c r="DJ21" s="17" t="s">
        <v>201</v>
      </c>
      <c r="DK21" s="17" t="s">
        <v>202</v>
      </c>
      <c r="DL21" s="17" t="s">
        <v>173</v>
      </c>
      <c r="DM21" s="17" t="s">
        <v>172</v>
      </c>
      <c r="DN21" s="17" t="s">
        <v>173</v>
      </c>
      <c r="DO21" s="17" t="s">
        <v>465</v>
      </c>
      <c r="DP21" s="17" t="s">
        <v>173</v>
      </c>
      <c r="DQ21" s="17" t="s">
        <v>189</v>
      </c>
      <c r="DS21" s="17" t="s">
        <v>1852</v>
      </c>
      <c r="DT21" s="17" t="s">
        <v>1853</v>
      </c>
      <c r="DU21" s="17" t="s">
        <v>1864</v>
      </c>
      <c r="DV21" s="17" t="s">
        <v>1865</v>
      </c>
      <c r="DY21" s="17">
        <v>21.1</v>
      </c>
      <c r="EA21" s="89"/>
      <c r="EB21" s="17">
        <v>6</v>
      </c>
      <c r="EC21" s="17">
        <v>8</v>
      </c>
      <c r="EE21" s="84" t="s">
        <v>1866</v>
      </c>
      <c r="EF21" s="17">
        <v>2</v>
      </c>
      <c r="EH21" s="68"/>
      <c r="EM21" s="84"/>
      <c r="EP21" s="68"/>
      <c r="EU21" s="84"/>
      <c r="EV21" s="68">
        <v>3000</v>
      </c>
      <c r="EW21" s="17">
        <v>0</v>
      </c>
      <c r="EX21" s="17">
        <v>0</v>
      </c>
      <c r="EY21" s="17">
        <v>0</v>
      </c>
      <c r="EZ21" s="83">
        <v>251</v>
      </c>
      <c r="FA21" s="17">
        <v>4</v>
      </c>
      <c r="FC21" s="85">
        <v>450</v>
      </c>
      <c r="FD21" s="17">
        <v>24</v>
      </c>
      <c r="FE21" s="17">
        <v>30</v>
      </c>
      <c r="FF21" s="17">
        <v>26</v>
      </c>
      <c r="FG21" s="84">
        <v>177</v>
      </c>
      <c r="FH21" s="17">
        <v>154</v>
      </c>
      <c r="FI21" s="95">
        <v>166</v>
      </c>
      <c r="FJ21" s="90">
        <v>34.81</v>
      </c>
      <c r="FK21" s="91">
        <v>35.56</v>
      </c>
      <c r="FL21" s="68">
        <v>35</v>
      </c>
      <c r="FM21" s="84">
        <v>0.63400000000000001</v>
      </c>
      <c r="FN21" s="17">
        <v>0.64100000000000001</v>
      </c>
      <c r="FO21" s="68">
        <v>0.63700000000000001</v>
      </c>
      <c r="FP21" s="92">
        <v>0</v>
      </c>
      <c r="FQ21" s="92">
        <v>0</v>
      </c>
      <c r="FR21" s="92">
        <v>0</v>
      </c>
      <c r="FS21" s="93">
        <v>20.9</v>
      </c>
    </row>
    <row r="22" spans="1:190" s="17" customFormat="1" x14ac:dyDescent="0.35">
      <c r="A22" s="17">
        <v>2026</v>
      </c>
      <c r="B22" s="141" t="s">
        <v>1846</v>
      </c>
      <c r="C22" s="141" t="s">
        <v>1069</v>
      </c>
      <c r="D22" s="141" t="s">
        <v>1836</v>
      </c>
      <c r="E22" s="141" t="s">
        <v>447</v>
      </c>
      <c r="F22" s="141">
        <v>600</v>
      </c>
      <c r="G22" s="141">
        <v>3</v>
      </c>
      <c r="H22" s="141">
        <v>6</v>
      </c>
      <c r="I22" s="142" t="s">
        <v>195</v>
      </c>
      <c r="J22" s="84">
        <v>19</v>
      </c>
      <c r="K22" s="17">
        <v>21</v>
      </c>
      <c r="L22" s="17">
        <v>20</v>
      </c>
      <c r="M22" s="17">
        <v>23.7</v>
      </c>
      <c r="N22" s="17">
        <v>29.1</v>
      </c>
      <c r="O22" s="17">
        <v>25.859400000000001</v>
      </c>
      <c r="P22" s="17">
        <v>18.8536</v>
      </c>
      <c r="Q22" s="17">
        <v>20.975100000000001</v>
      </c>
      <c r="R22" s="17">
        <v>19.752600000000001</v>
      </c>
      <c r="T22" s="17" t="s">
        <v>168</v>
      </c>
      <c r="U22" s="17" t="s">
        <v>169</v>
      </c>
      <c r="V22" s="17" t="s">
        <v>196</v>
      </c>
      <c r="W22" s="17" t="s">
        <v>197</v>
      </c>
      <c r="Y22" s="17">
        <v>8</v>
      </c>
      <c r="Z22" s="17" t="s">
        <v>173</v>
      </c>
      <c r="AA22" s="17" t="s">
        <v>173</v>
      </c>
      <c r="AB22" s="17">
        <v>4</v>
      </c>
      <c r="AC22" s="17" t="s">
        <v>423</v>
      </c>
      <c r="AD22" s="17">
        <v>15</v>
      </c>
      <c r="AF22" s="17">
        <v>415</v>
      </c>
      <c r="AG22" s="17" t="s">
        <v>216</v>
      </c>
      <c r="AH22" s="17" t="s">
        <v>217</v>
      </c>
      <c r="AI22" s="17" t="s">
        <v>178</v>
      </c>
      <c r="AJ22" s="17" t="s">
        <v>179</v>
      </c>
      <c r="AK22" s="84" t="s">
        <v>664</v>
      </c>
      <c r="AL22" s="17" t="s">
        <v>665</v>
      </c>
      <c r="AO22" s="17">
        <v>104</v>
      </c>
      <c r="AP22" s="17">
        <v>16</v>
      </c>
      <c r="AR22" s="68"/>
      <c r="AS22" s="17">
        <v>2300</v>
      </c>
      <c r="AT22" s="17">
        <v>2300</v>
      </c>
      <c r="AU22" s="17">
        <v>46</v>
      </c>
      <c r="AV22" s="17">
        <v>50</v>
      </c>
      <c r="AW22" s="17">
        <v>48</v>
      </c>
      <c r="AX22" s="17">
        <v>65.400000000000006</v>
      </c>
      <c r="AY22" s="17">
        <v>71.2</v>
      </c>
      <c r="AZ22" s="17">
        <v>67.888599999999997</v>
      </c>
      <c r="BA22" s="17">
        <v>46.3157</v>
      </c>
      <c r="BB22" s="17">
        <v>49.825899999999997</v>
      </c>
      <c r="BC22" s="17">
        <v>47.832099999999997</v>
      </c>
      <c r="BD22" s="17">
        <v>35</v>
      </c>
      <c r="BE22" s="17" t="s">
        <v>1392</v>
      </c>
      <c r="BF22" s="17" t="s">
        <v>1393</v>
      </c>
      <c r="BG22" s="17" t="s">
        <v>178</v>
      </c>
      <c r="BH22" s="17" t="s">
        <v>179</v>
      </c>
      <c r="BI22" s="17">
        <v>2300</v>
      </c>
      <c r="BN22" s="86" t="s">
        <v>1837</v>
      </c>
      <c r="BO22" s="17">
        <v>2</v>
      </c>
      <c r="BP22" s="17">
        <v>2</v>
      </c>
      <c r="BQ22" s="17">
        <v>33</v>
      </c>
      <c r="BR22" s="17" t="s">
        <v>1062</v>
      </c>
      <c r="BT22" s="17" t="s">
        <v>1838</v>
      </c>
      <c r="BU22" s="87">
        <v>45821</v>
      </c>
      <c r="BV22" s="68">
        <v>36752</v>
      </c>
      <c r="BW22" s="88"/>
      <c r="BX22" s="17" t="s">
        <v>172</v>
      </c>
      <c r="BY22" s="17" t="s">
        <v>173</v>
      </c>
      <c r="CB22" s="17" t="s">
        <v>173</v>
      </c>
      <c r="CC22" s="17" t="s">
        <v>173</v>
      </c>
      <c r="CD22" s="17" t="s">
        <v>1860</v>
      </c>
      <c r="CE22" s="17" t="s">
        <v>173</v>
      </c>
      <c r="CG22" s="17" t="s">
        <v>172</v>
      </c>
      <c r="CH22" s="17" t="s">
        <v>1861</v>
      </c>
      <c r="CI22" s="17" t="s">
        <v>173</v>
      </c>
      <c r="CK22" s="17" t="s">
        <v>259</v>
      </c>
      <c r="CM22" s="17">
        <v>1</v>
      </c>
      <c r="CN22" s="17" t="s">
        <v>260</v>
      </c>
      <c r="CP22" s="17">
        <v>370</v>
      </c>
      <c r="CQ22" s="17">
        <v>70</v>
      </c>
      <c r="CR22" s="17">
        <v>157.80000000000001</v>
      </c>
      <c r="CS22" s="17" t="s">
        <v>1396</v>
      </c>
      <c r="CV22" s="17" t="s">
        <v>262</v>
      </c>
      <c r="CX22" s="17" t="s">
        <v>263</v>
      </c>
      <c r="CY22" s="17" t="s">
        <v>173</v>
      </c>
      <c r="DC22" s="17" t="s">
        <v>1862</v>
      </c>
      <c r="DD22" s="17">
        <v>1</v>
      </c>
      <c r="DE22" s="17" t="s">
        <v>307</v>
      </c>
      <c r="DF22" s="17" t="s">
        <v>1863</v>
      </c>
      <c r="DG22" s="17">
        <v>141</v>
      </c>
      <c r="DJ22" s="17" t="s">
        <v>201</v>
      </c>
      <c r="DK22" s="17" t="s">
        <v>202</v>
      </c>
      <c r="DL22" s="17" t="s">
        <v>173</v>
      </c>
      <c r="DM22" s="17" t="s">
        <v>172</v>
      </c>
      <c r="DN22" s="17" t="s">
        <v>173</v>
      </c>
      <c r="DO22" s="17" t="s">
        <v>465</v>
      </c>
      <c r="DP22" s="17" t="s">
        <v>173</v>
      </c>
      <c r="DQ22" s="17" t="s">
        <v>189</v>
      </c>
      <c r="DS22" s="17" t="s">
        <v>1852</v>
      </c>
      <c r="DT22" s="17" t="s">
        <v>1853</v>
      </c>
      <c r="DU22" s="17" t="s">
        <v>1864</v>
      </c>
      <c r="DV22" s="17" t="s">
        <v>1865</v>
      </c>
      <c r="DY22" s="17">
        <v>21.1</v>
      </c>
      <c r="EA22" s="89"/>
      <c r="EB22" s="17">
        <v>6</v>
      </c>
      <c r="EC22" s="17">
        <v>8</v>
      </c>
      <c r="EE22" s="84" t="s">
        <v>1866</v>
      </c>
      <c r="EF22" s="17">
        <v>2</v>
      </c>
      <c r="EH22" s="68"/>
      <c r="EM22" s="84"/>
      <c r="EP22" s="68"/>
      <c r="EU22" s="84"/>
      <c r="EV22" s="68">
        <v>3000</v>
      </c>
      <c r="EW22" s="17">
        <v>474</v>
      </c>
      <c r="EX22" s="17">
        <v>426</v>
      </c>
      <c r="EY22" s="17">
        <v>452</v>
      </c>
      <c r="EZ22" s="83">
        <v>251</v>
      </c>
      <c r="FA22" s="17">
        <v>4</v>
      </c>
      <c r="FC22" s="85">
        <v>450</v>
      </c>
      <c r="FD22" s="17">
        <v>24</v>
      </c>
      <c r="FE22" s="17">
        <v>30</v>
      </c>
      <c r="FF22" s="17">
        <v>26</v>
      </c>
      <c r="FG22" s="84">
        <v>177</v>
      </c>
      <c r="FH22" s="17">
        <v>154</v>
      </c>
      <c r="FI22" s="95">
        <v>166</v>
      </c>
      <c r="FJ22" s="86" t="s">
        <v>1867</v>
      </c>
      <c r="FK22" s="94"/>
      <c r="FL22" s="95"/>
      <c r="FM22" s="84">
        <v>0.63400000000000001</v>
      </c>
      <c r="FN22" s="17">
        <v>0.64100000000000001</v>
      </c>
      <c r="FO22" s="68">
        <v>0.63700000000000001</v>
      </c>
      <c r="FP22" s="92"/>
      <c r="FQ22" s="92"/>
      <c r="FR22" s="92"/>
      <c r="FS22" s="93">
        <v>20.9</v>
      </c>
    </row>
    <row r="23" spans="1:190" s="66" customFormat="1" x14ac:dyDescent="0.35">
      <c r="A23" s="17"/>
      <c r="E23" s="17"/>
      <c r="F23" s="17"/>
      <c r="G23" s="67"/>
      <c r="H23" s="17"/>
      <c r="I23" s="68"/>
      <c r="J23" s="69"/>
      <c r="K23" s="70"/>
      <c r="L23" s="70"/>
      <c r="M23" s="19" t="str">
        <f>_xlfn.CONCAT(A24," ",C24," ",D24)</f>
        <v>2026 BMW 550e xDrive Sedan</v>
      </c>
      <c r="N23" s="70"/>
      <c r="O23" s="70"/>
      <c r="P23" s="70"/>
      <c r="Q23" s="70"/>
      <c r="R23" s="70"/>
      <c r="S23" s="70"/>
      <c r="T23" s="70"/>
      <c r="U23" s="70"/>
      <c r="V23" s="70"/>
      <c r="W23" s="70"/>
      <c r="X23" s="70"/>
      <c r="Y23" s="70"/>
      <c r="Z23" s="70"/>
      <c r="AA23" s="70"/>
      <c r="AB23" s="70"/>
      <c r="AC23" s="70"/>
      <c r="AD23" s="19" t="str">
        <f>$M23</f>
        <v>2026 BMW 550e xDrive Sedan</v>
      </c>
      <c r="AE23" s="70"/>
      <c r="AF23" s="70"/>
      <c r="AG23" s="70"/>
      <c r="AH23" s="70"/>
      <c r="AI23" s="70"/>
      <c r="AJ23" s="70"/>
      <c r="AK23" s="71"/>
      <c r="AL23" s="1"/>
      <c r="AM23" s="1"/>
      <c r="AN23" s="1"/>
      <c r="AO23" s="1"/>
      <c r="AP23" s="1"/>
      <c r="AQ23" s="1"/>
      <c r="AR23" s="72"/>
      <c r="AS23" s="70"/>
      <c r="AT23" s="19" t="str">
        <f>$M23</f>
        <v>2026 BMW 550e xDrive Sedan</v>
      </c>
      <c r="AU23" s="70"/>
      <c r="AV23" s="70"/>
      <c r="AW23" s="70"/>
      <c r="AX23" s="70"/>
      <c r="AY23" s="70"/>
      <c r="AZ23" s="70"/>
      <c r="BA23" s="70"/>
      <c r="BB23" s="70"/>
      <c r="BC23" s="70"/>
      <c r="BD23" s="70"/>
      <c r="BE23" s="70"/>
      <c r="BF23" s="70"/>
      <c r="BG23" s="70"/>
      <c r="BH23" s="70"/>
      <c r="BI23" s="19" t="str">
        <f>$M23</f>
        <v>2026 BMW 550e xDrive Sedan</v>
      </c>
      <c r="BJ23" s="70"/>
      <c r="BK23" s="70"/>
      <c r="BL23" s="70"/>
      <c r="BM23" s="70"/>
      <c r="BN23" s="71"/>
      <c r="BO23" s="1"/>
      <c r="BP23" s="1"/>
      <c r="BQ23" s="1"/>
      <c r="BR23" s="1"/>
      <c r="BS23" s="1"/>
      <c r="BT23" s="73"/>
      <c r="BU23" s="1"/>
      <c r="BV23" s="72"/>
      <c r="BW23" s="74"/>
      <c r="BX23" s="70"/>
      <c r="BY23" s="19" t="str">
        <f>$M23</f>
        <v>2026 BMW 550e xDrive Sedan</v>
      </c>
      <c r="BZ23" s="70"/>
      <c r="CA23" s="70"/>
      <c r="CB23" s="70"/>
      <c r="CC23" s="70"/>
      <c r="CD23" s="70"/>
      <c r="CE23" s="75"/>
      <c r="CF23" s="70"/>
      <c r="CG23" s="70"/>
      <c r="CH23" s="70"/>
      <c r="CI23" s="70"/>
      <c r="CJ23" s="70"/>
      <c r="CK23" s="70"/>
      <c r="CL23" s="70"/>
      <c r="CM23" s="70"/>
      <c r="CN23" s="70"/>
      <c r="CO23" s="19" t="str">
        <f>$M23</f>
        <v>2026 BMW 550e xDrive Sedan</v>
      </c>
      <c r="CP23" s="70"/>
      <c r="CQ23" s="70"/>
      <c r="CR23" s="70"/>
      <c r="CS23" s="70"/>
      <c r="CT23" s="70"/>
      <c r="CU23" s="70"/>
      <c r="CV23" s="70"/>
      <c r="CW23" s="70"/>
      <c r="CX23" s="70"/>
      <c r="CY23" s="70"/>
      <c r="CZ23" s="70"/>
      <c r="DA23" s="70"/>
      <c r="DB23" s="70"/>
      <c r="DC23" s="70"/>
      <c r="DD23" s="70"/>
      <c r="DE23" s="70"/>
      <c r="DF23" s="19" t="str">
        <f>$M23</f>
        <v>2026 BMW 550e xDrive Sedan</v>
      </c>
      <c r="DG23" s="70"/>
      <c r="DH23" s="70"/>
      <c r="DI23" s="70"/>
      <c r="DJ23" s="70"/>
      <c r="DK23" s="70"/>
      <c r="DL23" s="70"/>
      <c r="DM23" s="70"/>
      <c r="DN23" s="70"/>
      <c r="DO23" s="70"/>
      <c r="DP23" s="70"/>
      <c r="DQ23" s="70"/>
      <c r="DR23" s="19"/>
      <c r="DS23" s="19"/>
      <c r="DT23" s="19"/>
      <c r="DU23" s="19"/>
      <c r="DV23" s="19"/>
      <c r="DW23" s="19" t="str">
        <f>$M23</f>
        <v>2026 BMW 550e xDrive Sedan</v>
      </c>
      <c r="DX23" s="19"/>
      <c r="DY23" s="19"/>
      <c r="DZ23" s="19"/>
      <c r="EA23" s="76"/>
      <c r="EB23" s="19"/>
      <c r="EC23" s="19"/>
      <c r="ED23" s="19"/>
      <c r="EE23" s="69"/>
      <c r="EF23" s="19"/>
      <c r="EG23" s="19"/>
      <c r="EH23" s="77"/>
      <c r="EI23" s="19"/>
      <c r="EK23" t="s">
        <v>1802</v>
      </c>
      <c r="EL23" s="19" t="str">
        <f>$M23</f>
        <v>2026 BMW 550e xDrive Sedan</v>
      </c>
      <c r="EM23" s="69"/>
      <c r="EP23" s="65"/>
      <c r="EU23" s="78"/>
      <c r="EV23" s="65"/>
      <c r="EZ23" s="83"/>
      <c r="FA23" s="19" t="str">
        <f>$M23</f>
        <v>2026 BMW 550e xDrive Sedan</v>
      </c>
      <c r="FC23" s="79"/>
      <c r="FD23" s="19"/>
      <c r="FE23" s="19"/>
      <c r="FF23" s="19"/>
      <c r="FG23" s="69"/>
      <c r="FH23" s="19"/>
      <c r="FI23" s="77"/>
      <c r="FJ23" s="69"/>
      <c r="FK23" s="19"/>
      <c r="FL23" s="77"/>
      <c r="FM23" s="69" t="str">
        <f>$M23</f>
        <v>2026 BMW 550e xDrive Sedan</v>
      </c>
      <c r="FN23" s="19"/>
      <c r="FO23" s="77"/>
      <c r="FP23" s="81"/>
      <c r="FQ23" s="81"/>
      <c r="FR23" s="81"/>
      <c r="FS23" s="82"/>
      <c r="FT23" s="19"/>
      <c r="FU23" s="19"/>
      <c r="FV23" s="19"/>
      <c r="FW23" s="19"/>
      <c r="FX23" s="19"/>
      <c r="FY23" s="19"/>
      <c r="FZ23" s="19"/>
      <c r="GA23" s="19"/>
      <c r="GB23" s="19"/>
      <c r="GC23" s="19"/>
      <c r="GD23" s="19"/>
      <c r="GE23" s="19"/>
      <c r="GF23" s="19"/>
      <c r="GG23" s="19"/>
      <c r="GH23" s="19"/>
    </row>
    <row r="24" spans="1:190" s="17" customFormat="1" x14ac:dyDescent="0.35">
      <c r="A24" s="17">
        <v>2026</v>
      </c>
      <c r="B24" s="17" t="s">
        <v>192</v>
      </c>
      <c r="C24" s="17" t="s">
        <v>192</v>
      </c>
      <c r="D24" s="17" t="s">
        <v>1868</v>
      </c>
      <c r="E24" s="17" t="s">
        <v>194</v>
      </c>
      <c r="F24" s="17">
        <v>550</v>
      </c>
      <c r="G24" s="67">
        <v>3</v>
      </c>
      <c r="H24" s="17">
        <v>6</v>
      </c>
      <c r="I24" s="68" t="s">
        <v>195</v>
      </c>
      <c r="J24" s="84">
        <v>22</v>
      </c>
      <c r="K24" s="17">
        <v>28</v>
      </c>
      <c r="L24" s="17">
        <v>25</v>
      </c>
      <c r="M24" s="17">
        <v>31.8</v>
      </c>
      <c r="N24" s="17">
        <v>39.9</v>
      </c>
      <c r="O24" s="17">
        <v>34.997100000000003</v>
      </c>
      <c r="P24" s="17">
        <v>22.3446</v>
      </c>
      <c r="Q24" s="17">
        <v>28.482099999999999</v>
      </c>
      <c r="R24" s="17">
        <v>24.744</v>
      </c>
      <c r="T24" s="17" t="s">
        <v>168</v>
      </c>
      <c r="U24" s="17" t="s">
        <v>169</v>
      </c>
      <c r="V24" s="17" t="s">
        <v>196</v>
      </c>
      <c r="W24" s="17" t="s">
        <v>197</v>
      </c>
      <c r="Y24" s="17">
        <v>8</v>
      </c>
      <c r="Z24" s="17" t="s">
        <v>173</v>
      </c>
      <c r="AA24" s="17" t="s">
        <v>173</v>
      </c>
      <c r="AB24" s="17" t="s">
        <v>170</v>
      </c>
      <c r="AC24" s="17" t="s">
        <v>232</v>
      </c>
      <c r="AD24" s="17">
        <v>10</v>
      </c>
      <c r="AF24" s="17">
        <v>399</v>
      </c>
      <c r="AG24" s="17" t="s">
        <v>176</v>
      </c>
      <c r="AH24" s="17" t="s">
        <v>177</v>
      </c>
      <c r="AI24" s="17" t="s">
        <v>178</v>
      </c>
      <c r="AJ24" s="17" t="s">
        <v>179</v>
      </c>
      <c r="AK24" s="84" t="s">
        <v>173</v>
      </c>
      <c r="AL24" s="17" t="s">
        <v>180</v>
      </c>
      <c r="AO24" s="17">
        <v>98</v>
      </c>
      <c r="AP24" s="17">
        <v>14</v>
      </c>
      <c r="AR24" s="68"/>
      <c r="AS24" s="17">
        <v>1750</v>
      </c>
      <c r="AT24" s="17">
        <v>1750</v>
      </c>
      <c r="AU24" s="17">
        <v>52</v>
      </c>
      <c r="AV24" s="17">
        <v>46</v>
      </c>
      <c r="AW24" s="17">
        <v>49</v>
      </c>
      <c r="AX24" s="17">
        <v>36.5</v>
      </c>
      <c r="AY24" s="17">
        <v>32.4</v>
      </c>
      <c r="AZ24" s="17">
        <v>34.655000000000001</v>
      </c>
      <c r="BA24" s="17">
        <v>51.877000000000002</v>
      </c>
      <c r="BB24" s="17">
        <v>46.036000000000001</v>
      </c>
      <c r="BC24" s="17">
        <v>49.248600000000003</v>
      </c>
      <c r="BD24" s="17">
        <v>34</v>
      </c>
      <c r="BE24" s="17" t="s">
        <v>1392</v>
      </c>
      <c r="BF24" s="17" t="s">
        <v>1393</v>
      </c>
      <c r="BG24" s="17" t="s">
        <v>1399</v>
      </c>
      <c r="BH24" s="17" t="s">
        <v>1400</v>
      </c>
      <c r="BI24" s="17">
        <v>1750</v>
      </c>
      <c r="BJ24" s="1"/>
      <c r="BK24" s="1"/>
      <c r="BL24" s="1"/>
      <c r="BN24" s="86" t="s">
        <v>1869</v>
      </c>
      <c r="BO24" s="17">
        <v>2</v>
      </c>
      <c r="BP24" s="17">
        <v>2</v>
      </c>
      <c r="BQ24" s="17">
        <v>5</v>
      </c>
      <c r="BR24" s="17" t="s">
        <v>460</v>
      </c>
      <c r="BS24" s="17" t="s">
        <v>182</v>
      </c>
      <c r="BT24" s="17" t="s">
        <v>1838</v>
      </c>
      <c r="BU24" s="87">
        <v>45748</v>
      </c>
      <c r="BV24" s="68">
        <v>36439</v>
      </c>
      <c r="BW24" s="88"/>
      <c r="BX24" s="17" t="s">
        <v>173</v>
      </c>
      <c r="BY24" s="17" t="s">
        <v>173</v>
      </c>
      <c r="CB24" s="17" t="s">
        <v>173</v>
      </c>
      <c r="CC24" s="17" t="s">
        <v>173</v>
      </c>
      <c r="CE24" s="17" t="s">
        <v>173</v>
      </c>
      <c r="CG24" s="17" t="s">
        <v>172</v>
      </c>
      <c r="CH24" s="17" t="s">
        <v>282</v>
      </c>
      <c r="CI24" s="17" t="s">
        <v>172</v>
      </c>
      <c r="CJ24" s="17" t="s">
        <v>305</v>
      </c>
      <c r="CK24" s="17" t="s">
        <v>259</v>
      </c>
      <c r="CM24" s="17">
        <v>1</v>
      </c>
      <c r="CN24" s="17" t="s">
        <v>260</v>
      </c>
      <c r="CP24" s="17">
        <v>348</v>
      </c>
      <c r="CQ24" s="17">
        <v>63.5</v>
      </c>
      <c r="CR24" s="17">
        <v>108</v>
      </c>
      <c r="CS24" s="17" t="s">
        <v>261</v>
      </c>
      <c r="CV24" s="17" t="s">
        <v>262</v>
      </c>
      <c r="CX24" s="17" t="s">
        <v>263</v>
      </c>
      <c r="CY24" s="17" t="s">
        <v>172</v>
      </c>
      <c r="DC24" s="17" t="s">
        <v>1870</v>
      </c>
      <c r="DD24" s="17">
        <v>1</v>
      </c>
      <c r="DE24" s="17" t="s">
        <v>307</v>
      </c>
      <c r="DF24" s="17" t="s">
        <v>330</v>
      </c>
      <c r="DG24" s="17">
        <v>145</v>
      </c>
      <c r="DJ24" s="17" t="s">
        <v>250</v>
      </c>
      <c r="DK24" s="17" t="s">
        <v>251</v>
      </c>
      <c r="DL24" s="17" t="s">
        <v>173</v>
      </c>
      <c r="DM24" s="17" t="s">
        <v>172</v>
      </c>
      <c r="DN24" s="17" t="s">
        <v>173</v>
      </c>
      <c r="DO24" s="17" t="s">
        <v>309</v>
      </c>
      <c r="DP24" s="17" t="s">
        <v>172</v>
      </c>
      <c r="DQ24" s="17" t="s">
        <v>204</v>
      </c>
      <c r="DS24" s="17" t="s">
        <v>1852</v>
      </c>
      <c r="DT24" s="17" t="s">
        <v>1853</v>
      </c>
      <c r="DU24" s="17" t="s">
        <v>1864</v>
      </c>
      <c r="DV24" s="17" t="s">
        <v>1865</v>
      </c>
      <c r="DY24" s="17">
        <v>35.200000000000003</v>
      </c>
      <c r="EA24" s="89"/>
      <c r="EB24" s="17">
        <v>7</v>
      </c>
      <c r="EC24" s="17">
        <v>9</v>
      </c>
      <c r="ED24" s="17">
        <v>10</v>
      </c>
      <c r="EE24" s="84" t="s">
        <v>1871</v>
      </c>
      <c r="EF24" s="17">
        <v>5</v>
      </c>
      <c r="EH24" s="68"/>
      <c r="EM24" s="84"/>
      <c r="EP24" s="68"/>
      <c r="EU24" s="84"/>
      <c r="EV24" s="68">
        <v>250</v>
      </c>
      <c r="EW24" s="17">
        <v>0</v>
      </c>
      <c r="EX24" s="17">
        <v>0</v>
      </c>
      <c r="EY24" s="17">
        <v>0</v>
      </c>
      <c r="EZ24" s="83">
        <v>133</v>
      </c>
      <c r="FA24" s="17">
        <v>2</v>
      </c>
      <c r="FC24" s="85">
        <v>430</v>
      </c>
      <c r="FD24" s="17">
        <v>37</v>
      </c>
      <c r="FE24" s="17">
        <v>46</v>
      </c>
      <c r="FF24" s="17">
        <v>41</v>
      </c>
      <c r="FG24" s="84">
        <v>150</v>
      </c>
      <c r="FH24" s="17">
        <v>113</v>
      </c>
      <c r="FI24" s="95">
        <v>133</v>
      </c>
      <c r="FJ24" s="90">
        <v>32.909999999999997</v>
      </c>
      <c r="FK24" s="91">
        <v>35.409999999999997</v>
      </c>
      <c r="FL24" s="68">
        <v>34</v>
      </c>
      <c r="FM24" s="84">
        <v>0.61599999999999999</v>
      </c>
      <c r="FN24" s="17">
        <v>0.63900000000000001</v>
      </c>
      <c r="FO24" s="68">
        <v>0.627</v>
      </c>
      <c r="FP24" s="92">
        <v>0</v>
      </c>
      <c r="FQ24" s="92">
        <v>0</v>
      </c>
      <c r="FR24" s="92">
        <v>0</v>
      </c>
      <c r="FS24" s="93">
        <v>15.9</v>
      </c>
    </row>
    <row r="25" spans="1:190" s="17" customFormat="1" x14ac:dyDescent="0.35">
      <c r="A25" s="17">
        <v>2026</v>
      </c>
      <c r="B25" s="141" t="s">
        <v>192</v>
      </c>
      <c r="C25" s="141" t="s">
        <v>192</v>
      </c>
      <c r="D25" s="141" t="s">
        <v>1868</v>
      </c>
      <c r="E25" s="141" t="s">
        <v>194</v>
      </c>
      <c r="F25" s="141">
        <v>550</v>
      </c>
      <c r="G25" s="141">
        <v>3</v>
      </c>
      <c r="H25" s="141">
        <v>6</v>
      </c>
      <c r="I25" s="142" t="s">
        <v>195</v>
      </c>
      <c r="J25" s="84">
        <v>22</v>
      </c>
      <c r="K25" s="17">
        <v>28</v>
      </c>
      <c r="L25" s="17">
        <v>25</v>
      </c>
      <c r="M25" s="17">
        <v>31.8</v>
      </c>
      <c r="N25" s="17">
        <v>39.9</v>
      </c>
      <c r="O25" s="17">
        <v>34.997100000000003</v>
      </c>
      <c r="P25" s="17">
        <v>22.3446</v>
      </c>
      <c r="Q25" s="17">
        <v>28.482099999999999</v>
      </c>
      <c r="R25" s="17">
        <v>24.744</v>
      </c>
      <c r="T25" s="17" t="s">
        <v>168</v>
      </c>
      <c r="U25" s="17" t="s">
        <v>169</v>
      </c>
      <c r="V25" s="17" t="s">
        <v>196</v>
      </c>
      <c r="W25" s="17" t="s">
        <v>197</v>
      </c>
      <c r="Y25" s="17">
        <v>8</v>
      </c>
      <c r="Z25" s="17" t="s">
        <v>173</v>
      </c>
      <c r="AA25" s="17" t="s">
        <v>173</v>
      </c>
      <c r="AB25" s="17" t="s">
        <v>170</v>
      </c>
      <c r="AC25" s="17" t="s">
        <v>232</v>
      </c>
      <c r="AD25" s="17">
        <v>10</v>
      </c>
      <c r="AF25" s="17">
        <v>399</v>
      </c>
      <c r="AG25" s="17" t="s">
        <v>176</v>
      </c>
      <c r="AH25" s="17" t="s">
        <v>177</v>
      </c>
      <c r="AI25" s="17" t="s">
        <v>178</v>
      </c>
      <c r="AJ25" s="17" t="s">
        <v>179</v>
      </c>
      <c r="AK25" s="84" t="s">
        <v>173</v>
      </c>
      <c r="AL25" s="17" t="s">
        <v>180</v>
      </c>
      <c r="AO25" s="17">
        <v>98</v>
      </c>
      <c r="AP25" s="17">
        <v>14</v>
      </c>
      <c r="AR25" s="68"/>
      <c r="AS25" s="17">
        <v>1750</v>
      </c>
      <c r="AT25" s="17">
        <v>1750</v>
      </c>
      <c r="AU25" s="17">
        <v>65</v>
      </c>
      <c r="AV25" s="17">
        <v>73</v>
      </c>
      <c r="AW25" s="17">
        <v>68</v>
      </c>
      <c r="AX25" s="17">
        <v>92.2</v>
      </c>
      <c r="AY25" s="17">
        <v>104.2</v>
      </c>
      <c r="AZ25" s="17">
        <v>97.2393</v>
      </c>
      <c r="BA25" s="17">
        <v>64.838899999999995</v>
      </c>
      <c r="BB25" s="17">
        <v>72.910899999999998</v>
      </c>
      <c r="BC25" s="17">
        <v>68.238500000000002</v>
      </c>
      <c r="BD25" s="17">
        <v>34</v>
      </c>
      <c r="BE25" s="17" t="s">
        <v>1392</v>
      </c>
      <c r="BF25" s="17" t="s">
        <v>1393</v>
      </c>
      <c r="BG25" s="17" t="s">
        <v>178</v>
      </c>
      <c r="BH25" s="17" t="s">
        <v>179</v>
      </c>
      <c r="BI25" s="17">
        <v>1750</v>
      </c>
      <c r="BN25" s="86" t="s">
        <v>1869</v>
      </c>
      <c r="BO25" s="17">
        <v>2</v>
      </c>
      <c r="BP25" s="17">
        <v>2</v>
      </c>
      <c r="BQ25" s="17">
        <v>5</v>
      </c>
      <c r="BR25" s="17" t="s">
        <v>460</v>
      </c>
      <c r="BS25" s="17" t="s">
        <v>182</v>
      </c>
      <c r="BT25" s="17" t="s">
        <v>1838</v>
      </c>
      <c r="BU25" s="87">
        <v>45748</v>
      </c>
      <c r="BV25" s="68">
        <v>36439</v>
      </c>
      <c r="BW25" s="88"/>
      <c r="BX25" s="17" t="s">
        <v>173</v>
      </c>
      <c r="BY25" s="17" t="s">
        <v>173</v>
      </c>
      <c r="CB25" s="17" t="s">
        <v>173</v>
      </c>
      <c r="CC25" s="17" t="s">
        <v>173</v>
      </c>
      <c r="CE25" s="17" t="s">
        <v>173</v>
      </c>
      <c r="CG25" s="17" t="s">
        <v>172</v>
      </c>
      <c r="CH25" s="17" t="s">
        <v>282</v>
      </c>
      <c r="CI25" s="17" t="s">
        <v>172</v>
      </c>
      <c r="CJ25" s="17" t="s">
        <v>305</v>
      </c>
      <c r="CK25" s="17" t="s">
        <v>259</v>
      </c>
      <c r="CM25" s="17">
        <v>1</v>
      </c>
      <c r="CN25" s="17" t="s">
        <v>260</v>
      </c>
      <c r="CP25" s="17">
        <v>348</v>
      </c>
      <c r="CQ25" s="17">
        <v>63.5</v>
      </c>
      <c r="CR25" s="17">
        <v>108</v>
      </c>
      <c r="CS25" s="17" t="s">
        <v>261</v>
      </c>
      <c r="CV25" s="17" t="s">
        <v>262</v>
      </c>
      <c r="CX25" s="17" t="s">
        <v>263</v>
      </c>
      <c r="CY25" s="17" t="s">
        <v>172</v>
      </c>
      <c r="DC25" s="17" t="s">
        <v>1870</v>
      </c>
      <c r="DD25" s="17">
        <v>1</v>
      </c>
      <c r="DE25" s="17" t="s">
        <v>307</v>
      </c>
      <c r="DF25" s="17" t="s">
        <v>330</v>
      </c>
      <c r="DG25" s="17">
        <v>145</v>
      </c>
      <c r="DJ25" s="17" t="s">
        <v>250</v>
      </c>
      <c r="DK25" s="17" t="s">
        <v>251</v>
      </c>
      <c r="DL25" s="17" t="s">
        <v>173</v>
      </c>
      <c r="DM25" s="17" t="s">
        <v>172</v>
      </c>
      <c r="DN25" s="17" t="s">
        <v>173</v>
      </c>
      <c r="DO25" s="17" t="s">
        <v>309</v>
      </c>
      <c r="DP25" s="17" t="s">
        <v>172</v>
      </c>
      <c r="DQ25" s="17" t="s">
        <v>204</v>
      </c>
      <c r="DS25" s="17" t="s">
        <v>1852</v>
      </c>
      <c r="DT25" s="17" t="s">
        <v>1853</v>
      </c>
      <c r="DU25" s="17" t="s">
        <v>1864</v>
      </c>
      <c r="DV25" s="17" t="s">
        <v>1865</v>
      </c>
      <c r="DY25" s="17">
        <v>35.200000000000003</v>
      </c>
      <c r="EA25" s="89"/>
      <c r="EB25" s="17">
        <v>7</v>
      </c>
      <c r="EC25" s="17">
        <v>9</v>
      </c>
      <c r="ED25" s="17">
        <v>10</v>
      </c>
      <c r="EE25" s="84" t="s">
        <v>1871</v>
      </c>
      <c r="EF25" s="17">
        <v>5</v>
      </c>
      <c r="EH25" s="68"/>
      <c r="EM25" s="84"/>
      <c r="EP25" s="68"/>
      <c r="EU25" s="84"/>
      <c r="EV25" s="68">
        <v>250</v>
      </c>
      <c r="EW25" s="17">
        <v>391</v>
      </c>
      <c r="EX25" s="17">
        <v>307</v>
      </c>
      <c r="EY25" s="17">
        <v>353</v>
      </c>
      <c r="EZ25" s="83">
        <v>133</v>
      </c>
      <c r="FA25" s="17">
        <v>2</v>
      </c>
      <c r="FC25" s="85">
        <v>430</v>
      </c>
      <c r="FD25" s="17">
        <v>37</v>
      </c>
      <c r="FE25" s="17">
        <v>46</v>
      </c>
      <c r="FF25" s="17">
        <v>41</v>
      </c>
      <c r="FG25" s="84">
        <v>150</v>
      </c>
      <c r="FH25" s="17">
        <v>113</v>
      </c>
      <c r="FI25" s="95">
        <v>133</v>
      </c>
      <c r="FJ25" s="86" t="s">
        <v>1872</v>
      </c>
      <c r="FK25" s="94"/>
      <c r="FL25" s="95"/>
      <c r="FM25" s="84">
        <v>0.61599999999999999</v>
      </c>
      <c r="FN25" s="17">
        <v>0.63900000000000001</v>
      </c>
      <c r="FO25" s="68">
        <v>0.627</v>
      </c>
      <c r="FP25" s="92"/>
      <c r="FQ25" s="92"/>
      <c r="FR25" s="92"/>
      <c r="FS25" s="93">
        <v>15.9</v>
      </c>
    </row>
    <row r="26" spans="1:190" s="66" customFormat="1" x14ac:dyDescent="0.35">
      <c r="A26" s="17"/>
      <c r="E26" s="17"/>
      <c r="F26" s="17"/>
      <c r="G26" s="67"/>
      <c r="H26" s="17"/>
      <c r="I26" s="68"/>
      <c r="J26" s="69"/>
      <c r="K26" s="70"/>
      <c r="L26" s="70"/>
      <c r="M26" s="19" t="str">
        <f>_xlfn.CONCAT(A27," ",C27," ",D27)</f>
        <v>2026 BMW M5 Sedan</v>
      </c>
      <c r="N26" s="70"/>
      <c r="O26" s="70"/>
      <c r="P26" s="70"/>
      <c r="Q26" s="70"/>
      <c r="R26" s="70"/>
      <c r="S26" s="70"/>
      <c r="T26" s="70"/>
      <c r="U26" s="70"/>
      <c r="V26" s="70"/>
      <c r="W26" s="70"/>
      <c r="X26" s="70"/>
      <c r="Y26" s="70"/>
      <c r="Z26" s="70"/>
      <c r="AA26" s="70"/>
      <c r="AB26" s="70"/>
      <c r="AC26" s="70"/>
      <c r="AD26" s="19" t="str">
        <f>$M26</f>
        <v>2026 BMW M5 Sedan</v>
      </c>
      <c r="AE26" s="70"/>
      <c r="AF26" s="70"/>
      <c r="AG26" s="70"/>
      <c r="AH26" s="70"/>
      <c r="AI26" s="70"/>
      <c r="AJ26" s="70"/>
      <c r="AK26" s="71"/>
      <c r="AL26" s="1"/>
      <c r="AM26" s="1"/>
      <c r="AN26" s="1"/>
      <c r="AO26" s="1"/>
      <c r="AP26" s="1"/>
      <c r="AQ26" s="1"/>
      <c r="AR26" s="72"/>
      <c r="AS26" s="70"/>
      <c r="AT26" s="19" t="str">
        <f>$M26</f>
        <v>2026 BMW M5 Sedan</v>
      </c>
      <c r="AU26" s="70"/>
      <c r="AV26" s="70"/>
      <c r="AW26" s="70"/>
      <c r="AX26" s="70"/>
      <c r="AY26" s="70"/>
      <c r="AZ26" s="70"/>
      <c r="BA26" s="70"/>
      <c r="BB26" s="70"/>
      <c r="BC26" s="70"/>
      <c r="BD26" s="70"/>
      <c r="BE26" s="70"/>
      <c r="BF26" s="70"/>
      <c r="BG26" s="70"/>
      <c r="BH26" s="70"/>
      <c r="BI26" s="19" t="str">
        <f>$M26</f>
        <v>2026 BMW M5 Sedan</v>
      </c>
      <c r="BJ26" s="70"/>
      <c r="BK26" s="70"/>
      <c r="BL26" s="70"/>
      <c r="BM26" s="70"/>
      <c r="BN26" s="71"/>
      <c r="BO26" s="1"/>
      <c r="BP26" s="1"/>
      <c r="BQ26" s="1"/>
      <c r="BR26" s="1"/>
      <c r="BS26" s="1"/>
      <c r="BT26" s="73"/>
      <c r="BU26" s="1"/>
      <c r="BV26" s="72"/>
      <c r="BW26" s="74"/>
      <c r="BX26" s="70"/>
      <c r="BY26" s="19" t="str">
        <f>$M26</f>
        <v>2026 BMW M5 Sedan</v>
      </c>
      <c r="BZ26" s="70"/>
      <c r="CA26" s="70"/>
      <c r="CB26" s="70"/>
      <c r="CC26" s="70"/>
      <c r="CD26" s="70"/>
      <c r="CE26" s="75"/>
      <c r="CF26" s="70"/>
      <c r="CG26" s="70"/>
      <c r="CH26" s="70"/>
      <c r="CI26" s="70"/>
      <c r="CJ26" s="70"/>
      <c r="CK26" s="70"/>
      <c r="CL26" s="70"/>
      <c r="CM26" s="70"/>
      <c r="CN26" s="70"/>
      <c r="CO26" s="19" t="str">
        <f>$M26</f>
        <v>2026 BMW M5 Sedan</v>
      </c>
      <c r="CP26" s="70"/>
      <c r="CQ26" s="70"/>
      <c r="CR26" s="70"/>
      <c r="CS26" s="70"/>
      <c r="CT26" s="70"/>
      <c r="CU26" s="70"/>
      <c r="CV26" s="70"/>
      <c r="CW26" s="70"/>
      <c r="CX26" s="70"/>
      <c r="CY26" s="70"/>
      <c r="CZ26" s="70"/>
      <c r="DA26" s="70"/>
      <c r="DB26" s="70"/>
      <c r="DC26" s="70"/>
      <c r="DD26" s="70"/>
      <c r="DE26" s="70"/>
      <c r="DF26" s="19" t="str">
        <f>$M26</f>
        <v>2026 BMW M5 Sedan</v>
      </c>
      <c r="DG26" s="70"/>
      <c r="DH26" s="70"/>
      <c r="DI26" s="70"/>
      <c r="DJ26" s="70"/>
      <c r="DK26" s="70"/>
      <c r="DL26" s="70"/>
      <c r="DM26" s="70"/>
      <c r="DN26" s="70"/>
      <c r="DO26" s="70"/>
      <c r="DP26" s="70"/>
      <c r="DQ26" s="70"/>
      <c r="DR26" s="19"/>
      <c r="DS26" s="19"/>
      <c r="DT26" s="19"/>
      <c r="DU26" s="19"/>
      <c r="DV26" s="19"/>
      <c r="DW26" s="19" t="str">
        <f>$M26</f>
        <v>2026 BMW M5 Sedan</v>
      </c>
      <c r="DX26" s="19"/>
      <c r="DY26" s="19"/>
      <c r="DZ26" s="19"/>
      <c r="EA26" s="76"/>
      <c r="EB26" s="19"/>
      <c r="EC26" s="19"/>
      <c r="ED26" s="19"/>
      <c r="EE26" s="69"/>
      <c r="EF26" s="19"/>
      <c r="EG26" s="19"/>
      <c r="EH26" s="77"/>
      <c r="EI26" s="19"/>
      <c r="EK26" t="s">
        <v>1802</v>
      </c>
      <c r="EL26" s="19" t="str">
        <f>$M26</f>
        <v>2026 BMW M5 Sedan</v>
      </c>
      <c r="EM26" s="69"/>
      <c r="EP26" s="65"/>
      <c r="EU26" s="78"/>
      <c r="EV26" s="65"/>
      <c r="EZ26" s="83"/>
      <c r="FA26" s="19" t="str">
        <f>$M26</f>
        <v>2026 BMW M5 Sedan</v>
      </c>
      <c r="FC26" s="79"/>
      <c r="FD26" s="19"/>
      <c r="FE26" s="19"/>
      <c r="FF26" s="19"/>
      <c r="FG26" s="69"/>
      <c r="FH26" s="19"/>
      <c r="FI26" s="77"/>
      <c r="FJ26" s="69"/>
      <c r="FK26" s="19"/>
      <c r="FL26" s="77"/>
      <c r="FM26" s="69" t="str">
        <f>$M26</f>
        <v>2026 BMW M5 Sedan</v>
      </c>
      <c r="FN26" s="19"/>
      <c r="FO26" s="77"/>
      <c r="FP26" s="81"/>
      <c r="FQ26" s="81"/>
      <c r="FR26" s="81"/>
      <c r="FS26" s="82"/>
      <c r="FT26" s="19"/>
      <c r="FU26" s="19"/>
      <c r="FV26" s="19"/>
      <c r="FW26" s="19"/>
      <c r="FX26" s="19"/>
      <c r="FY26" s="19"/>
      <c r="FZ26" s="19"/>
      <c r="GA26" s="19"/>
      <c r="GB26" s="19"/>
      <c r="GC26" s="19"/>
      <c r="GD26" s="19"/>
      <c r="GE26" s="19"/>
      <c r="GF26" s="19"/>
      <c r="GG26" s="19"/>
      <c r="GH26" s="19"/>
    </row>
    <row r="27" spans="1:190" s="17" customFormat="1" x14ac:dyDescent="0.35">
      <c r="A27" s="17">
        <v>2026</v>
      </c>
      <c r="B27" s="17" t="s">
        <v>192</v>
      </c>
      <c r="C27" s="17" t="s">
        <v>192</v>
      </c>
      <c r="D27" s="17" t="s">
        <v>1873</v>
      </c>
      <c r="E27" s="17" t="s">
        <v>194</v>
      </c>
      <c r="F27" s="17">
        <v>560</v>
      </c>
      <c r="G27" s="67">
        <v>4.4000000000000004</v>
      </c>
      <c r="H27" s="17">
        <v>8</v>
      </c>
      <c r="I27" s="68" t="s">
        <v>195</v>
      </c>
      <c r="J27" s="84">
        <v>12</v>
      </c>
      <c r="K27" s="17">
        <v>19</v>
      </c>
      <c r="L27" s="17">
        <v>14</v>
      </c>
      <c r="M27" s="17">
        <v>15.6</v>
      </c>
      <c r="N27" s="17">
        <v>24.9</v>
      </c>
      <c r="O27" s="17">
        <v>18.7516</v>
      </c>
      <c r="P27" s="17">
        <v>11.924300000000001</v>
      </c>
      <c r="Q27" s="17">
        <v>19.101800000000001</v>
      </c>
      <c r="R27" s="17">
        <v>14.3508</v>
      </c>
      <c r="S27" s="17" t="s">
        <v>167</v>
      </c>
      <c r="T27" s="17" t="s">
        <v>168</v>
      </c>
      <c r="U27" s="17" t="s">
        <v>169</v>
      </c>
      <c r="V27" s="17" t="s">
        <v>196</v>
      </c>
      <c r="W27" s="17" t="s">
        <v>197</v>
      </c>
      <c r="Y27" s="17">
        <v>8</v>
      </c>
      <c r="Z27" s="17" t="s">
        <v>173</v>
      </c>
      <c r="AA27" s="17" t="s">
        <v>173</v>
      </c>
      <c r="AB27" s="17" t="s">
        <v>170</v>
      </c>
      <c r="AC27" s="17" t="s">
        <v>232</v>
      </c>
      <c r="AD27" s="17">
        <v>10</v>
      </c>
      <c r="AF27" s="17">
        <v>254</v>
      </c>
      <c r="AG27" s="17" t="s">
        <v>216</v>
      </c>
      <c r="AH27" s="17" t="s">
        <v>217</v>
      </c>
      <c r="AI27" s="17" t="s">
        <v>178</v>
      </c>
      <c r="AJ27" s="17" t="s">
        <v>179</v>
      </c>
      <c r="AK27" s="84" t="s">
        <v>173</v>
      </c>
      <c r="AL27" s="17" t="s">
        <v>180</v>
      </c>
      <c r="AO27" s="17">
        <v>98</v>
      </c>
      <c r="AP27" s="17">
        <v>13</v>
      </c>
      <c r="AR27" s="68"/>
      <c r="AS27" s="17">
        <v>2800</v>
      </c>
      <c r="AT27" s="17">
        <v>2800</v>
      </c>
      <c r="AU27" s="17">
        <v>52</v>
      </c>
      <c r="AV27" s="17">
        <v>58</v>
      </c>
      <c r="AW27" s="17">
        <v>55</v>
      </c>
      <c r="AX27" s="17">
        <v>38.1</v>
      </c>
      <c r="AY27" s="17">
        <v>41.2</v>
      </c>
      <c r="AZ27" s="17">
        <v>39.494999999999997</v>
      </c>
      <c r="BA27" s="17">
        <v>51.963000000000001</v>
      </c>
      <c r="BB27" s="17">
        <v>57.985999999999997</v>
      </c>
      <c r="BC27" s="17">
        <v>54.673400000000001</v>
      </c>
      <c r="BD27" s="17">
        <v>29</v>
      </c>
      <c r="BE27" s="17" t="s">
        <v>1392</v>
      </c>
      <c r="BF27" s="17" t="s">
        <v>1393</v>
      </c>
      <c r="BG27" s="17" t="s">
        <v>1399</v>
      </c>
      <c r="BH27" s="17" t="s">
        <v>1400</v>
      </c>
      <c r="BI27" s="17">
        <v>2800</v>
      </c>
      <c r="BJ27" s="1"/>
      <c r="BK27" s="1"/>
      <c r="BL27" s="1"/>
      <c r="BN27" s="86" t="s">
        <v>1837</v>
      </c>
      <c r="BO27" s="17">
        <v>2</v>
      </c>
      <c r="BP27" s="17">
        <v>2</v>
      </c>
      <c r="BQ27" s="17">
        <v>5</v>
      </c>
      <c r="BR27" s="17" t="s">
        <v>460</v>
      </c>
      <c r="BS27" s="17" t="s">
        <v>182</v>
      </c>
      <c r="BT27" s="17" t="s">
        <v>1838</v>
      </c>
      <c r="BU27" s="87">
        <v>45748</v>
      </c>
      <c r="BV27" s="68">
        <v>36629</v>
      </c>
      <c r="BW27" s="88"/>
      <c r="BX27" s="17" t="s">
        <v>173</v>
      </c>
      <c r="BY27" s="17" t="s">
        <v>173</v>
      </c>
      <c r="CB27" s="17" t="s">
        <v>173</v>
      </c>
      <c r="CC27" s="17" t="s">
        <v>173</v>
      </c>
      <c r="CE27" s="17" t="s">
        <v>173</v>
      </c>
      <c r="CG27" s="17" t="s">
        <v>172</v>
      </c>
      <c r="CH27" s="17" t="s">
        <v>199</v>
      </c>
      <c r="CI27" s="17" t="s">
        <v>172</v>
      </c>
      <c r="CJ27" s="17" t="s">
        <v>320</v>
      </c>
      <c r="CK27" s="17" t="s">
        <v>259</v>
      </c>
      <c r="CM27" s="17">
        <v>3</v>
      </c>
      <c r="CN27" s="17" t="s">
        <v>260</v>
      </c>
      <c r="CP27" s="17">
        <v>348</v>
      </c>
      <c r="CQ27" s="17">
        <v>63.5</v>
      </c>
      <c r="CR27" s="17">
        <v>108</v>
      </c>
      <c r="CS27" s="17" t="s">
        <v>261</v>
      </c>
      <c r="CV27" s="17" t="s">
        <v>262</v>
      </c>
      <c r="CX27" s="17" t="s">
        <v>263</v>
      </c>
      <c r="CY27" s="17" t="s">
        <v>172</v>
      </c>
      <c r="DC27" s="17" t="s">
        <v>1870</v>
      </c>
      <c r="DD27" s="17">
        <v>1</v>
      </c>
      <c r="DE27" s="17" t="s">
        <v>307</v>
      </c>
      <c r="DF27" s="17" t="s">
        <v>1874</v>
      </c>
      <c r="DG27" s="17">
        <v>145</v>
      </c>
      <c r="DJ27" s="17" t="s">
        <v>201</v>
      </c>
      <c r="DK27" s="17" t="s">
        <v>202</v>
      </c>
      <c r="DL27" s="17" t="s">
        <v>173</v>
      </c>
      <c r="DM27" s="17" t="s">
        <v>172</v>
      </c>
      <c r="DN27" s="17" t="s">
        <v>173</v>
      </c>
      <c r="DO27" s="17" t="s">
        <v>266</v>
      </c>
      <c r="DP27" s="17" t="s">
        <v>172</v>
      </c>
      <c r="DQ27" s="17" t="s">
        <v>204</v>
      </c>
      <c r="DS27" s="17" t="s">
        <v>1852</v>
      </c>
      <c r="DT27" s="17" t="s">
        <v>1853</v>
      </c>
      <c r="DU27" s="17" t="s">
        <v>1864</v>
      </c>
      <c r="DV27" s="17" t="s">
        <v>1865</v>
      </c>
      <c r="DY27" s="17">
        <v>18.899999999999999</v>
      </c>
      <c r="EA27" s="89"/>
      <c r="EB27" s="17">
        <v>5</v>
      </c>
      <c r="EC27" s="17">
        <v>6</v>
      </c>
      <c r="EE27" s="84" t="s">
        <v>1875</v>
      </c>
      <c r="EF27" s="17">
        <v>4</v>
      </c>
      <c r="EH27" s="68"/>
      <c r="EM27" s="84"/>
      <c r="EP27" s="68"/>
      <c r="EU27" s="84"/>
      <c r="EV27" s="68">
        <v>5500</v>
      </c>
      <c r="EW27" s="17">
        <v>0</v>
      </c>
      <c r="EX27" s="17">
        <v>0</v>
      </c>
      <c r="EY27" s="17">
        <v>0</v>
      </c>
      <c r="EZ27" s="83">
        <v>264</v>
      </c>
      <c r="FA27" s="17">
        <v>2</v>
      </c>
      <c r="FC27" s="85">
        <v>280</v>
      </c>
      <c r="FD27" s="17">
        <v>22</v>
      </c>
      <c r="FE27" s="17">
        <v>29</v>
      </c>
      <c r="FF27" s="17">
        <v>25</v>
      </c>
      <c r="FG27" s="84">
        <v>302</v>
      </c>
      <c r="FH27" s="17">
        <v>216</v>
      </c>
      <c r="FI27" s="95">
        <v>264</v>
      </c>
      <c r="FJ27" s="90">
        <v>32.090000000000003</v>
      </c>
      <c r="FK27" s="91">
        <v>25.5</v>
      </c>
      <c r="FL27" s="68">
        <v>29</v>
      </c>
      <c r="FM27" s="84">
        <v>0.60799999999999998</v>
      </c>
      <c r="FN27" s="17">
        <v>0.53300000000000003</v>
      </c>
      <c r="FO27" s="68">
        <v>0.57599999999999996</v>
      </c>
      <c r="FP27" s="92">
        <v>0.9</v>
      </c>
      <c r="FQ27" s="92">
        <v>0</v>
      </c>
      <c r="FR27" s="92">
        <v>0.5</v>
      </c>
      <c r="FS27" s="93">
        <v>15.9</v>
      </c>
    </row>
    <row r="28" spans="1:190" s="17" customFormat="1" x14ac:dyDescent="0.35">
      <c r="A28" s="17">
        <v>2026</v>
      </c>
      <c r="B28" s="141" t="s">
        <v>192</v>
      </c>
      <c r="C28" s="141" t="s">
        <v>192</v>
      </c>
      <c r="D28" s="141" t="s">
        <v>1873</v>
      </c>
      <c r="E28" s="141" t="s">
        <v>194</v>
      </c>
      <c r="F28" s="141">
        <v>560</v>
      </c>
      <c r="G28" s="141">
        <v>4.4000000000000004</v>
      </c>
      <c r="H28" s="141">
        <v>8</v>
      </c>
      <c r="I28" s="142" t="s">
        <v>195</v>
      </c>
      <c r="J28" s="84">
        <v>12</v>
      </c>
      <c r="K28" s="17">
        <v>19</v>
      </c>
      <c r="L28" s="17">
        <v>14</v>
      </c>
      <c r="M28" s="17">
        <v>15.6</v>
      </c>
      <c r="N28" s="17">
        <v>24.9</v>
      </c>
      <c r="O28" s="17">
        <v>18.7516</v>
      </c>
      <c r="P28" s="17">
        <v>11.924300000000001</v>
      </c>
      <c r="Q28" s="17">
        <v>19.101800000000001</v>
      </c>
      <c r="R28" s="17">
        <v>14.3508</v>
      </c>
      <c r="S28" s="17" t="s">
        <v>167</v>
      </c>
      <c r="T28" s="17" t="s">
        <v>168</v>
      </c>
      <c r="U28" s="17" t="s">
        <v>169</v>
      </c>
      <c r="V28" s="17" t="s">
        <v>196</v>
      </c>
      <c r="W28" s="17" t="s">
        <v>197</v>
      </c>
      <c r="Y28" s="17">
        <v>8</v>
      </c>
      <c r="Z28" s="17" t="s">
        <v>173</v>
      </c>
      <c r="AA28" s="17" t="s">
        <v>173</v>
      </c>
      <c r="AB28" s="17" t="s">
        <v>170</v>
      </c>
      <c r="AC28" s="17" t="s">
        <v>232</v>
      </c>
      <c r="AD28" s="17">
        <v>10</v>
      </c>
      <c r="AF28" s="17">
        <v>254</v>
      </c>
      <c r="AG28" s="17" t="s">
        <v>216</v>
      </c>
      <c r="AH28" s="17" t="s">
        <v>217</v>
      </c>
      <c r="AI28" s="17" t="s">
        <v>178</v>
      </c>
      <c r="AJ28" s="17" t="s">
        <v>179</v>
      </c>
      <c r="AK28" s="84" t="s">
        <v>173</v>
      </c>
      <c r="AL28" s="17" t="s">
        <v>180</v>
      </c>
      <c r="AO28" s="17">
        <v>98</v>
      </c>
      <c r="AP28" s="17">
        <v>13</v>
      </c>
      <c r="AR28" s="68"/>
      <c r="AS28" s="17">
        <v>2800</v>
      </c>
      <c r="AT28" s="17">
        <v>2800</v>
      </c>
      <c r="AU28" s="17">
        <v>41</v>
      </c>
      <c r="AV28" s="17">
        <v>57</v>
      </c>
      <c r="AW28" s="17">
        <v>47</v>
      </c>
      <c r="AX28" s="17">
        <v>56.3</v>
      </c>
      <c r="AY28" s="17">
        <v>81.8</v>
      </c>
      <c r="AZ28" s="17">
        <v>65.486500000000007</v>
      </c>
      <c r="BA28" s="17">
        <v>40.554200000000002</v>
      </c>
      <c r="BB28" s="17">
        <v>57.275399999999998</v>
      </c>
      <c r="BC28" s="17">
        <v>46.687800000000003</v>
      </c>
      <c r="BD28" s="17">
        <v>29</v>
      </c>
      <c r="BE28" s="17" t="s">
        <v>1392</v>
      </c>
      <c r="BF28" s="17" t="s">
        <v>1393</v>
      </c>
      <c r="BG28" s="17" t="s">
        <v>178</v>
      </c>
      <c r="BH28" s="17" t="s">
        <v>179</v>
      </c>
      <c r="BI28" s="17">
        <v>2800</v>
      </c>
      <c r="BN28" s="86" t="s">
        <v>1837</v>
      </c>
      <c r="BO28" s="17">
        <v>2</v>
      </c>
      <c r="BP28" s="17">
        <v>2</v>
      </c>
      <c r="BQ28" s="17">
        <v>5</v>
      </c>
      <c r="BR28" s="17" t="s">
        <v>460</v>
      </c>
      <c r="BS28" s="17" t="s">
        <v>182</v>
      </c>
      <c r="BT28" s="17" t="s">
        <v>1838</v>
      </c>
      <c r="BU28" s="87">
        <v>45748</v>
      </c>
      <c r="BV28" s="68">
        <v>36629</v>
      </c>
      <c r="BW28" s="88"/>
      <c r="BX28" s="17" t="s">
        <v>173</v>
      </c>
      <c r="BY28" s="17" t="s">
        <v>173</v>
      </c>
      <c r="CB28" s="17" t="s">
        <v>173</v>
      </c>
      <c r="CC28" s="17" t="s">
        <v>173</v>
      </c>
      <c r="CE28" s="17" t="s">
        <v>173</v>
      </c>
      <c r="CG28" s="17" t="s">
        <v>172</v>
      </c>
      <c r="CH28" s="17" t="s">
        <v>199</v>
      </c>
      <c r="CI28" s="17" t="s">
        <v>172</v>
      </c>
      <c r="CJ28" s="17" t="s">
        <v>320</v>
      </c>
      <c r="CK28" s="17" t="s">
        <v>259</v>
      </c>
      <c r="CM28" s="17">
        <v>3</v>
      </c>
      <c r="CN28" s="17" t="s">
        <v>260</v>
      </c>
      <c r="CP28" s="17">
        <v>348</v>
      </c>
      <c r="CQ28" s="17">
        <v>63.5</v>
      </c>
      <c r="CR28" s="17">
        <v>108</v>
      </c>
      <c r="CS28" s="17" t="s">
        <v>261</v>
      </c>
      <c r="CV28" s="17" t="s">
        <v>262</v>
      </c>
      <c r="CX28" s="17" t="s">
        <v>263</v>
      </c>
      <c r="CY28" s="17" t="s">
        <v>172</v>
      </c>
      <c r="DC28" s="17" t="s">
        <v>1870</v>
      </c>
      <c r="DD28" s="17">
        <v>1</v>
      </c>
      <c r="DE28" s="17" t="s">
        <v>307</v>
      </c>
      <c r="DF28" s="17" t="s">
        <v>1874</v>
      </c>
      <c r="DG28" s="17">
        <v>145</v>
      </c>
      <c r="DJ28" s="17" t="s">
        <v>201</v>
      </c>
      <c r="DK28" s="17" t="s">
        <v>202</v>
      </c>
      <c r="DL28" s="17" t="s">
        <v>173</v>
      </c>
      <c r="DM28" s="17" t="s">
        <v>172</v>
      </c>
      <c r="DN28" s="17" t="s">
        <v>173</v>
      </c>
      <c r="DO28" s="17" t="s">
        <v>266</v>
      </c>
      <c r="DP28" s="17" t="s">
        <v>172</v>
      </c>
      <c r="DQ28" s="17" t="s">
        <v>204</v>
      </c>
      <c r="DS28" s="17" t="s">
        <v>1852</v>
      </c>
      <c r="DT28" s="17" t="s">
        <v>1853</v>
      </c>
      <c r="DU28" s="17" t="s">
        <v>1864</v>
      </c>
      <c r="DV28" s="17" t="s">
        <v>1865</v>
      </c>
      <c r="DY28" s="17">
        <v>18.899999999999999</v>
      </c>
      <c r="EA28" s="89"/>
      <c r="EB28" s="17">
        <v>5</v>
      </c>
      <c r="EC28" s="17">
        <v>6</v>
      </c>
      <c r="EE28" s="84" t="s">
        <v>1875</v>
      </c>
      <c r="EF28" s="17">
        <v>4</v>
      </c>
      <c r="EH28" s="68"/>
      <c r="EM28" s="84"/>
      <c r="EP28" s="68"/>
      <c r="EU28" s="84"/>
      <c r="EV28" s="68">
        <v>5500</v>
      </c>
      <c r="EW28" s="17">
        <v>732</v>
      </c>
      <c r="EX28" s="17">
        <v>457</v>
      </c>
      <c r="EY28" s="17">
        <v>608</v>
      </c>
      <c r="EZ28" s="83">
        <v>264</v>
      </c>
      <c r="FA28" s="17">
        <v>2</v>
      </c>
      <c r="FC28" s="85">
        <v>280</v>
      </c>
      <c r="FD28" s="17">
        <v>22</v>
      </c>
      <c r="FE28" s="17">
        <v>29</v>
      </c>
      <c r="FF28" s="17">
        <v>25</v>
      </c>
      <c r="FG28" s="84">
        <v>302</v>
      </c>
      <c r="FH28" s="17">
        <v>216</v>
      </c>
      <c r="FI28" s="95">
        <v>264</v>
      </c>
      <c r="FJ28" s="86" t="s">
        <v>1876</v>
      </c>
      <c r="FK28" s="94"/>
      <c r="FL28" s="95"/>
      <c r="FM28" s="84">
        <v>0.60799999999999998</v>
      </c>
      <c r="FN28" s="17">
        <v>0.53300000000000003</v>
      </c>
      <c r="FO28" s="68">
        <v>0.57599999999999996</v>
      </c>
      <c r="FP28" s="92"/>
      <c r="FQ28" s="92"/>
      <c r="FR28" s="92"/>
      <c r="FS28" s="93">
        <v>15.9</v>
      </c>
    </row>
    <row r="29" spans="1:190" s="66" customFormat="1" x14ac:dyDescent="0.35">
      <c r="A29" s="17"/>
      <c r="E29" s="17"/>
      <c r="F29" s="17"/>
      <c r="G29" s="67"/>
      <c r="H29" s="17"/>
      <c r="I29" s="68"/>
      <c r="J29" s="69"/>
      <c r="K29" s="70"/>
      <c r="L29" s="70"/>
      <c r="M29" s="19" t="str">
        <f>_xlfn.CONCAT(A30," ",C30," ",D30)</f>
        <v>2026 BMW M5 Touring</v>
      </c>
      <c r="N29" s="70"/>
      <c r="O29" s="70"/>
      <c r="P29" s="70"/>
      <c r="Q29" s="70"/>
      <c r="R29" s="70"/>
      <c r="S29" s="70"/>
      <c r="T29" s="70"/>
      <c r="U29" s="70"/>
      <c r="V29" s="70"/>
      <c r="W29" s="70"/>
      <c r="X29" s="70"/>
      <c r="Y29" s="70"/>
      <c r="Z29" s="70"/>
      <c r="AA29" s="70"/>
      <c r="AB29" s="70"/>
      <c r="AC29" s="70"/>
      <c r="AD29" s="19" t="str">
        <f>$M29</f>
        <v>2026 BMW M5 Touring</v>
      </c>
      <c r="AE29" s="70"/>
      <c r="AF29" s="70"/>
      <c r="AG29" s="70"/>
      <c r="AH29" s="70"/>
      <c r="AI29" s="70"/>
      <c r="AJ29" s="70"/>
      <c r="AK29" s="71"/>
      <c r="AL29" s="1"/>
      <c r="AM29" s="1"/>
      <c r="AN29" s="1"/>
      <c r="AO29" s="1"/>
      <c r="AP29" s="1"/>
      <c r="AQ29" s="1"/>
      <c r="AR29" s="72"/>
      <c r="AS29" s="70"/>
      <c r="AT29" s="19" t="str">
        <f>$M29</f>
        <v>2026 BMW M5 Touring</v>
      </c>
      <c r="AU29" s="70"/>
      <c r="AV29" s="70"/>
      <c r="AW29" s="70"/>
      <c r="AX29" s="70"/>
      <c r="AY29" s="70"/>
      <c r="AZ29" s="70"/>
      <c r="BA29" s="70"/>
      <c r="BB29" s="70"/>
      <c r="BC29" s="70"/>
      <c r="BD29" s="70"/>
      <c r="BE29" s="70"/>
      <c r="BF29" s="70"/>
      <c r="BG29" s="70"/>
      <c r="BH29" s="70"/>
      <c r="BI29" s="19" t="str">
        <f>$M29</f>
        <v>2026 BMW M5 Touring</v>
      </c>
      <c r="BJ29" s="70"/>
      <c r="BK29" s="70"/>
      <c r="BL29" s="70"/>
      <c r="BM29" s="70"/>
      <c r="BN29" s="71"/>
      <c r="BO29" s="1"/>
      <c r="BP29" s="1"/>
      <c r="BQ29" s="1"/>
      <c r="BR29" s="1"/>
      <c r="BS29" s="1"/>
      <c r="BT29" s="73"/>
      <c r="BU29" s="1"/>
      <c r="BV29" s="72"/>
      <c r="BW29" s="74"/>
      <c r="BX29" s="70"/>
      <c r="BY29" s="19" t="str">
        <f>$M29</f>
        <v>2026 BMW M5 Touring</v>
      </c>
      <c r="BZ29" s="70"/>
      <c r="CA29" s="70"/>
      <c r="CB29" s="70"/>
      <c r="CC29" s="70"/>
      <c r="CD29" s="70"/>
      <c r="CE29" s="75"/>
      <c r="CF29" s="70"/>
      <c r="CG29" s="70"/>
      <c r="CH29" s="70"/>
      <c r="CI29" s="70"/>
      <c r="CJ29" s="70"/>
      <c r="CK29" s="70"/>
      <c r="CL29" s="70"/>
      <c r="CM29" s="70"/>
      <c r="CN29" s="70"/>
      <c r="CO29" s="19" t="str">
        <f>$M29</f>
        <v>2026 BMW M5 Touring</v>
      </c>
      <c r="CP29" s="70"/>
      <c r="CQ29" s="70"/>
      <c r="CR29" s="70"/>
      <c r="CS29" s="70"/>
      <c r="CT29" s="70"/>
      <c r="CU29" s="70"/>
      <c r="CV29" s="70"/>
      <c r="CW29" s="70"/>
      <c r="CX29" s="70"/>
      <c r="CY29" s="70"/>
      <c r="CZ29" s="70"/>
      <c r="DA29" s="70"/>
      <c r="DB29" s="70"/>
      <c r="DC29" s="70"/>
      <c r="DD29" s="70"/>
      <c r="DE29" s="70"/>
      <c r="DF29" s="19" t="str">
        <f>$M29</f>
        <v>2026 BMW M5 Touring</v>
      </c>
      <c r="DG29" s="70"/>
      <c r="DH29" s="70"/>
      <c r="DI29" s="70"/>
      <c r="DJ29" s="70"/>
      <c r="DK29" s="70"/>
      <c r="DL29" s="70"/>
      <c r="DM29" s="70"/>
      <c r="DN29" s="70"/>
      <c r="DO29" s="70"/>
      <c r="DP29" s="70"/>
      <c r="DQ29" s="70"/>
      <c r="DR29" s="19"/>
      <c r="DS29" s="19"/>
      <c r="DT29" s="19"/>
      <c r="DU29" s="19"/>
      <c r="DV29" s="19"/>
      <c r="DW29" s="19" t="str">
        <f>$M29</f>
        <v>2026 BMW M5 Touring</v>
      </c>
      <c r="DX29" s="19"/>
      <c r="DY29" s="19"/>
      <c r="DZ29" s="19"/>
      <c r="EA29" s="76"/>
      <c r="EB29" s="19"/>
      <c r="EC29" s="19"/>
      <c r="ED29" s="19"/>
      <c r="EE29" s="69"/>
      <c r="EF29" s="19"/>
      <c r="EG29" s="19"/>
      <c r="EH29" s="77"/>
      <c r="EI29" s="19"/>
      <c r="EK29" t="s">
        <v>1802</v>
      </c>
      <c r="EL29" s="19" t="str">
        <f>$M29</f>
        <v>2026 BMW M5 Touring</v>
      </c>
      <c r="EM29" s="69"/>
      <c r="EP29" s="65"/>
      <c r="EU29" s="78"/>
      <c r="EV29" s="65"/>
      <c r="EZ29" s="83"/>
      <c r="FA29" s="19" t="str">
        <f>$M29</f>
        <v>2026 BMW M5 Touring</v>
      </c>
      <c r="FC29" s="79"/>
      <c r="FD29" s="19"/>
      <c r="FE29" s="19"/>
      <c r="FF29" s="19"/>
      <c r="FG29" s="69"/>
      <c r="FH29" s="19"/>
      <c r="FI29" s="77"/>
      <c r="FJ29" s="69"/>
      <c r="FK29" s="19"/>
      <c r="FL29" s="77"/>
      <c r="FM29" s="69" t="str">
        <f>$M29</f>
        <v>2026 BMW M5 Touring</v>
      </c>
      <c r="FN29" s="19"/>
      <c r="FO29" s="77"/>
      <c r="FP29" s="81"/>
      <c r="FQ29" s="81"/>
      <c r="FR29" s="81"/>
      <c r="FS29" s="82"/>
      <c r="FT29" s="19"/>
      <c r="FU29" s="19"/>
      <c r="FV29" s="19"/>
      <c r="FW29" s="19"/>
      <c r="FX29" s="19"/>
      <c r="FY29" s="19"/>
      <c r="FZ29" s="19"/>
      <c r="GA29" s="19"/>
      <c r="GB29" s="19"/>
      <c r="GC29" s="19"/>
      <c r="GD29" s="19"/>
      <c r="GE29" s="19"/>
      <c r="GF29" s="19"/>
      <c r="GG29" s="19"/>
      <c r="GH29" s="19"/>
    </row>
    <row r="30" spans="1:190" s="17" customFormat="1" x14ac:dyDescent="0.35">
      <c r="A30" s="17">
        <v>2026</v>
      </c>
      <c r="B30" s="17" t="s">
        <v>192</v>
      </c>
      <c r="C30" s="17" t="s">
        <v>192</v>
      </c>
      <c r="D30" s="96" t="s">
        <v>1877</v>
      </c>
      <c r="E30" s="17" t="s">
        <v>194</v>
      </c>
      <c r="F30" s="17">
        <v>565</v>
      </c>
      <c r="G30" s="67">
        <v>4.4000000000000004</v>
      </c>
      <c r="H30" s="17">
        <v>8</v>
      </c>
      <c r="I30" s="68" t="s">
        <v>195</v>
      </c>
      <c r="J30" s="17">
        <v>11</v>
      </c>
      <c r="K30" s="17">
        <v>17</v>
      </c>
      <c r="L30" s="17">
        <v>13</v>
      </c>
      <c r="M30" s="17">
        <v>15</v>
      </c>
      <c r="N30" s="17">
        <v>23.6</v>
      </c>
      <c r="O30" s="17">
        <v>17.9422</v>
      </c>
      <c r="P30" s="17">
        <v>11.445499999999999</v>
      </c>
      <c r="Q30" s="17">
        <v>17.160699999999999</v>
      </c>
      <c r="R30" s="17">
        <v>13.463200000000001</v>
      </c>
      <c r="S30" s="17" t="s">
        <v>167</v>
      </c>
      <c r="T30" s="17" t="s">
        <v>168</v>
      </c>
      <c r="U30" s="17" t="s">
        <v>169</v>
      </c>
      <c r="V30" s="17" t="s">
        <v>196</v>
      </c>
      <c r="W30" s="17" t="s">
        <v>197</v>
      </c>
      <c r="Y30" s="17">
        <v>8</v>
      </c>
      <c r="Z30" s="17" t="s">
        <v>173</v>
      </c>
      <c r="AA30" s="17" t="s">
        <v>173</v>
      </c>
      <c r="AB30" s="17" t="s">
        <v>170</v>
      </c>
      <c r="AC30" s="17" t="s">
        <v>232</v>
      </c>
      <c r="AD30" s="17">
        <v>10</v>
      </c>
      <c r="AF30" s="17">
        <v>241</v>
      </c>
      <c r="AG30" s="17" t="s">
        <v>216</v>
      </c>
      <c r="AH30" s="17" t="s">
        <v>217</v>
      </c>
      <c r="AI30" s="17" t="s">
        <v>178</v>
      </c>
      <c r="AJ30" s="17" t="s">
        <v>179</v>
      </c>
      <c r="AK30" s="84" t="s">
        <v>173</v>
      </c>
      <c r="AL30" s="17" t="s">
        <v>180</v>
      </c>
      <c r="AO30" s="17">
        <v>104</v>
      </c>
      <c r="AP30" s="17">
        <v>27</v>
      </c>
      <c r="AR30" s="68"/>
      <c r="AS30" s="17">
        <v>3000</v>
      </c>
      <c r="AT30" s="17">
        <v>3000</v>
      </c>
      <c r="AU30" s="17">
        <v>65</v>
      </c>
      <c r="AV30" s="17">
        <v>59</v>
      </c>
      <c r="AW30" s="17">
        <v>62</v>
      </c>
      <c r="AX30" s="17">
        <v>46</v>
      </c>
      <c r="AY30" s="17">
        <v>41.7</v>
      </c>
      <c r="AZ30" s="17">
        <v>44.064999999999998</v>
      </c>
      <c r="BA30" s="17">
        <v>64.981999999999999</v>
      </c>
      <c r="BB30" s="17">
        <v>59.103000000000002</v>
      </c>
      <c r="BC30" s="17">
        <v>62.336399999999998</v>
      </c>
      <c r="BD30" s="17">
        <v>25</v>
      </c>
      <c r="BE30" s="17" t="s">
        <v>1392</v>
      </c>
      <c r="BF30" s="17" t="s">
        <v>1393</v>
      </c>
      <c r="BG30" s="17" t="s">
        <v>1399</v>
      </c>
      <c r="BH30" s="17" t="s">
        <v>1400</v>
      </c>
      <c r="BI30" s="17">
        <v>3000</v>
      </c>
      <c r="BN30" s="86" t="s">
        <v>1837</v>
      </c>
      <c r="BO30" s="17">
        <v>2</v>
      </c>
      <c r="BP30" s="17">
        <v>2</v>
      </c>
      <c r="BQ30" s="17">
        <v>8</v>
      </c>
      <c r="BR30" s="17" t="s">
        <v>651</v>
      </c>
      <c r="BS30" s="17" t="s">
        <v>182</v>
      </c>
      <c r="BT30" s="17" t="s">
        <v>1838</v>
      </c>
      <c r="BU30" s="87">
        <v>45870</v>
      </c>
      <c r="BV30" s="68">
        <v>36913</v>
      </c>
      <c r="BW30" s="88"/>
      <c r="BX30" s="17" t="s">
        <v>173</v>
      </c>
      <c r="BY30" s="17" t="s">
        <v>173</v>
      </c>
      <c r="CB30" s="17" t="s">
        <v>173</v>
      </c>
      <c r="CC30" s="17" t="s">
        <v>173</v>
      </c>
      <c r="CE30" s="17" t="s">
        <v>173</v>
      </c>
      <c r="CG30" s="17" t="s">
        <v>172</v>
      </c>
      <c r="CH30" s="17" t="s">
        <v>199</v>
      </c>
      <c r="CI30" s="17" t="s">
        <v>172</v>
      </c>
      <c r="CJ30" s="17" t="s">
        <v>320</v>
      </c>
      <c r="CK30" s="17" t="s">
        <v>259</v>
      </c>
      <c r="CM30" s="17">
        <v>3</v>
      </c>
      <c r="CN30" s="17" t="s">
        <v>260</v>
      </c>
      <c r="CP30" s="17">
        <v>348</v>
      </c>
      <c r="CQ30" s="17">
        <v>63.5</v>
      </c>
      <c r="CR30" s="17">
        <v>108</v>
      </c>
      <c r="CS30" s="17" t="s">
        <v>261</v>
      </c>
      <c r="CV30" s="17" t="s">
        <v>262</v>
      </c>
      <c r="CX30" s="17" t="s">
        <v>263</v>
      </c>
      <c r="CY30" s="17" t="s">
        <v>172</v>
      </c>
      <c r="DC30" s="17" t="s">
        <v>1870</v>
      </c>
      <c r="DD30" s="17">
        <v>1</v>
      </c>
      <c r="DE30" s="17" t="s">
        <v>307</v>
      </c>
      <c r="DF30" s="17" t="s">
        <v>1874</v>
      </c>
      <c r="DG30" s="17">
        <v>145</v>
      </c>
      <c r="DJ30" s="17" t="s">
        <v>201</v>
      </c>
      <c r="DK30" s="17" t="s">
        <v>202</v>
      </c>
      <c r="DL30" s="17" t="s">
        <v>173</v>
      </c>
      <c r="DM30" s="17" t="s">
        <v>172</v>
      </c>
      <c r="DN30" s="17" t="s">
        <v>173</v>
      </c>
      <c r="DO30" s="17" t="s">
        <v>266</v>
      </c>
      <c r="DP30" s="17" t="s">
        <v>172</v>
      </c>
      <c r="DQ30" s="17" t="s">
        <v>204</v>
      </c>
      <c r="DS30" s="17" t="s">
        <v>1852</v>
      </c>
      <c r="DT30" s="17" t="s">
        <v>1853</v>
      </c>
      <c r="DU30" s="17" t="s">
        <v>1864</v>
      </c>
      <c r="DV30" s="17" t="s">
        <v>1865</v>
      </c>
      <c r="DY30" s="17">
        <v>18.100000000000001</v>
      </c>
      <c r="EA30" s="89"/>
      <c r="EB30" s="17">
        <v>4</v>
      </c>
      <c r="EC30" s="17">
        <v>6</v>
      </c>
      <c r="ED30" s="17">
        <v>10</v>
      </c>
      <c r="EE30" s="84" t="s">
        <v>1875</v>
      </c>
      <c r="EF30" s="17">
        <v>4</v>
      </c>
      <c r="EH30" s="68"/>
      <c r="EM30" s="84"/>
      <c r="EP30" s="68"/>
      <c r="EU30" s="84"/>
      <c r="EV30" s="68">
        <v>6500</v>
      </c>
      <c r="EW30" s="17">
        <v>0</v>
      </c>
      <c r="EX30" s="17">
        <v>0</v>
      </c>
      <c r="EY30" s="17">
        <v>0</v>
      </c>
      <c r="EZ30" s="85">
        <v>304</v>
      </c>
      <c r="FA30" s="17">
        <v>2</v>
      </c>
      <c r="FC30" s="85">
        <v>270</v>
      </c>
      <c r="FD30" s="17">
        <v>20</v>
      </c>
      <c r="FE30" s="17">
        <v>27</v>
      </c>
      <c r="FF30" s="17">
        <v>22</v>
      </c>
      <c r="FG30" s="84">
        <v>357</v>
      </c>
      <c r="FH30" s="17">
        <v>239</v>
      </c>
      <c r="FI30" s="68">
        <v>304</v>
      </c>
      <c r="FJ30" s="84">
        <v>25.8</v>
      </c>
      <c r="FK30" s="17">
        <v>25.12</v>
      </c>
      <c r="FL30" s="68">
        <v>25</v>
      </c>
      <c r="FM30" s="84">
        <v>0.53700000000000003</v>
      </c>
      <c r="FN30" s="17">
        <v>0.52900000000000003</v>
      </c>
      <c r="FO30" s="68">
        <v>0.53300000000000003</v>
      </c>
      <c r="FP30" s="92">
        <v>0</v>
      </c>
      <c r="FQ30" s="92">
        <v>0</v>
      </c>
      <c r="FR30" s="92">
        <v>0</v>
      </c>
      <c r="FS30" s="97">
        <v>15.9</v>
      </c>
    </row>
    <row r="31" spans="1:190" s="17" customFormat="1" x14ac:dyDescent="0.35">
      <c r="A31" s="17">
        <v>2026</v>
      </c>
      <c r="B31" s="141" t="s">
        <v>192</v>
      </c>
      <c r="C31" s="141" t="s">
        <v>192</v>
      </c>
      <c r="D31" s="141" t="s">
        <v>1878</v>
      </c>
      <c r="E31" s="141" t="s">
        <v>194</v>
      </c>
      <c r="F31" s="141">
        <v>750</v>
      </c>
      <c r="G31" s="141">
        <v>3</v>
      </c>
      <c r="H31" s="141">
        <v>6</v>
      </c>
      <c r="I31" s="142" t="s">
        <v>195</v>
      </c>
      <c r="J31" s="17">
        <v>11</v>
      </c>
      <c r="K31" s="17">
        <v>17</v>
      </c>
      <c r="L31" s="17">
        <v>13</v>
      </c>
      <c r="M31" s="17">
        <v>15</v>
      </c>
      <c r="N31" s="17">
        <v>23.6</v>
      </c>
      <c r="O31" s="17">
        <v>17.9422</v>
      </c>
      <c r="P31" s="17">
        <v>11.445499999999999</v>
      </c>
      <c r="Q31" s="17">
        <v>17.160699999999999</v>
      </c>
      <c r="R31" s="17">
        <v>13.463200000000001</v>
      </c>
      <c r="S31" s="17" t="s">
        <v>167</v>
      </c>
      <c r="T31" s="17" t="s">
        <v>168</v>
      </c>
      <c r="U31" s="17" t="s">
        <v>169</v>
      </c>
      <c r="V31" s="17" t="s">
        <v>196</v>
      </c>
      <c r="W31" s="17" t="s">
        <v>197</v>
      </c>
      <c r="Y31" s="17">
        <v>8</v>
      </c>
      <c r="Z31" s="17" t="s">
        <v>173</v>
      </c>
      <c r="AA31" s="17" t="s">
        <v>173</v>
      </c>
      <c r="AB31" s="17" t="s">
        <v>170</v>
      </c>
      <c r="AC31" s="17" t="s">
        <v>232</v>
      </c>
      <c r="AD31" s="17">
        <v>10</v>
      </c>
      <c r="AF31" s="17">
        <v>241</v>
      </c>
      <c r="AG31" s="17" t="s">
        <v>216</v>
      </c>
      <c r="AH31" s="17" t="s">
        <v>217</v>
      </c>
      <c r="AI31" s="17" t="s">
        <v>178</v>
      </c>
      <c r="AJ31" s="17" t="s">
        <v>179</v>
      </c>
      <c r="AK31" s="84" t="s">
        <v>173</v>
      </c>
      <c r="AL31" s="17" t="s">
        <v>180</v>
      </c>
      <c r="AO31" s="17">
        <v>104</v>
      </c>
      <c r="AP31" s="17">
        <v>27</v>
      </c>
      <c r="AR31" s="68"/>
      <c r="AS31" s="17">
        <v>3000</v>
      </c>
      <c r="AT31" s="17">
        <v>3000</v>
      </c>
      <c r="AU31" s="17">
        <v>52</v>
      </c>
      <c r="AV31" s="17">
        <v>57</v>
      </c>
      <c r="AW31" s="17">
        <v>54</v>
      </c>
      <c r="AX31" s="17">
        <v>73.3</v>
      </c>
      <c r="AY31" s="17">
        <v>80.8</v>
      </c>
      <c r="AZ31" s="17">
        <v>76.495199999999997</v>
      </c>
      <c r="BA31" s="17">
        <v>51.878799999999998</v>
      </c>
      <c r="BB31" s="17">
        <v>56.631799999999998</v>
      </c>
      <c r="BC31" s="17">
        <v>53.914999999999999</v>
      </c>
      <c r="BD31" s="17">
        <v>25</v>
      </c>
      <c r="BE31" s="17" t="s">
        <v>1392</v>
      </c>
      <c r="BF31" s="17" t="s">
        <v>1393</v>
      </c>
      <c r="BG31" s="17" t="s">
        <v>178</v>
      </c>
      <c r="BH31" s="17" t="s">
        <v>179</v>
      </c>
      <c r="BI31" s="17">
        <v>3000</v>
      </c>
      <c r="BN31" s="86" t="s">
        <v>1837</v>
      </c>
      <c r="BO31" s="17">
        <v>2</v>
      </c>
      <c r="BP31" s="17">
        <v>2</v>
      </c>
      <c r="BQ31" s="17">
        <v>8</v>
      </c>
      <c r="BR31" s="17" t="s">
        <v>651</v>
      </c>
      <c r="BS31" s="17" t="s">
        <v>182</v>
      </c>
      <c r="BT31" s="17" t="s">
        <v>1838</v>
      </c>
      <c r="BU31" s="87">
        <v>45870</v>
      </c>
      <c r="BV31" s="68">
        <v>36913</v>
      </c>
      <c r="BW31" s="88"/>
      <c r="BX31" s="17" t="s">
        <v>173</v>
      </c>
      <c r="BY31" s="17" t="s">
        <v>173</v>
      </c>
      <c r="CB31" s="17" t="s">
        <v>173</v>
      </c>
      <c r="CC31" s="17" t="s">
        <v>173</v>
      </c>
      <c r="CE31" s="17" t="s">
        <v>173</v>
      </c>
      <c r="CG31" s="17" t="s">
        <v>172</v>
      </c>
      <c r="CH31" s="17" t="s">
        <v>199</v>
      </c>
      <c r="CI31" s="17" t="s">
        <v>172</v>
      </c>
      <c r="CJ31" s="17" t="s">
        <v>320</v>
      </c>
      <c r="CK31" s="17" t="s">
        <v>259</v>
      </c>
      <c r="CM31" s="17">
        <v>3</v>
      </c>
      <c r="CN31" s="17" t="s">
        <v>260</v>
      </c>
      <c r="CP31" s="17">
        <v>348</v>
      </c>
      <c r="CQ31" s="17">
        <v>63.5</v>
      </c>
      <c r="CR31" s="17">
        <v>108</v>
      </c>
      <c r="CS31" s="17" t="s">
        <v>261</v>
      </c>
      <c r="CV31" s="17" t="s">
        <v>262</v>
      </c>
      <c r="CX31" s="17" t="s">
        <v>263</v>
      </c>
      <c r="CY31" s="17" t="s">
        <v>172</v>
      </c>
      <c r="DC31" s="17" t="s">
        <v>1870</v>
      </c>
      <c r="DD31" s="17">
        <v>1</v>
      </c>
      <c r="DE31" s="17" t="s">
        <v>307</v>
      </c>
      <c r="DF31" s="17" t="s">
        <v>1874</v>
      </c>
      <c r="DG31" s="17">
        <v>145</v>
      </c>
      <c r="DJ31" s="17" t="s">
        <v>201</v>
      </c>
      <c r="DK31" s="17" t="s">
        <v>202</v>
      </c>
      <c r="DL31" s="17" t="s">
        <v>173</v>
      </c>
      <c r="DM31" s="17" t="s">
        <v>172</v>
      </c>
      <c r="DN31" s="17" t="s">
        <v>173</v>
      </c>
      <c r="DO31" s="17" t="s">
        <v>266</v>
      </c>
      <c r="DP31" s="17" t="s">
        <v>172</v>
      </c>
      <c r="DQ31" s="17" t="s">
        <v>204</v>
      </c>
      <c r="DS31" s="17" t="s">
        <v>1852</v>
      </c>
      <c r="DT31" s="17" t="s">
        <v>1853</v>
      </c>
      <c r="DU31" s="17" t="s">
        <v>1864</v>
      </c>
      <c r="DV31" s="17" t="s">
        <v>1865</v>
      </c>
      <c r="DY31" s="17">
        <v>18.100000000000001</v>
      </c>
      <c r="EA31" s="89"/>
      <c r="EB31" s="17">
        <v>4</v>
      </c>
      <c r="EC31" s="17">
        <v>6</v>
      </c>
      <c r="ED31" s="17">
        <v>10</v>
      </c>
      <c r="EE31" s="84" t="s">
        <v>1875</v>
      </c>
      <c r="EF31" s="17">
        <v>4</v>
      </c>
      <c r="EH31" s="68"/>
      <c r="EM31" s="84"/>
      <c r="EP31" s="68"/>
      <c r="EU31" s="84"/>
      <c r="EV31" s="68">
        <v>6500</v>
      </c>
      <c r="EW31" s="17">
        <v>764</v>
      </c>
      <c r="EX31" s="17">
        <v>508</v>
      </c>
      <c r="EY31" s="17">
        <v>649</v>
      </c>
      <c r="EZ31" s="85">
        <v>304</v>
      </c>
      <c r="FA31" s="17">
        <v>2</v>
      </c>
      <c r="FC31" s="85">
        <v>270</v>
      </c>
      <c r="FD31" s="17">
        <v>20</v>
      </c>
      <c r="FE31" s="17">
        <v>27</v>
      </c>
      <c r="FF31" s="17">
        <v>22</v>
      </c>
      <c r="FG31" s="84">
        <v>357</v>
      </c>
      <c r="FH31" s="17">
        <v>239</v>
      </c>
      <c r="FI31" s="68">
        <v>304</v>
      </c>
      <c r="FJ31" s="86" t="s">
        <v>1879</v>
      </c>
      <c r="FL31" s="68"/>
      <c r="FM31" s="84">
        <v>0.53700000000000003</v>
      </c>
      <c r="FN31" s="17">
        <v>0.52900000000000003</v>
      </c>
      <c r="FO31" s="68">
        <v>0.53300000000000003</v>
      </c>
      <c r="FP31" s="92"/>
      <c r="FQ31" s="92"/>
      <c r="FR31" s="92"/>
      <c r="FS31" s="97">
        <v>15.9</v>
      </c>
    </row>
    <row r="32" spans="1:190" s="66" customFormat="1" x14ac:dyDescent="0.35">
      <c r="A32" s="17"/>
      <c r="E32" s="17"/>
      <c r="F32" s="17"/>
      <c r="G32" s="67"/>
      <c r="H32" s="17"/>
      <c r="I32" s="68"/>
      <c r="J32" s="69"/>
      <c r="K32" s="70"/>
      <c r="L32" s="70"/>
      <c r="M32" s="19" t="str">
        <f>_xlfn.CONCAT(A33," ",C33," ",D33)</f>
        <v>2026 BMW 750e xDrive Sedan</v>
      </c>
      <c r="N32" s="70"/>
      <c r="O32" s="70"/>
      <c r="P32" s="70"/>
      <c r="Q32" s="70"/>
      <c r="R32" s="70"/>
      <c r="S32" s="70"/>
      <c r="T32" s="70"/>
      <c r="U32" s="70"/>
      <c r="V32" s="70"/>
      <c r="W32" s="70"/>
      <c r="X32" s="70"/>
      <c r="Y32" s="70"/>
      <c r="Z32" s="70"/>
      <c r="AA32" s="70"/>
      <c r="AB32" s="70"/>
      <c r="AC32" s="70"/>
      <c r="AD32" s="19" t="str">
        <f>$M32</f>
        <v>2026 BMW 750e xDrive Sedan</v>
      </c>
      <c r="AE32" s="70"/>
      <c r="AF32" s="70"/>
      <c r="AG32" s="70"/>
      <c r="AH32" s="70"/>
      <c r="AI32" s="70"/>
      <c r="AJ32" s="70"/>
      <c r="AK32" s="71"/>
      <c r="AL32" s="1"/>
      <c r="AM32" s="1"/>
      <c r="AN32" s="1"/>
      <c r="AO32" s="1"/>
      <c r="AP32" s="1"/>
      <c r="AQ32" s="1"/>
      <c r="AR32" s="72"/>
      <c r="AS32" s="70"/>
      <c r="AT32" s="19" t="str">
        <f>$M32</f>
        <v>2026 BMW 750e xDrive Sedan</v>
      </c>
      <c r="AU32" s="70"/>
      <c r="AV32" s="70"/>
      <c r="AW32" s="70"/>
      <c r="AX32" s="70"/>
      <c r="AY32" s="70"/>
      <c r="AZ32" s="70"/>
      <c r="BA32" s="70"/>
      <c r="BB32" s="70"/>
      <c r="BC32" s="70"/>
      <c r="BD32" s="70"/>
      <c r="BE32" s="70"/>
      <c r="BF32" s="70"/>
      <c r="BG32" s="70"/>
      <c r="BH32" s="70"/>
      <c r="BI32" s="19" t="str">
        <f>$M32</f>
        <v>2026 BMW 750e xDrive Sedan</v>
      </c>
      <c r="BJ32" s="70"/>
      <c r="BK32" s="70"/>
      <c r="BL32" s="70"/>
      <c r="BM32" s="70"/>
      <c r="BN32" s="71"/>
      <c r="BO32" s="1"/>
      <c r="BP32" s="1"/>
      <c r="BQ32" s="1"/>
      <c r="BR32" s="1"/>
      <c r="BS32" s="1"/>
      <c r="BT32" s="73"/>
      <c r="BU32" s="1"/>
      <c r="BV32" s="72"/>
      <c r="BW32" s="74"/>
      <c r="BX32" s="70"/>
      <c r="BY32" s="19" t="str">
        <f>$M32</f>
        <v>2026 BMW 750e xDrive Sedan</v>
      </c>
      <c r="BZ32" s="70"/>
      <c r="CA32" s="70"/>
      <c r="CB32" s="70"/>
      <c r="CC32" s="70"/>
      <c r="CD32" s="70"/>
      <c r="CE32" s="75"/>
      <c r="CF32" s="70"/>
      <c r="CG32" s="70"/>
      <c r="CH32" s="70"/>
      <c r="CI32" s="70"/>
      <c r="CJ32" s="70"/>
      <c r="CK32" s="70"/>
      <c r="CL32" s="70"/>
      <c r="CM32" s="70"/>
      <c r="CN32" s="70"/>
      <c r="CO32" s="19" t="str">
        <f>$M32</f>
        <v>2026 BMW 750e xDrive Sedan</v>
      </c>
      <c r="CP32" s="70"/>
      <c r="CQ32" s="70"/>
      <c r="CR32" s="70"/>
      <c r="CS32" s="70"/>
      <c r="CT32" s="70"/>
      <c r="CU32" s="70"/>
      <c r="CV32" s="70"/>
      <c r="CW32" s="70"/>
      <c r="CX32" s="70"/>
      <c r="CY32" s="70"/>
      <c r="CZ32" s="70"/>
      <c r="DA32" s="70"/>
      <c r="DB32" s="70"/>
      <c r="DC32" s="70"/>
      <c r="DD32" s="70"/>
      <c r="DE32" s="70"/>
      <c r="DF32" s="19" t="str">
        <f>$M32</f>
        <v>2026 BMW 750e xDrive Sedan</v>
      </c>
      <c r="DG32" s="70"/>
      <c r="DH32" s="70"/>
      <c r="DI32" s="70"/>
      <c r="DJ32" s="70"/>
      <c r="DK32" s="70"/>
      <c r="DL32" s="70"/>
      <c r="DM32" s="70"/>
      <c r="DN32" s="70"/>
      <c r="DO32" s="70"/>
      <c r="DP32" s="70"/>
      <c r="DQ32" s="70"/>
      <c r="DR32" s="19"/>
      <c r="DS32" s="19"/>
      <c r="DT32" s="19"/>
      <c r="DU32" s="19"/>
      <c r="DV32" s="19"/>
      <c r="DW32" s="19" t="str">
        <f>$M32</f>
        <v>2026 BMW 750e xDrive Sedan</v>
      </c>
      <c r="DX32" s="19"/>
      <c r="DY32" s="19"/>
      <c r="DZ32" s="19"/>
      <c r="EA32" s="76"/>
      <c r="EB32" s="19"/>
      <c r="EC32" s="19"/>
      <c r="ED32" s="19"/>
      <c r="EE32" s="69"/>
      <c r="EF32" s="19"/>
      <c r="EG32" s="19"/>
      <c r="EH32" s="77"/>
      <c r="EI32" s="19"/>
      <c r="EK32" t="s">
        <v>1802</v>
      </c>
      <c r="EL32" s="19" t="str">
        <f>$M32</f>
        <v>2026 BMW 750e xDrive Sedan</v>
      </c>
      <c r="EM32" s="69"/>
      <c r="EP32" s="65"/>
      <c r="EU32" s="78"/>
      <c r="EV32" s="65"/>
      <c r="EZ32" s="83"/>
      <c r="FA32" s="19" t="str">
        <f>$M32</f>
        <v>2026 BMW 750e xDrive Sedan</v>
      </c>
      <c r="FC32" s="79"/>
      <c r="FD32" s="19"/>
      <c r="FE32" s="19"/>
      <c r="FF32" s="19"/>
      <c r="FG32" s="69"/>
      <c r="FH32" s="19"/>
      <c r="FI32" s="77"/>
      <c r="FJ32" s="69"/>
      <c r="FK32" s="19"/>
      <c r="FL32" s="77"/>
      <c r="FM32" s="69" t="str">
        <f>$M32</f>
        <v>2026 BMW 750e xDrive Sedan</v>
      </c>
      <c r="FN32" s="19"/>
      <c r="FO32" s="77"/>
      <c r="FP32" s="81"/>
      <c r="FQ32" s="81"/>
      <c r="FR32" s="81"/>
      <c r="FS32" s="82"/>
      <c r="FT32" s="19"/>
      <c r="FU32" s="19"/>
      <c r="FV32" s="19"/>
      <c r="FW32" s="19"/>
      <c r="FX32" s="19"/>
      <c r="FY32" s="19"/>
      <c r="FZ32" s="19"/>
      <c r="GA32" s="19"/>
      <c r="GB32" s="19"/>
      <c r="GC32" s="19"/>
      <c r="GD32" s="19"/>
      <c r="GE32" s="19"/>
      <c r="GF32" s="19"/>
      <c r="GG32" s="19"/>
      <c r="GH32" s="19"/>
    </row>
    <row r="33" spans="1:190" s="17" customFormat="1" x14ac:dyDescent="0.35">
      <c r="A33" s="17">
        <v>2026</v>
      </c>
      <c r="B33" s="17" t="s">
        <v>192</v>
      </c>
      <c r="C33" s="17" t="s">
        <v>192</v>
      </c>
      <c r="D33" s="17" t="s">
        <v>1878</v>
      </c>
      <c r="E33" s="17" t="s">
        <v>194</v>
      </c>
      <c r="F33" s="17">
        <v>750</v>
      </c>
      <c r="G33" s="67">
        <v>3</v>
      </c>
      <c r="H33" s="17">
        <v>6</v>
      </c>
      <c r="I33" s="68" t="s">
        <v>195</v>
      </c>
      <c r="J33" s="17">
        <v>23</v>
      </c>
      <c r="K33" s="17">
        <v>26</v>
      </c>
      <c r="L33" s="17">
        <v>24</v>
      </c>
      <c r="M33" s="17">
        <v>34.200000000000003</v>
      </c>
      <c r="N33" s="17">
        <v>40.700000000000003</v>
      </c>
      <c r="O33" s="17">
        <v>36.848199999999999</v>
      </c>
      <c r="P33" s="17">
        <v>22.834</v>
      </c>
      <c r="Q33" s="17">
        <v>26.383500000000002</v>
      </c>
      <c r="R33" s="17">
        <v>24.305499999999999</v>
      </c>
      <c r="T33" s="17" t="s">
        <v>168</v>
      </c>
      <c r="U33" s="17" t="s">
        <v>169</v>
      </c>
      <c r="V33" s="17" t="s">
        <v>196</v>
      </c>
      <c r="W33" s="17" t="s">
        <v>197</v>
      </c>
      <c r="Y33" s="17">
        <v>8</v>
      </c>
      <c r="Z33" s="17" t="s">
        <v>173</v>
      </c>
      <c r="AA33" s="17" t="s">
        <v>173</v>
      </c>
      <c r="AB33" s="17" t="s">
        <v>170</v>
      </c>
      <c r="AC33" s="17" t="s">
        <v>232</v>
      </c>
      <c r="AD33" s="17">
        <v>10</v>
      </c>
      <c r="AF33" s="17">
        <v>420</v>
      </c>
      <c r="AG33" s="17" t="s">
        <v>176</v>
      </c>
      <c r="AH33" s="17" t="s">
        <v>177</v>
      </c>
      <c r="AI33" s="17" t="s">
        <v>178</v>
      </c>
      <c r="AJ33" s="17" t="s">
        <v>179</v>
      </c>
      <c r="AK33" s="84" t="s">
        <v>173</v>
      </c>
      <c r="AL33" s="17" t="s">
        <v>180</v>
      </c>
      <c r="AO33" s="17">
        <v>109</v>
      </c>
      <c r="AP33" s="17">
        <v>14</v>
      </c>
      <c r="AR33" s="68"/>
      <c r="AS33" s="17">
        <v>1700</v>
      </c>
      <c r="AT33" s="17">
        <v>1700</v>
      </c>
      <c r="AU33" s="17">
        <v>50</v>
      </c>
      <c r="AV33" s="17">
        <v>46</v>
      </c>
      <c r="AW33" s="17">
        <v>48</v>
      </c>
      <c r="AX33" s="17">
        <v>35.1</v>
      </c>
      <c r="AY33" s="17">
        <v>32</v>
      </c>
      <c r="AZ33" s="17">
        <v>33.704999999999998</v>
      </c>
      <c r="BA33" s="17">
        <v>49.622</v>
      </c>
      <c r="BB33" s="17">
        <v>45.707999999999998</v>
      </c>
      <c r="BC33" s="17">
        <v>47.860700000000001</v>
      </c>
      <c r="BD33" s="17">
        <v>35</v>
      </c>
      <c r="BE33" s="17" t="s">
        <v>1392</v>
      </c>
      <c r="BF33" s="17" t="s">
        <v>1393</v>
      </c>
      <c r="BG33" s="17" t="s">
        <v>1399</v>
      </c>
      <c r="BH33" s="17" t="s">
        <v>1400</v>
      </c>
      <c r="BI33" s="17">
        <v>1700</v>
      </c>
      <c r="BN33" s="86" t="s">
        <v>1837</v>
      </c>
      <c r="BO33" s="17">
        <v>2</v>
      </c>
      <c r="BP33" s="17">
        <v>2</v>
      </c>
      <c r="BQ33" s="17">
        <v>6</v>
      </c>
      <c r="BR33" s="17" t="s">
        <v>536</v>
      </c>
      <c r="BS33" s="17" t="s">
        <v>182</v>
      </c>
      <c r="BT33" s="17" t="s">
        <v>1838</v>
      </c>
      <c r="BU33" s="87">
        <v>45870</v>
      </c>
      <c r="BV33" s="68">
        <v>36895</v>
      </c>
      <c r="BW33" s="88"/>
      <c r="BX33" s="17" t="s">
        <v>173</v>
      </c>
      <c r="BY33" s="17" t="s">
        <v>173</v>
      </c>
      <c r="CB33" s="17" t="s">
        <v>173</v>
      </c>
      <c r="CC33" s="17" t="s">
        <v>173</v>
      </c>
      <c r="CE33" s="17" t="s">
        <v>173</v>
      </c>
      <c r="CG33" s="17" t="s">
        <v>172</v>
      </c>
      <c r="CH33" s="17" t="s">
        <v>199</v>
      </c>
      <c r="CI33" s="17" t="s">
        <v>172</v>
      </c>
      <c r="CJ33" s="17" t="s">
        <v>320</v>
      </c>
      <c r="CK33" s="17" t="s">
        <v>259</v>
      </c>
      <c r="CM33" s="17">
        <v>1</v>
      </c>
      <c r="CN33" s="17" t="s">
        <v>260</v>
      </c>
      <c r="CP33" s="17">
        <v>317</v>
      </c>
      <c r="CQ33" s="17">
        <v>93</v>
      </c>
      <c r="CR33" s="17">
        <v>139</v>
      </c>
      <c r="CS33" s="17" t="s">
        <v>261</v>
      </c>
      <c r="CV33" s="17" t="s">
        <v>262</v>
      </c>
      <c r="CX33" s="17" t="s">
        <v>263</v>
      </c>
      <c r="CY33" s="17" t="s">
        <v>172</v>
      </c>
      <c r="DC33" s="17" t="s">
        <v>1880</v>
      </c>
      <c r="DD33" s="17">
        <v>1</v>
      </c>
      <c r="DE33" s="17" t="s">
        <v>307</v>
      </c>
      <c r="DF33" s="17" t="s">
        <v>1874</v>
      </c>
      <c r="DG33" s="17">
        <v>145</v>
      </c>
      <c r="DJ33" s="17" t="s">
        <v>201</v>
      </c>
      <c r="DK33" s="17" t="s">
        <v>202</v>
      </c>
      <c r="DL33" s="17" t="s">
        <v>173</v>
      </c>
      <c r="DM33" s="17" t="s">
        <v>172</v>
      </c>
      <c r="DN33" s="17" t="s">
        <v>173</v>
      </c>
      <c r="DO33" s="17" t="s">
        <v>1881</v>
      </c>
      <c r="DP33" s="17" t="s">
        <v>172</v>
      </c>
      <c r="DQ33" s="17" t="s">
        <v>204</v>
      </c>
      <c r="DS33" s="17" t="s">
        <v>1852</v>
      </c>
      <c r="DT33" s="17" t="s">
        <v>1853</v>
      </c>
      <c r="DU33" s="17" t="s">
        <v>1864</v>
      </c>
      <c r="DV33" s="17" t="s">
        <v>1865</v>
      </c>
      <c r="DY33" s="17">
        <v>37.1</v>
      </c>
      <c r="EA33" s="89"/>
      <c r="EB33" s="17">
        <v>7</v>
      </c>
      <c r="EC33" s="17">
        <v>9</v>
      </c>
      <c r="ED33" s="17">
        <v>10</v>
      </c>
      <c r="EE33" s="84" t="s">
        <v>1882</v>
      </c>
      <c r="EF33" s="17">
        <v>5</v>
      </c>
      <c r="EH33" s="68"/>
      <c r="EM33" s="84"/>
      <c r="EP33" s="68"/>
      <c r="EU33" s="84">
        <v>0</v>
      </c>
      <c r="EV33" s="68"/>
      <c r="EW33" s="17">
        <v>0</v>
      </c>
      <c r="EX33" s="17">
        <v>0</v>
      </c>
      <c r="EY33" s="17">
        <v>0</v>
      </c>
      <c r="EZ33" s="85">
        <v>130</v>
      </c>
      <c r="FA33" s="17">
        <v>2</v>
      </c>
      <c r="FC33" s="85">
        <v>460</v>
      </c>
      <c r="FD33" s="17">
        <v>39</v>
      </c>
      <c r="FE33" s="17">
        <v>45</v>
      </c>
      <c r="FF33" s="17">
        <v>41</v>
      </c>
      <c r="FG33" s="84">
        <v>143</v>
      </c>
      <c r="FH33" s="17">
        <v>115</v>
      </c>
      <c r="FI33" s="68">
        <v>130</v>
      </c>
      <c r="FJ33" s="84">
        <v>34.4</v>
      </c>
      <c r="FK33" s="17">
        <v>36.78</v>
      </c>
      <c r="FL33" s="68">
        <v>35</v>
      </c>
      <c r="FM33" s="84">
        <v>0.63</v>
      </c>
      <c r="FN33" s="17">
        <v>0.65100000000000002</v>
      </c>
      <c r="FO33" s="68">
        <v>0.64</v>
      </c>
      <c r="FP33" s="92">
        <v>0</v>
      </c>
      <c r="FQ33" s="92">
        <v>0</v>
      </c>
      <c r="FR33" s="92">
        <v>0</v>
      </c>
      <c r="FS33" s="97">
        <v>17.2</v>
      </c>
    </row>
    <row r="34" spans="1:190" s="17" customFormat="1" x14ac:dyDescent="0.35">
      <c r="A34" s="17">
        <v>2026</v>
      </c>
      <c r="B34" s="141" t="s">
        <v>192</v>
      </c>
      <c r="C34" s="141" t="s">
        <v>192</v>
      </c>
      <c r="D34" s="141" t="s">
        <v>1878</v>
      </c>
      <c r="E34" s="141" t="s">
        <v>194</v>
      </c>
      <c r="F34" s="141">
        <v>750</v>
      </c>
      <c r="G34" s="141">
        <v>3</v>
      </c>
      <c r="H34" s="141">
        <v>6</v>
      </c>
      <c r="I34" s="142" t="s">
        <v>195</v>
      </c>
      <c r="J34" s="17">
        <v>23</v>
      </c>
      <c r="K34" s="17">
        <v>26</v>
      </c>
      <c r="L34" s="17">
        <v>24</v>
      </c>
      <c r="M34" s="17">
        <v>34.200000000000003</v>
      </c>
      <c r="N34" s="17">
        <v>40.700000000000003</v>
      </c>
      <c r="O34" s="17">
        <v>36.848199999999999</v>
      </c>
      <c r="P34" s="17">
        <v>22.834</v>
      </c>
      <c r="Q34" s="17">
        <v>26.383500000000002</v>
      </c>
      <c r="R34" s="17">
        <v>24.305499999999999</v>
      </c>
      <c r="T34" s="17" t="s">
        <v>168</v>
      </c>
      <c r="U34" s="17" t="s">
        <v>169</v>
      </c>
      <c r="V34" s="17" t="s">
        <v>196</v>
      </c>
      <c r="W34" s="17" t="s">
        <v>197</v>
      </c>
      <c r="Y34" s="17">
        <v>8</v>
      </c>
      <c r="Z34" s="17" t="s">
        <v>173</v>
      </c>
      <c r="AA34" s="17" t="s">
        <v>173</v>
      </c>
      <c r="AB34" s="17" t="s">
        <v>170</v>
      </c>
      <c r="AC34" s="17" t="s">
        <v>232</v>
      </c>
      <c r="AD34" s="17">
        <v>10</v>
      </c>
      <c r="AF34" s="17">
        <v>420</v>
      </c>
      <c r="AG34" s="17" t="s">
        <v>176</v>
      </c>
      <c r="AH34" s="17" t="s">
        <v>177</v>
      </c>
      <c r="AI34" s="17" t="s">
        <v>178</v>
      </c>
      <c r="AJ34" s="17" t="s">
        <v>179</v>
      </c>
      <c r="AK34" s="84" t="s">
        <v>173</v>
      </c>
      <c r="AL34" s="17" t="s">
        <v>180</v>
      </c>
      <c r="AO34" s="17">
        <v>109</v>
      </c>
      <c r="AP34" s="17">
        <v>14</v>
      </c>
      <c r="AR34" s="68"/>
      <c r="AS34" s="17">
        <v>1700</v>
      </c>
      <c r="AT34" s="17">
        <v>1700</v>
      </c>
      <c r="AU34" s="17">
        <v>68</v>
      </c>
      <c r="AV34" s="17">
        <v>74</v>
      </c>
      <c r="AW34" s="17">
        <v>70</v>
      </c>
      <c r="AX34" s="17">
        <v>96.1</v>
      </c>
      <c r="AY34" s="17">
        <v>105.3</v>
      </c>
      <c r="AZ34" s="17">
        <v>100.0329</v>
      </c>
      <c r="BA34" s="17">
        <v>67.590400000000002</v>
      </c>
      <c r="BB34" s="17">
        <v>73.701300000000003</v>
      </c>
      <c r="BC34" s="17">
        <v>70.209999999999994</v>
      </c>
      <c r="BD34" s="17">
        <v>35</v>
      </c>
      <c r="BE34" s="17" t="s">
        <v>1392</v>
      </c>
      <c r="BF34" s="17" t="s">
        <v>1393</v>
      </c>
      <c r="BG34" s="17" t="s">
        <v>178</v>
      </c>
      <c r="BH34" s="17" t="s">
        <v>179</v>
      </c>
      <c r="BI34" s="17">
        <v>1700</v>
      </c>
      <c r="BN34" s="86" t="s">
        <v>1837</v>
      </c>
      <c r="BO34" s="17">
        <v>2</v>
      </c>
      <c r="BP34" s="17">
        <v>2</v>
      </c>
      <c r="BQ34" s="17">
        <v>6</v>
      </c>
      <c r="BR34" s="17" t="s">
        <v>536</v>
      </c>
      <c r="BS34" s="17" t="s">
        <v>182</v>
      </c>
      <c r="BT34" s="17" t="s">
        <v>1838</v>
      </c>
      <c r="BU34" s="87">
        <v>45870</v>
      </c>
      <c r="BV34" s="68">
        <v>36895</v>
      </c>
      <c r="BW34" s="88"/>
      <c r="BX34" s="17" t="s">
        <v>173</v>
      </c>
      <c r="BY34" s="17" t="s">
        <v>173</v>
      </c>
      <c r="CB34" s="17" t="s">
        <v>173</v>
      </c>
      <c r="CC34" s="17" t="s">
        <v>173</v>
      </c>
      <c r="CE34" s="17" t="s">
        <v>173</v>
      </c>
      <c r="CG34" s="17" t="s">
        <v>172</v>
      </c>
      <c r="CH34" s="17" t="s">
        <v>199</v>
      </c>
      <c r="CI34" s="17" t="s">
        <v>172</v>
      </c>
      <c r="CJ34" s="17" t="s">
        <v>320</v>
      </c>
      <c r="CK34" s="17" t="s">
        <v>259</v>
      </c>
      <c r="CM34" s="17">
        <v>1</v>
      </c>
      <c r="CN34" s="17" t="s">
        <v>260</v>
      </c>
      <c r="CP34" s="17">
        <v>317</v>
      </c>
      <c r="CQ34" s="17">
        <v>93</v>
      </c>
      <c r="CR34" s="17">
        <v>139</v>
      </c>
      <c r="CS34" s="17" t="s">
        <v>261</v>
      </c>
      <c r="CV34" s="17" t="s">
        <v>262</v>
      </c>
      <c r="CX34" s="17" t="s">
        <v>263</v>
      </c>
      <c r="CY34" s="17" t="s">
        <v>172</v>
      </c>
      <c r="DC34" s="17" t="s">
        <v>1880</v>
      </c>
      <c r="DD34" s="17">
        <v>1</v>
      </c>
      <c r="DE34" s="17" t="s">
        <v>307</v>
      </c>
      <c r="DF34" s="17" t="s">
        <v>1874</v>
      </c>
      <c r="DG34" s="17">
        <v>145</v>
      </c>
      <c r="DJ34" s="17" t="s">
        <v>201</v>
      </c>
      <c r="DK34" s="17" t="s">
        <v>202</v>
      </c>
      <c r="DL34" s="17" t="s">
        <v>173</v>
      </c>
      <c r="DM34" s="17" t="s">
        <v>172</v>
      </c>
      <c r="DN34" s="17" t="s">
        <v>173</v>
      </c>
      <c r="DO34" s="17" t="s">
        <v>1881</v>
      </c>
      <c r="DP34" s="17" t="s">
        <v>172</v>
      </c>
      <c r="DQ34" s="17" t="s">
        <v>204</v>
      </c>
      <c r="DS34" s="17" t="s">
        <v>1852</v>
      </c>
      <c r="DT34" s="17" t="s">
        <v>1853</v>
      </c>
      <c r="DU34" s="17" t="s">
        <v>1864</v>
      </c>
      <c r="DV34" s="17" t="s">
        <v>1865</v>
      </c>
      <c r="DY34" s="17">
        <v>37.1</v>
      </c>
      <c r="EA34" s="89"/>
      <c r="EB34" s="17">
        <v>7</v>
      </c>
      <c r="EC34" s="17">
        <v>9</v>
      </c>
      <c r="ED34" s="17">
        <v>10</v>
      </c>
      <c r="EE34" s="84" t="s">
        <v>1882</v>
      </c>
      <c r="EF34" s="17">
        <v>5</v>
      </c>
      <c r="EH34" s="68"/>
      <c r="EM34" s="84"/>
      <c r="EP34" s="68"/>
      <c r="EU34" s="84">
        <v>0</v>
      </c>
      <c r="EV34" s="68"/>
      <c r="EW34" s="17">
        <v>382</v>
      </c>
      <c r="EX34" s="17">
        <v>331</v>
      </c>
      <c r="EY34" s="17">
        <v>359</v>
      </c>
      <c r="EZ34" s="85">
        <v>130</v>
      </c>
      <c r="FA34" s="17">
        <v>2</v>
      </c>
      <c r="FC34" s="85">
        <v>460</v>
      </c>
      <c r="FD34" s="17">
        <v>39</v>
      </c>
      <c r="FE34" s="17">
        <v>45</v>
      </c>
      <c r="FF34" s="17">
        <v>41</v>
      </c>
      <c r="FG34" s="84">
        <v>143</v>
      </c>
      <c r="FH34" s="17">
        <v>115</v>
      </c>
      <c r="FI34" s="68">
        <v>130</v>
      </c>
      <c r="FJ34" s="86" t="s">
        <v>1883</v>
      </c>
      <c r="FL34" s="68"/>
      <c r="FM34" s="84">
        <v>0.63</v>
      </c>
      <c r="FN34" s="17">
        <v>0.65100000000000002</v>
      </c>
      <c r="FO34" s="68">
        <v>0.64</v>
      </c>
      <c r="FS34" s="97">
        <v>17.2</v>
      </c>
    </row>
    <row r="35" spans="1:190" s="66" customFormat="1" x14ac:dyDescent="0.35">
      <c r="A35" s="17"/>
      <c r="E35" s="17"/>
      <c r="F35" s="17"/>
      <c r="G35" s="67"/>
      <c r="H35" s="17"/>
      <c r="I35" s="68"/>
      <c r="J35" s="69"/>
      <c r="K35" s="70"/>
      <c r="L35" s="70"/>
      <c r="M35" s="19" t="str">
        <f>_xlfn.CONCAT(A36," ",C36," ",D36)</f>
        <v>2026 BMW X5 xDrive50e</v>
      </c>
      <c r="N35" s="70"/>
      <c r="O35" s="70"/>
      <c r="P35" s="70"/>
      <c r="Q35" s="70"/>
      <c r="R35" s="70"/>
      <c r="S35" s="70"/>
      <c r="T35" s="70"/>
      <c r="U35" s="70"/>
      <c r="V35" s="70"/>
      <c r="W35" s="70"/>
      <c r="X35" s="70"/>
      <c r="Y35" s="70"/>
      <c r="Z35" s="70"/>
      <c r="AA35" s="70"/>
      <c r="AB35" s="70"/>
      <c r="AC35" s="70"/>
      <c r="AD35" s="19" t="str">
        <f>$M35</f>
        <v>2026 BMW X5 xDrive50e</v>
      </c>
      <c r="AE35" s="70"/>
      <c r="AF35" s="70"/>
      <c r="AG35" s="70"/>
      <c r="AH35" s="70"/>
      <c r="AI35" s="70"/>
      <c r="AJ35" s="70"/>
      <c r="AK35" s="71"/>
      <c r="AL35" s="1"/>
      <c r="AM35" s="1"/>
      <c r="AN35" s="1"/>
      <c r="AO35" s="1"/>
      <c r="AP35" s="1"/>
      <c r="AQ35" s="1"/>
      <c r="AR35" s="72"/>
      <c r="AS35" s="70"/>
      <c r="AT35" s="19" t="str">
        <f>$M35</f>
        <v>2026 BMW X5 xDrive50e</v>
      </c>
      <c r="AU35" s="70"/>
      <c r="AV35" s="70"/>
      <c r="AW35" s="70"/>
      <c r="AX35" s="70"/>
      <c r="AY35" s="70"/>
      <c r="AZ35" s="70"/>
      <c r="BA35" s="70"/>
      <c r="BB35" s="70"/>
      <c r="BC35" s="70"/>
      <c r="BD35" s="70"/>
      <c r="BE35" s="70"/>
      <c r="BF35" s="70"/>
      <c r="BG35" s="70"/>
      <c r="BH35" s="70"/>
      <c r="BI35" s="19" t="str">
        <f>$M35</f>
        <v>2026 BMW X5 xDrive50e</v>
      </c>
      <c r="BJ35" s="70"/>
      <c r="BK35" s="70"/>
      <c r="BL35" s="70"/>
      <c r="BM35" s="70"/>
      <c r="BN35" s="71"/>
      <c r="BO35" s="1"/>
      <c r="BP35" s="1"/>
      <c r="BQ35" s="1"/>
      <c r="BR35" s="1"/>
      <c r="BS35" s="1"/>
      <c r="BT35" s="73"/>
      <c r="BU35" s="1"/>
      <c r="BV35" s="72"/>
      <c r="BW35" s="74"/>
      <c r="BX35" s="70"/>
      <c r="BY35" s="19" t="str">
        <f>$M35</f>
        <v>2026 BMW X5 xDrive50e</v>
      </c>
      <c r="BZ35" s="70"/>
      <c r="CA35" s="70"/>
      <c r="CB35" s="70"/>
      <c r="CC35" s="70"/>
      <c r="CD35" s="70"/>
      <c r="CE35" s="75"/>
      <c r="CF35" s="70"/>
      <c r="CG35" s="70"/>
      <c r="CH35" s="70"/>
      <c r="CI35" s="70"/>
      <c r="CJ35" s="70"/>
      <c r="CK35" s="70"/>
      <c r="CL35" s="70"/>
      <c r="CM35" s="70"/>
      <c r="CN35" s="70"/>
      <c r="CO35" s="19" t="str">
        <f>$M35</f>
        <v>2026 BMW X5 xDrive50e</v>
      </c>
      <c r="CP35" s="70"/>
      <c r="CQ35" s="70"/>
      <c r="CR35" s="70"/>
      <c r="CS35" s="70"/>
      <c r="CT35" s="70"/>
      <c r="CU35" s="70"/>
      <c r="CV35" s="70"/>
      <c r="CW35" s="70"/>
      <c r="CX35" s="70"/>
      <c r="CY35" s="70"/>
      <c r="CZ35" s="70"/>
      <c r="DA35" s="70"/>
      <c r="DB35" s="70"/>
      <c r="DC35" s="70"/>
      <c r="DD35" s="70"/>
      <c r="DE35" s="70"/>
      <c r="DF35" s="19" t="str">
        <f>$M35</f>
        <v>2026 BMW X5 xDrive50e</v>
      </c>
      <c r="DG35" s="70"/>
      <c r="DH35" s="70"/>
      <c r="DI35" s="70"/>
      <c r="DJ35" s="70"/>
      <c r="DK35" s="70"/>
      <c r="DL35" s="70"/>
      <c r="DM35" s="70"/>
      <c r="DN35" s="70"/>
      <c r="DO35" s="70"/>
      <c r="DP35" s="70"/>
      <c r="DQ35" s="70"/>
      <c r="DR35" s="19"/>
      <c r="DS35" s="19"/>
      <c r="DT35" s="19"/>
      <c r="DU35" s="19"/>
      <c r="DV35" s="19"/>
      <c r="DW35" s="19" t="str">
        <f>$M35</f>
        <v>2026 BMW X5 xDrive50e</v>
      </c>
      <c r="DX35" s="19"/>
      <c r="DY35" s="19"/>
      <c r="DZ35" s="19"/>
      <c r="EA35" s="76"/>
      <c r="EB35" s="19"/>
      <c r="EC35" s="19"/>
      <c r="ED35" s="19"/>
      <c r="EE35" s="69"/>
      <c r="EF35" s="19"/>
      <c r="EG35" s="19"/>
      <c r="EH35" s="77"/>
      <c r="EI35" s="19"/>
      <c r="EK35" t="s">
        <v>1802</v>
      </c>
      <c r="EL35" s="19" t="str">
        <f>$M35</f>
        <v>2026 BMW X5 xDrive50e</v>
      </c>
      <c r="EM35" s="69"/>
      <c r="EP35" s="65"/>
      <c r="EU35" s="78"/>
      <c r="EV35" s="65"/>
      <c r="EZ35" s="83"/>
      <c r="FA35" s="19" t="str">
        <f>$M35</f>
        <v>2026 BMW X5 xDrive50e</v>
      </c>
      <c r="FC35" s="79"/>
      <c r="FD35" s="19"/>
      <c r="FE35" s="19"/>
      <c r="FF35" s="19"/>
      <c r="FG35" s="69"/>
      <c r="FH35" s="19"/>
      <c r="FI35" s="77"/>
      <c r="FJ35" s="69"/>
      <c r="FK35" s="19"/>
      <c r="FL35" s="77"/>
      <c r="FM35" s="69" t="str">
        <f>$M35</f>
        <v>2026 BMW X5 xDrive50e</v>
      </c>
      <c r="FN35" s="19"/>
      <c r="FO35" s="77"/>
      <c r="FP35" s="81"/>
      <c r="FQ35" s="81"/>
      <c r="FR35" s="81"/>
      <c r="FS35" s="82"/>
      <c r="FT35" s="19"/>
      <c r="FU35" s="19"/>
      <c r="FV35" s="19"/>
      <c r="FW35" s="19"/>
      <c r="FX35" s="19"/>
      <c r="FY35" s="19"/>
      <c r="FZ35" s="19"/>
      <c r="GA35" s="19"/>
      <c r="GB35" s="19"/>
      <c r="GC35" s="19"/>
      <c r="GD35" s="19"/>
      <c r="GE35" s="19"/>
      <c r="GF35" s="19"/>
      <c r="GG35" s="19"/>
      <c r="GH35" s="19"/>
    </row>
    <row r="36" spans="1:190" s="17" customFormat="1" x14ac:dyDescent="0.35">
      <c r="A36" s="17">
        <v>2026</v>
      </c>
      <c r="B36" s="17" t="s">
        <v>192</v>
      </c>
      <c r="C36" s="17" t="s">
        <v>192</v>
      </c>
      <c r="D36" s="17" t="s">
        <v>1884</v>
      </c>
      <c r="E36" s="17" t="s">
        <v>194</v>
      </c>
      <c r="F36" s="17">
        <v>576</v>
      </c>
      <c r="G36" s="67">
        <v>3</v>
      </c>
      <c r="H36" s="17">
        <v>6</v>
      </c>
      <c r="I36" s="68" t="s">
        <v>195</v>
      </c>
      <c r="J36" s="84">
        <v>21</v>
      </c>
      <c r="K36" s="17">
        <v>23</v>
      </c>
      <c r="L36" s="17">
        <v>22</v>
      </c>
      <c r="M36" s="17">
        <v>29.5</v>
      </c>
      <c r="N36" s="17">
        <v>35.9</v>
      </c>
      <c r="O36" s="17">
        <v>32.073</v>
      </c>
      <c r="P36" s="17">
        <v>21.395</v>
      </c>
      <c r="Q36" s="17">
        <v>22.822700000000001</v>
      </c>
      <c r="R36" s="17">
        <v>22.014700000000001</v>
      </c>
      <c r="T36" s="17" t="s">
        <v>168</v>
      </c>
      <c r="U36" s="17" t="s">
        <v>169</v>
      </c>
      <c r="V36" s="17" t="s">
        <v>196</v>
      </c>
      <c r="W36" s="17" t="s">
        <v>197</v>
      </c>
      <c r="Y36" s="17">
        <v>8</v>
      </c>
      <c r="Z36" s="17" t="s">
        <v>173</v>
      </c>
      <c r="AA36" s="17" t="s">
        <v>173</v>
      </c>
      <c r="AB36" s="17" t="s">
        <v>170</v>
      </c>
      <c r="AC36" s="17" t="s">
        <v>232</v>
      </c>
      <c r="AD36" s="17">
        <v>10</v>
      </c>
      <c r="AF36" s="17">
        <v>401</v>
      </c>
      <c r="AG36" s="17" t="s">
        <v>176</v>
      </c>
      <c r="AH36" s="17" t="s">
        <v>177</v>
      </c>
      <c r="AI36" s="17" t="s">
        <v>178</v>
      </c>
      <c r="AJ36" s="17" t="s">
        <v>179</v>
      </c>
      <c r="AK36" s="84" t="s">
        <v>664</v>
      </c>
      <c r="AL36" s="17" t="s">
        <v>665</v>
      </c>
      <c r="AR36" s="68"/>
      <c r="AS36" s="17">
        <v>1900</v>
      </c>
      <c r="AT36" s="17">
        <v>1900</v>
      </c>
      <c r="AU36" s="17">
        <v>58</v>
      </c>
      <c r="AV36" s="17">
        <v>54</v>
      </c>
      <c r="AW36" s="17">
        <v>56</v>
      </c>
      <c r="AX36" s="17">
        <v>40.700000000000003</v>
      </c>
      <c r="AY36" s="17">
        <v>37.9</v>
      </c>
      <c r="AZ36" s="17">
        <v>39.44</v>
      </c>
      <c r="BA36" s="17">
        <v>57.606000000000002</v>
      </c>
      <c r="BB36" s="17">
        <v>54.137999999999998</v>
      </c>
      <c r="BC36" s="17">
        <v>56.045400000000001</v>
      </c>
      <c r="BD36" s="17">
        <v>40</v>
      </c>
      <c r="BE36" s="17" t="s">
        <v>1392</v>
      </c>
      <c r="BF36" s="17" t="s">
        <v>1393</v>
      </c>
      <c r="BG36" s="17" t="s">
        <v>1399</v>
      </c>
      <c r="BH36" s="17" t="s">
        <v>1400</v>
      </c>
      <c r="BI36" s="17">
        <v>1900</v>
      </c>
      <c r="BJ36" s="1"/>
      <c r="BK36" s="1"/>
      <c r="BL36" s="1"/>
      <c r="BN36" s="86" t="s">
        <v>1837</v>
      </c>
      <c r="BO36" s="17">
        <v>2</v>
      </c>
      <c r="BP36" s="17">
        <v>2</v>
      </c>
      <c r="BQ36" s="17">
        <v>33</v>
      </c>
      <c r="BR36" s="17" t="s">
        <v>1062</v>
      </c>
      <c r="BT36" s="17" t="s">
        <v>1838</v>
      </c>
      <c r="BU36" s="87">
        <v>45748</v>
      </c>
      <c r="BV36" s="68">
        <v>36609</v>
      </c>
      <c r="BW36" s="88"/>
      <c r="BX36" s="17" t="s">
        <v>173</v>
      </c>
      <c r="BY36" s="17" t="s">
        <v>173</v>
      </c>
      <c r="CB36" s="17" t="s">
        <v>173</v>
      </c>
      <c r="CC36" s="17" t="s">
        <v>173</v>
      </c>
      <c r="CE36" s="17" t="s">
        <v>173</v>
      </c>
      <c r="CG36" s="17" t="s">
        <v>172</v>
      </c>
      <c r="CH36" s="17" t="s">
        <v>199</v>
      </c>
      <c r="CI36" s="17" t="s">
        <v>172</v>
      </c>
      <c r="CJ36" s="17" t="s">
        <v>320</v>
      </c>
      <c r="CK36" s="17" t="s">
        <v>259</v>
      </c>
      <c r="CM36" s="17">
        <v>1</v>
      </c>
      <c r="CN36" s="17" t="s">
        <v>260</v>
      </c>
      <c r="CP36" s="17">
        <v>317</v>
      </c>
      <c r="CQ36" s="17">
        <v>93</v>
      </c>
      <c r="CR36" s="17">
        <v>139</v>
      </c>
      <c r="CS36" s="17" t="s">
        <v>261</v>
      </c>
      <c r="CV36" s="17" t="s">
        <v>262</v>
      </c>
      <c r="CX36" s="17" t="s">
        <v>263</v>
      </c>
      <c r="CY36" s="17" t="s">
        <v>172</v>
      </c>
      <c r="DC36" s="17" t="s">
        <v>1880</v>
      </c>
      <c r="DD36" s="17">
        <v>1</v>
      </c>
      <c r="DE36" s="17" t="s">
        <v>307</v>
      </c>
      <c r="DF36" s="17" t="s">
        <v>1874</v>
      </c>
      <c r="DG36" s="17">
        <v>145</v>
      </c>
      <c r="DJ36" s="17" t="s">
        <v>201</v>
      </c>
      <c r="DK36" s="17" t="s">
        <v>202</v>
      </c>
      <c r="DL36" s="17" t="s">
        <v>173</v>
      </c>
      <c r="DM36" s="17" t="s">
        <v>172</v>
      </c>
      <c r="DN36" s="17" t="s">
        <v>173</v>
      </c>
      <c r="DO36" s="17" t="s">
        <v>1881</v>
      </c>
      <c r="DP36" s="17" t="s">
        <v>172</v>
      </c>
      <c r="DQ36" s="17" t="s">
        <v>204</v>
      </c>
      <c r="DS36" s="17" t="s">
        <v>1852</v>
      </c>
      <c r="DT36" s="17" t="s">
        <v>1853</v>
      </c>
      <c r="DU36" s="17" t="s">
        <v>1864</v>
      </c>
      <c r="DV36" s="17" t="s">
        <v>1865</v>
      </c>
      <c r="EA36" s="89"/>
      <c r="EB36" s="17">
        <v>7</v>
      </c>
      <c r="EC36" s="17">
        <v>9</v>
      </c>
      <c r="ED36" s="17">
        <v>10</v>
      </c>
      <c r="EE36" s="84" t="s">
        <v>1882</v>
      </c>
      <c r="EF36" s="17">
        <v>5</v>
      </c>
      <c r="EH36" s="68"/>
      <c r="EM36" s="84"/>
      <c r="EP36" s="68"/>
      <c r="EU36" s="84"/>
      <c r="EV36" s="68">
        <v>1000</v>
      </c>
      <c r="EW36" s="17">
        <v>0</v>
      </c>
      <c r="EX36" s="17">
        <v>0</v>
      </c>
      <c r="EY36" s="17">
        <v>0</v>
      </c>
      <c r="EZ36" s="83">
        <v>130</v>
      </c>
      <c r="FA36" s="17">
        <v>2</v>
      </c>
      <c r="FC36" s="85">
        <v>440</v>
      </c>
      <c r="FD36" s="17">
        <v>37</v>
      </c>
      <c r="FE36" s="17">
        <v>40</v>
      </c>
      <c r="FF36" s="17">
        <v>38</v>
      </c>
      <c r="FG36" s="84">
        <v>135</v>
      </c>
      <c r="FH36" s="17">
        <v>123</v>
      </c>
      <c r="FI36" s="95">
        <v>130</v>
      </c>
      <c r="FJ36" s="90">
        <v>39.69</v>
      </c>
      <c r="FK36" s="91">
        <v>40.58</v>
      </c>
      <c r="FL36" s="68">
        <v>40</v>
      </c>
      <c r="FM36" s="84">
        <v>0.67500000000000004</v>
      </c>
      <c r="FN36" s="17">
        <v>0.68200000000000005</v>
      </c>
      <c r="FO36" s="68">
        <v>0.67800000000000005</v>
      </c>
      <c r="FP36" s="92">
        <v>0</v>
      </c>
      <c r="FQ36" s="92">
        <v>0</v>
      </c>
      <c r="FR36" s="92">
        <v>0</v>
      </c>
      <c r="FS36" s="93">
        <v>18.2</v>
      </c>
    </row>
    <row r="37" spans="1:190" s="17" customFormat="1" x14ac:dyDescent="0.35">
      <c r="A37" s="17">
        <v>2026</v>
      </c>
      <c r="B37" s="141" t="s">
        <v>192</v>
      </c>
      <c r="C37" s="141" t="s">
        <v>192</v>
      </c>
      <c r="D37" s="141" t="s">
        <v>1884</v>
      </c>
      <c r="E37" s="141" t="s">
        <v>194</v>
      </c>
      <c r="F37" s="141">
        <v>576</v>
      </c>
      <c r="G37" s="141">
        <v>3</v>
      </c>
      <c r="H37" s="141">
        <v>6</v>
      </c>
      <c r="I37" s="142" t="s">
        <v>195</v>
      </c>
      <c r="J37" s="84">
        <v>21</v>
      </c>
      <c r="K37" s="17">
        <v>23</v>
      </c>
      <c r="L37" s="17">
        <v>22</v>
      </c>
      <c r="M37" s="17">
        <v>29.5</v>
      </c>
      <c r="N37" s="17">
        <v>35.9</v>
      </c>
      <c r="O37" s="17">
        <v>32.073</v>
      </c>
      <c r="P37" s="17">
        <v>21.395</v>
      </c>
      <c r="Q37" s="17">
        <v>22.822700000000001</v>
      </c>
      <c r="R37" s="17">
        <v>22.014700000000001</v>
      </c>
      <c r="T37" s="17" t="s">
        <v>168</v>
      </c>
      <c r="U37" s="17" t="s">
        <v>169</v>
      </c>
      <c r="V37" s="17" t="s">
        <v>196</v>
      </c>
      <c r="W37" s="17" t="s">
        <v>197</v>
      </c>
      <c r="Y37" s="17">
        <v>8</v>
      </c>
      <c r="Z37" s="17" t="s">
        <v>173</v>
      </c>
      <c r="AA37" s="17" t="s">
        <v>173</v>
      </c>
      <c r="AB37" s="17" t="s">
        <v>170</v>
      </c>
      <c r="AC37" s="17" t="s">
        <v>232</v>
      </c>
      <c r="AD37" s="17">
        <v>10</v>
      </c>
      <c r="AF37" s="17">
        <v>401</v>
      </c>
      <c r="AG37" s="17" t="s">
        <v>176</v>
      </c>
      <c r="AH37" s="17" t="s">
        <v>177</v>
      </c>
      <c r="AI37" s="17" t="s">
        <v>178</v>
      </c>
      <c r="AJ37" s="17" t="s">
        <v>179</v>
      </c>
      <c r="AK37" s="84" t="s">
        <v>664</v>
      </c>
      <c r="AL37" s="17" t="s">
        <v>665</v>
      </c>
      <c r="AR37" s="68"/>
      <c r="AS37" s="17">
        <v>1900</v>
      </c>
      <c r="AT37" s="17">
        <v>1900</v>
      </c>
      <c r="AU37" s="17">
        <v>58</v>
      </c>
      <c r="AV37" s="17">
        <v>62</v>
      </c>
      <c r="AW37" s="17">
        <v>60</v>
      </c>
      <c r="AX37" s="17">
        <v>82.6</v>
      </c>
      <c r="AY37" s="17">
        <v>88.8</v>
      </c>
      <c r="AZ37" s="17">
        <v>85.279399999999995</v>
      </c>
      <c r="BA37" s="17">
        <v>58.179000000000002</v>
      </c>
      <c r="BB37" s="17">
        <v>62.186399999999999</v>
      </c>
      <c r="BC37" s="17">
        <v>59.916499999999999</v>
      </c>
      <c r="BD37" s="17">
        <v>40</v>
      </c>
      <c r="BE37" s="17" t="s">
        <v>1392</v>
      </c>
      <c r="BF37" s="17" t="s">
        <v>1393</v>
      </c>
      <c r="BG37" s="17" t="s">
        <v>178</v>
      </c>
      <c r="BH37" s="17" t="s">
        <v>179</v>
      </c>
      <c r="BI37" s="17">
        <v>1900</v>
      </c>
      <c r="BN37" s="86" t="s">
        <v>1837</v>
      </c>
      <c r="BO37" s="17">
        <v>2</v>
      </c>
      <c r="BP37" s="17">
        <v>2</v>
      </c>
      <c r="BQ37" s="17">
        <v>33</v>
      </c>
      <c r="BR37" s="17" t="s">
        <v>1062</v>
      </c>
      <c r="BT37" s="17" t="s">
        <v>1838</v>
      </c>
      <c r="BU37" s="87">
        <v>45748</v>
      </c>
      <c r="BV37" s="68">
        <v>36609</v>
      </c>
      <c r="BW37" s="88"/>
      <c r="BX37" s="17" t="s">
        <v>173</v>
      </c>
      <c r="BY37" s="17" t="s">
        <v>173</v>
      </c>
      <c r="CB37" s="17" t="s">
        <v>173</v>
      </c>
      <c r="CC37" s="17" t="s">
        <v>173</v>
      </c>
      <c r="CE37" s="17" t="s">
        <v>173</v>
      </c>
      <c r="CG37" s="17" t="s">
        <v>172</v>
      </c>
      <c r="CH37" s="17" t="s">
        <v>199</v>
      </c>
      <c r="CI37" s="17" t="s">
        <v>172</v>
      </c>
      <c r="CJ37" s="17" t="s">
        <v>320</v>
      </c>
      <c r="CK37" s="17" t="s">
        <v>259</v>
      </c>
      <c r="CM37" s="17">
        <v>1</v>
      </c>
      <c r="CN37" s="17" t="s">
        <v>260</v>
      </c>
      <c r="CP37" s="17">
        <v>317</v>
      </c>
      <c r="CQ37" s="17">
        <v>93</v>
      </c>
      <c r="CR37" s="17">
        <v>139</v>
      </c>
      <c r="CS37" s="17" t="s">
        <v>261</v>
      </c>
      <c r="CV37" s="17" t="s">
        <v>262</v>
      </c>
      <c r="CX37" s="17" t="s">
        <v>263</v>
      </c>
      <c r="CY37" s="17" t="s">
        <v>172</v>
      </c>
      <c r="DC37" s="17" t="s">
        <v>1880</v>
      </c>
      <c r="DD37" s="17">
        <v>1</v>
      </c>
      <c r="DE37" s="17" t="s">
        <v>307</v>
      </c>
      <c r="DF37" s="17" t="s">
        <v>1874</v>
      </c>
      <c r="DG37" s="17">
        <v>145</v>
      </c>
      <c r="DJ37" s="17" t="s">
        <v>201</v>
      </c>
      <c r="DK37" s="17" t="s">
        <v>202</v>
      </c>
      <c r="DL37" s="17" t="s">
        <v>173</v>
      </c>
      <c r="DM37" s="17" t="s">
        <v>172</v>
      </c>
      <c r="DN37" s="17" t="s">
        <v>173</v>
      </c>
      <c r="DO37" s="17" t="s">
        <v>1881</v>
      </c>
      <c r="DP37" s="17" t="s">
        <v>172</v>
      </c>
      <c r="DQ37" s="17" t="s">
        <v>204</v>
      </c>
      <c r="DS37" s="17" t="s">
        <v>1852</v>
      </c>
      <c r="DT37" s="17" t="s">
        <v>1853</v>
      </c>
      <c r="DU37" s="17" t="s">
        <v>1864</v>
      </c>
      <c r="DV37" s="17" t="s">
        <v>1865</v>
      </c>
      <c r="EA37" s="89"/>
      <c r="EB37" s="17">
        <v>7</v>
      </c>
      <c r="EC37" s="17">
        <v>9</v>
      </c>
      <c r="ED37" s="17">
        <v>10</v>
      </c>
      <c r="EE37" s="84" t="s">
        <v>1882</v>
      </c>
      <c r="EF37" s="17">
        <v>5</v>
      </c>
      <c r="EH37" s="68"/>
      <c r="EM37" s="84"/>
      <c r="EP37" s="68"/>
      <c r="EU37" s="84"/>
      <c r="EV37" s="68">
        <v>1000</v>
      </c>
      <c r="EW37" s="17">
        <v>408</v>
      </c>
      <c r="EX37" s="17">
        <v>383</v>
      </c>
      <c r="EY37" s="17">
        <v>397</v>
      </c>
      <c r="EZ37" s="83">
        <v>130</v>
      </c>
      <c r="FA37" s="17">
        <v>2</v>
      </c>
      <c r="FC37" s="85">
        <v>440</v>
      </c>
      <c r="FD37" s="17">
        <v>37</v>
      </c>
      <c r="FE37" s="17">
        <v>40</v>
      </c>
      <c r="FF37" s="17">
        <v>38</v>
      </c>
      <c r="FG37" s="84">
        <v>135</v>
      </c>
      <c r="FH37" s="17">
        <v>123</v>
      </c>
      <c r="FI37" s="95">
        <v>130</v>
      </c>
      <c r="FJ37" s="86" t="s">
        <v>1885</v>
      </c>
      <c r="FK37" s="94"/>
      <c r="FL37" s="95"/>
      <c r="FM37" s="84">
        <v>0.67500000000000004</v>
      </c>
      <c r="FN37" s="17">
        <v>0.68200000000000005</v>
      </c>
      <c r="FO37" s="68">
        <v>0.67800000000000005</v>
      </c>
      <c r="FP37" s="92"/>
      <c r="FQ37" s="92"/>
      <c r="FR37" s="92"/>
      <c r="FS37" s="93">
        <v>18.2</v>
      </c>
    </row>
    <row r="38" spans="1:190" s="66" customFormat="1" x14ac:dyDescent="0.35">
      <c r="A38" s="17"/>
      <c r="E38" s="17"/>
      <c r="F38" s="17"/>
      <c r="G38" s="67"/>
      <c r="H38" s="17"/>
      <c r="I38" s="68"/>
      <c r="J38" s="69"/>
      <c r="K38" s="70"/>
      <c r="L38" s="70"/>
      <c r="M38" s="19" t="str">
        <f>_xlfn.CONCAT(A39," ",C39," ",D39)</f>
        <v>2026 BMW XM Label</v>
      </c>
      <c r="N38" s="70"/>
      <c r="O38" s="70"/>
      <c r="P38" s="70"/>
      <c r="Q38" s="70"/>
      <c r="R38" s="70"/>
      <c r="S38" s="70"/>
      <c r="T38" s="70"/>
      <c r="U38" s="70"/>
      <c r="V38" s="70"/>
      <c r="W38" s="70"/>
      <c r="X38" s="70"/>
      <c r="Y38" s="70"/>
      <c r="Z38" s="70"/>
      <c r="AA38" s="70"/>
      <c r="AB38" s="70"/>
      <c r="AC38" s="70"/>
      <c r="AD38" s="19" t="str">
        <f>$M38</f>
        <v>2026 BMW XM Label</v>
      </c>
      <c r="AE38" s="70"/>
      <c r="AF38" s="70"/>
      <c r="AG38" s="70"/>
      <c r="AH38" s="70"/>
      <c r="AI38" s="70"/>
      <c r="AJ38" s="70"/>
      <c r="AK38" s="71"/>
      <c r="AL38" s="1"/>
      <c r="AM38" s="1"/>
      <c r="AN38" s="1"/>
      <c r="AO38" s="1"/>
      <c r="AP38" s="1"/>
      <c r="AQ38" s="1"/>
      <c r="AR38" s="72"/>
      <c r="AS38" s="70"/>
      <c r="AT38" s="19" t="str">
        <f>$M38</f>
        <v>2026 BMW XM Label</v>
      </c>
      <c r="AU38" s="70"/>
      <c r="AV38" s="70"/>
      <c r="AW38" s="70"/>
      <c r="AX38" s="70"/>
      <c r="AY38" s="70"/>
      <c r="AZ38" s="70"/>
      <c r="BA38" s="70"/>
      <c r="BB38" s="70"/>
      <c r="BC38" s="70"/>
      <c r="BD38" s="70"/>
      <c r="BE38" s="70"/>
      <c r="BF38" s="70"/>
      <c r="BG38" s="70"/>
      <c r="BH38" s="70"/>
      <c r="BI38" s="19" t="str">
        <f>$M38</f>
        <v>2026 BMW XM Label</v>
      </c>
      <c r="BJ38" s="70"/>
      <c r="BK38" s="70"/>
      <c r="BL38" s="70"/>
      <c r="BM38" s="70"/>
      <c r="BN38" s="71"/>
      <c r="BO38" s="1"/>
      <c r="BP38" s="1"/>
      <c r="BQ38" s="1"/>
      <c r="BR38" s="1"/>
      <c r="BS38" s="1"/>
      <c r="BT38" s="73"/>
      <c r="BU38" s="1"/>
      <c r="BV38" s="72"/>
      <c r="BW38" s="74"/>
      <c r="BX38" s="70"/>
      <c r="BY38" s="19" t="str">
        <f>$M38</f>
        <v>2026 BMW XM Label</v>
      </c>
      <c r="BZ38" s="70"/>
      <c r="CA38" s="70"/>
      <c r="CB38" s="70"/>
      <c r="CC38" s="70"/>
      <c r="CD38" s="70"/>
      <c r="CE38" s="75"/>
      <c r="CF38" s="70"/>
      <c r="CG38" s="70"/>
      <c r="CH38" s="70"/>
      <c r="CI38" s="70"/>
      <c r="CJ38" s="70"/>
      <c r="CK38" s="70"/>
      <c r="CL38" s="70"/>
      <c r="CM38" s="70"/>
      <c r="CN38" s="70"/>
      <c r="CO38" s="19" t="str">
        <f>$M38</f>
        <v>2026 BMW XM Label</v>
      </c>
      <c r="CP38" s="70"/>
      <c r="CQ38" s="70"/>
      <c r="CR38" s="70"/>
      <c r="CS38" s="70"/>
      <c r="CT38" s="70"/>
      <c r="CU38" s="70"/>
      <c r="CV38" s="70"/>
      <c r="CW38" s="70"/>
      <c r="CX38" s="70"/>
      <c r="CY38" s="70"/>
      <c r="CZ38" s="70"/>
      <c r="DA38" s="70"/>
      <c r="DB38" s="70"/>
      <c r="DC38" s="70"/>
      <c r="DD38" s="70"/>
      <c r="DE38" s="70"/>
      <c r="DF38" s="19" t="str">
        <f>$M38</f>
        <v>2026 BMW XM Label</v>
      </c>
      <c r="DG38" s="70"/>
      <c r="DH38" s="70"/>
      <c r="DI38" s="70"/>
      <c r="DJ38" s="70"/>
      <c r="DK38" s="70"/>
      <c r="DL38" s="70"/>
      <c r="DM38" s="70"/>
      <c r="DN38" s="70"/>
      <c r="DO38" s="70"/>
      <c r="DP38" s="70"/>
      <c r="DQ38" s="70"/>
      <c r="DR38" s="19"/>
      <c r="DS38" s="19"/>
      <c r="DT38" s="19"/>
      <c r="DU38" s="19"/>
      <c r="DV38" s="19"/>
      <c r="DW38" s="19" t="str">
        <f>$M38</f>
        <v>2026 BMW XM Label</v>
      </c>
      <c r="DX38" s="19"/>
      <c r="DY38" s="19"/>
      <c r="DZ38" s="19"/>
      <c r="EA38" s="76"/>
      <c r="EB38" s="19"/>
      <c r="EC38" s="19"/>
      <c r="ED38" s="19"/>
      <c r="EE38" s="69"/>
      <c r="EF38" s="19"/>
      <c r="EG38" s="19"/>
      <c r="EH38" s="77"/>
      <c r="EI38" s="19"/>
      <c r="EK38" t="s">
        <v>1802</v>
      </c>
      <c r="EL38" s="19" t="str">
        <f>$M38</f>
        <v>2026 BMW XM Label</v>
      </c>
      <c r="EM38" s="69"/>
      <c r="EP38" s="65"/>
      <c r="EU38" s="78"/>
      <c r="EV38" s="65"/>
      <c r="EZ38" s="83"/>
      <c r="FA38" s="19" t="str">
        <f>$M38</f>
        <v>2026 BMW XM Label</v>
      </c>
      <c r="FC38" s="79"/>
      <c r="FD38" s="19"/>
      <c r="FE38" s="19"/>
      <c r="FF38" s="19"/>
      <c r="FG38" s="69"/>
      <c r="FH38" s="19"/>
      <c r="FI38" s="77"/>
      <c r="FJ38" s="78"/>
      <c r="FK38" s="19"/>
      <c r="FL38" s="77"/>
      <c r="FM38" s="69" t="str">
        <f>$M38</f>
        <v>2026 BMW XM Label</v>
      </c>
      <c r="FN38" s="19"/>
      <c r="FO38" s="77"/>
      <c r="FP38" s="81"/>
      <c r="FQ38" s="81"/>
      <c r="FR38" s="81"/>
      <c r="FS38" s="82"/>
      <c r="FT38" s="19"/>
      <c r="FU38" s="19"/>
      <c r="FV38" s="19"/>
      <c r="FW38" s="19"/>
      <c r="FX38" s="19"/>
      <c r="FY38" s="19"/>
      <c r="FZ38" s="19"/>
      <c r="GA38" s="19"/>
      <c r="GB38" s="19"/>
      <c r="GC38" s="19"/>
      <c r="GD38" s="19"/>
      <c r="GE38" s="19"/>
      <c r="GF38" s="19"/>
      <c r="GG38" s="19"/>
      <c r="GH38" s="19"/>
    </row>
    <row r="39" spans="1:190" s="17" customFormat="1" x14ac:dyDescent="0.35">
      <c r="A39" s="17">
        <v>2026</v>
      </c>
      <c r="B39" s="17" t="s">
        <v>192</v>
      </c>
      <c r="C39" s="17" t="s">
        <v>192</v>
      </c>
      <c r="D39" s="17" t="s">
        <v>1886</v>
      </c>
      <c r="E39" s="17" t="s">
        <v>194</v>
      </c>
      <c r="F39" s="17">
        <v>905</v>
      </c>
      <c r="G39" s="67">
        <v>4.4000000000000004</v>
      </c>
      <c r="H39" s="17">
        <v>8</v>
      </c>
      <c r="I39" s="68" t="s">
        <v>195</v>
      </c>
      <c r="J39" s="17">
        <v>12</v>
      </c>
      <c r="K39" s="17">
        <v>17</v>
      </c>
      <c r="L39" s="17">
        <v>14</v>
      </c>
      <c r="M39" s="17">
        <v>15.3</v>
      </c>
      <c r="N39" s="17">
        <v>22.8</v>
      </c>
      <c r="O39" s="17">
        <v>17.958300000000001</v>
      </c>
      <c r="P39" s="17">
        <v>11.8956</v>
      </c>
      <c r="Q39" s="17">
        <v>17.282399999999999</v>
      </c>
      <c r="R39" s="17">
        <v>13.8363</v>
      </c>
      <c r="T39" s="17" t="s">
        <v>168</v>
      </c>
      <c r="U39" s="17" t="s">
        <v>169</v>
      </c>
      <c r="V39" s="17" t="s">
        <v>196</v>
      </c>
      <c r="W39" s="17" t="s">
        <v>197</v>
      </c>
      <c r="Y39" s="17">
        <v>8</v>
      </c>
      <c r="Z39" s="17" t="s">
        <v>173</v>
      </c>
      <c r="AA39" s="17" t="s">
        <v>173</v>
      </c>
      <c r="AB39" s="17" t="s">
        <v>170</v>
      </c>
      <c r="AC39" s="17" t="s">
        <v>232</v>
      </c>
      <c r="AD39" s="17">
        <v>10</v>
      </c>
      <c r="AF39" s="17">
        <v>270</v>
      </c>
      <c r="AG39" s="17" t="s">
        <v>216</v>
      </c>
      <c r="AH39" s="17" t="s">
        <v>217</v>
      </c>
      <c r="AI39" s="17" t="s">
        <v>178</v>
      </c>
      <c r="AJ39" s="17" t="s">
        <v>179</v>
      </c>
      <c r="AK39" s="84" t="s">
        <v>664</v>
      </c>
      <c r="AL39" s="17" t="s">
        <v>665</v>
      </c>
      <c r="AR39" s="68"/>
      <c r="AS39" s="17">
        <v>2900</v>
      </c>
      <c r="AT39" s="17">
        <v>2900</v>
      </c>
      <c r="AU39" s="17">
        <v>71</v>
      </c>
      <c r="AV39" s="17">
        <v>73</v>
      </c>
      <c r="AW39" s="17">
        <v>72</v>
      </c>
      <c r="AX39" s="17">
        <v>50.9</v>
      </c>
      <c r="AY39" s="17">
        <v>50.9</v>
      </c>
      <c r="AZ39" s="17">
        <v>50.9</v>
      </c>
      <c r="BA39" s="17">
        <v>70.863500000000002</v>
      </c>
      <c r="BB39" s="17">
        <v>72.584000000000003</v>
      </c>
      <c r="BC39" s="17">
        <v>71.637699999999995</v>
      </c>
      <c r="BD39" s="17">
        <v>30</v>
      </c>
      <c r="BE39" s="17" t="s">
        <v>1392</v>
      </c>
      <c r="BF39" s="17" t="s">
        <v>1393</v>
      </c>
      <c r="BG39" s="17" t="s">
        <v>1399</v>
      </c>
      <c r="BH39" s="17" t="s">
        <v>1400</v>
      </c>
      <c r="BI39" s="17">
        <v>2900</v>
      </c>
      <c r="BN39" s="86" t="s">
        <v>1837</v>
      </c>
      <c r="BO39" s="17">
        <v>2</v>
      </c>
      <c r="BP39" s="17">
        <v>2</v>
      </c>
      <c r="BQ39" s="17">
        <v>33</v>
      </c>
      <c r="BR39" s="17" t="s">
        <v>1062</v>
      </c>
      <c r="BT39" s="17" t="s">
        <v>1838</v>
      </c>
      <c r="BU39" s="87">
        <v>45870</v>
      </c>
      <c r="BV39" s="68">
        <v>36815</v>
      </c>
      <c r="BW39" s="88"/>
      <c r="BX39" s="17" t="s">
        <v>173</v>
      </c>
      <c r="BY39" s="17" t="s">
        <v>173</v>
      </c>
      <c r="CB39" s="17" t="s">
        <v>173</v>
      </c>
      <c r="CC39" s="17" t="s">
        <v>173</v>
      </c>
      <c r="CE39" s="17" t="s">
        <v>173</v>
      </c>
      <c r="CG39" s="17" t="s">
        <v>172</v>
      </c>
      <c r="CH39" s="17" t="s">
        <v>199</v>
      </c>
      <c r="CI39" s="17" t="s">
        <v>172</v>
      </c>
      <c r="CJ39" s="17" t="s">
        <v>320</v>
      </c>
      <c r="CK39" s="17" t="s">
        <v>259</v>
      </c>
      <c r="CM39" s="17">
        <v>1</v>
      </c>
      <c r="CN39" s="17" t="s">
        <v>260</v>
      </c>
      <c r="CP39" s="17">
        <v>317</v>
      </c>
      <c r="CQ39" s="17">
        <v>93</v>
      </c>
      <c r="CR39" s="17">
        <v>139</v>
      </c>
      <c r="CS39" s="17" t="s">
        <v>261</v>
      </c>
      <c r="CV39" s="17" t="s">
        <v>262</v>
      </c>
      <c r="CX39" s="17" t="s">
        <v>263</v>
      </c>
      <c r="CY39" s="17" t="s">
        <v>172</v>
      </c>
      <c r="DC39" s="17" t="s">
        <v>1870</v>
      </c>
      <c r="DD39" s="17">
        <v>1</v>
      </c>
      <c r="DE39" s="17" t="s">
        <v>307</v>
      </c>
      <c r="DF39" s="17" t="s">
        <v>1874</v>
      </c>
      <c r="DG39" s="17">
        <v>145</v>
      </c>
      <c r="DJ39" s="17" t="s">
        <v>201</v>
      </c>
      <c r="DK39" s="17" t="s">
        <v>202</v>
      </c>
      <c r="DL39" s="17" t="s">
        <v>173</v>
      </c>
      <c r="DM39" s="17" t="s">
        <v>172</v>
      </c>
      <c r="DN39" s="17" t="s">
        <v>173</v>
      </c>
      <c r="DO39" s="17" t="s">
        <v>266</v>
      </c>
      <c r="DP39" s="17" t="s">
        <v>172</v>
      </c>
      <c r="DQ39" s="17" t="s">
        <v>204</v>
      </c>
      <c r="DS39" s="17" t="s">
        <v>1852</v>
      </c>
      <c r="DT39" s="17" t="s">
        <v>1853</v>
      </c>
      <c r="DU39" s="17" t="s">
        <v>1864</v>
      </c>
      <c r="DV39" s="17" t="s">
        <v>1865</v>
      </c>
      <c r="EA39" s="89"/>
      <c r="EB39" s="17">
        <v>5</v>
      </c>
      <c r="EC39" s="17">
        <v>6</v>
      </c>
      <c r="ED39" s="17">
        <v>10</v>
      </c>
      <c r="EE39" s="84" t="s">
        <v>1887</v>
      </c>
      <c r="EF39" s="17">
        <v>6</v>
      </c>
      <c r="EH39" s="68"/>
      <c r="EM39" s="84"/>
      <c r="EP39" s="68"/>
      <c r="EU39" s="84"/>
      <c r="EV39" s="68">
        <v>6000</v>
      </c>
      <c r="EW39" s="17">
        <v>0</v>
      </c>
      <c r="EX39" s="17">
        <v>0</v>
      </c>
      <c r="EY39" s="17">
        <v>0</v>
      </c>
      <c r="EZ39" s="85">
        <v>263</v>
      </c>
      <c r="FA39" s="17">
        <v>2</v>
      </c>
      <c r="FC39" s="85">
        <v>300</v>
      </c>
      <c r="FD39" s="17">
        <v>21</v>
      </c>
      <c r="FE39" s="17">
        <v>27</v>
      </c>
      <c r="FF39" s="17">
        <v>23</v>
      </c>
      <c r="FG39" s="84">
        <v>302</v>
      </c>
      <c r="FH39" s="17">
        <v>215</v>
      </c>
      <c r="FI39" s="68">
        <v>263</v>
      </c>
      <c r="FJ39" s="84">
        <v>30.55</v>
      </c>
      <c r="FK39" s="91">
        <v>29.44</v>
      </c>
      <c r="FL39" s="68">
        <v>30</v>
      </c>
      <c r="FM39" s="84">
        <v>0.59199999999999997</v>
      </c>
      <c r="FN39" s="17">
        <v>0.57999999999999996</v>
      </c>
      <c r="FO39" s="68">
        <v>0.58699999999999997</v>
      </c>
      <c r="FP39" s="92">
        <v>0</v>
      </c>
      <c r="FQ39" s="92">
        <v>0</v>
      </c>
      <c r="FR39" s="92">
        <v>0</v>
      </c>
      <c r="FS39" s="93">
        <v>18.2</v>
      </c>
    </row>
    <row r="40" spans="1:190" s="17" customFormat="1" x14ac:dyDescent="0.35">
      <c r="A40" s="17">
        <v>2026</v>
      </c>
      <c r="B40" s="141" t="s">
        <v>192</v>
      </c>
      <c r="C40" s="141" t="s">
        <v>192</v>
      </c>
      <c r="D40" s="141" t="s">
        <v>1886</v>
      </c>
      <c r="E40" s="141" t="s">
        <v>194</v>
      </c>
      <c r="F40" s="141">
        <v>905</v>
      </c>
      <c r="G40" s="141">
        <v>4.4000000000000004</v>
      </c>
      <c r="H40" s="141">
        <v>8</v>
      </c>
      <c r="I40" s="142" t="s">
        <v>195</v>
      </c>
      <c r="J40" s="17">
        <v>12</v>
      </c>
      <c r="K40" s="17">
        <v>17</v>
      </c>
      <c r="L40" s="17">
        <v>14</v>
      </c>
      <c r="M40" s="17">
        <v>15.3</v>
      </c>
      <c r="N40" s="17">
        <v>22.8</v>
      </c>
      <c r="O40" s="17">
        <v>17.958300000000001</v>
      </c>
      <c r="P40" s="17">
        <v>11.8956</v>
      </c>
      <c r="Q40" s="17">
        <v>17.282399999999999</v>
      </c>
      <c r="R40" s="17">
        <v>13.8363</v>
      </c>
      <c r="T40" s="17" t="s">
        <v>168</v>
      </c>
      <c r="U40" s="17" t="s">
        <v>169</v>
      </c>
      <c r="V40" s="17" t="s">
        <v>196</v>
      </c>
      <c r="W40" s="17" t="s">
        <v>197</v>
      </c>
      <c r="Y40" s="17">
        <v>8</v>
      </c>
      <c r="Z40" s="17" t="s">
        <v>173</v>
      </c>
      <c r="AA40" s="17" t="s">
        <v>173</v>
      </c>
      <c r="AB40" s="17" t="s">
        <v>170</v>
      </c>
      <c r="AC40" s="17" t="s">
        <v>232</v>
      </c>
      <c r="AD40" s="17">
        <v>10</v>
      </c>
      <c r="AF40" s="17">
        <v>270</v>
      </c>
      <c r="AG40" s="17" t="s">
        <v>216</v>
      </c>
      <c r="AH40" s="17" t="s">
        <v>217</v>
      </c>
      <c r="AI40" s="17" t="s">
        <v>178</v>
      </c>
      <c r="AJ40" s="17" t="s">
        <v>179</v>
      </c>
      <c r="AK40" s="84" t="s">
        <v>664</v>
      </c>
      <c r="AL40" s="17" t="s">
        <v>665</v>
      </c>
      <c r="AR40" s="68"/>
      <c r="AS40" s="17">
        <v>2900</v>
      </c>
      <c r="AT40" s="17">
        <v>2900</v>
      </c>
      <c r="AU40" s="17">
        <v>47</v>
      </c>
      <c r="AV40" s="17">
        <v>46</v>
      </c>
      <c r="AW40" s="17">
        <v>47</v>
      </c>
      <c r="AX40" s="17">
        <v>66.2</v>
      </c>
      <c r="AY40" s="17">
        <v>66.3</v>
      </c>
      <c r="AZ40" s="17">
        <v>66.245000000000005</v>
      </c>
      <c r="BA40" s="17">
        <v>46.968000000000004</v>
      </c>
      <c r="BB40" s="17">
        <v>46.4358</v>
      </c>
      <c r="BC40" s="17">
        <v>46.726999999999997</v>
      </c>
      <c r="BD40" s="17">
        <v>30</v>
      </c>
      <c r="BE40" s="17" t="s">
        <v>1392</v>
      </c>
      <c r="BF40" s="17" t="s">
        <v>1393</v>
      </c>
      <c r="BG40" s="17" t="s">
        <v>178</v>
      </c>
      <c r="BH40" s="17" t="s">
        <v>179</v>
      </c>
      <c r="BI40" s="17">
        <v>2900</v>
      </c>
      <c r="BN40" s="86" t="s">
        <v>1837</v>
      </c>
      <c r="BO40" s="17">
        <v>2</v>
      </c>
      <c r="BP40" s="17">
        <v>2</v>
      </c>
      <c r="BQ40" s="17">
        <v>33</v>
      </c>
      <c r="BR40" s="17" t="s">
        <v>1062</v>
      </c>
      <c r="BT40" s="17" t="s">
        <v>1838</v>
      </c>
      <c r="BU40" s="87">
        <v>45870</v>
      </c>
      <c r="BV40" s="68">
        <v>36815</v>
      </c>
      <c r="BW40" s="88"/>
      <c r="BX40" s="17" t="s">
        <v>173</v>
      </c>
      <c r="BY40" s="17" t="s">
        <v>173</v>
      </c>
      <c r="CB40" s="17" t="s">
        <v>173</v>
      </c>
      <c r="CC40" s="17" t="s">
        <v>173</v>
      </c>
      <c r="CE40" s="17" t="s">
        <v>173</v>
      </c>
      <c r="CG40" s="17" t="s">
        <v>172</v>
      </c>
      <c r="CH40" s="17" t="s">
        <v>199</v>
      </c>
      <c r="CI40" s="17" t="s">
        <v>172</v>
      </c>
      <c r="CJ40" s="17" t="s">
        <v>320</v>
      </c>
      <c r="CK40" s="17" t="s">
        <v>259</v>
      </c>
      <c r="CM40" s="17">
        <v>1</v>
      </c>
      <c r="CN40" s="17" t="s">
        <v>260</v>
      </c>
      <c r="CP40" s="17">
        <v>317</v>
      </c>
      <c r="CQ40" s="17">
        <v>93</v>
      </c>
      <c r="CR40" s="17">
        <v>139</v>
      </c>
      <c r="CS40" s="17" t="s">
        <v>261</v>
      </c>
      <c r="CV40" s="17" t="s">
        <v>262</v>
      </c>
      <c r="CX40" s="17" t="s">
        <v>263</v>
      </c>
      <c r="CY40" s="17" t="s">
        <v>172</v>
      </c>
      <c r="DC40" s="17" t="s">
        <v>1870</v>
      </c>
      <c r="DD40" s="17">
        <v>1</v>
      </c>
      <c r="DE40" s="17" t="s">
        <v>307</v>
      </c>
      <c r="DF40" s="17" t="s">
        <v>1874</v>
      </c>
      <c r="DG40" s="17">
        <v>145</v>
      </c>
      <c r="DJ40" s="17" t="s">
        <v>201</v>
      </c>
      <c r="DK40" s="17" t="s">
        <v>202</v>
      </c>
      <c r="DL40" s="17" t="s">
        <v>173</v>
      </c>
      <c r="DM40" s="17" t="s">
        <v>172</v>
      </c>
      <c r="DN40" s="17" t="s">
        <v>173</v>
      </c>
      <c r="DO40" s="17" t="s">
        <v>266</v>
      </c>
      <c r="DP40" s="17" t="s">
        <v>172</v>
      </c>
      <c r="DQ40" s="17" t="s">
        <v>204</v>
      </c>
      <c r="DS40" s="17" t="s">
        <v>1852</v>
      </c>
      <c r="DT40" s="17" t="s">
        <v>1853</v>
      </c>
      <c r="DU40" s="17" t="s">
        <v>1864</v>
      </c>
      <c r="DV40" s="17" t="s">
        <v>1865</v>
      </c>
      <c r="EA40" s="89"/>
      <c r="EB40" s="17">
        <v>5</v>
      </c>
      <c r="EC40" s="17">
        <v>6</v>
      </c>
      <c r="ED40" s="17">
        <v>10</v>
      </c>
      <c r="EE40" s="84" t="s">
        <v>1887</v>
      </c>
      <c r="EF40" s="17">
        <v>6</v>
      </c>
      <c r="EH40" s="68"/>
      <c r="EM40" s="84"/>
      <c r="EP40" s="68"/>
      <c r="EU40" s="84"/>
      <c r="EV40" s="68">
        <v>6000</v>
      </c>
      <c r="EW40" s="17">
        <v>735</v>
      </c>
      <c r="EX40" s="17">
        <v>506</v>
      </c>
      <c r="EY40" s="17">
        <v>632</v>
      </c>
      <c r="EZ40" s="85">
        <v>263</v>
      </c>
      <c r="FA40" s="17">
        <v>2</v>
      </c>
      <c r="FC40" s="85">
        <v>300</v>
      </c>
      <c r="FD40" s="17">
        <v>21</v>
      </c>
      <c r="FE40" s="17">
        <v>27</v>
      </c>
      <c r="FF40" s="17">
        <v>23</v>
      </c>
      <c r="FG40" s="84">
        <v>302</v>
      </c>
      <c r="FH40" s="17">
        <v>215</v>
      </c>
      <c r="FI40" s="68">
        <v>263</v>
      </c>
      <c r="FJ40" s="84" t="s">
        <v>1888</v>
      </c>
      <c r="FK40" s="94"/>
      <c r="FL40" s="95"/>
      <c r="FM40" s="84">
        <v>0.59199999999999997</v>
      </c>
      <c r="FN40" s="17">
        <v>0.57999999999999996</v>
      </c>
      <c r="FO40" s="68">
        <v>0.58699999999999997</v>
      </c>
      <c r="FP40" s="92"/>
      <c r="FQ40" s="92"/>
      <c r="FR40" s="92"/>
      <c r="FS40" s="93">
        <v>18.2</v>
      </c>
    </row>
    <row r="41" spans="1:190" s="66" customFormat="1" x14ac:dyDescent="0.35">
      <c r="A41" s="17"/>
      <c r="E41" s="17"/>
      <c r="F41" s="17"/>
      <c r="G41" s="67"/>
      <c r="H41" s="17"/>
      <c r="I41" s="68"/>
      <c r="J41" s="69"/>
      <c r="K41" s="70"/>
      <c r="L41" s="70"/>
      <c r="M41" s="19" t="str">
        <f>_xlfn.CONCAT(A42," ",C42," ",D42)</f>
        <v>2026 Chrysler Pacifica Hybrid</v>
      </c>
      <c r="N41" s="70"/>
      <c r="O41" s="70"/>
      <c r="P41" s="70"/>
      <c r="Q41" s="70"/>
      <c r="R41" s="70"/>
      <c r="S41" s="70"/>
      <c r="T41" s="70"/>
      <c r="U41" s="70"/>
      <c r="V41" s="70"/>
      <c r="W41" s="70"/>
      <c r="X41" s="70"/>
      <c r="Y41" s="70"/>
      <c r="Z41" s="70"/>
      <c r="AA41" s="70"/>
      <c r="AB41" s="70"/>
      <c r="AC41" s="70"/>
      <c r="AD41" s="19" t="str">
        <f>$M41</f>
        <v>2026 Chrysler Pacifica Hybrid</v>
      </c>
      <c r="AE41" s="70"/>
      <c r="AF41" s="70"/>
      <c r="AG41" s="70"/>
      <c r="AH41" s="70"/>
      <c r="AI41" s="70"/>
      <c r="AJ41" s="70"/>
      <c r="AK41" s="71"/>
      <c r="AL41" s="1"/>
      <c r="AM41" s="1"/>
      <c r="AN41" s="1"/>
      <c r="AO41" s="1"/>
      <c r="AP41" s="1"/>
      <c r="AQ41" s="1"/>
      <c r="AR41" s="72"/>
      <c r="AS41" s="70"/>
      <c r="AT41" s="19" t="str">
        <f>$M41</f>
        <v>2026 Chrysler Pacifica Hybrid</v>
      </c>
      <c r="AU41" s="70"/>
      <c r="AV41" s="70"/>
      <c r="AW41" s="70"/>
      <c r="AX41" s="70"/>
      <c r="AY41" s="70"/>
      <c r="AZ41" s="70"/>
      <c r="BA41" s="70"/>
      <c r="BB41" s="70"/>
      <c r="BC41" s="70"/>
      <c r="BD41" s="70"/>
      <c r="BE41" s="70"/>
      <c r="BF41" s="70"/>
      <c r="BG41" s="70"/>
      <c r="BH41" s="70"/>
      <c r="BI41" s="19" t="str">
        <f>$M41</f>
        <v>2026 Chrysler Pacifica Hybrid</v>
      </c>
      <c r="BJ41" s="70"/>
      <c r="BK41" s="70"/>
      <c r="BL41" s="70"/>
      <c r="BM41" s="70"/>
      <c r="BN41" s="71"/>
      <c r="BO41" s="1"/>
      <c r="BP41" s="1"/>
      <c r="BQ41" s="1"/>
      <c r="BR41" s="1"/>
      <c r="BS41" s="1"/>
      <c r="BT41" s="73"/>
      <c r="BU41" s="1"/>
      <c r="BV41" s="72"/>
      <c r="BW41" s="74"/>
      <c r="BX41" s="70"/>
      <c r="BY41" s="19" t="str">
        <f>$M41</f>
        <v>2026 Chrysler Pacifica Hybrid</v>
      </c>
      <c r="BZ41" s="70"/>
      <c r="CA41" s="70"/>
      <c r="CB41" s="70"/>
      <c r="CC41" s="70"/>
      <c r="CD41" s="70"/>
      <c r="CE41" s="75"/>
      <c r="CF41" s="70"/>
      <c r="CG41" s="70"/>
      <c r="CH41" s="70"/>
      <c r="CI41" s="70"/>
      <c r="CJ41" s="70"/>
      <c r="CK41" s="70"/>
      <c r="CL41" s="70"/>
      <c r="CM41" s="70"/>
      <c r="CN41" s="70"/>
      <c r="CO41" s="19" t="str">
        <f>$M41</f>
        <v>2026 Chrysler Pacifica Hybrid</v>
      </c>
      <c r="CP41" s="70"/>
      <c r="CQ41" s="70"/>
      <c r="CR41" s="70"/>
      <c r="CS41" s="70"/>
      <c r="CT41" s="70"/>
      <c r="CU41" s="70"/>
      <c r="CV41" s="70"/>
      <c r="CW41" s="70"/>
      <c r="CX41" s="70"/>
      <c r="CY41" s="70"/>
      <c r="CZ41" s="70"/>
      <c r="DA41" s="70"/>
      <c r="DB41" s="70"/>
      <c r="DC41" s="70"/>
      <c r="DD41" s="70"/>
      <c r="DE41" s="70"/>
      <c r="DF41" s="19" t="str">
        <f>$M41</f>
        <v>2026 Chrysler Pacifica Hybrid</v>
      </c>
      <c r="DG41" s="70"/>
      <c r="DH41" s="70"/>
      <c r="DI41" s="70"/>
      <c r="DJ41" s="70"/>
      <c r="DK41" s="70"/>
      <c r="DL41" s="70"/>
      <c r="DM41" s="70"/>
      <c r="DN41" s="70"/>
      <c r="DO41" s="70"/>
      <c r="DP41" s="70"/>
      <c r="DQ41" s="70"/>
      <c r="DR41" s="19"/>
      <c r="DS41" s="19"/>
      <c r="DT41" s="19"/>
      <c r="DU41" s="19"/>
      <c r="DV41" s="19"/>
      <c r="DW41" s="19" t="str">
        <f>$M41</f>
        <v>2026 Chrysler Pacifica Hybrid</v>
      </c>
      <c r="DX41" s="19"/>
      <c r="DY41" s="19"/>
      <c r="DZ41" s="19"/>
      <c r="EA41" s="76"/>
      <c r="EB41" s="19"/>
      <c r="EC41" s="19"/>
      <c r="ED41" s="19"/>
      <c r="EE41" s="69"/>
      <c r="EF41" s="19"/>
      <c r="EG41" s="19"/>
      <c r="EH41" s="77"/>
      <c r="EI41" s="19"/>
      <c r="EK41" t="s">
        <v>1802</v>
      </c>
      <c r="EL41" s="19" t="str">
        <f>$M41</f>
        <v>2026 Chrysler Pacifica Hybrid</v>
      </c>
      <c r="EM41" s="69"/>
      <c r="EP41" s="65"/>
      <c r="EU41" s="78"/>
      <c r="EV41" s="65"/>
      <c r="EZ41" s="83"/>
      <c r="FA41" s="19" t="str">
        <f>$M41</f>
        <v>2026 Chrysler Pacifica Hybrid</v>
      </c>
      <c r="FC41" s="79"/>
      <c r="FD41" s="19"/>
      <c r="FE41" s="19"/>
      <c r="FF41" s="19"/>
      <c r="FG41" s="69"/>
      <c r="FH41" s="19"/>
      <c r="FI41" s="77"/>
      <c r="FJ41" s="69"/>
      <c r="FK41" s="19"/>
      <c r="FL41" s="77"/>
      <c r="FM41" s="69" t="str">
        <f>$M41</f>
        <v>2026 Chrysler Pacifica Hybrid</v>
      </c>
      <c r="FN41" s="19"/>
      <c r="FO41" s="77"/>
      <c r="FP41" s="81"/>
      <c r="FQ41" s="81"/>
      <c r="FR41" s="81"/>
      <c r="FS41" s="82"/>
      <c r="FT41" s="19"/>
      <c r="FU41" s="19"/>
      <c r="FV41" s="19"/>
      <c r="FW41" s="19"/>
      <c r="FX41" s="19"/>
      <c r="FY41" s="19"/>
      <c r="FZ41" s="19"/>
      <c r="GA41" s="19"/>
      <c r="GB41" s="19"/>
      <c r="GC41" s="19"/>
      <c r="GD41" s="19"/>
      <c r="GE41" s="19"/>
      <c r="GF41" s="19"/>
      <c r="GG41" s="19"/>
      <c r="GH41" s="19"/>
    </row>
    <row r="42" spans="1:190" s="17" customFormat="1" x14ac:dyDescent="0.35">
      <c r="A42" s="17">
        <v>2026</v>
      </c>
      <c r="B42" s="17" t="s">
        <v>688</v>
      </c>
      <c r="C42" s="17" t="s">
        <v>784</v>
      </c>
      <c r="D42" s="17" t="s">
        <v>1889</v>
      </c>
      <c r="E42" s="17" t="s">
        <v>691</v>
      </c>
      <c r="F42" s="17">
        <v>532</v>
      </c>
      <c r="G42" s="67">
        <v>3.6</v>
      </c>
      <c r="H42" s="17">
        <v>6</v>
      </c>
      <c r="I42" s="68" t="s">
        <v>487</v>
      </c>
      <c r="J42" s="17">
        <v>29</v>
      </c>
      <c r="K42" s="17">
        <v>30</v>
      </c>
      <c r="L42" s="17">
        <v>30</v>
      </c>
      <c r="M42" s="17">
        <v>42.742899999999999</v>
      </c>
      <c r="N42" s="17">
        <v>42.799799999999998</v>
      </c>
      <c r="O42" s="17">
        <v>42.768500000000003</v>
      </c>
      <c r="P42" s="17">
        <v>29.417000000000002</v>
      </c>
      <c r="Q42" s="17">
        <v>29.648</v>
      </c>
      <c r="R42" s="17">
        <v>29.520499999999998</v>
      </c>
      <c r="T42" s="17" t="s">
        <v>1890</v>
      </c>
      <c r="U42" s="17" t="s">
        <v>215</v>
      </c>
      <c r="V42" s="17" t="s">
        <v>488</v>
      </c>
      <c r="W42" s="17" t="s">
        <v>489</v>
      </c>
      <c r="Y42" s="17">
        <v>1</v>
      </c>
      <c r="Z42" s="17" t="s">
        <v>173</v>
      </c>
      <c r="AA42" s="17" t="s">
        <v>173</v>
      </c>
      <c r="AB42" s="17" t="s">
        <v>277</v>
      </c>
      <c r="AC42" s="17" t="s">
        <v>278</v>
      </c>
      <c r="AD42" s="17">
        <v>10</v>
      </c>
      <c r="AF42" s="17">
        <v>487</v>
      </c>
      <c r="AG42" s="17" t="s">
        <v>167</v>
      </c>
      <c r="AH42" s="17" t="s">
        <v>416</v>
      </c>
      <c r="AI42" s="17" t="s">
        <v>178</v>
      </c>
      <c r="AJ42" s="17" t="s">
        <v>179</v>
      </c>
      <c r="AK42" s="84" t="s">
        <v>664</v>
      </c>
      <c r="AL42" s="17" t="s">
        <v>665</v>
      </c>
      <c r="AR42" s="68"/>
      <c r="AS42" s="17">
        <v>1300</v>
      </c>
      <c r="AT42" s="17">
        <v>1300</v>
      </c>
      <c r="AU42" s="17">
        <v>39</v>
      </c>
      <c r="AV42" s="17">
        <v>45</v>
      </c>
      <c r="AW42" s="17">
        <v>41</v>
      </c>
      <c r="AX42" s="17">
        <v>27.3</v>
      </c>
      <c r="AY42" s="17">
        <v>30.7</v>
      </c>
      <c r="AZ42" s="17">
        <v>28.83</v>
      </c>
      <c r="BA42" s="17">
        <v>38.853999999999999</v>
      </c>
      <c r="BB42" s="17">
        <v>44.634</v>
      </c>
      <c r="BC42" s="17">
        <v>41.454999999999998</v>
      </c>
      <c r="BD42" s="17">
        <v>32</v>
      </c>
      <c r="BE42" s="17" t="s">
        <v>1392</v>
      </c>
      <c r="BF42" s="17" t="s">
        <v>1393</v>
      </c>
      <c r="BG42" s="17" t="s">
        <v>1399</v>
      </c>
      <c r="BH42" s="17" t="s">
        <v>1400</v>
      </c>
      <c r="BI42" s="17">
        <v>1300</v>
      </c>
      <c r="BN42" s="86" t="s">
        <v>1891</v>
      </c>
      <c r="BO42" s="17">
        <v>2</v>
      </c>
      <c r="BP42" s="17">
        <v>2</v>
      </c>
      <c r="BQ42" s="17">
        <v>20</v>
      </c>
      <c r="BR42" s="17" t="s">
        <v>786</v>
      </c>
      <c r="BS42" s="17">
        <v>1</v>
      </c>
      <c r="BT42" s="17" t="s">
        <v>1838</v>
      </c>
      <c r="BU42" s="87">
        <v>45859</v>
      </c>
      <c r="BV42" s="68">
        <v>37060</v>
      </c>
      <c r="BW42" s="88"/>
      <c r="BX42" s="17" t="s">
        <v>173</v>
      </c>
      <c r="BY42" s="17" t="s">
        <v>173</v>
      </c>
      <c r="CB42" s="17" t="s">
        <v>173</v>
      </c>
      <c r="CC42" s="17" t="s">
        <v>173</v>
      </c>
      <c r="CE42" s="17" t="s">
        <v>173</v>
      </c>
      <c r="CG42" s="17" t="s">
        <v>172</v>
      </c>
      <c r="CH42" s="17" t="s">
        <v>224</v>
      </c>
      <c r="CI42" s="17" t="s">
        <v>173</v>
      </c>
      <c r="CK42" s="17" t="s">
        <v>259</v>
      </c>
      <c r="CM42" s="17">
        <v>1</v>
      </c>
      <c r="CN42" s="17" t="s">
        <v>260</v>
      </c>
      <c r="CP42" s="17">
        <v>360</v>
      </c>
      <c r="CQ42" s="17">
        <v>47</v>
      </c>
      <c r="CR42" s="17">
        <v>95.9</v>
      </c>
      <c r="CS42" s="17" t="s">
        <v>261</v>
      </c>
      <c r="CV42" s="17" t="s">
        <v>262</v>
      </c>
      <c r="CX42" s="17" t="s">
        <v>493</v>
      </c>
      <c r="CY42" s="17" t="s">
        <v>173</v>
      </c>
      <c r="DD42" s="17">
        <v>1</v>
      </c>
      <c r="DE42" s="17" t="s">
        <v>760</v>
      </c>
      <c r="DG42" s="17">
        <v>89</v>
      </c>
      <c r="DJ42" s="17" t="s">
        <v>186</v>
      </c>
      <c r="DK42" s="17" t="s">
        <v>187</v>
      </c>
      <c r="DL42" s="17" t="s">
        <v>173</v>
      </c>
      <c r="DM42" s="17" t="s">
        <v>172</v>
      </c>
      <c r="DN42" s="17" t="s">
        <v>173</v>
      </c>
      <c r="DO42" s="17" t="s">
        <v>1892</v>
      </c>
      <c r="DP42" s="17" t="s">
        <v>173</v>
      </c>
      <c r="DQ42" s="17" t="s">
        <v>189</v>
      </c>
      <c r="DS42" s="17" t="s">
        <v>1852</v>
      </c>
      <c r="DT42" s="17" t="s">
        <v>1853</v>
      </c>
      <c r="DU42" s="17" t="s">
        <v>1864</v>
      </c>
      <c r="DV42" s="17" t="s">
        <v>1865</v>
      </c>
      <c r="EA42" s="89"/>
      <c r="EB42" s="17">
        <v>8</v>
      </c>
      <c r="EC42" s="17">
        <v>9</v>
      </c>
      <c r="ED42" s="17">
        <v>10</v>
      </c>
      <c r="EE42" s="84" t="s">
        <v>1893</v>
      </c>
      <c r="EF42" s="17">
        <v>6</v>
      </c>
      <c r="EH42" s="68"/>
      <c r="EM42" s="84"/>
      <c r="EP42" s="68"/>
      <c r="EU42" s="84">
        <v>2000</v>
      </c>
      <c r="EV42" s="68"/>
      <c r="EW42" s="17">
        <v>0</v>
      </c>
      <c r="EX42" s="17">
        <v>0</v>
      </c>
      <c r="EY42" s="17">
        <v>0</v>
      </c>
      <c r="EZ42" s="85">
        <v>119</v>
      </c>
      <c r="FA42" s="17">
        <v>2</v>
      </c>
      <c r="FC42" s="85">
        <v>520</v>
      </c>
      <c r="FD42" s="17">
        <v>50</v>
      </c>
      <c r="FE42" s="17">
        <v>46</v>
      </c>
      <c r="FF42" s="17">
        <v>48</v>
      </c>
      <c r="FG42" s="84">
        <v>113</v>
      </c>
      <c r="FH42" s="17">
        <v>127</v>
      </c>
      <c r="FI42" s="68">
        <v>119</v>
      </c>
      <c r="FJ42" s="84">
        <v>34.409999999999997</v>
      </c>
      <c r="FK42" s="91">
        <v>29.49</v>
      </c>
      <c r="FL42" s="68">
        <v>32</v>
      </c>
      <c r="FM42" s="84">
        <v>0.63</v>
      </c>
      <c r="FN42" s="17">
        <v>0.57999999999999996</v>
      </c>
      <c r="FO42" s="68">
        <v>0.60899999999999999</v>
      </c>
      <c r="FP42" s="92">
        <v>0</v>
      </c>
      <c r="FQ42" s="92">
        <v>0</v>
      </c>
      <c r="FR42" s="92">
        <v>0</v>
      </c>
      <c r="FS42" s="93">
        <v>16.5</v>
      </c>
    </row>
    <row r="43" spans="1:190" s="17" customFormat="1" x14ac:dyDescent="0.35">
      <c r="A43" s="17">
        <v>2026</v>
      </c>
      <c r="B43" s="141" t="s">
        <v>688</v>
      </c>
      <c r="C43" s="141" t="s">
        <v>784</v>
      </c>
      <c r="D43" s="141" t="s">
        <v>1889</v>
      </c>
      <c r="E43" s="141" t="s">
        <v>691</v>
      </c>
      <c r="F43" s="141">
        <v>518</v>
      </c>
      <c r="G43" s="141">
        <v>3.6</v>
      </c>
      <c r="H43" s="141">
        <v>6</v>
      </c>
      <c r="I43" s="142" t="s">
        <v>487</v>
      </c>
      <c r="J43" s="17">
        <v>29</v>
      </c>
      <c r="K43" s="17">
        <v>30</v>
      </c>
      <c r="L43" s="17">
        <v>30</v>
      </c>
      <c r="M43" s="17">
        <v>42.742899999999999</v>
      </c>
      <c r="N43" s="17">
        <v>42.799799999999998</v>
      </c>
      <c r="O43" s="17">
        <v>42.768500000000003</v>
      </c>
      <c r="P43" s="17">
        <v>29.417000000000002</v>
      </c>
      <c r="Q43" s="17">
        <v>29.648</v>
      </c>
      <c r="R43" s="17">
        <v>29.520499999999998</v>
      </c>
      <c r="T43" s="17" t="s">
        <v>1890</v>
      </c>
      <c r="U43" s="17" t="s">
        <v>215</v>
      </c>
      <c r="V43" s="17" t="s">
        <v>488</v>
      </c>
      <c r="W43" s="17" t="s">
        <v>489</v>
      </c>
      <c r="Y43" s="17">
        <v>1</v>
      </c>
      <c r="Z43" s="17" t="s">
        <v>173</v>
      </c>
      <c r="AA43" s="17" t="s">
        <v>173</v>
      </c>
      <c r="AB43" s="17" t="s">
        <v>277</v>
      </c>
      <c r="AC43" s="17" t="s">
        <v>278</v>
      </c>
      <c r="AD43" s="17">
        <v>10</v>
      </c>
      <c r="AF43" s="17">
        <v>487</v>
      </c>
      <c r="AG43" s="17" t="s">
        <v>167</v>
      </c>
      <c r="AH43" s="17" t="s">
        <v>416</v>
      </c>
      <c r="AI43" s="17" t="s">
        <v>178</v>
      </c>
      <c r="AJ43" s="17" t="s">
        <v>179</v>
      </c>
      <c r="AK43" s="84" t="s">
        <v>664</v>
      </c>
      <c r="AL43" s="17" t="s">
        <v>665</v>
      </c>
      <c r="AR43" s="68"/>
      <c r="AS43" s="17">
        <v>1300</v>
      </c>
      <c r="AT43" s="17">
        <v>1300</v>
      </c>
      <c r="AU43" s="17">
        <v>87</v>
      </c>
      <c r="AV43" s="17">
        <v>77</v>
      </c>
      <c r="AW43" s="17">
        <v>82</v>
      </c>
      <c r="AX43" s="17">
        <v>123.6</v>
      </c>
      <c r="AY43" s="17">
        <v>109.8</v>
      </c>
      <c r="AZ43" s="17">
        <v>116.9837</v>
      </c>
      <c r="BA43" s="17">
        <v>86.674300000000002</v>
      </c>
      <c r="BB43" s="17">
        <v>76.873500000000007</v>
      </c>
      <c r="BC43" s="17">
        <v>81.971500000000006</v>
      </c>
      <c r="BD43" s="17">
        <v>32</v>
      </c>
      <c r="BE43" s="17" t="s">
        <v>1392</v>
      </c>
      <c r="BF43" s="17" t="s">
        <v>1393</v>
      </c>
      <c r="BG43" s="17" t="s">
        <v>178</v>
      </c>
      <c r="BH43" s="17" t="s">
        <v>179</v>
      </c>
      <c r="BI43" s="17">
        <v>1300</v>
      </c>
      <c r="BN43" s="86" t="s">
        <v>1891</v>
      </c>
      <c r="BO43" s="17">
        <v>2</v>
      </c>
      <c r="BP43" s="17">
        <v>2</v>
      </c>
      <c r="BQ43" s="17">
        <v>20</v>
      </c>
      <c r="BR43" s="17" t="s">
        <v>786</v>
      </c>
      <c r="BS43" s="17">
        <v>1</v>
      </c>
      <c r="BT43" s="17" t="s">
        <v>1838</v>
      </c>
      <c r="BU43" s="87">
        <v>45859</v>
      </c>
      <c r="BV43" s="68">
        <v>37060</v>
      </c>
      <c r="BW43" s="88"/>
      <c r="BX43" s="17" t="s">
        <v>173</v>
      </c>
      <c r="BY43" s="17" t="s">
        <v>173</v>
      </c>
      <c r="CB43" s="17" t="s">
        <v>173</v>
      </c>
      <c r="CC43" s="17" t="s">
        <v>173</v>
      </c>
      <c r="CE43" s="17" t="s">
        <v>173</v>
      </c>
      <c r="CG43" s="17" t="s">
        <v>172</v>
      </c>
      <c r="CH43" s="17" t="s">
        <v>224</v>
      </c>
      <c r="CI43" s="17" t="s">
        <v>173</v>
      </c>
      <c r="CK43" s="17" t="s">
        <v>259</v>
      </c>
      <c r="CM43" s="17">
        <v>1</v>
      </c>
      <c r="CN43" s="17" t="s">
        <v>260</v>
      </c>
      <c r="CP43" s="17">
        <v>360</v>
      </c>
      <c r="CQ43" s="17">
        <v>47</v>
      </c>
      <c r="CR43" s="17">
        <v>95.9</v>
      </c>
      <c r="CS43" s="17" t="s">
        <v>261</v>
      </c>
      <c r="CV43" s="17" t="s">
        <v>262</v>
      </c>
      <c r="CX43" s="17" t="s">
        <v>493</v>
      </c>
      <c r="CY43" s="17" t="s">
        <v>173</v>
      </c>
      <c r="DD43" s="17">
        <v>1</v>
      </c>
      <c r="DE43" s="17" t="s">
        <v>760</v>
      </c>
      <c r="DG43" s="17">
        <v>89</v>
      </c>
      <c r="DJ43" s="17" t="s">
        <v>186</v>
      </c>
      <c r="DK43" s="17" t="s">
        <v>187</v>
      </c>
      <c r="DL43" s="17" t="s">
        <v>173</v>
      </c>
      <c r="DM43" s="17" t="s">
        <v>172</v>
      </c>
      <c r="DN43" s="17" t="s">
        <v>173</v>
      </c>
      <c r="DO43" s="17" t="s">
        <v>1892</v>
      </c>
      <c r="DP43" s="17" t="s">
        <v>173</v>
      </c>
      <c r="DQ43" s="17" t="s">
        <v>189</v>
      </c>
      <c r="DS43" s="17" t="s">
        <v>1852</v>
      </c>
      <c r="DT43" s="17" t="s">
        <v>1853</v>
      </c>
      <c r="DU43" s="17" t="s">
        <v>1864</v>
      </c>
      <c r="DV43" s="17" t="s">
        <v>1865</v>
      </c>
      <c r="EA43" s="89"/>
      <c r="EB43" s="17">
        <v>8</v>
      </c>
      <c r="EC43" s="17">
        <v>9</v>
      </c>
      <c r="ED43" s="17">
        <v>10</v>
      </c>
      <c r="EE43" s="84" t="s">
        <v>1893</v>
      </c>
      <c r="EF43" s="17">
        <v>6</v>
      </c>
      <c r="EH43" s="68"/>
      <c r="EM43" s="84"/>
      <c r="EP43" s="68"/>
      <c r="EU43" s="84">
        <v>2000</v>
      </c>
      <c r="EV43" s="68"/>
      <c r="EW43" s="17">
        <v>300</v>
      </c>
      <c r="EX43" s="17">
        <v>299</v>
      </c>
      <c r="EY43" s="17">
        <v>300</v>
      </c>
      <c r="EZ43" s="85">
        <v>119</v>
      </c>
      <c r="FA43" s="17">
        <v>2</v>
      </c>
      <c r="FC43" s="85">
        <v>520</v>
      </c>
      <c r="FD43" s="17">
        <v>50</v>
      </c>
      <c r="FE43" s="17">
        <v>46</v>
      </c>
      <c r="FF43" s="17">
        <v>48</v>
      </c>
      <c r="FG43" s="84">
        <v>113</v>
      </c>
      <c r="FH43" s="17">
        <v>127</v>
      </c>
      <c r="FI43" s="68">
        <v>119</v>
      </c>
      <c r="FJ43" s="84" t="s">
        <v>1894</v>
      </c>
      <c r="FK43" s="94"/>
      <c r="FL43" s="95"/>
      <c r="FM43" s="84">
        <v>0.63</v>
      </c>
      <c r="FN43" s="17">
        <v>0.57999999999999996</v>
      </c>
      <c r="FO43" s="68">
        <v>0.60899999999999999</v>
      </c>
      <c r="FP43" s="92"/>
      <c r="FQ43" s="92"/>
      <c r="FR43" s="92"/>
      <c r="FS43" s="93">
        <v>16.5</v>
      </c>
    </row>
    <row r="44" spans="1:190" s="66" customFormat="1" x14ac:dyDescent="0.35">
      <c r="A44" s="17"/>
      <c r="E44" s="17"/>
      <c r="F44" s="17"/>
      <c r="G44" s="67"/>
      <c r="H44" s="17"/>
      <c r="I44" s="68"/>
      <c r="J44" s="69"/>
      <c r="K44" s="70"/>
      <c r="L44" s="70"/>
      <c r="M44" s="19" t="str">
        <f>_xlfn.CONCAT(A45," ",C45," ",D45)</f>
        <v>2026 Ford ESCAPE FWD PHEV</v>
      </c>
      <c r="N44" s="70"/>
      <c r="O44" s="70"/>
      <c r="P44" s="70"/>
      <c r="Q44" s="70"/>
      <c r="R44" s="70"/>
      <c r="S44" s="70"/>
      <c r="T44" s="70"/>
      <c r="U44" s="70"/>
      <c r="V44" s="70"/>
      <c r="W44" s="70"/>
      <c r="X44" s="70"/>
      <c r="Y44" s="70"/>
      <c r="Z44" s="70"/>
      <c r="AA44" s="70"/>
      <c r="AB44" s="70"/>
      <c r="AC44" s="70"/>
      <c r="AD44" s="19" t="str">
        <f>$M44</f>
        <v>2026 Ford ESCAPE FWD PHEV</v>
      </c>
      <c r="AE44" s="70"/>
      <c r="AF44" s="70"/>
      <c r="AG44" s="70"/>
      <c r="AH44" s="70"/>
      <c r="AI44" s="70"/>
      <c r="AJ44" s="70"/>
      <c r="AK44" s="71"/>
      <c r="AL44" s="1"/>
      <c r="AM44" s="1"/>
      <c r="AN44" s="1"/>
      <c r="AO44" s="1"/>
      <c r="AP44" s="1"/>
      <c r="AQ44" s="1"/>
      <c r="AR44" s="72"/>
      <c r="AS44" s="70"/>
      <c r="AT44" s="19" t="str">
        <f>$M44</f>
        <v>2026 Ford ESCAPE FWD PHEV</v>
      </c>
      <c r="AU44" s="70"/>
      <c r="AV44" s="70"/>
      <c r="AW44" s="70"/>
      <c r="AX44" s="70"/>
      <c r="AY44" s="70"/>
      <c r="AZ44" s="70"/>
      <c r="BA44" s="70"/>
      <c r="BB44" s="70"/>
      <c r="BC44" s="70"/>
      <c r="BD44" s="70"/>
      <c r="BE44" s="70"/>
      <c r="BF44" s="70"/>
      <c r="BG44" s="70"/>
      <c r="BH44" s="70"/>
      <c r="BI44" s="19" t="str">
        <f>$M44</f>
        <v>2026 Ford ESCAPE FWD PHEV</v>
      </c>
      <c r="BJ44" s="70"/>
      <c r="BK44" s="70"/>
      <c r="BL44" s="70"/>
      <c r="BM44" s="70"/>
      <c r="BN44" s="71"/>
      <c r="BO44" s="1"/>
      <c r="BP44" s="1"/>
      <c r="BQ44" s="1"/>
      <c r="BR44" s="1"/>
      <c r="BS44" s="1"/>
      <c r="BT44" s="73"/>
      <c r="BU44" s="1"/>
      <c r="BV44" s="72"/>
      <c r="BW44" s="74"/>
      <c r="BX44" s="70"/>
      <c r="BY44" s="19" t="str">
        <f>$M44</f>
        <v>2026 Ford ESCAPE FWD PHEV</v>
      </c>
      <c r="BZ44" s="70"/>
      <c r="CA44" s="70"/>
      <c r="CB44" s="70"/>
      <c r="CC44" s="70"/>
      <c r="CD44" s="70"/>
      <c r="CE44" s="75"/>
      <c r="CF44" s="70"/>
      <c r="CG44" s="70"/>
      <c r="CH44" s="70"/>
      <c r="CI44" s="70"/>
      <c r="CJ44" s="70"/>
      <c r="CK44" s="70"/>
      <c r="CL44" s="70"/>
      <c r="CM44" s="70"/>
      <c r="CN44" s="70"/>
      <c r="CO44" s="19" t="str">
        <f>$M44</f>
        <v>2026 Ford ESCAPE FWD PHEV</v>
      </c>
      <c r="CP44" s="70"/>
      <c r="CQ44" s="70"/>
      <c r="CR44" s="70"/>
      <c r="CS44" s="70"/>
      <c r="CT44" s="70"/>
      <c r="CU44" s="70"/>
      <c r="CV44" s="70"/>
      <c r="CW44" s="70"/>
      <c r="CX44" s="70"/>
      <c r="CY44" s="70"/>
      <c r="CZ44" s="70"/>
      <c r="DA44" s="70"/>
      <c r="DB44" s="70"/>
      <c r="DC44" s="70"/>
      <c r="DD44" s="70"/>
      <c r="DE44" s="70"/>
      <c r="DF44" s="19" t="str">
        <f>$M44</f>
        <v>2026 Ford ESCAPE FWD PHEV</v>
      </c>
      <c r="DG44" s="70"/>
      <c r="DH44" s="70"/>
      <c r="DI44" s="70"/>
      <c r="DJ44" s="70"/>
      <c r="DK44" s="70"/>
      <c r="DL44" s="70"/>
      <c r="DM44" s="70"/>
      <c r="DN44" s="70"/>
      <c r="DO44" s="70"/>
      <c r="DP44" s="70"/>
      <c r="DQ44" s="70"/>
      <c r="DR44" s="19"/>
      <c r="DS44" s="19"/>
      <c r="DT44" s="19"/>
      <c r="DU44" s="19"/>
      <c r="DV44" s="19"/>
      <c r="DW44" s="19" t="str">
        <f>$M44</f>
        <v>2026 Ford ESCAPE FWD PHEV</v>
      </c>
      <c r="DX44" s="19"/>
      <c r="DY44" s="19"/>
      <c r="DZ44" s="19"/>
      <c r="EA44" s="76"/>
      <c r="EB44" s="19"/>
      <c r="EC44" s="19"/>
      <c r="ED44" s="19"/>
      <c r="EE44" s="69"/>
      <c r="EF44" s="19"/>
      <c r="EG44" s="19"/>
      <c r="EH44" s="77"/>
      <c r="EI44" s="19"/>
      <c r="EK44" t="s">
        <v>1802</v>
      </c>
      <c r="EL44" s="19" t="str">
        <f>$M44</f>
        <v>2026 Ford ESCAPE FWD PHEV</v>
      </c>
      <c r="EM44" s="69"/>
      <c r="EP44" s="65"/>
      <c r="EU44" s="78"/>
      <c r="EV44" s="65"/>
      <c r="EZ44" s="83"/>
      <c r="FA44" s="19" t="str">
        <f>$M44</f>
        <v>2026 Ford ESCAPE FWD PHEV</v>
      </c>
      <c r="FC44" s="79"/>
      <c r="FD44" s="19"/>
      <c r="FE44" s="19"/>
      <c r="FF44" s="19"/>
      <c r="FG44" s="69"/>
      <c r="FH44" s="19"/>
      <c r="FI44" s="77"/>
      <c r="FJ44" s="69"/>
      <c r="FK44" s="19"/>
      <c r="FL44" s="77"/>
      <c r="FM44" s="69" t="str">
        <f>$M44</f>
        <v>2026 Ford ESCAPE FWD PHEV</v>
      </c>
      <c r="FN44" s="19"/>
      <c r="FO44" s="77"/>
      <c r="FP44" s="81"/>
      <c r="FQ44" s="81"/>
      <c r="FR44" s="81"/>
      <c r="FS44" s="82"/>
      <c r="FT44" s="19"/>
      <c r="FU44" s="19"/>
      <c r="FV44" s="19"/>
      <c r="FW44" s="19"/>
      <c r="FX44" s="19"/>
      <c r="FY44" s="19"/>
      <c r="FZ44" s="19"/>
      <c r="GA44" s="19"/>
      <c r="GB44" s="19"/>
      <c r="GC44" s="19"/>
      <c r="GD44" s="19"/>
      <c r="GE44" s="19"/>
      <c r="GF44" s="19"/>
      <c r="GG44" s="19"/>
      <c r="GH44" s="19"/>
    </row>
    <row r="45" spans="1:190" s="17" customFormat="1" x14ac:dyDescent="0.35">
      <c r="A45" s="17">
        <v>2026</v>
      </c>
      <c r="B45" s="17" t="s">
        <v>978</v>
      </c>
      <c r="C45" s="17" t="s">
        <v>1170</v>
      </c>
      <c r="D45" s="17" t="s">
        <v>1895</v>
      </c>
      <c r="E45" s="17" t="s">
        <v>981</v>
      </c>
      <c r="F45" s="17">
        <v>53</v>
      </c>
      <c r="G45" s="67">
        <v>2.5</v>
      </c>
      <c r="H45" s="17">
        <v>4</v>
      </c>
      <c r="I45" s="68" t="s">
        <v>487</v>
      </c>
      <c r="J45" s="17">
        <v>42</v>
      </c>
      <c r="K45" s="17">
        <v>37</v>
      </c>
      <c r="L45" s="17">
        <v>40</v>
      </c>
      <c r="M45" s="17">
        <v>58.8</v>
      </c>
      <c r="N45" s="17">
        <v>55.9</v>
      </c>
      <c r="O45" s="17">
        <v>57.458599999999997</v>
      </c>
      <c r="P45" s="17">
        <v>41.980499999999999</v>
      </c>
      <c r="Q45" s="17">
        <v>37.307400000000001</v>
      </c>
      <c r="R45" s="17">
        <v>39.740499999999997</v>
      </c>
      <c r="T45" s="17" t="s">
        <v>1890</v>
      </c>
      <c r="U45" s="17" t="s">
        <v>215</v>
      </c>
      <c r="V45" s="17" t="s">
        <v>488</v>
      </c>
      <c r="W45" s="17" t="s">
        <v>489</v>
      </c>
      <c r="Y45" s="17">
        <v>1</v>
      </c>
      <c r="Z45" s="17" t="s">
        <v>173</v>
      </c>
      <c r="AA45" s="17" t="s">
        <v>173</v>
      </c>
      <c r="AB45" s="17" t="s">
        <v>277</v>
      </c>
      <c r="AC45" s="17" t="s">
        <v>278</v>
      </c>
      <c r="AD45" s="17">
        <v>85</v>
      </c>
      <c r="AF45" s="17">
        <v>520</v>
      </c>
      <c r="AG45" s="17" t="s">
        <v>167</v>
      </c>
      <c r="AH45" s="17" t="s">
        <v>416</v>
      </c>
      <c r="AI45" s="17" t="s">
        <v>178</v>
      </c>
      <c r="AJ45" s="17" t="s">
        <v>179</v>
      </c>
      <c r="AK45" s="84" t="s">
        <v>664</v>
      </c>
      <c r="AL45" s="17" t="s">
        <v>665</v>
      </c>
      <c r="AR45" s="68"/>
      <c r="AS45" s="17">
        <v>1000</v>
      </c>
      <c r="AT45" s="17">
        <v>1000</v>
      </c>
      <c r="AU45" s="17">
        <v>30</v>
      </c>
      <c r="AV45" s="17">
        <v>37</v>
      </c>
      <c r="AW45" s="17">
        <v>33</v>
      </c>
      <c r="AX45" s="17">
        <v>21.2</v>
      </c>
      <c r="AY45" s="17">
        <v>25.9</v>
      </c>
      <c r="AZ45" s="17">
        <v>23.315000000000001</v>
      </c>
      <c r="BA45" s="17">
        <v>30.234999999999999</v>
      </c>
      <c r="BB45" s="17">
        <v>36.777000000000001</v>
      </c>
      <c r="BC45" s="17">
        <v>33.178899999999999</v>
      </c>
      <c r="BD45" s="17">
        <v>27</v>
      </c>
      <c r="BE45" s="17" t="s">
        <v>1392</v>
      </c>
      <c r="BF45" s="17" t="s">
        <v>1393</v>
      </c>
      <c r="BG45" s="17" t="s">
        <v>1399</v>
      </c>
      <c r="BH45" s="17" t="s">
        <v>1400</v>
      </c>
      <c r="BI45" s="17">
        <v>1000</v>
      </c>
      <c r="BN45" s="86" t="s">
        <v>1891</v>
      </c>
      <c r="BO45" s="17">
        <v>2</v>
      </c>
      <c r="BP45" s="17">
        <v>2</v>
      </c>
      <c r="BQ45" s="17">
        <v>30</v>
      </c>
      <c r="BR45" s="17" t="s">
        <v>798</v>
      </c>
      <c r="BT45" s="17" t="s">
        <v>1838</v>
      </c>
      <c r="BU45" s="87">
        <v>45908</v>
      </c>
      <c r="BV45" s="68">
        <v>37401</v>
      </c>
      <c r="BW45" s="88"/>
      <c r="BX45" s="17" t="s">
        <v>173</v>
      </c>
      <c r="BY45" s="17" t="s">
        <v>173</v>
      </c>
      <c r="CB45" s="17" t="s">
        <v>173</v>
      </c>
      <c r="CC45" s="17" t="s">
        <v>173</v>
      </c>
      <c r="CD45" s="17" t="s">
        <v>1896</v>
      </c>
      <c r="CE45" s="17" t="s">
        <v>173</v>
      </c>
      <c r="CG45" s="17" t="s">
        <v>172</v>
      </c>
      <c r="CH45" s="17" t="s">
        <v>987</v>
      </c>
      <c r="CI45" s="17" t="s">
        <v>173</v>
      </c>
      <c r="CK45" s="17" t="s">
        <v>259</v>
      </c>
      <c r="CM45" s="17">
        <v>1</v>
      </c>
      <c r="CN45" s="17" t="s">
        <v>260</v>
      </c>
      <c r="CP45" s="17">
        <v>302</v>
      </c>
      <c r="CQ45" s="17">
        <v>48</v>
      </c>
      <c r="CR45" s="17">
        <v>84</v>
      </c>
      <c r="CS45" s="17" t="s">
        <v>1437</v>
      </c>
      <c r="CV45" s="17" t="s">
        <v>262</v>
      </c>
      <c r="CX45" s="17" t="s">
        <v>493</v>
      </c>
      <c r="CY45" s="17" t="s">
        <v>173</v>
      </c>
      <c r="DD45" s="17">
        <v>1</v>
      </c>
      <c r="DE45" s="17" t="s">
        <v>530</v>
      </c>
      <c r="DG45" s="17">
        <v>78</v>
      </c>
      <c r="DJ45" s="17" t="s">
        <v>186</v>
      </c>
      <c r="DK45" s="17" t="s">
        <v>187</v>
      </c>
      <c r="DL45" s="17" t="s">
        <v>173</v>
      </c>
      <c r="DM45" s="17" t="s">
        <v>172</v>
      </c>
      <c r="DN45" s="17" t="s">
        <v>173</v>
      </c>
      <c r="DO45" s="17" t="s">
        <v>1283</v>
      </c>
      <c r="DP45" s="17" t="s">
        <v>172</v>
      </c>
      <c r="DQ45" s="17" t="s">
        <v>204</v>
      </c>
      <c r="DS45" s="17" t="s">
        <v>1852</v>
      </c>
      <c r="DT45" s="17" t="s">
        <v>1853</v>
      </c>
      <c r="DU45" s="17" t="s">
        <v>1897</v>
      </c>
      <c r="DV45" s="17" t="s">
        <v>1898</v>
      </c>
      <c r="DY45" s="17">
        <v>57.8</v>
      </c>
      <c r="EA45" s="89"/>
      <c r="EB45" s="17">
        <v>8</v>
      </c>
      <c r="EC45" s="17">
        <v>9</v>
      </c>
      <c r="ED45" s="17">
        <v>10</v>
      </c>
      <c r="EE45" s="84" t="s">
        <v>1899</v>
      </c>
      <c r="EF45" s="17">
        <v>7</v>
      </c>
      <c r="EH45" s="68"/>
      <c r="EM45" s="84"/>
      <c r="EP45" s="68"/>
      <c r="EU45" s="84">
        <v>3500</v>
      </c>
      <c r="EV45" s="68"/>
      <c r="EW45" s="17">
        <v>0</v>
      </c>
      <c r="EX45" s="17">
        <v>0</v>
      </c>
      <c r="EY45" s="17">
        <v>0</v>
      </c>
      <c r="EZ45" s="85">
        <v>222</v>
      </c>
      <c r="FA45" s="17">
        <v>3.2</v>
      </c>
      <c r="FC45" s="85">
        <v>510</v>
      </c>
      <c r="FD45" s="17">
        <v>111</v>
      </c>
      <c r="FE45" s="17">
        <v>91</v>
      </c>
      <c r="FF45" s="17">
        <v>101</v>
      </c>
      <c r="FG45" s="84">
        <v>68</v>
      </c>
      <c r="FH45" s="17">
        <v>92</v>
      </c>
      <c r="FI45" s="95">
        <v>78</v>
      </c>
      <c r="FJ45" s="90">
        <v>40.6</v>
      </c>
      <c r="FK45" s="91">
        <v>33.08</v>
      </c>
      <c r="FL45" s="68">
        <v>37</v>
      </c>
      <c r="FM45" s="84">
        <v>0.68200000000000005</v>
      </c>
      <c r="FN45" s="17">
        <v>0.61699999999999999</v>
      </c>
      <c r="FO45" s="68">
        <v>0.65500000000000003</v>
      </c>
      <c r="FP45" s="92">
        <v>0</v>
      </c>
      <c r="FQ45" s="92">
        <v>0</v>
      </c>
      <c r="FR45" s="92">
        <v>0</v>
      </c>
      <c r="FS45" s="93">
        <v>12</v>
      </c>
    </row>
    <row r="46" spans="1:190" s="17" customFormat="1" x14ac:dyDescent="0.35">
      <c r="A46" s="17">
        <v>2026</v>
      </c>
      <c r="B46" s="141" t="s">
        <v>978</v>
      </c>
      <c r="C46" s="141" t="s">
        <v>1170</v>
      </c>
      <c r="D46" s="141" t="s">
        <v>1895</v>
      </c>
      <c r="E46" s="141" t="s">
        <v>981</v>
      </c>
      <c r="F46" s="141">
        <v>30</v>
      </c>
      <c r="G46" s="141">
        <v>2.5</v>
      </c>
      <c r="H46" s="141">
        <v>4</v>
      </c>
      <c r="I46" s="142" t="s">
        <v>487</v>
      </c>
      <c r="J46" s="17">
        <v>42</v>
      </c>
      <c r="K46" s="17">
        <v>37</v>
      </c>
      <c r="L46" s="17">
        <v>40</v>
      </c>
      <c r="M46" s="17">
        <v>58.8</v>
      </c>
      <c r="N46" s="17">
        <v>55.9</v>
      </c>
      <c r="O46" s="17">
        <v>57.458599999999997</v>
      </c>
      <c r="P46" s="17">
        <v>41.980499999999999</v>
      </c>
      <c r="Q46" s="17">
        <v>37.307400000000001</v>
      </c>
      <c r="R46" s="17">
        <v>39.740499999999997</v>
      </c>
      <c r="T46" s="17" t="s">
        <v>1890</v>
      </c>
      <c r="U46" s="17" t="s">
        <v>215</v>
      </c>
      <c r="V46" s="17" t="s">
        <v>488</v>
      </c>
      <c r="W46" s="17" t="s">
        <v>489</v>
      </c>
      <c r="Y46" s="17">
        <v>1</v>
      </c>
      <c r="Z46" s="17" t="s">
        <v>173</v>
      </c>
      <c r="AA46" s="17" t="s">
        <v>173</v>
      </c>
      <c r="AB46" s="17" t="s">
        <v>277</v>
      </c>
      <c r="AC46" s="17" t="s">
        <v>278</v>
      </c>
      <c r="AD46" s="17">
        <v>85</v>
      </c>
      <c r="AF46" s="17">
        <v>520</v>
      </c>
      <c r="AG46" s="17" t="s">
        <v>167</v>
      </c>
      <c r="AH46" s="17" t="s">
        <v>416</v>
      </c>
      <c r="AI46" s="17" t="s">
        <v>178</v>
      </c>
      <c r="AJ46" s="17" t="s">
        <v>179</v>
      </c>
      <c r="AK46" s="84" t="s">
        <v>664</v>
      </c>
      <c r="AL46" s="17" t="s">
        <v>665</v>
      </c>
      <c r="AR46" s="68"/>
      <c r="AS46" s="17">
        <v>1000</v>
      </c>
      <c r="AT46" s="17">
        <v>1000</v>
      </c>
      <c r="AU46" s="17">
        <v>111</v>
      </c>
      <c r="AV46" s="17">
        <v>91</v>
      </c>
      <c r="AW46" s="17">
        <v>101</v>
      </c>
      <c r="AX46" s="17">
        <v>158.9</v>
      </c>
      <c r="AY46" s="17">
        <v>130.19999999999999</v>
      </c>
      <c r="AZ46" s="17">
        <v>144.56049999999999</v>
      </c>
      <c r="BA46" s="17">
        <v>111.2426</v>
      </c>
      <c r="BB46" s="17">
        <v>91.118799999999993</v>
      </c>
      <c r="BC46" s="17">
        <v>101.1863</v>
      </c>
      <c r="BD46" s="17">
        <v>27</v>
      </c>
      <c r="BE46" s="17" t="s">
        <v>1392</v>
      </c>
      <c r="BF46" s="17" t="s">
        <v>1393</v>
      </c>
      <c r="BG46" s="17" t="s">
        <v>178</v>
      </c>
      <c r="BH46" s="17" t="s">
        <v>179</v>
      </c>
      <c r="BI46" s="17">
        <v>1000</v>
      </c>
      <c r="BN46" s="86" t="s">
        <v>1891</v>
      </c>
      <c r="BO46" s="17">
        <v>2</v>
      </c>
      <c r="BP46" s="17">
        <v>2</v>
      </c>
      <c r="BQ46" s="17">
        <v>30</v>
      </c>
      <c r="BR46" s="17" t="s">
        <v>798</v>
      </c>
      <c r="BT46" s="17" t="s">
        <v>1838</v>
      </c>
      <c r="BU46" s="87">
        <v>45908</v>
      </c>
      <c r="BV46" s="68">
        <v>37401</v>
      </c>
      <c r="BW46" s="88"/>
      <c r="BX46" s="17" t="s">
        <v>173</v>
      </c>
      <c r="BY46" s="17" t="s">
        <v>173</v>
      </c>
      <c r="CB46" s="17" t="s">
        <v>173</v>
      </c>
      <c r="CC46" s="17" t="s">
        <v>173</v>
      </c>
      <c r="CD46" s="17" t="s">
        <v>1896</v>
      </c>
      <c r="CE46" s="17" t="s">
        <v>173</v>
      </c>
      <c r="CG46" s="17" t="s">
        <v>172</v>
      </c>
      <c r="CH46" s="17" t="s">
        <v>987</v>
      </c>
      <c r="CI46" s="17" t="s">
        <v>173</v>
      </c>
      <c r="CK46" s="17" t="s">
        <v>259</v>
      </c>
      <c r="CM46" s="17">
        <v>1</v>
      </c>
      <c r="CN46" s="17" t="s">
        <v>260</v>
      </c>
      <c r="CP46" s="17">
        <v>302</v>
      </c>
      <c r="CQ46" s="17">
        <v>48</v>
      </c>
      <c r="CR46" s="17">
        <v>84</v>
      </c>
      <c r="CS46" s="17" t="s">
        <v>1437</v>
      </c>
      <c r="CV46" s="17" t="s">
        <v>262</v>
      </c>
      <c r="CX46" s="17" t="s">
        <v>493</v>
      </c>
      <c r="CY46" s="17" t="s">
        <v>173</v>
      </c>
      <c r="DD46" s="17">
        <v>1</v>
      </c>
      <c r="DE46" s="17" t="s">
        <v>530</v>
      </c>
      <c r="DG46" s="17">
        <v>78</v>
      </c>
      <c r="DJ46" s="17" t="s">
        <v>186</v>
      </c>
      <c r="DK46" s="17" t="s">
        <v>187</v>
      </c>
      <c r="DL46" s="17" t="s">
        <v>173</v>
      </c>
      <c r="DM46" s="17" t="s">
        <v>172</v>
      </c>
      <c r="DN46" s="17" t="s">
        <v>173</v>
      </c>
      <c r="DO46" s="17" t="s">
        <v>1283</v>
      </c>
      <c r="DP46" s="17" t="s">
        <v>172</v>
      </c>
      <c r="DQ46" s="17" t="s">
        <v>204</v>
      </c>
      <c r="DS46" s="17" t="s">
        <v>1852</v>
      </c>
      <c r="DT46" s="17" t="s">
        <v>1853</v>
      </c>
      <c r="DU46" s="17" t="s">
        <v>1897</v>
      </c>
      <c r="DV46" s="17" t="s">
        <v>1898</v>
      </c>
      <c r="DY46" s="17">
        <v>57.8</v>
      </c>
      <c r="EA46" s="89"/>
      <c r="EB46" s="17">
        <v>8</v>
      </c>
      <c r="EC46" s="17">
        <v>9</v>
      </c>
      <c r="ED46" s="17">
        <v>10</v>
      </c>
      <c r="EE46" s="84" t="s">
        <v>1899</v>
      </c>
      <c r="EF46" s="17">
        <v>7</v>
      </c>
      <c r="EH46" s="68"/>
      <c r="EM46" s="84"/>
      <c r="EP46" s="68"/>
      <c r="EU46" s="84">
        <v>3500</v>
      </c>
      <c r="EV46" s="68"/>
      <c r="EW46" s="17">
        <v>210</v>
      </c>
      <c r="EX46" s="17">
        <v>236</v>
      </c>
      <c r="EY46" s="17">
        <v>222</v>
      </c>
      <c r="EZ46" s="85">
        <v>222</v>
      </c>
      <c r="FA46" s="17">
        <v>3.2</v>
      </c>
      <c r="FC46" s="85">
        <v>510</v>
      </c>
      <c r="FD46" s="17">
        <v>111</v>
      </c>
      <c r="FE46" s="17">
        <v>91</v>
      </c>
      <c r="FF46" s="17">
        <v>101</v>
      </c>
      <c r="FG46" s="84">
        <v>68</v>
      </c>
      <c r="FH46" s="17">
        <v>92</v>
      </c>
      <c r="FI46" s="95">
        <v>78</v>
      </c>
      <c r="FJ46" s="84" t="s">
        <v>1900</v>
      </c>
      <c r="FK46" s="94"/>
      <c r="FL46" s="95"/>
      <c r="FM46" s="84">
        <v>0.68200000000000005</v>
      </c>
      <c r="FN46" s="17">
        <v>0.61699999999999999</v>
      </c>
      <c r="FO46" s="68">
        <v>0.65500000000000003</v>
      </c>
      <c r="FP46" s="92"/>
      <c r="FQ46" s="92"/>
      <c r="FR46" s="92"/>
      <c r="FS46" s="93">
        <v>12</v>
      </c>
    </row>
    <row r="47" spans="1:190" s="66" customFormat="1" x14ac:dyDescent="0.35">
      <c r="A47" s="17"/>
      <c r="E47" s="17"/>
      <c r="F47" s="17"/>
      <c r="G47" s="67"/>
      <c r="H47" s="17"/>
      <c r="I47" s="68"/>
      <c r="J47" s="19"/>
      <c r="K47" s="70"/>
      <c r="L47" s="70"/>
      <c r="M47" s="19" t="str">
        <f>_xlfn.CONCAT(A48," ",C48," ",D48)</f>
        <v>2026 Hyundai Tucson Plug-in Hybrid</v>
      </c>
      <c r="N47" s="70"/>
      <c r="O47" s="70"/>
      <c r="P47" s="70"/>
      <c r="Q47" s="70"/>
      <c r="R47" s="70"/>
      <c r="S47" s="70"/>
      <c r="T47" s="70"/>
      <c r="U47" s="70"/>
      <c r="V47" s="70"/>
      <c r="W47" s="70"/>
      <c r="X47" s="70"/>
      <c r="Y47" s="70"/>
      <c r="Z47" s="70"/>
      <c r="AA47" s="70"/>
      <c r="AB47" s="70"/>
      <c r="AC47" s="70"/>
      <c r="AD47" s="19" t="str">
        <f>$M47</f>
        <v>2026 Hyundai Tucson Plug-in Hybrid</v>
      </c>
      <c r="AE47" s="70"/>
      <c r="AF47" s="70"/>
      <c r="AG47" s="70"/>
      <c r="AH47" s="70"/>
      <c r="AI47" s="70"/>
      <c r="AJ47" s="70"/>
      <c r="AK47" s="71"/>
      <c r="AL47" s="1"/>
      <c r="AM47" s="1"/>
      <c r="AN47" s="1"/>
      <c r="AO47" s="1"/>
      <c r="AP47" s="1"/>
      <c r="AQ47" s="1"/>
      <c r="AR47" s="72"/>
      <c r="AS47" s="70"/>
      <c r="AT47" s="19" t="str">
        <f>$M47</f>
        <v>2026 Hyundai Tucson Plug-in Hybrid</v>
      </c>
      <c r="AU47" s="70"/>
      <c r="AV47" s="70"/>
      <c r="AW47" s="70"/>
      <c r="AX47" s="70"/>
      <c r="AY47" s="70"/>
      <c r="AZ47" s="70"/>
      <c r="BA47" s="70"/>
      <c r="BB47" s="70"/>
      <c r="BC47" s="70"/>
      <c r="BD47" s="70"/>
      <c r="BE47" s="70"/>
      <c r="BF47" s="70"/>
      <c r="BG47" s="70"/>
      <c r="BH47" s="70"/>
      <c r="BI47" s="19" t="str">
        <f>$M47</f>
        <v>2026 Hyundai Tucson Plug-in Hybrid</v>
      </c>
      <c r="BJ47" s="70"/>
      <c r="BK47" s="70"/>
      <c r="BL47" s="70"/>
      <c r="BM47" s="70"/>
      <c r="BN47" s="71"/>
      <c r="BO47" s="1"/>
      <c r="BP47" s="1"/>
      <c r="BQ47" s="1"/>
      <c r="BR47" s="1"/>
      <c r="BS47" s="1"/>
      <c r="BT47" s="73"/>
      <c r="BU47" s="1"/>
      <c r="BV47" s="72"/>
      <c r="BW47" s="74"/>
      <c r="BX47" s="70"/>
      <c r="BY47" s="19" t="str">
        <f>$M47</f>
        <v>2026 Hyundai Tucson Plug-in Hybrid</v>
      </c>
      <c r="BZ47" s="70"/>
      <c r="CA47" s="70"/>
      <c r="CB47" s="70"/>
      <c r="CC47" s="70"/>
      <c r="CD47" s="70"/>
      <c r="CE47" s="75"/>
      <c r="CF47" s="70"/>
      <c r="CG47" s="70"/>
      <c r="CH47" s="70"/>
      <c r="CI47" s="70"/>
      <c r="CJ47" s="70"/>
      <c r="CK47" s="70"/>
      <c r="CL47" s="70"/>
      <c r="CM47" s="70"/>
      <c r="CN47" s="70"/>
      <c r="CO47" s="19" t="str">
        <f>$M47</f>
        <v>2026 Hyundai Tucson Plug-in Hybrid</v>
      </c>
      <c r="CP47" s="70"/>
      <c r="CQ47" s="70"/>
      <c r="CR47" s="70"/>
      <c r="CS47" s="70"/>
      <c r="CT47" s="70"/>
      <c r="CU47" s="70"/>
      <c r="CV47" s="70"/>
      <c r="CW47" s="70"/>
      <c r="CX47" s="70"/>
      <c r="CY47" s="70"/>
      <c r="CZ47" s="70"/>
      <c r="DA47" s="70"/>
      <c r="DB47" s="70"/>
      <c r="DC47" s="70"/>
      <c r="DD47" s="70"/>
      <c r="DE47" s="70"/>
      <c r="DF47" s="19" t="str">
        <f>$M47</f>
        <v>2026 Hyundai Tucson Plug-in Hybrid</v>
      </c>
      <c r="DG47" s="70"/>
      <c r="DH47" s="70"/>
      <c r="DI47" s="70"/>
      <c r="DJ47" s="70"/>
      <c r="DK47" s="70"/>
      <c r="DL47" s="70"/>
      <c r="DM47" s="70"/>
      <c r="DN47" s="70"/>
      <c r="DO47" s="70"/>
      <c r="DP47" s="70"/>
      <c r="DQ47" s="70"/>
      <c r="DR47" s="19"/>
      <c r="DS47" s="19"/>
      <c r="DT47" s="19"/>
      <c r="DU47" s="19"/>
      <c r="DV47" s="19"/>
      <c r="DW47" s="19" t="str">
        <f>$M47</f>
        <v>2026 Hyundai Tucson Plug-in Hybrid</v>
      </c>
      <c r="DX47" s="19"/>
      <c r="DY47" s="19"/>
      <c r="DZ47" s="19"/>
      <c r="EA47" s="76"/>
      <c r="EB47" s="19"/>
      <c r="EC47" s="19"/>
      <c r="ED47" s="19"/>
      <c r="EE47" s="69"/>
      <c r="EF47" s="19"/>
      <c r="EG47" s="19"/>
      <c r="EH47" s="77"/>
      <c r="EI47" s="19"/>
      <c r="EK47" t="s">
        <v>1802</v>
      </c>
      <c r="EL47" s="19" t="str">
        <f>$M47</f>
        <v>2026 Hyundai Tucson Plug-in Hybrid</v>
      </c>
      <c r="EM47" s="69"/>
      <c r="EP47" s="65"/>
      <c r="EU47" s="78"/>
      <c r="EV47" s="65"/>
      <c r="EZ47" s="83"/>
      <c r="FA47" s="19" t="str">
        <f>$M47</f>
        <v>2026 Hyundai Tucson Plug-in Hybrid</v>
      </c>
      <c r="FC47" s="79"/>
      <c r="FD47" s="19"/>
      <c r="FE47" s="19"/>
      <c r="FF47" s="19"/>
      <c r="FG47" s="69"/>
      <c r="FH47" s="19"/>
      <c r="FI47" s="77"/>
      <c r="FJ47" s="69"/>
      <c r="FK47" s="19"/>
      <c r="FL47" s="77"/>
      <c r="FM47" s="69" t="str">
        <f>$M47</f>
        <v>2026 Hyundai Tucson Plug-in Hybrid</v>
      </c>
      <c r="FN47" s="19"/>
      <c r="FO47" s="77"/>
      <c r="FP47" s="81"/>
      <c r="FQ47" s="81"/>
      <c r="FR47" s="81"/>
      <c r="FS47" s="82"/>
      <c r="FT47" s="19"/>
      <c r="FU47" s="19"/>
      <c r="FV47" s="19"/>
      <c r="FW47" s="19"/>
      <c r="FX47" s="19"/>
      <c r="FY47" s="19"/>
      <c r="FZ47" s="19"/>
      <c r="GA47" s="19"/>
      <c r="GB47" s="19"/>
      <c r="GC47" s="19"/>
      <c r="GD47" s="19"/>
      <c r="GE47" s="19"/>
      <c r="GF47" s="19"/>
      <c r="GG47" s="19"/>
      <c r="GH47" s="19"/>
    </row>
    <row r="48" spans="1:190" s="17" customFormat="1" x14ac:dyDescent="0.35">
      <c r="A48" s="17">
        <v>2026</v>
      </c>
      <c r="B48" s="17" t="s">
        <v>400</v>
      </c>
      <c r="C48" s="17" t="s">
        <v>400</v>
      </c>
      <c r="D48" s="17" t="s">
        <v>1901</v>
      </c>
      <c r="E48" s="17" t="s">
        <v>403</v>
      </c>
      <c r="F48" s="17">
        <v>64</v>
      </c>
      <c r="G48" s="67">
        <v>1.6</v>
      </c>
      <c r="H48" s="17">
        <v>4</v>
      </c>
      <c r="I48" s="68" t="s">
        <v>573</v>
      </c>
      <c r="J48" s="17">
        <v>35</v>
      </c>
      <c r="K48" s="17">
        <v>35</v>
      </c>
      <c r="L48" s="17">
        <v>35</v>
      </c>
      <c r="M48" s="17">
        <v>44.5</v>
      </c>
      <c r="N48" s="17">
        <v>46.2</v>
      </c>
      <c r="O48" s="17">
        <v>45.249299999999998</v>
      </c>
      <c r="P48" s="17">
        <v>34.964199999999998</v>
      </c>
      <c r="Q48" s="17">
        <v>34.830100000000002</v>
      </c>
      <c r="R48" s="17">
        <v>34.903700000000001</v>
      </c>
      <c r="T48" s="17" t="s">
        <v>168</v>
      </c>
      <c r="U48" s="17" t="s">
        <v>169</v>
      </c>
      <c r="V48" s="17" t="s">
        <v>275</v>
      </c>
      <c r="W48" s="17" t="s">
        <v>276</v>
      </c>
      <c r="Y48" s="17">
        <v>6</v>
      </c>
      <c r="Z48" s="17" t="s">
        <v>173</v>
      </c>
      <c r="AA48" s="17" t="s">
        <v>173</v>
      </c>
      <c r="AB48" s="17" t="s">
        <v>170</v>
      </c>
      <c r="AC48" s="17" t="s">
        <v>232</v>
      </c>
      <c r="AD48" s="17">
        <v>15</v>
      </c>
      <c r="AF48" s="17">
        <v>387</v>
      </c>
      <c r="AG48" s="17" t="s">
        <v>167</v>
      </c>
      <c r="AH48" s="17" t="s">
        <v>416</v>
      </c>
      <c r="AI48" s="17" t="s">
        <v>178</v>
      </c>
      <c r="AJ48" s="17" t="s">
        <v>179</v>
      </c>
      <c r="AK48" s="84" t="s">
        <v>664</v>
      </c>
      <c r="AL48" s="17" t="s">
        <v>665</v>
      </c>
      <c r="AR48" s="68"/>
      <c r="AS48" s="17">
        <v>1250</v>
      </c>
      <c r="AT48" s="17">
        <v>1250</v>
      </c>
      <c r="AU48" s="17">
        <v>42</v>
      </c>
      <c r="AV48" s="17">
        <v>46</v>
      </c>
      <c r="AW48" s="17">
        <v>44</v>
      </c>
      <c r="AX48" s="17">
        <v>29.5</v>
      </c>
      <c r="AY48" s="17">
        <v>32.200000000000003</v>
      </c>
      <c r="AZ48" s="17">
        <v>30.715</v>
      </c>
      <c r="BA48" s="17">
        <v>41.963000000000001</v>
      </c>
      <c r="BB48" s="17">
        <v>46.136000000000003</v>
      </c>
      <c r="BC48" s="17">
        <v>43.840800000000002</v>
      </c>
      <c r="BD48" s="17">
        <v>32</v>
      </c>
      <c r="BE48" s="17" t="s">
        <v>1392</v>
      </c>
      <c r="BF48" s="17" t="s">
        <v>1393</v>
      </c>
      <c r="BG48" s="17" t="s">
        <v>1399</v>
      </c>
      <c r="BH48" s="17" t="s">
        <v>1400</v>
      </c>
      <c r="BI48" s="17">
        <v>1250</v>
      </c>
      <c r="BN48" s="86" t="s">
        <v>1837</v>
      </c>
      <c r="BO48" s="17">
        <v>2</v>
      </c>
      <c r="BP48" s="17">
        <v>2</v>
      </c>
      <c r="BQ48" s="17">
        <v>31</v>
      </c>
      <c r="BR48" s="17" t="s">
        <v>887</v>
      </c>
      <c r="BT48" s="17" t="s">
        <v>1838</v>
      </c>
      <c r="BU48" s="87">
        <v>45884</v>
      </c>
      <c r="BV48" s="68">
        <v>37176</v>
      </c>
      <c r="BW48" s="88"/>
      <c r="BX48" s="17" t="s">
        <v>173</v>
      </c>
      <c r="BY48" s="17" t="s">
        <v>173</v>
      </c>
      <c r="CB48" s="17" t="s">
        <v>173</v>
      </c>
      <c r="CC48" s="17" t="s">
        <v>173</v>
      </c>
      <c r="CE48" s="17" t="s">
        <v>173</v>
      </c>
      <c r="CG48" s="17" t="s">
        <v>172</v>
      </c>
      <c r="CH48" s="17" t="s">
        <v>1902</v>
      </c>
      <c r="CI48" s="17" t="s">
        <v>173</v>
      </c>
      <c r="CK48" s="17" t="s">
        <v>259</v>
      </c>
      <c r="CM48" s="17">
        <v>1</v>
      </c>
      <c r="CN48" s="17" t="s">
        <v>260</v>
      </c>
      <c r="CP48" s="17">
        <v>360</v>
      </c>
      <c r="CQ48" s="17">
        <v>38.299999999999997</v>
      </c>
      <c r="CR48" s="17">
        <v>98.5</v>
      </c>
      <c r="CS48" s="17" t="s">
        <v>261</v>
      </c>
      <c r="CV48" s="17" t="s">
        <v>262</v>
      </c>
      <c r="CX48" s="17" t="s">
        <v>493</v>
      </c>
      <c r="CY48" s="17" t="s">
        <v>172</v>
      </c>
      <c r="DD48" s="17">
        <v>1</v>
      </c>
      <c r="DE48" s="17" t="s">
        <v>307</v>
      </c>
      <c r="DF48" s="17" t="s">
        <v>330</v>
      </c>
      <c r="DG48" s="17">
        <v>72</v>
      </c>
      <c r="DJ48" s="17" t="s">
        <v>201</v>
      </c>
      <c r="DK48" s="17" t="s">
        <v>202</v>
      </c>
      <c r="DL48" s="17" t="s">
        <v>173</v>
      </c>
      <c r="DM48" s="17" t="s">
        <v>172</v>
      </c>
      <c r="DN48" s="17" t="s">
        <v>173</v>
      </c>
      <c r="DO48" s="17" t="s">
        <v>1903</v>
      </c>
      <c r="DP48" s="17" t="s">
        <v>172</v>
      </c>
      <c r="DQ48" s="17" t="s">
        <v>204</v>
      </c>
      <c r="DS48" s="17" t="s">
        <v>1852</v>
      </c>
      <c r="DT48" s="17" t="s">
        <v>1853</v>
      </c>
      <c r="DU48" s="17" t="s">
        <v>1864</v>
      </c>
      <c r="DV48" s="17" t="s">
        <v>1865</v>
      </c>
      <c r="EA48" s="89"/>
      <c r="EB48" s="17">
        <v>8</v>
      </c>
      <c r="EC48" s="17">
        <v>9</v>
      </c>
      <c r="ED48" s="17">
        <v>10</v>
      </c>
      <c r="EE48" s="84" t="s">
        <v>1904</v>
      </c>
      <c r="EF48" s="17">
        <v>6</v>
      </c>
      <c r="EH48" s="68"/>
      <c r="EM48" s="84"/>
      <c r="EP48" s="68"/>
      <c r="EU48" s="84">
        <v>2250</v>
      </c>
      <c r="EV48" s="68"/>
      <c r="EW48" s="17">
        <v>0</v>
      </c>
      <c r="EX48" s="17">
        <v>0</v>
      </c>
      <c r="EY48" s="17">
        <v>0</v>
      </c>
      <c r="EZ48" s="85">
        <v>103</v>
      </c>
      <c r="FA48" s="17">
        <v>2</v>
      </c>
      <c r="FC48" s="85">
        <v>420</v>
      </c>
      <c r="FD48" s="17">
        <v>53</v>
      </c>
      <c r="FE48" s="17">
        <v>49</v>
      </c>
      <c r="FF48" s="17">
        <v>51</v>
      </c>
      <c r="FG48" s="84">
        <v>99</v>
      </c>
      <c r="FH48" s="17">
        <v>109</v>
      </c>
      <c r="FI48" s="68">
        <v>103</v>
      </c>
      <c r="FJ48" s="90">
        <v>32.97</v>
      </c>
      <c r="FK48" s="91">
        <v>29.8</v>
      </c>
      <c r="FL48" s="68">
        <v>32</v>
      </c>
      <c r="FM48" s="84">
        <v>0.61599999999999999</v>
      </c>
      <c r="FN48" s="17">
        <v>0.58399999999999996</v>
      </c>
      <c r="FO48" s="68">
        <v>0.60199999999999998</v>
      </c>
      <c r="FP48" s="92">
        <v>0</v>
      </c>
      <c r="FQ48" s="92">
        <v>0</v>
      </c>
      <c r="FR48" s="92">
        <v>0</v>
      </c>
      <c r="FS48" s="93">
        <v>11.1</v>
      </c>
    </row>
    <row r="49" spans="1:190" s="17" customFormat="1" x14ac:dyDescent="0.35">
      <c r="A49" s="17">
        <v>2026</v>
      </c>
      <c r="B49" s="141" t="s">
        <v>400</v>
      </c>
      <c r="C49" s="141" t="s">
        <v>561</v>
      </c>
      <c r="D49" s="141" t="s">
        <v>1901</v>
      </c>
      <c r="E49" s="141" t="s">
        <v>403</v>
      </c>
      <c r="F49" s="141">
        <v>64</v>
      </c>
      <c r="G49" s="141">
        <v>1.6</v>
      </c>
      <c r="H49" s="141">
        <v>4</v>
      </c>
      <c r="I49" s="142" t="s">
        <v>573</v>
      </c>
      <c r="J49" s="17">
        <v>35</v>
      </c>
      <c r="K49" s="17">
        <v>35</v>
      </c>
      <c r="L49" s="17">
        <v>35</v>
      </c>
      <c r="M49" s="17">
        <v>44.5</v>
      </c>
      <c r="N49" s="17">
        <v>46.2</v>
      </c>
      <c r="O49" s="17">
        <v>45.249299999999998</v>
      </c>
      <c r="P49" s="17">
        <v>34.964199999999998</v>
      </c>
      <c r="Q49" s="17">
        <v>34.830100000000002</v>
      </c>
      <c r="R49" s="17">
        <v>34.903700000000001</v>
      </c>
      <c r="T49" s="17" t="s">
        <v>168</v>
      </c>
      <c r="U49" s="17" t="s">
        <v>169</v>
      </c>
      <c r="V49" s="17" t="s">
        <v>275</v>
      </c>
      <c r="W49" s="17" t="s">
        <v>276</v>
      </c>
      <c r="Y49" s="17">
        <v>6</v>
      </c>
      <c r="Z49" s="17" t="s">
        <v>173</v>
      </c>
      <c r="AA49" s="17" t="s">
        <v>173</v>
      </c>
      <c r="AB49" s="17" t="s">
        <v>170</v>
      </c>
      <c r="AC49" s="17" t="s">
        <v>232</v>
      </c>
      <c r="AD49" s="17">
        <v>15</v>
      </c>
      <c r="AF49" s="17">
        <v>387</v>
      </c>
      <c r="AG49" s="17" t="s">
        <v>167</v>
      </c>
      <c r="AH49" s="17" t="s">
        <v>416</v>
      </c>
      <c r="AI49" s="17" t="s">
        <v>178</v>
      </c>
      <c r="AJ49" s="17" t="s">
        <v>179</v>
      </c>
      <c r="AK49" s="84" t="s">
        <v>664</v>
      </c>
      <c r="AL49" s="17" t="s">
        <v>665</v>
      </c>
      <c r="AR49" s="68"/>
      <c r="AS49" s="17">
        <v>1250</v>
      </c>
      <c r="AT49" s="17">
        <v>1250</v>
      </c>
      <c r="AU49" s="17">
        <v>80</v>
      </c>
      <c r="AV49" s="17">
        <v>73</v>
      </c>
      <c r="AW49" s="17">
        <v>77</v>
      </c>
      <c r="AX49" s="17">
        <v>114.3</v>
      </c>
      <c r="AY49" s="17">
        <v>104.7</v>
      </c>
      <c r="AZ49" s="17">
        <v>109.77079999999999</v>
      </c>
      <c r="BA49" s="17">
        <v>80.130300000000005</v>
      </c>
      <c r="BB49" s="17">
        <v>73.284099999999995</v>
      </c>
      <c r="BC49" s="17">
        <v>76.897599999999997</v>
      </c>
      <c r="BD49" s="17">
        <v>32</v>
      </c>
      <c r="BE49" s="17" t="s">
        <v>1392</v>
      </c>
      <c r="BF49" s="17" t="s">
        <v>1393</v>
      </c>
      <c r="BG49" s="17" t="s">
        <v>178</v>
      </c>
      <c r="BH49" s="17" t="s">
        <v>179</v>
      </c>
      <c r="BI49" s="17">
        <v>1250</v>
      </c>
      <c r="BN49" s="86" t="s">
        <v>1837</v>
      </c>
      <c r="BO49" s="17">
        <v>2</v>
      </c>
      <c r="BP49" s="17">
        <v>2</v>
      </c>
      <c r="BQ49" s="17">
        <v>31</v>
      </c>
      <c r="BR49" s="17" t="s">
        <v>887</v>
      </c>
      <c r="BT49" s="17" t="s">
        <v>1838</v>
      </c>
      <c r="BU49" s="87">
        <v>45884</v>
      </c>
      <c r="BV49" s="68">
        <v>37176</v>
      </c>
      <c r="BW49" s="88"/>
      <c r="BX49" s="17" t="s">
        <v>173</v>
      </c>
      <c r="BY49" s="17" t="s">
        <v>173</v>
      </c>
      <c r="CB49" s="17" t="s">
        <v>173</v>
      </c>
      <c r="CC49" s="17" t="s">
        <v>173</v>
      </c>
      <c r="CE49" s="17" t="s">
        <v>173</v>
      </c>
      <c r="CG49" s="17" t="s">
        <v>172</v>
      </c>
      <c r="CH49" s="17" t="s">
        <v>1902</v>
      </c>
      <c r="CI49" s="17" t="s">
        <v>173</v>
      </c>
      <c r="CK49" s="17" t="s">
        <v>259</v>
      </c>
      <c r="CM49" s="17">
        <v>1</v>
      </c>
      <c r="CN49" s="17" t="s">
        <v>260</v>
      </c>
      <c r="CP49" s="17">
        <v>360</v>
      </c>
      <c r="CQ49" s="17">
        <v>38.299999999999997</v>
      </c>
      <c r="CR49" s="17">
        <v>98.5</v>
      </c>
      <c r="CS49" s="17" t="s">
        <v>261</v>
      </c>
      <c r="CV49" s="17" t="s">
        <v>262</v>
      </c>
      <c r="CX49" s="17" t="s">
        <v>493</v>
      </c>
      <c r="CY49" s="17" t="s">
        <v>172</v>
      </c>
      <c r="DD49" s="17">
        <v>1</v>
      </c>
      <c r="DE49" s="17" t="s">
        <v>307</v>
      </c>
      <c r="DF49" s="17" t="s">
        <v>330</v>
      </c>
      <c r="DG49" s="17">
        <v>72</v>
      </c>
      <c r="DJ49" s="17" t="s">
        <v>201</v>
      </c>
      <c r="DK49" s="17" t="s">
        <v>202</v>
      </c>
      <c r="DL49" s="17" t="s">
        <v>173</v>
      </c>
      <c r="DM49" s="17" t="s">
        <v>172</v>
      </c>
      <c r="DN49" s="17" t="s">
        <v>173</v>
      </c>
      <c r="DO49" s="17" t="s">
        <v>1903</v>
      </c>
      <c r="DP49" s="17" t="s">
        <v>172</v>
      </c>
      <c r="DQ49" s="17" t="s">
        <v>204</v>
      </c>
      <c r="DS49" s="17" t="s">
        <v>1852</v>
      </c>
      <c r="DT49" s="17" t="s">
        <v>1853</v>
      </c>
      <c r="DU49" s="17" t="s">
        <v>1864</v>
      </c>
      <c r="DV49" s="17" t="s">
        <v>1865</v>
      </c>
      <c r="EA49" s="89"/>
      <c r="EB49" s="17">
        <v>8</v>
      </c>
      <c r="EC49" s="17">
        <v>9</v>
      </c>
      <c r="ED49" s="17">
        <v>10</v>
      </c>
      <c r="EE49" s="84" t="s">
        <v>1904</v>
      </c>
      <c r="EF49" s="17">
        <v>6</v>
      </c>
      <c r="EH49" s="68"/>
      <c r="EM49" s="84"/>
      <c r="EP49" s="68"/>
      <c r="EU49" s="84">
        <v>2250</v>
      </c>
      <c r="EV49" s="68"/>
      <c r="EW49" s="17">
        <v>254</v>
      </c>
      <c r="EX49" s="17">
        <v>256</v>
      </c>
      <c r="EY49" s="17">
        <v>255</v>
      </c>
      <c r="EZ49" s="85">
        <v>103</v>
      </c>
      <c r="FA49" s="17">
        <v>2</v>
      </c>
      <c r="FC49" s="85">
        <v>420</v>
      </c>
      <c r="FD49" s="17">
        <v>53</v>
      </c>
      <c r="FE49" s="17">
        <v>49</v>
      </c>
      <c r="FF49" s="17">
        <v>51</v>
      </c>
      <c r="FG49" s="84">
        <v>99</v>
      </c>
      <c r="FH49" s="17">
        <v>109</v>
      </c>
      <c r="FI49" s="68">
        <v>103</v>
      </c>
      <c r="FJ49" s="84" t="s">
        <v>1894</v>
      </c>
      <c r="FK49" s="94"/>
      <c r="FL49" s="95"/>
      <c r="FM49" s="84">
        <v>0.61599999999999999</v>
      </c>
      <c r="FN49" s="17">
        <v>0.58399999999999996</v>
      </c>
      <c r="FO49" s="68">
        <v>0.60199999999999998</v>
      </c>
      <c r="FP49" s="92"/>
      <c r="FQ49" s="92"/>
      <c r="FR49" s="92"/>
      <c r="FS49" s="93">
        <v>11.1</v>
      </c>
    </row>
    <row r="50" spans="1:190" s="66" customFormat="1" x14ac:dyDescent="0.35">
      <c r="A50" s="17"/>
      <c r="E50" s="17"/>
      <c r="F50" s="17"/>
      <c r="G50" s="67"/>
      <c r="H50" s="17"/>
      <c r="I50" s="68"/>
      <c r="J50" s="19"/>
      <c r="K50" s="70"/>
      <c r="L50" s="70"/>
      <c r="M50" s="19" t="str">
        <f>_xlfn.CONCAT(A51," ",C51," ",D51)</f>
        <v>2026 KIA Niro Plug-in Hybrid</v>
      </c>
      <c r="N50" s="70"/>
      <c r="O50" s="70"/>
      <c r="P50" s="70"/>
      <c r="Q50" s="70"/>
      <c r="R50" s="70"/>
      <c r="S50" s="70"/>
      <c r="T50" s="70"/>
      <c r="U50" s="70"/>
      <c r="V50" s="70"/>
      <c r="W50" s="70"/>
      <c r="X50" s="70"/>
      <c r="Y50" s="70"/>
      <c r="Z50" s="70"/>
      <c r="AA50" s="70"/>
      <c r="AB50" s="70"/>
      <c r="AC50" s="70"/>
      <c r="AD50" s="19" t="str">
        <f>$M50</f>
        <v>2026 KIA Niro Plug-in Hybrid</v>
      </c>
      <c r="AE50" s="70"/>
      <c r="AF50" s="70"/>
      <c r="AG50" s="70"/>
      <c r="AH50" s="70"/>
      <c r="AI50" s="70"/>
      <c r="AJ50" s="70"/>
      <c r="AK50" s="71"/>
      <c r="AL50" s="1"/>
      <c r="AM50" s="1"/>
      <c r="AN50" s="1"/>
      <c r="AO50" s="1"/>
      <c r="AP50" s="1"/>
      <c r="AQ50" s="1"/>
      <c r="AR50" s="72"/>
      <c r="AS50" s="70"/>
      <c r="AT50" s="19" t="str">
        <f>$M50</f>
        <v>2026 KIA Niro Plug-in Hybrid</v>
      </c>
      <c r="AU50" s="70"/>
      <c r="AV50" s="70"/>
      <c r="AW50" s="70"/>
      <c r="AX50" s="70"/>
      <c r="AY50" s="70"/>
      <c r="AZ50" s="70"/>
      <c r="BA50" s="70"/>
      <c r="BB50" s="70"/>
      <c r="BC50" s="70"/>
      <c r="BD50" s="70"/>
      <c r="BE50" s="70"/>
      <c r="BF50" s="70"/>
      <c r="BG50" s="70"/>
      <c r="BH50" s="70"/>
      <c r="BI50" s="19" t="str">
        <f>$M50</f>
        <v>2026 KIA Niro Plug-in Hybrid</v>
      </c>
      <c r="BJ50" s="70"/>
      <c r="BK50" s="70"/>
      <c r="BL50" s="70"/>
      <c r="BM50" s="70"/>
      <c r="BN50" s="71"/>
      <c r="BO50" s="1"/>
      <c r="BP50" s="1"/>
      <c r="BQ50" s="1"/>
      <c r="BR50" s="1"/>
      <c r="BS50" s="1"/>
      <c r="BT50" s="73"/>
      <c r="BU50" s="1"/>
      <c r="BV50" s="72"/>
      <c r="BW50" s="74"/>
      <c r="BX50" s="70"/>
      <c r="BY50" s="19" t="str">
        <f>$M50</f>
        <v>2026 KIA Niro Plug-in Hybrid</v>
      </c>
      <c r="BZ50" s="70"/>
      <c r="CA50" s="70"/>
      <c r="CB50" s="70"/>
      <c r="CC50" s="70"/>
      <c r="CD50" s="70"/>
      <c r="CE50" s="75"/>
      <c r="CF50" s="70"/>
      <c r="CG50" s="70"/>
      <c r="CH50" s="70"/>
      <c r="CI50" s="70"/>
      <c r="CJ50" s="70"/>
      <c r="CK50" s="70"/>
      <c r="CL50" s="70"/>
      <c r="CM50" s="70"/>
      <c r="CN50" s="70"/>
      <c r="CO50" s="19" t="str">
        <f>$M50</f>
        <v>2026 KIA Niro Plug-in Hybrid</v>
      </c>
      <c r="CP50" s="70"/>
      <c r="CQ50" s="70"/>
      <c r="CR50" s="70"/>
      <c r="CS50" s="70"/>
      <c r="CT50" s="70"/>
      <c r="CU50" s="70"/>
      <c r="CV50" s="70"/>
      <c r="CW50" s="70"/>
      <c r="CX50" s="70"/>
      <c r="CY50" s="70"/>
      <c r="CZ50" s="70"/>
      <c r="DA50" s="70"/>
      <c r="DB50" s="70"/>
      <c r="DC50" s="70"/>
      <c r="DD50" s="70"/>
      <c r="DE50" s="70"/>
      <c r="DF50" s="19" t="str">
        <f>$M50</f>
        <v>2026 KIA Niro Plug-in Hybrid</v>
      </c>
      <c r="DG50" s="70"/>
      <c r="DH50" s="70"/>
      <c r="DI50" s="70"/>
      <c r="DJ50" s="70"/>
      <c r="DK50" s="70"/>
      <c r="DL50" s="70"/>
      <c r="DM50" s="70"/>
      <c r="DN50" s="70"/>
      <c r="DO50" s="70"/>
      <c r="DP50" s="70"/>
      <c r="DQ50" s="70"/>
      <c r="DR50" s="19"/>
      <c r="DS50" s="19"/>
      <c r="DT50" s="19"/>
      <c r="DU50" s="19"/>
      <c r="DV50" s="19"/>
      <c r="DW50" s="19" t="str">
        <f>$M50</f>
        <v>2026 KIA Niro Plug-in Hybrid</v>
      </c>
      <c r="DX50" s="19"/>
      <c r="DY50" s="19"/>
      <c r="DZ50" s="19"/>
      <c r="EA50" s="76"/>
      <c r="EB50" s="19"/>
      <c r="EC50" s="19"/>
      <c r="ED50" s="19"/>
      <c r="EE50" s="69"/>
      <c r="EF50" s="19"/>
      <c r="EG50" s="19"/>
      <c r="EH50" s="77"/>
      <c r="EI50" s="19"/>
      <c r="EK50" t="s">
        <v>1802</v>
      </c>
      <c r="EL50" s="19" t="str">
        <f>$M50</f>
        <v>2026 KIA Niro Plug-in Hybrid</v>
      </c>
      <c r="EM50" s="69"/>
      <c r="EP50" s="65"/>
      <c r="EU50" s="78"/>
      <c r="EV50" s="65"/>
      <c r="EZ50" s="83"/>
      <c r="FA50" s="19" t="str">
        <f>$M50</f>
        <v>2026 KIA Niro Plug-in Hybrid</v>
      </c>
      <c r="FC50" s="79"/>
      <c r="FD50" s="19"/>
      <c r="FE50" s="19"/>
      <c r="FF50" s="19"/>
      <c r="FG50" s="69"/>
      <c r="FH50" s="19"/>
      <c r="FI50" s="77"/>
      <c r="FJ50" s="69"/>
      <c r="FK50" s="19"/>
      <c r="FL50" s="77"/>
      <c r="FM50" s="69" t="str">
        <f>$M50</f>
        <v>2026 KIA Niro Plug-in Hybrid</v>
      </c>
      <c r="FN50" s="19"/>
      <c r="FO50" s="77"/>
      <c r="FP50" s="81"/>
      <c r="FQ50" s="81"/>
      <c r="FR50" s="81"/>
      <c r="FS50" s="82"/>
      <c r="FT50" s="19"/>
      <c r="FU50" s="19"/>
      <c r="FV50" s="19"/>
      <c r="FW50" s="19"/>
      <c r="FX50" s="19"/>
      <c r="FY50" s="19"/>
      <c r="FZ50" s="19"/>
      <c r="GA50" s="19"/>
      <c r="GB50" s="19"/>
      <c r="GC50" s="19"/>
      <c r="GD50" s="19"/>
      <c r="GE50" s="19"/>
      <c r="GF50" s="19"/>
      <c r="GG50" s="19"/>
      <c r="GH50" s="19"/>
    </row>
    <row r="51" spans="1:190" s="17" customFormat="1" x14ac:dyDescent="0.35">
      <c r="A51" s="17">
        <v>2026</v>
      </c>
      <c r="B51" s="17" t="s">
        <v>578</v>
      </c>
      <c r="C51" s="17" t="s">
        <v>579</v>
      </c>
      <c r="D51" s="17" t="s">
        <v>1905</v>
      </c>
      <c r="E51" s="17" t="s">
        <v>581</v>
      </c>
      <c r="F51" s="17">
        <v>32</v>
      </c>
      <c r="G51" s="67">
        <v>1.6</v>
      </c>
      <c r="H51" s="17">
        <v>4</v>
      </c>
      <c r="I51" s="68" t="s">
        <v>573</v>
      </c>
      <c r="J51" s="17">
        <v>49</v>
      </c>
      <c r="K51" s="17">
        <v>47</v>
      </c>
      <c r="L51" s="17">
        <v>48</v>
      </c>
      <c r="M51" s="17">
        <v>67.900000000000006</v>
      </c>
      <c r="N51" s="17">
        <v>65.3</v>
      </c>
      <c r="O51" s="17">
        <v>66.704800000000006</v>
      </c>
      <c r="P51" s="17">
        <v>49.2453</v>
      </c>
      <c r="Q51" s="17">
        <v>47.083300000000001</v>
      </c>
      <c r="R51" s="17">
        <v>48.2483</v>
      </c>
      <c r="T51" s="17" t="s">
        <v>1890</v>
      </c>
      <c r="U51" s="17" t="s">
        <v>215</v>
      </c>
      <c r="V51" s="17" t="s">
        <v>275</v>
      </c>
      <c r="W51" s="17" t="s">
        <v>276</v>
      </c>
      <c r="Y51" s="17">
        <v>6</v>
      </c>
      <c r="Z51" s="17" t="s">
        <v>173</v>
      </c>
      <c r="AA51" s="17" t="s">
        <v>173</v>
      </c>
      <c r="AB51" s="17" t="s">
        <v>277</v>
      </c>
      <c r="AC51" s="17" t="s">
        <v>278</v>
      </c>
      <c r="AD51" s="17">
        <v>15</v>
      </c>
      <c r="AF51" s="17">
        <v>473</v>
      </c>
      <c r="AG51" s="17" t="s">
        <v>167</v>
      </c>
      <c r="AH51" s="17" t="s">
        <v>416</v>
      </c>
      <c r="AI51" s="17" t="s">
        <v>178</v>
      </c>
      <c r="AJ51" s="17" t="s">
        <v>179</v>
      </c>
      <c r="AK51" s="84" t="s">
        <v>664</v>
      </c>
      <c r="AL51" s="17" t="s">
        <v>665</v>
      </c>
      <c r="AO51" s="17">
        <v>105</v>
      </c>
      <c r="AP51" s="17">
        <v>19</v>
      </c>
      <c r="AR51" s="68"/>
      <c r="AS51" s="17">
        <v>900</v>
      </c>
      <c r="AT51" s="17">
        <v>900</v>
      </c>
      <c r="AU51" s="17">
        <v>30</v>
      </c>
      <c r="AV51" s="17">
        <v>33</v>
      </c>
      <c r="AW51" s="17">
        <v>31</v>
      </c>
      <c r="AX51" s="17">
        <v>20.9</v>
      </c>
      <c r="AY51" s="17">
        <v>23.2</v>
      </c>
      <c r="AZ51" s="17">
        <v>21.934999999999999</v>
      </c>
      <c r="BA51" s="17">
        <v>30.087399999999999</v>
      </c>
      <c r="BB51" s="17">
        <v>33.218400000000003</v>
      </c>
      <c r="BC51" s="17">
        <v>31.496400000000001</v>
      </c>
      <c r="BD51" s="17">
        <v>33</v>
      </c>
      <c r="BE51" s="17" t="s">
        <v>1392</v>
      </c>
      <c r="BF51" s="17" t="s">
        <v>1393</v>
      </c>
      <c r="BG51" s="17" t="s">
        <v>1399</v>
      </c>
      <c r="BH51" s="17" t="s">
        <v>1400</v>
      </c>
      <c r="BI51" s="17">
        <v>900</v>
      </c>
      <c r="BN51" s="86" t="s">
        <v>1837</v>
      </c>
      <c r="BO51" s="17">
        <v>2</v>
      </c>
      <c r="BP51" s="17">
        <v>2</v>
      </c>
      <c r="BQ51" s="17">
        <v>30</v>
      </c>
      <c r="BR51" s="17" t="s">
        <v>798</v>
      </c>
      <c r="BT51" s="17" t="s">
        <v>1838</v>
      </c>
      <c r="BU51" s="87">
        <v>45839</v>
      </c>
      <c r="BV51" s="68">
        <v>36818</v>
      </c>
      <c r="BW51" s="88"/>
      <c r="BX51" s="17" t="s">
        <v>173</v>
      </c>
      <c r="BY51" s="17" t="s">
        <v>173</v>
      </c>
      <c r="CB51" s="17" t="s">
        <v>173</v>
      </c>
      <c r="CC51" s="17" t="s">
        <v>173</v>
      </c>
      <c r="CE51" s="17" t="s">
        <v>173</v>
      </c>
      <c r="CG51" s="17" t="s">
        <v>172</v>
      </c>
      <c r="CH51" s="17" t="s">
        <v>835</v>
      </c>
      <c r="CI51" s="17" t="s">
        <v>173</v>
      </c>
      <c r="CK51" s="17" t="s">
        <v>259</v>
      </c>
      <c r="CM51" s="17">
        <v>1</v>
      </c>
      <c r="CN51" s="17" t="s">
        <v>260</v>
      </c>
      <c r="CP51" s="17">
        <v>360</v>
      </c>
      <c r="CQ51" s="17">
        <v>30.8</v>
      </c>
      <c r="CR51" s="17">
        <v>99.9</v>
      </c>
      <c r="CS51" s="17" t="s">
        <v>261</v>
      </c>
      <c r="CV51" s="17" t="s">
        <v>1906</v>
      </c>
      <c r="CX51" s="17" t="s">
        <v>493</v>
      </c>
      <c r="CY51" s="17" t="s">
        <v>173</v>
      </c>
      <c r="DD51" s="17">
        <v>1</v>
      </c>
      <c r="DE51" s="17" t="s">
        <v>307</v>
      </c>
      <c r="DF51" s="17" t="s">
        <v>330</v>
      </c>
      <c r="DG51" s="17">
        <v>62</v>
      </c>
      <c r="DJ51" s="17" t="s">
        <v>201</v>
      </c>
      <c r="DK51" s="17" t="s">
        <v>202</v>
      </c>
      <c r="DL51" s="17" t="s">
        <v>173</v>
      </c>
      <c r="DM51" s="17" t="s">
        <v>172</v>
      </c>
      <c r="DN51" s="17" t="s">
        <v>173</v>
      </c>
      <c r="DO51" s="17" t="s">
        <v>836</v>
      </c>
      <c r="DP51" s="17" t="s">
        <v>172</v>
      </c>
      <c r="DQ51" s="17" t="s">
        <v>204</v>
      </c>
      <c r="DS51" s="17" t="s">
        <v>1852</v>
      </c>
      <c r="DT51" s="17" t="s">
        <v>1853</v>
      </c>
      <c r="DU51" s="17" t="s">
        <v>1864</v>
      </c>
      <c r="DV51" s="17" t="s">
        <v>1865</v>
      </c>
      <c r="EA51" s="89"/>
      <c r="EB51" s="17">
        <v>9</v>
      </c>
      <c r="EC51" s="17">
        <v>10</v>
      </c>
      <c r="ED51" s="17">
        <v>10</v>
      </c>
      <c r="EE51" s="84" t="s">
        <v>1907</v>
      </c>
      <c r="EF51" s="17">
        <v>6</v>
      </c>
      <c r="EH51" s="68"/>
      <c r="EM51" s="84"/>
      <c r="EP51" s="68"/>
      <c r="EU51" s="84">
        <v>4000</v>
      </c>
      <c r="EV51" s="68"/>
      <c r="EW51" s="17">
        <v>0</v>
      </c>
      <c r="EX51" s="17">
        <v>0</v>
      </c>
      <c r="EY51" s="17">
        <v>0</v>
      </c>
      <c r="EZ51" s="85">
        <v>71</v>
      </c>
      <c r="FA51" s="17">
        <v>2.8</v>
      </c>
      <c r="FC51" s="85">
        <v>510</v>
      </c>
      <c r="FD51" s="17">
        <v>76</v>
      </c>
      <c r="FE51" s="17">
        <v>69</v>
      </c>
      <c r="FF51" s="17">
        <v>73</v>
      </c>
      <c r="FG51" s="84">
        <v>66</v>
      </c>
      <c r="FH51" s="17">
        <v>76</v>
      </c>
      <c r="FI51" s="68">
        <v>73</v>
      </c>
      <c r="FJ51" s="84">
        <v>35.270000000000003</v>
      </c>
      <c r="FK51" s="91">
        <v>31.44</v>
      </c>
      <c r="FL51" s="68">
        <v>34</v>
      </c>
      <c r="FM51" s="84">
        <v>0.63800000000000001</v>
      </c>
      <c r="FN51" s="17">
        <v>0.60099999999999998</v>
      </c>
      <c r="FO51" s="68">
        <v>0.622</v>
      </c>
      <c r="FP51" s="92">
        <v>0</v>
      </c>
      <c r="FQ51" s="92">
        <v>0</v>
      </c>
      <c r="FR51" s="92">
        <v>0</v>
      </c>
      <c r="FS51" s="93">
        <v>9.8000000000000007</v>
      </c>
    </row>
    <row r="52" spans="1:190" s="17" customFormat="1" x14ac:dyDescent="0.35">
      <c r="A52" s="17">
        <v>2026</v>
      </c>
      <c r="B52" s="141" t="s">
        <v>578</v>
      </c>
      <c r="C52" s="141" t="s">
        <v>579</v>
      </c>
      <c r="D52" s="141" t="s">
        <v>1905</v>
      </c>
      <c r="E52" s="141" t="s">
        <v>581</v>
      </c>
      <c r="F52" s="141">
        <v>32</v>
      </c>
      <c r="G52" s="141">
        <v>1.6</v>
      </c>
      <c r="H52" s="141">
        <v>4</v>
      </c>
      <c r="I52" s="142" t="s">
        <v>573</v>
      </c>
      <c r="J52" s="17">
        <v>49</v>
      </c>
      <c r="K52" s="17">
        <v>47</v>
      </c>
      <c r="L52" s="17">
        <v>48</v>
      </c>
      <c r="M52" s="17">
        <v>67.900000000000006</v>
      </c>
      <c r="N52" s="17">
        <v>65.3</v>
      </c>
      <c r="O52" s="17">
        <v>66.704800000000006</v>
      </c>
      <c r="P52" s="17">
        <v>49.2453</v>
      </c>
      <c r="Q52" s="17">
        <v>47.083300000000001</v>
      </c>
      <c r="R52" s="17">
        <v>48.2483</v>
      </c>
      <c r="T52" s="17" t="s">
        <v>1890</v>
      </c>
      <c r="U52" s="17" t="s">
        <v>215</v>
      </c>
      <c r="V52" s="17" t="s">
        <v>275</v>
      </c>
      <c r="W52" s="17" t="s">
        <v>276</v>
      </c>
      <c r="Y52" s="17">
        <v>6</v>
      </c>
      <c r="Z52" s="17" t="s">
        <v>173</v>
      </c>
      <c r="AA52" s="17" t="s">
        <v>173</v>
      </c>
      <c r="AB52" s="17" t="s">
        <v>277</v>
      </c>
      <c r="AC52" s="17" t="s">
        <v>278</v>
      </c>
      <c r="AD52" s="17">
        <v>15</v>
      </c>
      <c r="AF52" s="17">
        <v>473</v>
      </c>
      <c r="AG52" s="17" t="s">
        <v>167</v>
      </c>
      <c r="AH52" s="17" t="s">
        <v>416</v>
      </c>
      <c r="AI52" s="17" t="s">
        <v>178</v>
      </c>
      <c r="AJ52" s="17" t="s">
        <v>179</v>
      </c>
      <c r="AK52" s="84" t="s">
        <v>664</v>
      </c>
      <c r="AL52" s="17" t="s">
        <v>665</v>
      </c>
      <c r="AO52" s="17">
        <v>105</v>
      </c>
      <c r="AP52" s="17">
        <v>19</v>
      </c>
      <c r="AR52" s="68"/>
      <c r="AS52" s="17">
        <v>900</v>
      </c>
      <c r="AT52" s="17">
        <v>900</v>
      </c>
      <c r="AU52" s="17">
        <v>113</v>
      </c>
      <c r="AV52" s="17">
        <v>102</v>
      </c>
      <c r="AW52" s="17">
        <v>108</v>
      </c>
      <c r="AX52" s="17">
        <v>161.30000000000001</v>
      </c>
      <c r="AY52" s="17">
        <v>145.1</v>
      </c>
      <c r="AZ52" s="17">
        <v>153.5838</v>
      </c>
      <c r="BA52" s="17">
        <v>112.8985</v>
      </c>
      <c r="BB52" s="17">
        <v>101.5997</v>
      </c>
      <c r="BC52" s="17">
        <v>107.5179</v>
      </c>
      <c r="BD52" s="17">
        <v>33</v>
      </c>
      <c r="BE52" s="17" t="s">
        <v>1392</v>
      </c>
      <c r="BF52" s="17" t="s">
        <v>1393</v>
      </c>
      <c r="BG52" s="17" t="s">
        <v>178</v>
      </c>
      <c r="BH52" s="17" t="s">
        <v>179</v>
      </c>
      <c r="BI52" s="17">
        <v>900</v>
      </c>
      <c r="BN52" s="86" t="s">
        <v>1837</v>
      </c>
      <c r="BO52" s="17">
        <v>2</v>
      </c>
      <c r="BP52" s="17">
        <v>2</v>
      </c>
      <c r="BQ52" s="17">
        <v>30</v>
      </c>
      <c r="BR52" s="17" t="s">
        <v>798</v>
      </c>
      <c r="BT52" s="17" t="s">
        <v>1838</v>
      </c>
      <c r="BU52" s="87">
        <v>45839</v>
      </c>
      <c r="BV52" s="68">
        <v>36818</v>
      </c>
      <c r="BW52" s="88"/>
      <c r="BX52" s="17" t="s">
        <v>173</v>
      </c>
      <c r="BY52" s="17" t="s">
        <v>173</v>
      </c>
      <c r="CB52" s="17" t="s">
        <v>173</v>
      </c>
      <c r="CC52" s="17" t="s">
        <v>173</v>
      </c>
      <c r="CE52" s="17" t="s">
        <v>173</v>
      </c>
      <c r="CG52" s="17" t="s">
        <v>172</v>
      </c>
      <c r="CH52" s="17" t="s">
        <v>835</v>
      </c>
      <c r="CI52" s="17" t="s">
        <v>173</v>
      </c>
      <c r="CK52" s="17" t="s">
        <v>259</v>
      </c>
      <c r="CM52" s="17">
        <v>1</v>
      </c>
      <c r="CN52" s="17" t="s">
        <v>260</v>
      </c>
      <c r="CP52" s="17">
        <v>360</v>
      </c>
      <c r="CQ52" s="17">
        <v>30.8</v>
      </c>
      <c r="CR52" s="17">
        <v>99.9</v>
      </c>
      <c r="CS52" s="17" t="s">
        <v>261</v>
      </c>
      <c r="CV52" s="17" t="s">
        <v>1906</v>
      </c>
      <c r="CX52" s="17" t="s">
        <v>493</v>
      </c>
      <c r="CY52" s="17" t="s">
        <v>173</v>
      </c>
      <c r="DD52" s="17">
        <v>1</v>
      </c>
      <c r="DE52" s="17" t="s">
        <v>307</v>
      </c>
      <c r="DF52" s="17" t="s">
        <v>330</v>
      </c>
      <c r="DG52" s="17">
        <v>62</v>
      </c>
      <c r="DJ52" s="17" t="s">
        <v>201</v>
      </c>
      <c r="DK52" s="17" t="s">
        <v>202</v>
      </c>
      <c r="DL52" s="17" t="s">
        <v>173</v>
      </c>
      <c r="DM52" s="17" t="s">
        <v>172</v>
      </c>
      <c r="DN52" s="17" t="s">
        <v>173</v>
      </c>
      <c r="DO52" s="17" t="s">
        <v>836</v>
      </c>
      <c r="DP52" s="17" t="s">
        <v>172</v>
      </c>
      <c r="DQ52" s="17" t="s">
        <v>204</v>
      </c>
      <c r="DS52" s="17" t="s">
        <v>1852</v>
      </c>
      <c r="DT52" s="17" t="s">
        <v>1853</v>
      </c>
      <c r="DU52" s="17" t="s">
        <v>1864</v>
      </c>
      <c r="DV52" s="17" t="s">
        <v>1865</v>
      </c>
      <c r="EA52" s="89"/>
      <c r="EB52" s="17">
        <v>9</v>
      </c>
      <c r="EC52" s="17">
        <v>10</v>
      </c>
      <c r="ED52" s="17">
        <v>10</v>
      </c>
      <c r="EE52" s="84" t="s">
        <v>1907</v>
      </c>
      <c r="EF52" s="17">
        <v>6</v>
      </c>
      <c r="EH52" s="68"/>
      <c r="EM52" s="84"/>
      <c r="EP52" s="68"/>
      <c r="EU52" s="84">
        <v>4000</v>
      </c>
      <c r="EV52" s="68"/>
      <c r="EW52" s="17">
        <v>180</v>
      </c>
      <c r="EX52" s="17">
        <v>188</v>
      </c>
      <c r="EY52" s="17">
        <v>183</v>
      </c>
      <c r="EZ52" s="85">
        <v>71</v>
      </c>
      <c r="FA52" s="17">
        <v>2.8</v>
      </c>
      <c r="FC52" s="85">
        <v>510</v>
      </c>
      <c r="FD52" s="17">
        <v>76</v>
      </c>
      <c r="FE52" s="17">
        <v>69</v>
      </c>
      <c r="FF52" s="17">
        <v>73</v>
      </c>
      <c r="FG52" s="84">
        <v>66</v>
      </c>
      <c r="FH52" s="17">
        <v>76</v>
      </c>
      <c r="FI52" s="68">
        <v>73</v>
      </c>
      <c r="FJ52" s="84" t="s">
        <v>1872</v>
      </c>
      <c r="FK52" s="94"/>
      <c r="FL52" s="95"/>
      <c r="FM52" s="84">
        <v>0.63800000000000001</v>
      </c>
      <c r="FN52" s="17">
        <v>0.60099999999999998</v>
      </c>
      <c r="FO52" s="68">
        <v>0.622</v>
      </c>
      <c r="FP52" s="92"/>
      <c r="FQ52" s="92"/>
      <c r="FR52" s="92"/>
      <c r="FS52" s="93">
        <v>9.8000000000000007</v>
      </c>
    </row>
    <row r="53" spans="1:190" s="66" customFormat="1" x14ac:dyDescent="0.35">
      <c r="A53" s="17"/>
      <c r="E53" s="17"/>
      <c r="F53" s="17"/>
      <c r="G53" s="67"/>
      <c r="H53" s="17"/>
      <c r="I53" s="68"/>
      <c r="J53" s="19"/>
      <c r="K53" s="70"/>
      <c r="L53" s="70"/>
      <c r="M53" s="19" t="str">
        <f>_xlfn.CONCAT(A54," ",C54," ",D54)</f>
        <v>2026 KIA Sorento Plug-in Hybrid</v>
      </c>
      <c r="N53" s="70"/>
      <c r="O53" s="70"/>
      <c r="P53" s="70"/>
      <c r="Q53" s="70"/>
      <c r="R53" s="70"/>
      <c r="S53" s="70"/>
      <c r="T53" s="70"/>
      <c r="U53" s="70"/>
      <c r="V53" s="70"/>
      <c r="W53" s="70"/>
      <c r="X53" s="70"/>
      <c r="Y53" s="70"/>
      <c r="Z53" s="70"/>
      <c r="AA53" s="70"/>
      <c r="AB53" s="70"/>
      <c r="AC53" s="70"/>
      <c r="AD53" s="19" t="str">
        <f>$M53</f>
        <v>2026 KIA Sorento Plug-in Hybrid</v>
      </c>
      <c r="AE53" s="70"/>
      <c r="AF53" s="70"/>
      <c r="AG53" s="70"/>
      <c r="AH53" s="70"/>
      <c r="AI53" s="70"/>
      <c r="AJ53" s="70"/>
      <c r="AK53" s="71"/>
      <c r="AL53" s="1"/>
      <c r="AM53" s="1"/>
      <c r="AN53" s="1"/>
      <c r="AO53" s="1"/>
      <c r="AP53" s="1"/>
      <c r="AQ53" s="1"/>
      <c r="AR53" s="72"/>
      <c r="AS53" s="70"/>
      <c r="AT53" s="19" t="str">
        <f>$M53</f>
        <v>2026 KIA Sorento Plug-in Hybrid</v>
      </c>
      <c r="AU53" s="70"/>
      <c r="AV53" s="70"/>
      <c r="AW53" s="70"/>
      <c r="AX53" s="70"/>
      <c r="AY53" s="70"/>
      <c r="AZ53" s="70"/>
      <c r="BA53" s="70"/>
      <c r="BB53" s="70"/>
      <c r="BC53" s="70"/>
      <c r="BD53" s="70"/>
      <c r="BE53" s="70"/>
      <c r="BF53" s="70"/>
      <c r="BG53" s="70"/>
      <c r="BH53" s="70"/>
      <c r="BI53" s="19" t="str">
        <f>$M53</f>
        <v>2026 KIA Sorento Plug-in Hybrid</v>
      </c>
      <c r="BJ53" s="70"/>
      <c r="BK53" s="70"/>
      <c r="BL53" s="70"/>
      <c r="BM53" s="70"/>
      <c r="BN53" s="71"/>
      <c r="BO53" s="1"/>
      <c r="BP53" s="1"/>
      <c r="BQ53" s="1"/>
      <c r="BR53" s="1"/>
      <c r="BS53" s="1"/>
      <c r="BT53" s="73"/>
      <c r="BU53" s="1"/>
      <c r="BV53" s="72"/>
      <c r="BW53" s="74"/>
      <c r="BX53" s="70"/>
      <c r="BY53" s="19" t="str">
        <f>$M53</f>
        <v>2026 KIA Sorento Plug-in Hybrid</v>
      </c>
      <c r="BZ53" s="70"/>
      <c r="CA53" s="70"/>
      <c r="CB53" s="70"/>
      <c r="CC53" s="70"/>
      <c r="CD53" s="70"/>
      <c r="CE53" s="75"/>
      <c r="CF53" s="70"/>
      <c r="CG53" s="70"/>
      <c r="CH53" s="70"/>
      <c r="CI53" s="70"/>
      <c r="CJ53" s="70"/>
      <c r="CK53" s="70"/>
      <c r="CL53" s="70"/>
      <c r="CM53" s="70"/>
      <c r="CN53" s="70"/>
      <c r="CO53" s="19" t="str">
        <f>$M53</f>
        <v>2026 KIA Sorento Plug-in Hybrid</v>
      </c>
      <c r="CP53" s="70"/>
      <c r="CQ53" s="70"/>
      <c r="CR53" s="70"/>
      <c r="CS53" s="70"/>
      <c r="CT53" s="70"/>
      <c r="CU53" s="70"/>
      <c r="CV53" s="70"/>
      <c r="CW53" s="70"/>
      <c r="CX53" s="70"/>
      <c r="CY53" s="70"/>
      <c r="CZ53" s="70"/>
      <c r="DA53" s="70"/>
      <c r="DB53" s="70"/>
      <c r="DC53" s="70"/>
      <c r="DD53" s="70"/>
      <c r="DE53" s="70"/>
      <c r="DF53" s="19" t="str">
        <f>$M53</f>
        <v>2026 KIA Sorento Plug-in Hybrid</v>
      </c>
      <c r="DG53" s="70"/>
      <c r="DH53" s="70"/>
      <c r="DI53" s="70"/>
      <c r="DJ53" s="70"/>
      <c r="DK53" s="70"/>
      <c r="DL53" s="70"/>
      <c r="DM53" s="70"/>
      <c r="DN53" s="70"/>
      <c r="DO53" s="70"/>
      <c r="DP53" s="70"/>
      <c r="DQ53" s="70"/>
      <c r="DR53" s="19"/>
      <c r="DS53" s="19"/>
      <c r="DT53" s="19"/>
      <c r="DU53" s="19"/>
      <c r="DV53" s="19"/>
      <c r="DW53" s="19" t="str">
        <f>$M53</f>
        <v>2026 KIA Sorento Plug-in Hybrid</v>
      </c>
      <c r="DX53" s="19"/>
      <c r="DY53" s="19"/>
      <c r="DZ53" s="19"/>
      <c r="EA53" s="76"/>
      <c r="EB53" s="19"/>
      <c r="EC53" s="19"/>
      <c r="ED53" s="19"/>
      <c r="EE53" s="69"/>
      <c r="EF53" s="19"/>
      <c r="EG53" s="19"/>
      <c r="EH53" s="77"/>
      <c r="EI53" s="19"/>
      <c r="EK53" t="s">
        <v>1802</v>
      </c>
      <c r="EL53" s="19" t="str">
        <f>$M53</f>
        <v>2026 KIA Sorento Plug-in Hybrid</v>
      </c>
      <c r="EM53" s="69"/>
      <c r="EP53" s="65"/>
      <c r="EU53" s="78"/>
      <c r="EV53" s="65"/>
      <c r="EZ53" s="83"/>
      <c r="FA53" s="19" t="str">
        <f>$M53</f>
        <v>2026 KIA Sorento Plug-in Hybrid</v>
      </c>
      <c r="FC53" s="79"/>
      <c r="FD53" s="19"/>
      <c r="FE53" s="19"/>
      <c r="FF53" s="19"/>
      <c r="FG53" s="69"/>
      <c r="FH53" s="19"/>
      <c r="FI53" s="77"/>
      <c r="FJ53" s="69"/>
      <c r="FK53" s="19"/>
      <c r="FL53" s="77"/>
      <c r="FM53" s="69" t="str">
        <f>$M53</f>
        <v>2026 KIA Sorento Plug-in Hybrid</v>
      </c>
      <c r="FN53" s="19"/>
      <c r="FO53" s="77"/>
      <c r="FP53" s="81"/>
      <c r="FQ53" s="81"/>
      <c r="FR53" s="81"/>
      <c r="FS53" s="82"/>
      <c r="FT53" s="19"/>
      <c r="FU53" s="19"/>
      <c r="FV53" s="19"/>
      <c r="FW53" s="19"/>
      <c r="FX53" s="19"/>
      <c r="FY53" s="19"/>
      <c r="FZ53" s="19"/>
      <c r="GA53" s="19"/>
      <c r="GB53" s="19"/>
      <c r="GC53" s="19"/>
      <c r="GD53" s="19"/>
      <c r="GE53" s="19"/>
      <c r="GF53" s="19"/>
      <c r="GG53" s="19"/>
      <c r="GH53" s="19"/>
    </row>
    <row r="54" spans="1:190" s="17" customFormat="1" x14ac:dyDescent="0.35">
      <c r="A54" s="17">
        <v>2026</v>
      </c>
      <c r="B54" s="17" t="s">
        <v>578</v>
      </c>
      <c r="C54" s="17" t="s">
        <v>579</v>
      </c>
      <c r="D54" s="17" t="s">
        <v>1908</v>
      </c>
      <c r="E54" s="17" t="s">
        <v>581</v>
      </c>
      <c r="F54" s="17">
        <v>25</v>
      </c>
      <c r="G54" s="67">
        <v>1.6</v>
      </c>
      <c r="H54" s="17">
        <v>4</v>
      </c>
      <c r="I54" s="68" t="s">
        <v>573</v>
      </c>
      <c r="J54" s="17">
        <v>33</v>
      </c>
      <c r="K54" s="17">
        <v>34</v>
      </c>
      <c r="L54" s="17">
        <v>33</v>
      </c>
      <c r="M54" s="17">
        <v>45.9</v>
      </c>
      <c r="N54" s="17">
        <v>43.7</v>
      </c>
      <c r="O54" s="17">
        <v>44.883200000000002</v>
      </c>
      <c r="P54" s="17">
        <v>32.746600000000001</v>
      </c>
      <c r="Q54" s="17">
        <v>34.190800000000003</v>
      </c>
      <c r="R54" s="17">
        <v>33.381100000000004</v>
      </c>
      <c r="T54" s="17" t="s">
        <v>168</v>
      </c>
      <c r="U54" s="17" t="s">
        <v>169</v>
      </c>
      <c r="V54" s="17" t="s">
        <v>275</v>
      </c>
      <c r="W54" s="17" t="s">
        <v>276</v>
      </c>
      <c r="Y54" s="17">
        <v>6</v>
      </c>
      <c r="Z54" s="17" t="s">
        <v>173</v>
      </c>
      <c r="AA54" s="17" t="s">
        <v>173</v>
      </c>
      <c r="AB54" s="17" t="s">
        <v>170</v>
      </c>
      <c r="AC54" s="17" t="s">
        <v>232</v>
      </c>
      <c r="AD54" s="17">
        <v>15</v>
      </c>
      <c r="AF54" s="17">
        <v>414</v>
      </c>
      <c r="AG54" s="17" t="s">
        <v>167</v>
      </c>
      <c r="AH54" s="17" t="s">
        <v>416</v>
      </c>
      <c r="AI54" s="17" t="s">
        <v>178</v>
      </c>
      <c r="AJ54" s="17" t="s">
        <v>179</v>
      </c>
      <c r="AK54" s="84" t="s">
        <v>664</v>
      </c>
      <c r="AL54" s="17" t="s">
        <v>665</v>
      </c>
      <c r="AR54" s="68"/>
      <c r="AS54" s="17">
        <v>1300</v>
      </c>
      <c r="AT54" s="17">
        <v>1300</v>
      </c>
      <c r="AU54" s="17">
        <v>44</v>
      </c>
      <c r="AV54" s="17">
        <v>47</v>
      </c>
      <c r="AW54" s="17">
        <v>45</v>
      </c>
      <c r="AX54" s="17">
        <v>30.7</v>
      </c>
      <c r="AY54" s="17">
        <v>33.4</v>
      </c>
      <c r="AZ54" s="17">
        <v>31.914999999999999</v>
      </c>
      <c r="BA54" s="17">
        <v>43.548000000000002</v>
      </c>
      <c r="BB54" s="17">
        <v>47.362000000000002</v>
      </c>
      <c r="BC54" s="17">
        <v>45.264299999999999</v>
      </c>
      <c r="BD54" s="17">
        <v>30</v>
      </c>
      <c r="BE54" s="17" t="s">
        <v>1392</v>
      </c>
      <c r="BF54" s="17" t="s">
        <v>1393</v>
      </c>
      <c r="BG54" s="17" t="s">
        <v>1399</v>
      </c>
      <c r="BH54" s="17" t="s">
        <v>1400</v>
      </c>
      <c r="BI54" s="17">
        <v>1300</v>
      </c>
      <c r="BN54" s="86" t="s">
        <v>1837</v>
      </c>
      <c r="BO54" s="17">
        <v>2</v>
      </c>
      <c r="BP54" s="17">
        <v>2</v>
      </c>
      <c r="BQ54" s="17">
        <v>31</v>
      </c>
      <c r="BR54" s="17" t="s">
        <v>887</v>
      </c>
      <c r="BT54" s="17" t="s">
        <v>1838</v>
      </c>
      <c r="BU54" s="87">
        <v>45839</v>
      </c>
      <c r="BV54" s="68">
        <v>36918</v>
      </c>
      <c r="BW54" s="88"/>
      <c r="BX54" s="17" t="s">
        <v>173</v>
      </c>
      <c r="BY54" s="17" t="s">
        <v>173</v>
      </c>
      <c r="CB54" s="17" t="s">
        <v>173</v>
      </c>
      <c r="CC54" s="17" t="s">
        <v>173</v>
      </c>
      <c r="CE54" s="17" t="s">
        <v>173</v>
      </c>
      <c r="CG54" s="17" t="s">
        <v>172</v>
      </c>
      <c r="CH54" s="17" t="s">
        <v>1902</v>
      </c>
      <c r="CI54" s="17" t="s">
        <v>173</v>
      </c>
      <c r="CK54" s="17" t="s">
        <v>259</v>
      </c>
      <c r="CM54" s="17">
        <v>1</v>
      </c>
      <c r="CN54" s="17" t="s">
        <v>260</v>
      </c>
      <c r="CP54" s="17">
        <v>360</v>
      </c>
      <c r="CQ54" s="17">
        <v>38.299999999999997</v>
      </c>
      <c r="CR54" s="17">
        <v>98.5</v>
      </c>
      <c r="CS54" s="17" t="s">
        <v>261</v>
      </c>
      <c r="CV54" s="17" t="s">
        <v>262</v>
      </c>
      <c r="CX54" s="17" t="s">
        <v>493</v>
      </c>
      <c r="CY54" s="17" t="s">
        <v>172</v>
      </c>
      <c r="DD54" s="17">
        <v>1</v>
      </c>
      <c r="DE54" s="17" t="s">
        <v>307</v>
      </c>
      <c r="DF54" s="17" t="s">
        <v>330</v>
      </c>
      <c r="DG54" s="17">
        <v>72</v>
      </c>
      <c r="DJ54" s="17" t="s">
        <v>201</v>
      </c>
      <c r="DK54" s="17" t="s">
        <v>202</v>
      </c>
      <c r="DL54" s="17" t="s">
        <v>173</v>
      </c>
      <c r="DM54" s="17" t="s">
        <v>172</v>
      </c>
      <c r="DN54" s="17" t="s">
        <v>173</v>
      </c>
      <c r="DO54" s="17" t="s">
        <v>1903</v>
      </c>
      <c r="DP54" s="17" t="s">
        <v>172</v>
      </c>
      <c r="DQ54" s="17" t="s">
        <v>204</v>
      </c>
      <c r="DS54" s="17" t="s">
        <v>1852</v>
      </c>
      <c r="DT54" s="17" t="s">
        <v>1853</v>
      </c>
      <c r="DU54" s="17" t="s">
        <v>1864</v>
      </c>
      <c r="DV54" s="17" t="s">
        <v>1865</v>
      </c>
      <c r="EA54" s="89"/>
      <c r="EB54" s="17">
        <v>8</v>
      </c>
      <c r="EC54" s="17">
        <v>9</v>
      </c>
      <c r="ED54" s="17">
        <v>10</v>
      </c>
      <c r="EE54" s="84" t="s">
        <v>1909</v>
      </c>
      <c r="EF54" s="17">
        <v>6</v>
      </c>
      <c r="EH54" s="68"/>
      <c r="EM54" s="84"/>
      <c r="EP54" s="68"/>
      <c r="EU54" s="84">
        <v>2000</v>
      </c>
      <c r="EV54" s="68"/>
      <c r="EW54" s="17">
        <v>0</v>
      </c>
      <c r="EX54" s="17">
        <v>0</v>
      </c>
      <c r="EY54" s="17">
        <v>0</v>
      </c>
      <c r="EZ54" s="85">
        <v>110</v>
      </c>
      <c r="FA54" s="17">
        <v>3.4</v>
      </c>
      <c r="FC54" s="85">
        <v>440</v>
      </c>
      <c r="FD54" s="17">
        <v>50</v>
      </c>
      <c r="FE54" s="17">
        <v>48</v>
      </c>
      <c r="FF54" s="17">
        <v>49</v>
      </c>
      <c r="FG54" s="84">
        <v>106</v>
      </c>
      <c r="FH54" s="17">
        <v>115</v>
      </c>
      <c r="FI54" s="68">
        <v>110</v>
      </c>
      <c r="FJ54" s="84">
        <v>31.9</v>
      </c>
      <c r="FK54" s="91">
        <v>28.69</v>
      </c>
      <c r="FL54" s="68">
        <v>30</v>
      </c>
      <c r="FM54" s="84">
        <v>0.60599999999999998</v>
      </c>
      <c r="FN54" s="17">
        <v>0.57199999999999995</v>
      </c>
      <c r="FO54" s="68">
        <v>0.59099999999999997</v>
      </c>
      <c r="FP54" s="92">
        <v>0</v>
      </c>
      <c r="FQ54" s="92">
        <v>0</v>
      </c>
      <c r="FR54" s="92">
        <v>0</v>
      </c>
      <c r="FS54" s="93">
        <v>12.4</v>
      </c>
    </row>
    <row r="55" spans="1:190" s="17" customFormat="1" x14ac:dyDescent="0.35">
      <c r="A55" s="17">
        <v>2026</v>
      </c>
      <c r="B55" s="141" t="s">
        <v>578</v>
      </c>
      <c r="C55" s="141" t="s">
        <v>579</v>
      </c>
      <c r="D55" s="141" t="s">
        <v>1908</v>
      </c>
      <c r="E55" s="141" t="s">
        <v>581</v>
      </c>
      <c r="F55" s="141">
        <v>25</v>
      </c>
      <c r="G55" s="141">
        <v>1.6</v>
      </c>
      <c r="H55" s="141">
        <v>4</v>
      </c>
      <c r="I55" s="142" t="s">
        <v>573</v>
      </c>
      <c r="J55" s="17">
        <v>33</v>
      </c>
      <c r="K55" s="17">
        <v>34</v>
      </c>
      <c r="L55" s="17">
        <v>33</v>
      </c>
      <c r="M55" s="17">
        <v>45.9</v>
      </c>
      <c r="N55" s="17">
        <v>43.7</v>
      </c>
      <c r="O55" s="17">
        <v>44.883200000000002</v>
      </c>
      <c r="P55" s="17">
        <v>32.746600000000001</v>
      </c>
      <c r="Q55" s="17">
        <v>34.190800000000003</v>
      </c>
      <c r="R55" s="17">
        <v>33.381100000000004</v>
      </c>
      <c r="T55" s="17" t="s">
        <v>168</v>
      </c>
      <c r="U55" s="17" t="s">
        <v>169</v>
      </c>
      <c r="V55" s="17" t="s">
        <v>275</v>
      </c>
      <c r="W55" s="17" t="s">
        <v>276</v>
      </c>
      <c r="Y55" s="17">
        <v>6</v>
      </c>
      <c r="Z55" s="17" t="s">
        <v>173</v>
      </c>
      <c r="AA55" s="17" t="s">
        <v>173</v>
      </c>
      <c r="AB55" s="17" t="s">
        <v>170</v>
      </c>
      <c r="AC55" s="17" t="s">
        <v>232</v>
      </c>
      <c r="AD55" s="17">
        <v>15</v>
      </c>
      <c r="AF55" s="17">
        <v>414</v>
      </c>
      <c r="AG55" s="17" t="s">
        <v>167</v>
      </c>
      <c r="AH55" s="17" t="s">
        <v>416</v>
      </c>
      <c r="AI55" s="17" t="s">
        <v>178</v>
      </c>
      <c r="AJ55" s="17" t="s">
        <v>179</v>
      </c>
      <c r="AK55" s="84" t="s">
        <v>664</v>
      </c>
      <c r="AL55" s="17" t="s">
        <v>665</v>
      </c>
      <c r="AR55" s="68"/>
      <c r="AS55" s="17">
        <v>1300</v>
      </c>
      <c r="AT55" s="17">
        <v>1300</v>
      </c>
      <c r="AU55" s="17">
        <v>77</v>
      </c>
      <c r="AV55" s="17">
        <v>71</v>
      </c>
      <c r="AW55" s="17">
        <v>74</v>
      </c>
      <c r="AX55" s="17">
        <v>109.9</v>
      </c>
      <c r="AY55" s="17">
        <v>100.9</v>
      </c>
      <c r="AZ55" s="17">
        <v>105.65900000000001</v>
      </c>
      <c r="BA55" s="17">
        <v>76.957800000000006</v>
      </c>
      <c r="BB55" s="17">
        <v>70.648200000000003</v>
      </c>
      <c r="BC55" s="17">
        <v>73.984399999999994</v>
      </c>
      <c r="BD55" s="17">
        <v>30</v>
      </c>
      <c r="BE55" s="17" t="s">
        <v>1392</v>
      </c>
      <c r="BF55" s="17" t="s">
        <v>1393</v>
      </c>
      <c r="BG55" s="17" t="s">
        <v>178</v>
      </c>
      <c r="BH55" s="17" t="s">
        <v>179</v>
      </c>
      <c r="BI55" s="17">
        <v>1300</v>
      </c>
      <c r="BN55" s="86" t="s">
        <v>1837</v>
      </c>
      <c r="BO55" s="17">
        <v>2</v>
      </c>
      <c r="BP55" s="17">
        <v>2</v>
      </c>
      <c r="BQ55" s="17">
        <v>31</v>
      </c>
      <c r="BR55" s="17" t="s">
        <v>887</v>
      </c>
      <c r="BT55" s="17" t="s">
        <v>1838</v>
      </c>
      <c r="BU55" s="87">
        <v>45839</v>
      </c>
      <c r="BV55" s="68">
        <v>36918</v>
      </c>
      <c r="BW55" s="88"/>
      <c r="BX55" s="17" t="s">
        <v>173</v>
      </c>
      <c r="BY55" s="17" t="s">
        <v>173</v>
      </c>
      <c r="CB55" s="17" t="s">
        <v>173</v>
      </c>
      <c r="CC55" s="17" t="s">
        <v>173</v>
      </c>
      <c r="CE55" s="17" t="s">
        <v>173</v>
      </c>
      <c r="CG55" s="17" t="s">
        <v>172</v>
      </c>
      <c r="CH55" s="17" t="s">
        <v>1902</v>
      </c>
      <c r="CI55" s="17" t="s">
        <v>173</v>
      </c>
      <c r="CK55" s="17" t="s">
        <v>259</v>
      </c>
      <c r="CM55" s="17">
        <v>1</v>
      </c>
      <c r="CN55" s="17" t="s">
        <v>260</v>
      </c>
      <c r="CP55" s="17">
        <v>360</v>
      </c>
      <c r="CQ55" s="17">
        <v>38.299999999999997</v>
      </c>
      <c r="CR55" s="17">
        <v>98.5</v>
      </c>
      <c r="CS55" s="17" t="s">
        <v>261</v>
      </c>
      <c r="CV55" s="17" t="s">
        <v>262</v>
      </c>
      <c r="CX55" s="17" t="s">
        <v>493</v>
      </c>
      <c r="CY55" s="17" t="s">
        <v>172</v>
      </c>
      <c r="DD55" s="17">
        <v>1</v>
      </c>
      <c r="DE55" s="17" t="s">
        <v>307</v>
      </c>
      <c r="DF55" s="17" t="s">
        <v>330</v>
      </c>
      <c r="DG55" s="17">
        <v>72</v>
      </c>
      <c r="DJ55" s="17" t="s">
        <v>201</v>
      </c>
      <c r="DK55" s="17" t="s">
        <v>202</v>
      </c>
      <c r="DL55" s="17" t="s">
        <v>173</v>
      </c>
      <c r="DM55" s="17" t="s">
        <v>172</v>
      </c>
      <c r="DN55" s="17" t="s">
        <v>173</v>
      </c>
      <c r="DO55" s="17" t="s">
        <v>1903</v>
      </c>
      <c r="DP55" s="17" t="s">
        <v>172</v>
      </c>
      <c r="DQ55" s="17" t="s">
        <v>204</v>
      </c>
      <c r="DS55" s="17" t="s">
        <v>1852</v>
      </c>
      <c r="DT55" s="17" t="s">
        <v>1853</v>
      </c>
      <c r="DU55" s="17" t="s">
        <v>1864</v>
      </c>
      <c r="DV55" s="17" t="s">
        <v>1865</v>
      </c>
      <c r="EA55" s="89"/>
      <c r="EB55" s="17">
        <v>8</v>
      </c>
      <c r="EC55" s="17">
        <v>9</v>
      </c>
      <c r="ED55" s="17">
        <v>10</v>
      </c>
      <c r="EE55" s="84" t="s">
        <v>1909</v>
      </c>
      <c r="EF55" s="17">
        <v>6</v>
      </c>
      <c r="EH55" s="68"/>
      <c r="EM55" s="84"/>
      <c r="EP55" s="68"/>
      <c r="EU55" s="84">
        <v>2000</v>
      </c>
      <c r="EV55" s="68"/>
      <c r="EW55" s="17">
        <v>271</v>
      </c>
      <c r="EX55" s="17">
        <v>261</v>
      </c>
      <c r="EY55" s="17">
        <v>266</v>
      </c>
      <c r="EZ55" s="85">
        <v>110</v>
      </c>
      <c r="FA55" s="17">
        <v>3.4</v>
      </c>
      <c r="FC55" s="85">
        <v>440</v>
      </c>
      <c r="FD55" s="17">
        <v>50</v>
      </c>
      <c r="FE55" s="17">
        <v>48</v>
      </c>
      <c r="FF55" s="17">
        <v>49</v>
      </c>
      <c r="FG55" s="84">
        <v>106</v>
      </c>
      <c r="FH55" s="17">
        <v>115</v>
      </c>
      <c r="FI55" s="68">
        <v>110</v>
      </c>
      <c r="FJ55" s="84" t="s">
        <v>1910</v>
      </c>
      <c r="FK55" s="94"/>
      <c r="FL55" s="95"/>
      <c r="FM55" s="84">
        <v>0.60599999999999998</v>
      </c>
      <c r="FN55" s="17">
        <v>0.57199999999999995</v>
      </c>
      <c r="FO55" s="68">
        <v>0.59099999999999997</v>
      </c>
      <c r="FP55" s="92"/>
      <c r="FQ55" s="92"/>
      <c r="FR55" s="92"/>
      <c r="FS55" s="93">
        <v>12.4</v>
      </c>
    </row>
    <row r="56" spans="1:190" s="66" customFormat="1" x14ac:dyDescent="0.35">
      <c r="A56" s="17"/>
      <c r="E56" s="17"/>
      <c r="F56" s="17"/>
      <c r="G56" s="67"/>
      <c r="H56" s="17"/>
      <c r="I56" s="68"/>
      <c r="J56" s="19"/>
      <c r="K56" s="70"/>
      <c r="L56" s="70"/>
      <c r="M56" s="19" t="str">
        <f>_xlfn.CONCAT(A57," ",C57," ",D57)</f>
        <v>2026 KIA Sportage Plug-in Hybrid</v>
      </c>
      <c r="N56" s="70"/>
      <c r="O56" s="70"/>
      <c r="P56" s="70"/>
      <c r="Q56" s="70"/>
      <c r="R56" s="70"/>
      <c r="S56" s="70"/>
      <c r="T56" s="70"/>
      <c r="U56" s="70"/>
      <c r="V56" s="70"/>
      <c r="W56" s="70"/>
      <c r="X56" s="70"/>
      <c r="Y56" s="70"/>
      <c r="Z56" s="70"/>
      <c r="AA56" s="70"/>
      <c r="AB56" s="70"/>
      <c r="AC56" s="70"/>
      <c r="AD56" s="19" t="str">
        <f>$M56</f>
        <v>2026 KIA Sportage Plug-in Hybrid</v>
      </c>
      <c r="AE56" s="70"/>
      <c r="AF56" s="70"/>
      <c r="AG56" s="70"/>
      <c r="AH56" s="70"/>
      <c r="AI56" s="70"/>
      <c r="AJ56" s="70"/>
      <c r="AK56" s="71"/>
      <c r="AL56" s="1"/>
      <c r="AM56" s="1"/>
      <c r="AN56" s="1"/>
      <c r="AO56" s="1"/>
      <c r="AP56" s="1"/>
      <c r="AQ56" s="1"/>
      <c r="AR56" s="72"/>
      <c r="AS56" s="70"/>
      <c r="AT56" s="19" t="str">
        <f>$M56</f>
        <v>2026 KIA Sportage Plug-in Hybrid</v>
      </c>
      <c r="AU56" s="70"/>
      <c r="AV56" s="70"/>
      <c r="AW56" s="70"/>
      <c r="AX56" s="70"/>
      <c r="AY56" s="70"/>
      <c r="AZ56" s="70"/>
      <c r="BA56" s="70"/>
      <c r="BB56" s="70"/>
      <c r="BC56" s="70"/>
      <c r="BD56" s="70"/>
      <c r="BE56" s="70"/>
      <c r="BF56" s="70"/>
      <c r="BG56" s="70"/>
      <c r="BH56" s="70"/>
      <c r="BI56" s="19" t="str">
        <f>$M56</f>
        <v>2026 KIA Sportage Plug-in Hybrid</v>
      </c>
      <c r="BJ56" s="70"/>
      <c r="BK56" s="70"/>
      <c r="BL56" s="70"/>
      <c r="BM56" s="70"/>
      <c r="BN56" s="71"/>
      <c r="BO56" s="1"/>
      <c r="BP56" s="1"/>
      <c r="BQ56" s="1"/>
      <c r="BR56" s="1"/>
      <c r="BS56" s="1"/>
      <c r="BT56" s="73"/>
      <c r="BU56" s="1"/>
      <c r="BV56" s="72"/>
      <c r="BW56" s="74"/>
      <c r="BX56" s="70"/>
      <c r="BY56" s="19" t="str">
        <f>$M56</f>
        <v>2026 KIA Sportage Plug-in Hybrid</v>
      </c>
      <c r="BZ56" s="70"/>
      <c r="CA56" s="70"/>
      <c r="CB56" s="70"/>
      <c r="CC56" s="70"/>
      <c r="CD56" s="70"/>
      <c r="CE56" s="75"/>
      <c r="CF56" s="70"/>
      <c r="CG56" s="70"/>
      <c r="CH56" s="70"/>
      <c r="CI56" s="70"/>
      <c r="CJ56" s="70"/>
      <c r="CK56" s="70"/>
      <c r="CL56" s="70"/>
      <c r="CM56" s="70"/>
      <c r="CN56" s="70"/>
      <c r="CO56" s="19" t="str">
        <f>$M56</f>
        <v>2026 KIA Sportage Plug-in Hybrid</v>
      </c>
      <c r="CP56" s="70"/>
      <c r="CQ56" s="70"/>
      <c r="CR56" s="70"/>
      <c r="CS56" s="70"/>
      <c r="CT56" s="70"/>
      <c r="CU56" s="70"/>
      <c r="CV56" s="70"/>
      <c r="CW56" s="70"/>
      <c r="CX56" s="70"/>
      <c r="CY56" s="70"/>
      <c r="CZ56" s="70"/>
      <c r="DA56" s="70"/>
      <c r="DB56" s="70"/>
      <c r="DC56" s="70"/>
      <c r="DD56" s="70"/>
      <c r="DE56" s="70"/>
      <c r="DF56" s="19" t="str">
        <f>$M56</f>
        <v>2026 KIA Sportage Plug-in Hybrid</v>
      </c>
      <c r="DG56" s="70"/>
      <c r="DH56" s="70"/>
      <c r="DI56" s="70"/>
      <c r="DJ56" s="70"/>
      <c r="DK56" s="70"/>
      <c r="DL56" s="70"/>
      <c r="DM56" s="70"/>
      <c r="DN56" s="70"/>
      <c r="DO56" s="70"/>
      <c r="DP56" s="70"/>
      <c r="DQ56" s="70"/>
      <c r="DR56" s="19"/>
      <c r="DS56" s="19"/>
      <c r="DT56" s="19"/>
      <c r="DU56" s="19"/>
      <c r="DV56" s="19"/>
      <c r="DW56" s="19" t="str">
        <f>$M56</f>
        <v>2026 KIA Sportage Plug-in Hybrid</v>
      </c>
      <c r="DX56" s="19"/>
      <c r="DY56" s="19"/>
      <c r="DZ56" s="19"/>
      <c r="EA56" s="76"/>
      <c r="EB56" s="19"/>
      <c r="EC56" s="19"/>
      <c r="ED56" s="19"/>
      <c r="EE56" s="69"/>
      <c r="EF56" s="19"/>
      <c r="EG56" s="19"/>
      <c r="EH56" s="77"/>
      <c r="EI56" s="19"/>
      <c r="EK56" t="s">
        <v>1802</v>
      </c>
      <c r="EL56" s="19" t="str">
        <f>$M56</f>
        <v>2026 KIA Sportage Plug-in Hybrid</v>
      </c>
      <c r="EM56" s="69"/>
      <c r="EP56" s="65"/>
      <c r="EU56" s="78"/>
      <c r="EV56" s="65"/>
      <c r="EZ56" s="83"/>
      <c r="FA56" s="19" t="str">
        <f>$M56</f>
        <v>2026 KIA Sportage Plug-in Hybrid</v>
      </c>
      <c r="FC56" s="79"/>
      <c r="FD56" s="19"/>
      <c r="FE56" s="19"/>
      <c r="FF56" s="19"/>
      <c r="FG56" s="69"/>
      <c r="FH56" s="19"/>
      <c r="FI56" s="77"/>
      <c r="FJ56" s="69"/>
      <c r="FK56" s="19"/>
      <c r="FL56" s="77"/>
      <c r="FM56" s="69" t="str">
        <f>$M56</f>
        <v>2026 KIA Sportage Plug-in Hybrid</v>
      </c>
      <c r="FN56" s="19"/>
      <c r="FO56" s="77"/>
      <c r="FP56" s="81"/>
      <c r="FQ56" s="81"/>
      <c r="FR56" s="81"/>
      <c r="FS56" s="82"/>
      <c r="FT56" s="19"/>
      <c r="FU56" s="19"/>
      <c r="FV56" s="19"/>
      <c r="FW56" s="19"/>
      <c r="FX56" s="19"/>
      <c r="FY56" s="19"/>
      <c r="FZ56" s="19"/>
      <c r="GA56" s="19"/>
      <c r="GB56" s="19"/>
      <c r="GC56" s="19"/>
      <c r="GD56" s="19"/>
      <c r="GE56" s="19"/>
      <c r="GF56" s="19"/>
      <c r="GG56" s="19"/>
      <c r="GH56" s="19"/>
    </row>
    <row r="57" spans="1:190" s="17" customFormat="1" x14ac:dyDescent="0.35">
      <c r="A57" s="17">
        <v>2026</v>
      </c>
      <c r="B57" s="17" t="s">
        <v>578</v>
      </c>
      <c r="C57" s="17" t="s">
        <v>579</v>
      </c>
      <c r="D57" s="17" t="s">
        <v>1911</v>
      </c>
      <c r="E57" s="17" t="s">
        <v>581</v>
      </c>
      <c r="F57" s="17">
        <v>22</v>
      </c>
      <c r="G57" s="67">
        <v>1.6</v>
      </c>
      <c r="H57" s="17">
        <v>4</v>
      </c>
      <c r="I57" s="68" t="s">
        <v>573</v>
      </c>
      <c r="J57" s="17">
        <v>35</v>
      </c>
      <c r="K57" s="17">
        <v>36</v>
      </c>
      <c r="L57" s="17">
        <v>36</v>
      </c>
      <c r="M57" s="17">
        <v>47.5</v>
      </c>
      <c r="N57" s="17">
        <v>48.5</v>
      </c>
      <c r="O57" s="17">
        <v>47.944800000000001</v>
      </c>
      <c r="P57" s="17">
        <v>34.873899999999999</v>
      </c>
      <c r="Q57" s="17">
        <v>36.467500000000001</v>
      </c>
      <c r="R57" s="17">
        <v>35.573399999999999</v>
      </c>
      <c r="T57" s="17" t="s">
        <v>168</v>
      </c>
      <c r="U57" s="17" t="s">
        <v>169</v>
      </c>
      <c r="V57" s="17" t="s">
        <v>275</v>
      </c>
      <c r="W57" s="17" t="s">
        <v>276</v>
      </c>
      <c r="Y57" s="17">
        <v>6</v>
      </c>
      <c r="Z57" s="17" t="s">
        <v>173</v>
      </c>
      <c r="AA57" s="17" t="s">
        <v>173</v>
      </c>
      <c r="AB57" s="17" t="s">
        <v>170</v>
      </c>
      <c r="AC57" s="17" t="s">
        <v>232</v>
      </c>
      <c r="AD57" s="17">
        <v>15</v>
      </c>
      <c r="AF57" s="17">
        <v>441</v>
      </c>
      <c r="AG57" s="17" t="s">
        <v>167</v>
      </c>
      <c r="AH57" s="17" t="s">
        <v>416</v>
      </c>
      <c r="AI57" s="17" t="s">
        <v>178</v>
      </c>
      <c r="AJ57" s="17" t="s">
        <v>179</v>
      </c>
      <c r="AK57" s="84" t="s">
        <v>664</v>
      </c>
      <c r="AL57" s="17" t="s">
        <v>665</v>
      </c>
      <c r="AR57" s="68"/>
      <c r="AS57" s="17">
        <v>1200</v>
      </c>
      <c r="AT57" s="17">
        <v>1200</v>
      </c>
      <c r="AU57" s="17">
        <v>39</v>
      </c>
      <c r="AV57" s="17">
        <v>47</v>
      </c>
      <c r="AW57" s="17">
        <v>43</v>
      </c>
      <c r="AX57" s="17">
        <v>27.1</v>
      </c>
      <c r="AY57" s="17">
        <v>30.2</v>
      </c>
      <c r="AZ57" s="17">
        <v>28.495000000000001</v>
      </c>
      <c r="BA57" s="17">
        <v>38.578000000000003</v>
      </c>
      <c r="BB57" s="17">
        <v>47.459000000000003</v>
      </c>
      <c r="BC57" s="17">
        <v>42.574399999999997</v>
      </c>
      <c r="BD57" s="17">
        <v>33</v>
      </c>
      <c r="BE57" s="17" t="s">
        <v>1392</v>
      </c>
      <c r="BF57" s="17" t="s">
        <v>1393</v>
      </c>
      <c r="BG57" s="17" t="s">
        <v>1399</v>
      </c>
      <c r="BH57" s="17" t="s">
        <v>1400</v>
      </c>
      <c r="BI57" s="17">
        <v>1200</v>
      </c>
      <c r="BN57" s="86" t="s">
        <v>1837</v>
      </c>
      <c r="BO57" s="17">
        <v>2</v>
      </c>
      <c r="BP57" s="17">
        <v>2</v>
      </c>
      <c r="BQ57" s="17">
        <v>31</v>
      </c>
      <c r="BR57" s="17" t="s">
        <v>887</v>
      </c>
      <c r="BT57" s="17" t="s">
        <v>1838</v>
      </c>
      <c r="BU57" s="87">
        <v>45839</v>
      </c>
      <c r="BV57" s="68">
        <v>37078</v>
      </c>
      <c r="BW57" s="88"/>
      <c r="BX57" s="17" t="s">
        <v>173</v>
      </c>
      <c r="BY57" s="17" t="s">
        <v>173</v>
      </c>
      <c r="CB57" s="17" t="s">
        <v>173</v>
      </c>
      <c r="CC57" s="17" t="s">
        <v>173</v>
      </c>
      <c r="CE57" s="17" t="s">
        <v>173</v>
      </c>
      <c r="CG57" s="17" t="s">
        <v>172</v>
      </c>
      <c r="CH57" s="17" t="s">
        <v>551</v>
      </c>
      <c r="CI57" s="17" t="s">
        <v>173</v>
      </c>
      <c r="CK57" s="17" t="s">
        <v>259</v>
      </c>
      <c r="CM57" s="17">
        <v>1</v>
      </c>
      <c r="CN57" s="17" t="s">
        <v>260</v>
      </c>
      <c r="CP57" s="17">
        <v>360</v>
      </c>
      <c r="CQ57" s="17">
        <v>38.299999999999997</v>
      </c>
      <c r="CR57" s="17">
        <v>98</v>
      </c>
      <c r="CS57" s="17" t="s">
        <v>261</v>
      </c>
      <c r="CV57" s="17" t="s">
        <v>262</v>
      </c>
      <c r="CX57" s="17" t="s">
        <v>493</v>
      </c>
      <c r="CY57" s="17" t="s">
        <v>172</v>
      </c>
      <c r="DD57" s="17">
        <v>1</v>
      </c>
      <c r="DE57" s="17" t="s">
        <v>307</v>
      </c>
      <c r="DF57" s="17" t="s">
        <v>1471</v>
      </c>
      <c r="DG57" s="17">
        <v>72</v>
      </c>
      <c r="DJ57" s="17" t="s">
        <v>201</v>
      </c>
      <c r="DK57" s="17" t="s">
        <v>202</v>
      </c>
      <c r="DL57" s="17" t="s">
        <v>173</v>
      </c>
      <c r="DM57" s="17" t="s">
        <v>172</v>
      </c>
      <c r="DN57" s="17" t="s">
        <v>173</v>
      </c>
      <c r="DO57" s="17" t="s">
        <v>849</v>
      </c>
      <c r="DP57" s="17" t="s">
        <v>172</v>
      </c>
      <c r="DQ57" s="17" t="s">
        <v>204</v>
      </c>
      <c r="DS57" s="17" t="s">
        <v>1852</v>
      </c>
      <c r="DT57" s="17" t="s">
        <v>1853</v>
      </c>
      <c r="DU57" s="17" t="s">
        <v>1864</v>
      </c>
      <c r="DV57" s="17" t="s">
        <v>1865</v>
      </c>
      <c r="EA57" s="89"/>
      <c r="EB57" s="17">
        <v>8</v>
      </c>
      <c r="EC57" s="17">
        <v>9</v>
      </c>
      <c r="ED57" s="17">
        <v>10</v>
      </c>
      <c r="EE57" s="84" t="s">
        <v>1912</v>
      </c>
      <c r="EF57" s="17">
        <v>6</v>
      </c>
      <c r="EH57" s="68"/>
      <c r="EM57" s="84"/>
      <c r="EP57" s="68"/>
      <c r="EU57" s="84">
        <v>2500</v>
      </c>
      <c r="EV57" s="68"/>
      <c r="EW57" s="17">
        <v>0</v>
      </c>
      <c r="EX57" s="17">
        <v>0</v>
      </c>
      <c r="EY57" s="17">
        <v>0</v>
      </c>
      <c r="EZ57" s="85">
        <v>97</v>
      </c>
      <c r="FA57" s="17">
        <v>2</v>
      </c>
      <c r="FC57" s="85">
        <v>470</v>
      </c>
      <c r="FD57" s="17">
        <v>56</v>
      </c>
      <c r="FE57" s="17">
        <v>52</v>
      </c>
      <c r="FF57" s="17">
        <v>54</v>
      </c>
      <c r="FG57" s="84">
        <v>91</v>
      </c>
      <c r="FH57" s="17">
        <v>104</v>
      </c>
      <c r="FI57" s="68">
        <v>97</v>
      </c>
      <c r="FJ57" s="90">
        <v>35.85</v>
      </c>
      <c r="FK57" s="91">
        <v>28.69</v>
      </c>
      <c r="FL57" s="68">
        <v>33</v>
      </c>
      <c r="FM57" s="84">
        <v>0.64300000000000002</v>
      </c>
      <c r="FN57" s="17">
        <v>0.57099999999999995</v>
      </c>
      <c r="FO57" s="68">
        <v>0.61299999999999999</v>
      </c>
      <c r="FP57" s="92">
        <v>0</v>
      </c>
      <c r="FQ57" s="92">
        <v>0</v>
      </c>
      <c r="FR57" s="92">
        <v>0</v>
      </c>
      <c r="FS57" s="93">
        <v>12.4</v>
      </c>
    </row>
    <row r="58" spans="1:190" s="17" customFormat="1" x14ac:dyDescent="0.35">
      <c r="A58" s="17">
        <v>2026</v>
      </c>
      <c r="B58" s="141" t="s">
        <v>578</v>
      </c>
      <c r="C58" s="141" t="s">
        <v>579</v>
      </c>
      <c r="D58" s="141" t="s">
        <v>1911</v>
      </c>
      <c r="E58" s="141" t="s">
        <v>581</v>
      </c>
      <c r="F58" s="141">
        <v>22</v>
      </c>
      <c r="G58" s="141">
        <v>1.6</v>
      </c>
      <c r="H58" s="141">
        <v>4</v>
      </c>
      <c r="I58" s="142" t="s">
        <v>573</v>
      </c>
      <c r="J58" s="17">
        <v>35</v>
      </c>
      <c r="K58" s="17">
        <v>36</v>
      </c>
      <c r="L58" s="17">
        <v>36</v>
      </c>
      <c r="M58" s="17">
        <v>47.5</v>
      </c>
      <c r="N58" s="17">
        <v>48.5</v>
      </c>
      <c r="O58" s="17">
        <v>47.944800000000001</v>
      </c>
      <c r="P58" s="17">
        <v>34.873899999999999</v>
      </c>
      <c r="Q58" s="17">
        <v>36.467500000000001</v>
      </c>
      <c r="R58" s="17">
        <v>35.573399999999999</v>
      </c>
      <c r="T58" s="17" t="s">
        <v>168</v>
      </c>
      <c r="U58" s="17" t="s">
        <v>169</v>
      </c>
      <c r="V58" s="17" t="s">
        <v>275</v>
      </c>
      <c r="W58" s="17" t="s">
        <v>276</v>
      </c>
      <c r="Y58" s="17">
        <v>6</v>
      </c>
      <c r="Z58" s="17" t="s">
        <v>173</v>
      </c>
      <c r="AA58" s="17" t="s">
        <v>173</v>
      </c>
      <c r="AB58" s="17" t="s">
        <v>170</v>
      </c>
      <c r="AC58" s="17" t="s">
        <v>232</v>
      </c>
      <c r="AD58" s="17">
        <v>15</v>
      </c>
      <c r="AF58" s="17">
        <v>441</v>
      </c>
      <c r="AG58" s="17" t="s">
        <v>167</v>
      </c>
      <c r="AH58" s="17" t="s">
        <v>416</v>
      </c>
      <c r="AI58" s="17" t="s">
        <v>178</v>
      </c>
      <c r="AJ58" s="17" t="s">
        <v>179</v>
      </c>
      <c r="AK58" s="84" t="s">
        <v>664</v>
      </c>
      <c r="AL58" s="17" t="s">
        <v>665</v>
      </c>
      <c r="AR58" s="68"/>
      <c r="AS58" s="17">
        <v>1200</v>
      </c>
      <c r="AT58" s="17">
        <v>1200</v>
      </c>
      <c r="AU58" s="17">
        <v>87</v>
      </c>
      <c r="AV58" s="17">
        <v>78</v>
      </c>
      <c r="AW58" s="17">
        <v>83</v>
      </c>
      <c r="AX58" s="17">
        <v>124.2</v>
      </c>
      <c r="AY58" s="17">
        <v>111.7</v>
      </c>
      <c r="AZ58" s="17">
        <v>118.2454</v>
      </c>
      <c r="BA58" s="17">
        <v>86.949600000000004</v>
      </c>
      <c r="BB58" s="17">
        <v>78.182699999999997</v>
      </c>
      <c r="BC58" s="17">
        <v>82.772900000000007</v>
      </c>
      <c r="BD58" s="17">
        <v>33</v>
      </c>
      <c r="BE58" s="17" t="s">
        <v>1392</v>
      </c>
      <c r="BF58" s="17" t="s">
        <v>1393</v>
      </c>
      <c r="BG58" s="17" t="s">
        <v>178</v>
      </c>
      <c r="BH58" s="17" t="s">
        <v>179</v>
      </c>
      <c r="BI58" s="17">
        <v>1200</v>
      </c>
      <c r="BN58" s="86" t="s">
        <v>1837</v>
      </c>
      <c r="BO58" s="17">
        <v>2</v>
      </c>
      <c r="BP58" s="17">
        <v>2</v>
      </c>
      <c r="BQ58" s="17">
        <v>31</v>
      </c>
      <c r="BR58" s="17" t="s">
        <v>887</v>
      </c>
      <c r="BT58" s="17" t="s">
        <v>1838</v>
      </c>
      <c r="BU58" s="87">
        <v>45839</v>
      </c>
      <c r="BV58" s="68">
        <v>37078</v>
      </c>
      <c r="BW58" s="88"/>
      <c r="BX58" s="17" t="s">
        <v>173</v>
      </c>
      <c r="BY58" s="17" t="s">
        <v>173</v>
      </c>
      <c r="CB58" s="17" t="s">
        <v>173</v>
      </c>
      <c r="CC58" s="17" t="s">
        <v>173</v>
      </c>
      <c r="CE58" s="17" t="s">
        <v>173</v>
      </c>
      <c r="CG58" s="17" t="s">
        <v>172</v>
      </c>
      <c r="CH58" s="17" t="s">
        <v>551</v>
      </c>
      <c r="CI58" s="17" t="s">
        <v>173</v>
      </c>
      <c r="CK58" s="17" t="s">
        <v>259</v>
      </c>
      <c r="CM58" s="17">
        <v>1</v>
      </c>
      <c r="CN58" s="17" t="s">
        <v>260</v>
      </c>
      <c r="CP58" s="17">
        <v>360</v>
      </c>
      <c r="CQ58" s="17">
        <v>38.299999999999997</v>
      </c>
      <c r="CR58" s="17">
        <v>98</v>
      </c>
      <c r="CS58" s="17" t="s">
        <v>261</v>
      </c>
      <c r="CV58" s="17" t="s">
        <v>262</v>
      </c>
      <c r="CX58" s="17" t="s">
        <v>493</v>
      </c>
      <c r="CY58" s="17" t="s">
        <v>172</v>
      </c>
      <c r="DD58" s="17">
        <v>1</v>
      </c>
      <c r="DE58" s="17" t="s">
        <v>307</v>
      </c>
      <c r="DF58" s="17" t="s">
        <v>1471</v>
      </c>
      <c r="DG58" s="17">
        <v>72</v>
      </c>
      <c r="DJ58" s="17" t="s">
        <v>201</v>
      </c>
      <c r="DK58" s="17" t="s">
        <v>202</v>
      </c>
      <c r="DL58" s="17" t="s">
        <v>173</v>
      </c>
      <c r="DM58" s="17" t="s">
        <v>172</v>
      </c>
      <c r="DN58" s="17" t="s">
        <v>173</v>
      </c>
      <c r="DO58" s="17" t="s">
        <v>849</v>
      </c>
      <c r="DP58" s="17" t="s">
        <v>172</v>
      </c>
      <c r="DQ58" s="17" t="s">
        <v>204</v>
      </c>
      <c r="DS58" s="17" t="s">
        <v>1852</v>
      </c>
      <c r="DT58" s="17" t="s">
        <v>1853</v>
      </c>
      <c r="DU58" s="17" t="s">
        <v>1864</v>
      </c>
      <c r="DV58" s="17" t="s">
        <v>1865</v>
      </c>
      <c r="EA58" s="89"/>
      <c r="EB58" s="17">
        <v>8</v>
      </c>
      <c r="EC58" s="17">
        <v>9</v>
      </c>
      <c r="ED58" s="17">
        <v>10</v>
      </c>
      <c r="EE58" s="84" t="s">
        <v>1912</v>
      </c>
      <c r="EF58" s="17">
        <v>6</v>
      </c>
      <c r="EH58" s="68"/>
      <c r="EM58" s="84"/>
      <c r="EP58" s="68"/>
      <c r="EU58" s="84">
        <v>2500</v>
      </c>
      <c r="EV58" s="68"/>
      <c r="EW58" s="17">
        <v>254</v>
      </c>
      <c r="EX58" s="17">
        <v>243</v>
      </c>
      <c r="EY58" s="17">
        <v>249</v>
      </c>
      <c r="EZ58" s="85">
        <v>97</v>
      </c>
      <c r="FA58" s="17">
        <v>2</v>
      </c>
      <c r="FC58" s="85">
        <v>470</v>
      </c>
      <c r="FD58" s="17">
        <v>56</v>
      </c>
      <c r="FE58" s="17">
        <v>52</v>
      </c>
      <c r="FF58" s="17">
        <v>54</v>
      </c>
      <c r="FG58" s="84">
        <v>91</v>
      </c>
      <c r="FH58" s="17">
        <v>104</v>
      </c>
      <c r="FI58" s="68">
        <v>97</v>
      </c>
      <c r="FJ58" s="84" t="s">
        <v>1883</v>
      </c>
      <c r="FK58" s="94"/>
      <c r="FL58" s="95"/>
      <c r="FM58" s="84">
        <v>0.64300000000000002</v>
      </c>
      <c r="FN58" s="17">
        <v>0.57099999999999995</v>
      </c>
      <c r="FO58" s="68">
        <v>0.61299999999999999</v>
      </c>
      <c r="FP58" s="92"/>
      <c r="FQ58" s="92"/>
      <c r="FR58" s="92"/>
      <c r="FS58" s="93">
        <v>12.4</v>
      </c>
    </row>
    <row r="59" spans="1:190" s="66" customFormat="1" x14ac:dyDescent="0.35">
      <c r="A59" s="17"/>
      <c r="E59" s="17"/>
      <c r="F59" s="17"/>
      <c r="G59" s="67"/>
      <c r="H59" s="17"/>
      <c r="I59" s="68"/>
      <c r="J59" s="19"/>
      <c r="K59" s="70"/>
      <c r="L59" s="70"/>
      <c r="M59" s="19" t="str">
        <f>_xlfn.CONCAT(A60," ",C60," ",D60)</f>
        <v>2026 Lincoln CORSAIR AWD PHEV</v>
      </c>
      <c r="N59" s="70"/>
      <c r="O59" s="70"/>
      <c r="P59" s="70"/>
      <c r="Q59" s="70"/>
      <c r="R59" s="70"/>
      <c r="S59" s="70"/>
      <c r="T59" s="70"/>
      <c r="U59" s="70"/>
      <c r="V59" s="70"/>
      <c r="W59" s="70"/>
      <c r="X59" s="70"/>
      <c r="Y59" s="70"/>
      <c r="Z59" s="70"/>
      <c r="AA59" s="70"/>
      <c r="AB59" s="70"/>
      <c r="AC59" s="70"/>
      <c r="AD59" s="19" t="str">
        <f>$M59</f>
        <v>2026 Lincoln CORSAIR AWD PHEV</v>
      </c>
      <c r="AE59" s="70"/>
      <c r="AF59" s="70"/>
      <c r="AG59" s="70"/>
      <c r="AH59" s="70"/>
      <c r="AI59" s="70"/>
      <c r="AJ59" s="70"/>
      <c r="AK59" s="71"/>
      <c r="AL59" s="1"/>
      <c r="AM59" s="1"/>
      <c r="AN59" s="1"/>
      <c r="AO59" s="1"/>
      <c r="AP59" s="1"/>
      <c r="AQ59" s="1"/>
      <c r="AR59" s="72"/>
      <c r="AS59" s="70"/>
      <c r="AT59" s="19" t="str">
        <f>$M59</f>
        <v>2026 Lincoln CORSAIR AWD PHEV</v>
      </c>
      <c r="AU59" s="70"/>
      <c r="AV59" s="70"/>
      <c r="AW59" s="70"/>
      <c r="AX59" s="70"/>
      <c r="AY59" s="70"/>
      <c r="AZ59" s="70"/>
      <c r="BA59" s="70"/>
      <c r="BB59" s="70"/>
      <c r="BC59" s="70"/>
      <c r="BD59" s="70"/>
      <c r="BE59" s="70"/>
      <c r="BF59" s="70"/>
      <c r="BG59" s="70"/>
      <c r="BH59" s="70"/>
      <c r="BI59" s="19" t="str">
        <f>$M59</f>
        <v>2026 Lincoln CORSAIR AWD PHEV</v>
      </c>
      <c r="BJ59" s="70"/>
      <c r="BK59" s="70"/>
      <c r="BL59" s="70"/>
      <c r="BM59" s="70"/>
      <c r="BN59" s="71"/>
      <c r="BO59" s="1"/>
      <c r="BP59" s="1"/>
      <c r="BQ59" s="1"/>
      <c r="BR59" s="1"/>
      <c r="BS59" s="1"/>
      <c r="BT59" s="73"/>
      <c r="BU59" s="1"/>
      <c r="BV59" s="72"/>
      <c r="BW59" s="74"/>
      <c r="BX59" s="70"/>
      <c r="BY59" s="19" t="str">
        <f>$M59</f>
        <v>2026 Lincoln CORSAIR AWD PHEV</v>
      </c>
      <c r="BZ59" s="70"/>
      <c r="CA59" s="70"/>
      <c r="CB59" s="70"/>
      <c r="CC59" s="70"/>
      <c r="CD59" s="70"/>
      <c r="CE59" s="75"/>
      <c r="CF59" s="70"/>
      <c r="CG59" s="70"/>
      <c r="CH59" s="70"/>
      <c r="CI59" s="70"/>
      <c r="CJ59" s="70"/>
      <c r="CK59" s="70"/>
      <c r="CL59" s="70"/>
      <c r="CM59" s="70"/>
      <c r="CN59" s="70"/>
      <c r="CO59" s="19" t="str">
        <f>$M59</f>
        <v>2026 Lincoln CORSAIR AWD PHEV</v>
      </c>
      <c r="CP59" s="70"/>
      <c r="CQ59" s="70"/>
      <c r="CR59" s="70"/>
      <c r="CS59" s="70"/>
      <c r="CT59" s="70"/>
      <c r="CU59" s="70"/>
      <c r="CV59" s="70"/>
      <c r="CW59" s="70"/>
      <c r="CX59" s="70"/>
      <c r="CY59" s="70"/>
      <c r="CZ59" s="70"/>
      <c r="DA59" s="70"/>
      <c r="DB59" s="70"/>
      <c r="DC59" s="70"/>
      <c r="DD59" s="70"/>
      <c r="DE59" s="70"/>
      <c r="DF59" s="19" t="str">
        <f>$M59</f>
        <v>2026 Lincoln CORSAIR AWD PHEV</v>
      </c>
      <c r="DG59" s="70"/>
      <c r="DH59" s="70"/>
      <c r="DI59" s="70"/>
      <c r="DJ59" s="70"/>
      <c r="DK59" s="70"/>
      <c r="DL59" s="70"/>
      <c r="DM59" s="70"/>
      <c r="DN59" s="70"/>
      <c r="DO59" s="70"/>
      <c r="DP59" s="70"/>
      <c r="DQ59" s="70"/>
      <c r="DR59" s="19"/>
      <c r="DS59" s="19"/>
      <c r="DT59" s="19"/>
      <c r="DU59" s="19"/>
      <c r="DV59" s="19"/>
      <c r="DW59" s="19" t="str">
        <f>$M59</f>
        <v>2026 Lincoln CORSAIR AWD PHEV</v>
      </c>
      <c r="DX59" s="19"/>
      <c r="DY59" s="19"/>
      <c r="DZ59" s="19"/>
      <c r="EA59" s="76"/>
      <c r="EB59" s="19"/>
      <c r="EC59" s="19"/>
      <c r="ED59" s="19"/>
      <c r="EE59" s="69"/>
      <c r="EF59" s="19"/>
      <c r="EG59" s="19"/>
      <c r="EH59" s="77"/>
      <c r="EI59" s="19"/>
      <c r="EK59" t="s">
        <v>1802</v>
      </c>
      <c r="EL59" s="19" t="str">
        <f>$M59</f>
        <v>2026 Lincoln CORSAIR AWD PHEV</v>
      </c>
      <c r="EM59" s="69"/>
      <c r="EP59" s="65"/>
      <c r="EU59" s="78"/>
      <c r="EV59" s="65"/>
      <c r="EZ59" s="83"/>
      <c r="FA59" s="19" t="str">
        <f>$M59</f>
        <v>2026 Lincoln CORSAIR AWD PHEV</v>
      </c>
      <c r="FC59" s="79"/>
      <c r="FD59" s="19"/>
      <c r="FE59" s="19"/>
      <c r="FF59" s="19"/>
      <c r="FG59" s="69"/>
      <c r="FH59" s="19"/>
      <c r="FI59" s="77"/>
      <c r="FJ59" s="69"/>
      <c r="FK59" s="19"/>
      <c r="FL59" s="77"/>
      <c r="FM59" s="69" t="str">
        <f>$M59</f>
        <v>2026 Lincoln CORSAIR AWD PHEV</v>
      </c>
      <c r="FN59" s="19"/>
      <c r="FO59" s="77"/>
      <c r="FP59" s="81"/>
      <c r="FQ59" s="81"/>
      <c r="FR59" s="81"/>
      <c r="FS59" s="82"/>
      <c r="FT59" s="19"/>
      <c r="FU59" s="19"/>
      <c r="FV59" s="19"/>
      <c r="FW59" s="19"/>
      <c r="FX59" s="19"/>
      <c r="FY59" s="19"/>
      <c r="FZ59" s="19"/>
      <c r="GA59" s="19"/>
      <c r="GB59" s="19"/>
      <c r="GC59" s="19"/>
      <c r="GD59" s="19"/>
      <c r="GE59" s="19"/>
      <c r="GF59" s="19"/>
      <c r="GG59" s="19"/>
      <c r="GH59" s="19"/>
    </row>
    <row r="60" spans="1:190" s="17" customFormat="1" x14ac:dyDescent="0.35">
      <c r="A60" s="17">
        <v>2026</v>
      </c>
      <c r="B60" s="17" t="s">
        <v>978</v>
      </c>
      <c r="C60" s="17" t="s">
        <v>979</v>
      </c>
      <c r="D60" s="17" t="s">
        <v>1913</v>
      </c>
      <c r="E60" s="17" t="s">
        <v>981</v>
      </c>
      <c r="F60" s="17">
        <v>55</v>
      </c>
      <c r="G60" s="67">
        <v>2.5</v>
      </c>
      <c r="H60" s="17">
        <v>4</v>
      </c>
      <c r="I60" s="68" t="s">
        <v>487</v>
      </c>
      <c r="J60" s="17">
        <v>34</v>
      </c>
      <c r="K60" s="17">
        <v>32</v>
      </c>
      <c r="L60" s="17">
        <v>33</v>
      </c>
      <c r="M60" s="17">
        <v>45.8</v>
      </c>
      <c r="N60" s="17">
        <v>46</v>
      </c>
      <c r="O60" s="17">
        <v>45.889800000000001</v>
      </c>
      <c r="P60" s="17">
        <v>33.959600000000002</v>
      </c>
      <c r="Q60" s="17">
        <v>31.9178</v>
      </c>
      <c r="R60" s="17">
        <v>33.009300000000003</v>
      </c>
      <c r="T60" s="17" t="s">
        <v>1890</v>
      </c>
      <c r="U60" s="17" t="s">
        <v>215</v>
      </c>
      <c r="V60" s="17" t="s">
        <v>488</v>
      </c>
      <c r="W60" s="17" t="s">
        <v>489</v>
      </c>
      <c r="Y60" s="17">
        <v>1</v>
      </c>
      <c r="Z60" s="17" t="s">
        <v>173</v>
      </c>
      <c r="AA60" s="17" t="s">
        <v>173</v>
      </c>
      <c r="AB60" s="17" t="s">
        <v>769</v>
      </c>
      <c r="AC60" s="17" t="s">
        <v>770</v>
      </c>
      <c r="AD60" s="17">
        <v>85</v>
      </c>
      <c r="AF60" s="17">
        <v>420</v>
      </c>
      <c r="AG60" s="17" t="s">
        <v>167</v>
      </c>
      <c r="AH60" s="17" t="s">
        <v>416</v>
      </c>
      <c r="AI60" s="17" t="s">
        <v>178</v>
      </c>
      <c r="AJ60" s="17" t="s">
        <v>179</v>
      </c>
      <c r="AK60" s="84" t="s">
        <v>664</v>
      </c>
      <c r="AL60" s="17" t="s">
        <v>665</v>
      </c>
      <c r="AR60" s="68"/>
      <c r="AS60" s="17">
        <v>1300</v>
      </c>
      <c r="AT60" s="17">
        <v>1300</v>
      </c>
      <c r="AU60" s="17">
        <v>40</v>
      </c>
      <c r="AV60" s="17">
        <v>49</v>
      </c>
      <c r="AW60" s="17">
        <v>44</v>
      </c>
      <c r="AX60" s="17">
        <v>28.3</v>
      </c>
      <c r="AY60" s="17">
        <v>34.200000000000003</v>
      </c>
      <c r="AZ60" s="17">
        <v>30.954999999999998</v>
      </c>
      <c r="BA60" s="17">
        <v>40.4208</v>
      </c>
      <c r="BB60" s="17">
        <v>48.939599999999999</v>
      </c>
      <c r="BC60" s="17">
        <v>44.254300000000001</v>
      </c>
      <c r="BD60" s="17">
        <v>27</v>
      </c>
      <c r="BE60" s="17" t="s">
        <v>1392</v>
      </c>
      <c r="BF60" s="17" t="s">
        <v>1393</v>
      </c>
      <c r="BG60" s="17" t="s">
        <v>1399</v>
      </c>
      <c r="BH60" s="17" t="s">
        <v>1400</v>
      </c>
      <c r="BI60" s="17">
        <v>1300</v>
      </c>
      <c r="BN60" s="86" t="s">
        <v>1891</v>
      </c>
      <c r="BO60" s="17">
        <v>2</v>
      </c>
      <c r="BP60" s="17">
        <v>2</v>
      </c>
      <c r="BQ60" s="17">
        <v>31</v>
      </c>
      <c r="BR60" s="17" t="s">
        <v>887</v>
      </c>
      <c r="BT60" s="17" t="s">
        <v>1838</v>
      </c>
      <c r="BU60" s="87">
        <v>45884</v>
      </c>
      <c r="BV60" s="68">
        <v>37442</v>
      </c>
      <c r="BW60" s="88"/>
      <c r="BX60" s="17" t="s">
        <v>173</v>
      </c>
      <c r="BY60" s="17" t="s">
        <v>173</v>
      </c>
      <c r="CB60" s="17" t="s">
        <v>173</v>
      </c>
      <c r="CC60" s="17" t="s">
        <v>173</v>
      </c>
      <c r="CD60" s="17" t="s">
        <v>1914</v>
      </c>
      <c r="CE60" s="17" t="s">
        <v>173</v>
      </c>
      <c r="CG60" s="17" t="s">
        <v>172</v>
      </c>
      <c r="CH60" s="17" t="s">
        <v>987</v>
      </c>
      <c r="CI60" s="17" t="s">
        <v>173</v>
      </c>
      <c r="CK60" s="17" t="s">
        <v>259</v>
      </c>
      <c r="CM60" s="17">
        <v>1</v>
      </c>
      <c r="CN60" s="17" t="s">
        <v>260</v>
      </c>
      <c r="CP60" s="17">
        <v>302</v>
      </c>
      <c r="CQ60" s="17">
        <v>48</v>
      </c>
      <c r="CR60" s="17">
        <v>84.6</v>
      </c>
      <c r="CS60" s="17" t="s">
        <v>1437</v>
      </c>
      <c r="CV60" s="17" t="s">
        <v>262</v>
      </c>
      <c r="CX60" s="17" t="s">
        <v>263</v>
      </c>
      <c r="CY60" s="17" t="s">
        <v>173</v>
      </c>
      <c r="DD60" s="17">
        <v>2</v>
      </c>
      <c r="DE60" s="17" t="s">
        <v>530</v>
      </c>
      <c r="DG60" s="17" t="s">
        <v>1915</v>
      </c>
      <c r="DJ60" s="17" t="s">
        <v>186</v>
      </c>
      <c r="DK60" s="17" t="s">
        <v>187</v>
      </c>
      <c r="DL60" s="17" t="s">
        <v>173</v>
      </c>
      <c r="DM60" s="17" t="s">
        <v>172</v>
      </c>
      <c r="DN60" s="17" t="s">
        <v>173</v>
      </c>
      <c r="DO60" s="17" t="s">
        <v>1283</v>
      </c>
      <c r="DP60" s="17" t="s">
        <v>172</v>
      </c>
      <c r="DQ60" s="17" t="s">
        <v>204</v>
      </c>
      <c r="DS60" s="17" t="s">
        <v>1852</v>
      </c>
      <c r="DT60" s="17" t="s">
        <v>1853</v>
      </c>
      <c r="DU60" s="17" t="s">
        <v>1843</v>
      </c>
      <c r="DV60" s="17" t="s">
        <v>1844</v>
      </c>
      <c r="DY60" s="17">
        <v>46.1</v>
      </c>
      <c r="EA60" s="89"/>
      <c r="EB60" s="17">
        <v>6</v>
      </c>
      <c r="EC60" s="17">
        <v>6</v>
      </c>
      <c r="ED60" s="17">
        <v>10</v>
      </c>
      <c r="EE60" s="84" t="s">
        <v>1916</v>
      </c>
      <c r="EF60" s="17">
        <v>7</v>
      </c>
      <c r="EH60" s="68"/>
      <c r="EM60" s="84"/>
      <c r="EP60" s="68"/>
      <c r="EU60" s="84">
        <v>2000</v>
      </c>
      <c r="EV60" s="68"/>
      <c r="EW60" s="17">
        <v>0</v>
      </c>
      <c r="EX60" s="17">
        <v>0</v>
      </c>
      <c r="EY60" s="17">
        <v>0</v>
      </c>
      <c r="EZ60" s="85">
        <v>122</v>
      </c>
      <c r="FA60" s="17">
        <v>3.2</v>
      </c>
      <c r="FC60" s="85">
        <v>420</v>
      </c>
      <c r="FD60" s="17">
        <v>51</v>
      </c>
      <c r="FE60" s="17">
        <v>44</v>
      </c>
      <c r="FF60" s="17">
        <v>48</v>
      </c>
      <c r="FG60" s="84">
        <v>112</v>
      </c>
      <c r="FH60" s="17">
        <v>134</v>
      </c>
      <c r="FI60" s="95">
        <v>122</v>
      </c>
      <c r="FJ60" s="90">
        <v>28.92</v>
      </c>
      <c r="FK60" s="91">
        <v>24.83</v>
      </c>
      <c r="FL60" s="68">
        <v>27</v>
      </c>
      <c r="FM60" s="84">
        <v>0.57399999999999995</v>
      </c>
      <c r="FN60" s="17">
        <v>0.52500000000000002</v>
      </c>
      <c r="FO60" s="68">
        <v>0.55300000000000005</v>
      </c>
      <c r="FP60" s="92">
        <v>0</v>
      </c>
      <c r="FQ60" s="92">
        <v>0</v>
      </c>
      <c r="FR60" s="92">
        <v>0</v>
      </c>
      <c r="FS60" s="93">
        <v>12</v>
      </c>
    </row>
    <row r="61" spans="1:190" s="17" customFormat="1" x14ac:dyDescent="0.35">
      <c r="A61" s="17">
        <v>2026</v>
      </c>
      <c r="B61" s="141" t="s">
        <v>978</v>
      </c>
      <c r="C61" s="141" t="s">
        <v>979</v>
      </c>
      <c r="D61" s="141" t="s">
        <v>1913</v>
      </c>
      <c r="E61" s="141" t="s">
        <v>981</v>
      </c>
      <c r="F61" s="141">
        <v>72</v>
      </c>
      <c r="G61" s="141">
        <v>2.5</v>
      </c>
      <c r="H61" s="141">
        <v>4</v>
      </c>
      <c r="I61" s="142" t="s">
        <v>487</v>
      </c>
      <c r="J61" s="17">
        <v>34</v>
      </c>
      <c r="K61" s="17">
        <v>32</v>
      </c>
      <c r="L61" s="17">
        <v>33</v>
      </c>
      <c r="M61" s="17">
        <v>45.8</v>
      </c>
      <c r="N61" s="17">
        <v>46</v>
      </c>
      <c r="O61" s="17">
        <v>45.889800000000001</v>
      </c>
      <c r="P61" s="17">
        <v>33.959600000000002</v>
      </c>
      <c r="Q61" s="17">
        <v>31.9178</v>
      </c>
      <c r="R61" s="17">
        <v>33.009300000000003</v>
      </c>
      <c r="T61" s="17" t="s">
        <v>1890</v>
      </c>
      <c r="U61" s="17" t="s">
        <v>215</v>
      </c>
      <c r="V61" s="17" t="s">
        <v>488</v>
      </c>
      <c r="W61" s="17" t="s">
        <v>489</v>
      </c>
      <c r="Y61" s="17">
        <v>1</v>
      </c>
      <c r="Z61" s="17" t="s">
        <v>173</v>
      </c>
      <c r="AA61" s="17" t="s">
        <v>173</v>
      </c>
      <c r="AB61" s="17" t="s">
        <v>769</v>
      </c>
      <c r="AC61" s="17" t="s">
        <v>770</v>
      </c>
      <c r="AD61" s="17">
        <v>85</v>
      </c>
      <c r="AF61" s="17">
        <v>420</v>
      </c>
      <c r="AG61" s="17" t="s">
        <v>167</v>
      </c>
      <c r="AH61" s="17" t="s">
        <v>416</v>
      </c>
      <c r="AI61" s="17" t="s">
        <v>178</v>
      </c>
      <c r="AJ61" s="17" t="s">
        <v>179</v>
      </c>
      <c r="AK61" s="84" t="s">
        <v>664</v>
      </c>
      <c r="AL61" s="17" t="s">
        <v>665</v>
      </c>
      <c r="AR61" s="68"/>
      <c r="AS61" s="17">
        <v>1300</v>
      </c>
      <c r="AT61" s="17">
        <v>1300</v>
      </c>
      <c r="AU61" s="17">
        <v>83</v>
      </c>
      <c r="AV61" s="17">
        <v>69</v>
      </c>
      <c r="AW61" s="17">
        <v>76</v>
      </c>
      <c r="AX61" s="17">
        <v>119</v>
      </c>
      <c r="AY61" s="17">
        <v>98.6</v>
      </c>
      <c r="AZ61" s="17">
        <v>108.8644</v>
      </c>
      <c r="BA61" s="17">
        <v>83.438199999999995</v>
      </c>
      <c r="BB61" s="17">
        <v>69.052099999999996</v>
      </c>
      <c r="BC61" s="17">
        <v>76.286199999999994</v>
      </c>
      <c r="BD61" s="17">
        <v>27</v>
      </c>
      <c r="BE61" s="17" t="s">
        <v>1392</v>
      </c>
      <c r="BF61" s="17" t="s">
        <v>1393</v>
      </c>
      <c r="BG61" s="17" t="s">
        <v>178</v>
      </c>
      <c r="BH61" s="17" t="s">
        <v>179</v>
      </c>
      <c r="BI61" s="17">
        <v>1300</v>
      </c>
      <c r="BN61" s="86" t="s">
        <v>1891</v>
      </c>
      <c r="BO61" s="17">
        <v>2</v>
      </c>
      <c r="BP61" s="17">
        <v>2</v>
      </c>
      <c r="BQ61" s="17">
        <v>31</v>
      </c>
      <c r="BR61" s="17" t="s">
        <v>887</v>
      </c>
      <c r="BT61" s="17" t="s">
        <v>1838</v>
      </c>
      <c r="BU61" s="87">
        <v>45884</v>
      </c>
      <c r="BV61" s="68">
        <v>37442</v>
      </c>
      <c r="BW61" s="88"/>
      <c r="BX61" s="17" t="s">
        <v>173</v>
      </c>
      <c r="BY61" s="17" t="s">
        <v>173</v>
      </c>
      <c r="CB61" s="17" t="s">
        <v>173</v>
      </c>
      <c r="CC61" s="17" t="s">
        <v>173</v>
      </c>
      <c r="CD61" s="17" t="s">
        <v>1914</v>
      </c>
      <c r="CE61" s="17" t="s">
        <v>173</v>
      </c>
      <c r="CG61" s="17" t="s">
        <v>172</v>
      </c>
      <c r="CH61" s="17" t="s">
        <v>987</v>
      </c>
      <c r="CI61" s="17" t="s">
        <v>173</v>
      </c>
      <c r="CK61" s="17" t="s">
        <v>259</v>
      </c>
      <c r="CM61" s="17">
        <v>1</v>
      </c>
      <c r="CN61" s="17" t="s">
        <v>260</v>
      </c>
      <c r="CP61" s="17">
        <v>302</v>
      </c>
      <c r="CQ61" s="17">
        <v>48</v>
      </c>
      <c r="CR61" s="17">
        <v>84.6</v>
      </c>
      <c r="CS61" s="17" t="s">
        <v>1437</v>
      </c>
      <c r="CV61" s="17" t="s">
        <v>262</v>
      </c>
      <c r="CX61" s="17" t="s">
        <v>263</v>
      </c>
      <c r="CY61" s="17" t="s">
        <v>173</v>
      </c>
      <c r="DD61" s="17">
        <v>2</v>
      </c>
      <c r="DE61" s="17" t="s">
        <v>530</v>
      </c>
      <c r="DG61" s="17" t="s">
        <v>1915</v>
      </c>
      <c r="DJ61" s="17" t="s">
        <v>186</v>
      </c>
      <c r="DK61" s="17" t="s">
        <v>187</v>
      </c>
      <c r="DL61" s="17" t="s">
        <v>173</v>
      </c>
      <c r="DM61" s="17" t="s">
        <v>172</v>
      </c>
      <c r="DN61" s="17" t="s">
        <v>173</v>
      </c>
      <c r="DO61" s="17" t="s">
        <v>1283</v>
      </c>
      <c r="DP61" s="17" t="s">
        <v>172</v>
      </c>
      <c r="DQ61" s="17" t="s">
        <v>204</v>
      </c>
      <c r="DS61" s="17" t="s">
        <v>1852</v>
      </c>
      <c r="DT61" s="17" t="s">
        <v>1853</v>
      </c>
      <c r="DU61" s="17" t="s">
        <v>1843</v>
      </c>
      <c r="DV61" s="17" t="s">
        <v>1844</v>
      </c>
      <c r="DY61" s="17">
        <v>46.1</v>
      </c>
      <c r="EA61" s="89"/>
      <c r="EB61" s="17">
        <v>6</v>
      </c>
      <c r="EC61" s="17">
        <v>6</v>
      </c>
      <c r="ED61" s="17">
        <v>10</v>
      </c>
      <c r="EE61" s="84" t="s">
        <v>1916</v>
      </c>
      <c r="EF61" s="17">
        <v>7</v>
      </c>
      <c r="EH61" s="68"/>
      <c r="EM61" s="84"/>
      <c r="EP61" s="68"/>
      <c r="EU61" s="84">
        <v>2000</v>
      </c>
      <c r="EV61" s="68"/>
      <c r="EW61" s="17">
        <v>260</v>
      </c>
      <c r="EX61" s="17">
        <v>277</v>
      </c>
      <c r="EY61" s="17">
        <v>268</v>
      </c>
      <c r="EZ61" s="85">
        <v>122</v>
      </c>
      <c r="FA61" s="17">
        <v>3.2</v>
      </c>
      <c r="FC61" s="85">
        <v>420</v>
      </c>
      <c r="FD61" s="17">
        <v>51</v>
      </c>
      <c r="FE61" s="17">
        <v>44</v>
      </c>
      <c r="FF61" s="17">
        <v>48</v>
      </c>
      <c r="FG61" s="84">
        <v>112</v>
      </c>
      <c r="FH61" s="17">
        <v>134</v>
      </c>
      <c r="FI61" s="95">
        <v>122</v>
      </c>
      <c r="FJ61" s="84" t="s">
        <v>1917</v>
      </c>
      <c r="FK61" s="94"/>
      <c r="FL61" s="95"/>
      <c r="FM61" s="84">
        <v>0.57399999999999995</v>
      </c>
      <c r="FN61" s="17">
        <v>0.52500000000000002</v>
      </c>
      <c r="FO61" s="68">
        <v>0.55300000000000005</v>
      </c>
      <c r="FP61" s="92"/>
      <c r="FQ61" s="92"/>
      <c r="FR61" s="92"/>
      <c r="FS61" s="93">
        <v>12</v>
      </c>
    </row>
    <row r="62" spans="1:190" s="66" customFormat="1" x14ac:dyDescent="0.35">
      <c r="A62" s="17"/>
      <c r="E62" s="17"/>
      <c r="F62" s="17"/>
      <c r="G62" s="67"/>
      <c r="H62" s="17"/>
      <c r="I62" s="68"/>
      <c r="J62" s="19"/>
      <c r="K62" s="70"/>
      <c r="L62" s="70"/>
      <c r="M62" s="19" t="str">
        <f>_xlfn.CONCAT(A63," ",C63," ",D63)</f>
        <v>2026 Mercedes-Benz AMG E 53 HYBRID 4MATIC+</v>
      </c>
      <c r="N62" s="70"/>
      <c r="O62" s="70"/>
      <c r="P62" s="70"/>
      <c r="Q62" s="70"/>
      <c r="R62" s="70"/>
      <c r="S62" s="70"/>
      <c r="T62" s="70"/>
      <c r="U62" s="70"/>
      <c r="V62" s="70"/>
      <c r="W62" s="70"/>
      <c r="X62" s="70"/>
      <c r="Y62" s="70"/>
      <c r="Z62" s="70"/>
      <c r="AA62" s="70"/>
      <c r="AB62" s="70"/>
      <c r="AC62" s="70"/>
      <c r="AD62" s="19" t="str">
        <f>$M62</f>
        <v>2026 Mercedes-Benz AMG E 53 HYBRID 4MATIC+</v>
      </c>
      <c r="AE62" s="70"/>
      <c r="AF62" s="70"/>
      <c r="AG62" s="70"/>
      <c r="AH62" s="70"/>
      <c r="AI62" s="70"/>
      <c r="AJ62" s="70"/>
      <c r="AK62" s="71"/>
      <c r="AL62" s="1"/>
      <c r="AM62" s="1"/>
      <c r="AN62" s="1"/>
      <c r="AO62" s="1"/>
      <c r="AP62" s="1"/>
      <c r="AQ62" s="1"/>
      <c r="AR62" s="72"/>
      <c r="AS62" s="70"/>
      <c r="AT62" s="19" t="str">
        <f>$M62</f>
        <v>2026 Mercedes-Benz AMG E 53 HYBRID 4MATIC+</v>
      </c>
      <c r="AU62" s="70"/>
      <c r="AV62" s="70"/>
      <c r="AW62" s="70"/>
      <c r="AX62" s="70"/>
      <c r="AY62" s="70"/>
      <c r="AZ62" s="70"/>
      <c r="BA62" s="70"/>
      <c r="BB62" s="70"/>
      <c r="BC62" s="70"/>
      <c r="BD62" s="70"/>
      <c r="BE62" s="70"/>
      <c r="BF62" s="70"/>
      <c r="BG62" s="70"/>
      <c r="BH62" s="70"/>
      <c r="BI62" s="19" t="str">
        <f>$M62</f>
        <v>2026 Mercedes-Benz AMG E 53 HYBRID 4MATIC+</v>
      </c>
      <c r="BJ62" s="70"/>
      <c r="BK62" s="70"/>
      <c r="BL62" s="70"/>
      <c r="BM62" s="70"/>
      <c r="BN62" s="71"/>
      <c r="BO62" s="1"/>
      <c r="BP62" s="1"/>
      <c r="BQ62" s="1"/>
      <c r="BR62" s="1"/>
      <c r="BS62" s="1"/>
      <c r="BT62" s="73"/>
      <c r="BU62" s="1"/>
      <c r="BV62" s="72"/>
      <c r="BW62" s="74"/>
      <c r="BX62" s="70"/>
      <c r="BY62" s="19" t="str">
        <f>$M62</f>
        <v>2026 Mercedes-Benz AMG E 53 HYBRID 4MATIC+</v>
      </c>
      <c r="BZ62" s="70"/>
      <c r="CA62" s="70"/>
      <c r="CB62" s="70"/>
      <c r="CC62" s="70"/>
      <c r="CD62" s="70"/>
      <c r="CE62" s="75"/>
      <c r="CF62" s="70"/>
      <c r="CG62" s="70"/>
      <c r="CH62" s="70"/>
      <c r="CI62" s="70"/>
      <c r="CJ62" s="70"/>
      <c r="CK62" s="70"/>
      <c r="CL62" s="70"/>
      <c r="CM62" s="70"/>
      <c r="CN62" s="70"/>
      <c r="CO62" s="19" t="str">
        <f>$M62</f>
        <v>2026 Mercedes-Benz AMG E 53 HYBRID 4MATIC+</v>
      </c>
      <c r="CP62" s="70"/>
      <c r="CQ62" s="70"/>
      <c r="CR62" s="70"/>
      <c r="CS62" s="70"/>
      <c r="CT62" s="70"/>
      <c r="CU62" s="70"/>
      <c r="CV62" s="70"/>
      <c r="CW62" s="70"/>
      <c r="CX62" s="70"/>
      <c r="CY62" s="70"/>
      <c r="CZ62" s="70"/>
      <c r="DA62" s="70"/>
      <c r="DB62" s="70"/>
      <c r="DC62" s="70"/>
      <c r="DD62" s="70"/>
      <c r="DE62" s="70"/>
      <c r="DF62" s="19" t="str">
        <f>$M62</f>
        <v>2026 Mercedes-Benz AMG E 53 HYBRID 4MATIC+</v>
      </c>
      <c r="DG62" s="70"/>
      <c r="DH62" s="70"/>
      <c r="DI62" s="70"/>
      <c r="DJ62" s="70"/>
      <c r="DK62" s="70"/>
      <c r="DL62" s="70"/>
      <c r="DM62" s="70"/>
      <c r="DN62" s="70"/>
      <c r="DO62" s="70"/>
      <c r="DP62" s="70"/>
      <c r="DQ62" s="70"/>
      <c r="DR62" s="19"/>
      <c r="DS62" s="19"/>
      <c r="DT62" s="19"/>
      <c r="DU62" s="19"/>
      <c r="DV62" s="19"/>
      <c r="DW62" s="19" t="str">
        <f>$M62</f>
        <v>2026 Mercedes-Benz AMG E 53 HYBRID 4MATIC+</v>
      </c>
      <c r="DX62" s="19"/>
      <c r="DY62" s="19"/>
      <c r="DZ62" s="19"/>
      <c r="EA62" s="76"/>
      <c r="EB62" s="19"/>
      <c r="EC62" s="19"/>
      <c r="ED62" s="19"/>
      <c r="EE62" s="69"/>
      <c r="EF62" s="19"/>
      <c r="EG62" s="19"/>
      <c r="EH62" s="77"/>
      <c r="EI62" s="19"/>
      <c r="EK62" t="s">
        <v>1802</v>
      </c>
      <c r="EL62" s="19" t="str">
        <f>$M62</f>
        <v>2026 Mercedes-Benz AMG E 53 HYBRID 4MATIC+</v>
      </c>
      <c r="EM62" s="69"/>
      <c r="EP62" s="65"/>
      <c r="EU62" s="78"/>
      <c r="EV62" s="65"/>
      <c r="EZ62" s="83"/>
      <c r="FA62" s="19" t="str">
        <f>$M62</f>
        <v>2026 Mercedes-Benz AMG E 53 HYBRID 4MATIC+</v>
      </c>
      <c r="FC62" s="79"/>
      <c r="FD62" s="19"/>
      <c r="FE62" s="19"/>
      <c r="FF62" s="19"/>
      <c r="FG62" s="69"/>
      <c r="FH62" s="19"/>
      <c r="FI62" s="77"/>
      <c r="FJ62" s="69"/>
      <c r="FK62" s="19"/>
      <c r="FL62" s="77"/>
      <c r="FM62" s="69" t="str">
        <f>$M62</f>
        <v>2026 Mercedes-Benz AMG E 53 HYBRID 4MATIC+</v>
      </c>
      <c r="FN62" s="19"/>
      <c r="FO62" s="77"/>
      <c r="FP62" s="81"/>
      <c r="FQ62" s="81"/>
      <c r="FR62" s="81"/>
      <c r="FS62" s="82"/>
      <c r="FT62" s="19"/>
      <c r="FU62" s="19"/>
      <c r="FV62" s="19"/>
      <c r="FW62" s="19"/>
      <c r="FX62" s="19"/>
      <c r="FY62" s="19"/>
      <c r="FZ62" s="19"/>
      <c r="GA62" s="19"/>
      <c r="GB62" s="19"/>
      <c r="GC62" s="19"/>
      <c r="GD62" s="19"/>
      <c r="GE62" s="19"/>
      <c r="GF62" s="19"/>
      <c r="GG62" s="19"/>
      <c r="GH62" s="19"/>
    </row>
    <row r="63" spans="1:190" s="17" customFormat="1" x14ac:dyDescent="0.35">
      <c r="A63" s="17">
        <v>2026</v>
      </c>
      <c r="B63" s="17" t="s">
        <v>228</v>
      </c>
      <c r="C63" s="17" t="s">
        <v>228</v>
      </c>
      <c r="D63" s="17" t="s">
        <v>1918</v>
      </c>
      <c r="E63" s="17" t="s">
        <v>230</v>
      </c>
      <c r="F63" s="17">
        <v>304</v>
      </c>
      <c r="G63" s="67">
        <v>3</v>
      </c>
      <c r="H63" s="17">
        <v>6</v>
      </c>
      <c r="I63" s="68" t="s">
        <v>231</v>
      </c>
      <c r="J63" s="17">
        <v>22</v>
      </c>
      <c r="K63" s="17">
        <v>27</v>
      </c>
      <c r="L63" s="17">
        <v>24</v>
      </c>
      <c r="M63" s="17">
        <v>27.4</v>
      </c>
      <c r="N63" s="17">
        <v>37.700000000000003</v>
      </c>
      <c r="O63" s="17">
        <v>31.2409</v>
      </c>
      <c r="P63" s="17">
        <v>21.537600000000001</v>
      </c>
      <c r="Q63" s="17">
        <v>26.646899999999999</v>
      </c>
      <c r="R63" s="17">
        <v>23.571400000000001</v>
      </c>
      <c r="T63" s="17" t="s">
        <v>168</v>
      </c>
      <c r="U63" s="17" t="s">
        <v>169</v>
      </c>
      <c r="V63" s="17" t="s">
        <v>170</v>
      </c>
      <c r="W63" s="17" t="s">
        <v>171</v>
      </c>
      <c r="Y63" s="17">
        <v>9</v>
      </c>
      <c r="Z63" s="17" t="s">
        <v>172</v>
      </c>
      <c r="AA63" s="17" t="s">
        <v>173</v>
      </c>
      <c r="AB63" s="17" t="s">
        <v>170</v>
      </c>
      <c r="AC63" s="17" t="s">
        <v>232</v>
      </c>
      <c r="AD63" s="17">
        <v>10</v>
      </c>
      <c r="AF63" s="17">
        <v>379</v>
      </c>
      <c r="AG63" s="17" t="s">
        <v>216</v>
      </c>
      <c r="AH63" s="17" t="s">
        <v>217</v>
      </c>
      <c r="AI63" s="17" t="s">
        <v>178</v>
      </c>
      <c r="AJ63" s="17" t="s">
        <v>179</v>
      </c>
      <c r="AK63" s="84" t="s">
        <v>173</v>
      </c>
      <c r="AL63" s="17" t="s">
        <v>180</v>
      </c>
      <c r="AO63" s="17">
        <v>100</v>
      </c>
      <c r="AP63" s="17">
        <v>13</v>
      </c>
      <c r="AR63" s="68"/>
      <c r="AS63" s="17">
        <v>1800</v>
      </c>
      <c r="AT63" s="17">
        <v>1800</v>
      </c>
      <c r="AU63" s="17">
        <v>61</v>
      </c>
      <c r="AV63" s="17">
        <v>50</v>
      </c>
      <c r="AW63" s="17">
        <v>56</v>
      </c>
      <c r="AX63" s="17">
        <v>43.4</v>
      </c>
      <c r="AY63" s="17">
        <v>34.9</v>
      </c>
      <c r="AZ63" s="17">
        <v>39.575000000000003</v>
      </c>
      <c r="BA63" s="17">
        <v>61.055999999999997</v>
      </c>
      <c r="BB63" s="17">
        <v>50.064</v>
      </c>
      <c r="BC63" s="17">
        <v>56.1096</v>
      </c>
      <c r="BD63" s="17">
        <v>44</v>
      </c>
      <c r="BE63" s="17" t="s">
        <v>1392</v>
      </c>
      <c r="BF63" s="17" t="s">
        <v>1393</v>
      </c>
      <c r="BG63" s="17" t="s">
        <v>1399</v>
      </c>
      <c r="BH63" s="17" t="s">
        <v>1400</v>
      </c>
      <c r="BI63" s="17">
        <v>1800</v>
      </c>
      <c r="BN63" s="86" t="s">
        <v>874</v>
      </c>
      <c r="BO63" s="17">
        <v>2</v>
      </c>
      <c r="BP63" s="17">
        <v>2</v>
      </c>
      <c r="BQ63" s="17">
        <v>5</v>
      </c>
      <c r="BR63" s="17" t="s">
        <v>460</v>
      </c>
      <c r="BS63" s="17" t="s">
        <v>182</v>
      </c>
      <c r="BT63" s="17" t="s">
        <v>1838</v>
      </c>
      <c r="BU63" s="87">
        <v>45884</v>
      </c>
      <c r="BV63" s="68">
        <v>37543</v>
      </c>
      <c r="BW63" s="88"/>
      <c r="BY63" s="17" t="s">
        <v>172</v>
      </c>
      <c r="BZ63" s="17" t="s">
        <v>875</v>
      </c>
      <c r="CA63" s="17" t="s">
        <v>876</v>
      </c>
      <c r="CB63" s="17" t="s">
        <v>173</v>
      </c>
      <c r="CC63" s="17" t="s">
        <v>173</v>
      </c>
      <c r="CD63" s="17" t="s">
        <v>1919</v>
      </c>
      <c r="CE63" s="17" t="s">
        <v>173</v>
      </c>
      <c r="CG63" s="17" t="s">
        <v>172</v>
      </c>
      <c r="CH63" s="17" t="s">
        <v>234</v>
      </c>
      <c r="CI63" s="17" t="s">
        <v>173</v>
      </c>
      <c r="CK63" s="17" t="s">
        <v>259</v>
      </c>
      <c r="CM63" s="17">
        <v>1</v>
      </c>
      <c r="CN63" s="17" t="s">
        <v>260</v>
      </c>
      <c r="CP63" s="17">
        <v>388</v>
      </c>
      <c r="CQ63" s="17">
        <v>74</v>
      </c>
      <c r="CR63" s="17">
        <v>119.1</v>
      </c>
      <c r="CS63" s="17" t="s">
        <v>1437</v>
      </c>
      <c r="CV63" s="17" t="s">
        <v>262</v>
      </c>
      <c r="CX63" s="17" t="s">
        <v>263</v>
      </c>
      <c r="CY63" s="17" t="s">
        <v>173</v>
      </c>
      <c r="DD63" s="17">
        <v>1</v>
      </c>
      <c r="DE63" s="17" t="s">
        <v>307</v>
      </c>
      <c r="DF63" s="17" t="s">
        <v>356</v>
      </c>
      <c r="DG63" s="17">
        <v>120</v>
      </c>
      <c r="DJ63" s="17" t="s">
        <v>201</v>
      </c>
      <c r="DK63" s="17" t="s">
        <v>202</v>
      </c>
      <c r="DL63" s="17" t="s">
        <v>173</v>
      </c>
      <c r="DM63" s="17" t="s">
        <v>172</v>
      </c>
      <c r="DN63" s="17" t="s">
        <v>173</v>
      </c>
      <c r="DO63" s="17" t="s">
        <v>203</v>
      </c>
      <c r="DP63" s="17" t="s">
        <v>173</v>
      </c>
      <c r="DQ63" s="17" t="s">
        <v>189</v>
      </c>
      <c r="DR63" s="17" t="s">
        <v>1918</v>
      </c>
      <c r="DS63" s="17" t="s">
        <v>1852</v>
      </c>
      <c r="DT63" s="17" t="s">
        <v>1853</v>
      </c>
      <c r="DU63" s="17" t="s">
        <v>1843</v>
      </c>
      <c r="DV63" s="17" t="s">
        <v>1844</v>
      </c>
      <c r="DY63" s="17">
        <v>31.4</v>
      </c>
      <c r="EA63" s="89"/>
      <c r="EB63" s="17">
        <v>7</v>
      </c>
      <c r="EC63" s="17">
        <v>9</v>
      </c>
      <c r="EE63" s="84" t="s">
        <v>1920</v>
      </c>
      <c r="EF63" s="17">
        <v>6</v>
      </c>
      <c r="EH63" s="68"/>
      <c r="EM63" s="84"/>
      <c r="EP63" s="68"/>
      <c r="EU63" s="84"/>
      <c r="EV63" s="68">
        <v>500</v>
      </c>
      <c r="EW63" s="17">
        <v>0</v>
      </c>
      <c r="EX63" s="17">
        <v>0</v>
      </c>
      <c r="EY63" s="17">
        <v>0</v>
      </c>
      <c r="EZ63" s="85">
        <v>115</v>
      </c>
      <c r="FA63" s="17">
        <v>2.75</v>
      </c>
      <c r="FC63" s="85">
        <v>420</v>
      </c>
      <c r="FD63" s="17">
        <v>36</v>
      </c>
      <c r="FE63" s="17">
        <v>47</v>
      </c>
      <c r="FF63" s="17">
        <v>40</v>
      </c>
      <c r="FG63" s="84">
        <v>135</v>
      </c>
      <c r="FH63" s="17">
        <v>91</v>
      </c>
      <c r="FI63" s="68">
        <v>115</v>
      </c>
      <c r="FJ63" s="84">
        <v>40.49</v>
      </c>
      <c r="FK63" s="17">
        <v>48.1</v>
      </c>
      <c r="FL63" s="68">
        <v>44</v>
      </c>
      <c r="FM63" s="84">
        <v>0.68100000000000005</v>
      </c>
      <c r="FN63" s="17">
        <v>0.73199999999999998</v>
      </c>
      <c r="FO63" s="68">
        <v>0.70599999999999996</v>
      </c>
      <c r="FP63" s="92">
        <v>0</v>
      </c>
      <c r="FQ63" s="92">
        <v>0</v>
      </c>
      <c r="FR63" s="92">
        <v>0</v>
      </c>
      <c r="FS63" s="97">
        <v>15.9</v>
      </c>
    </row>
    <row r="64" spans="1:190" s="17" customFormat="1" x14ac:dyDescent="0.35">
      <c r="A64" s="17">
        <v>2026</v>
      </c>
      <c r="B64" s="141" t="s">
        <v>228</v>
      </c>
      <c r="C64" s="141" t="s">
        <v>228</v>
      </c>
      <c r="D64" s="141" t="s">
        <v>1918</v>
      </c>
      <c r="E64" s="141" t="s">
        <v>230</v>
      </c>
      <c r="F64" s="141">
        <v>304</v>
      </c>
      <c r="G64" s="141">
        <v>3</v>
      </c>
      <c r="H64" s="141">
        <v>6</v>
      </c>
      <c r="I64" s="142" t="s">
        <v>231</v>
      </c>
      <c r="J64" s="17">
        <v>22</v>
      </c>
      <c r="K64" s="17">
        <v>27</v>
      </c>
      <c r="L64" s="17">
        <v>24</v>
      </c>
      <c r="M64" s="17">
        <v>27.4</v>
      </c>
      <c r="N64" s="17">
        <v>37.700000000000003</v>
      </c>
      <c r="O64" s="17">
        <v>31.2409</v>
      </c>
      <c r="P64" s="17">
        <v>21.537600000000001</v>
      </c>
      <c r="Q64" s="17">
        <v>26.646899999999999</v>
      </c>
      <c r="R64" s="17">
        <v>23.571400000000001</v>
      </c>
      <c r="T64" s="17" t="s">
        <v>168</v>
      </c>
      <c r="U64" s="17" t="s">
        <v>169</v>
      </c>
      <c r="V64" s="17" t="s">
        <v>170</v>
      </c>
      <c r="W64" s="17" t="s">
        <v>171</v>
      </c>
      <c r="Y64" s="17">
        <v>9</v>
      </c>
      <c r="Z64" s="17" t="s">
        <v>172</v>
      </c>
      <c r="AA64" s="17" t="s">
        <v>173</v>
      </c>
      <c r="AB64" s="17" t="s">
        <v>170</v>
      </c>
      <c r="AC64" s="17" t="s">
        <v>232</v>
      </c>
      <c r="AD64" s="17">
        <v>10</v>
      </c>
      <c r="AF64" s="17">
        <v>379</v>
      </c>
      <c r="AG64" s="17" t="s">
        <v>216</v>
      </c>
      <c r="AH64" s="17" t="s">
        <v>217</v>
      </c>
      <c r="AI64" s="17" t="s">
        <v>178</v>
      </c>
      <c r="AJ64" s="17" t="s">
        <v>179</v>
      </c>
      <c r="AK64" s="84" t="s">
        <v>173</v>
      </c>
      <c r="AL64" s="17" t="s">
        <v>180</v>
      </c>
      <c r="AO64" s="17">
        <v>100</v>
      </c>
      <c r="AP64" s="17">
        <v>13</v>
      </c>
      <c r="AR64" s="68"/>
      <c r="AS64" s="17">
        <v>1800</v>
      </c>
      <c r="AT64" s="17">
        <v>1800</v>
      </c>
      <c r="AU64" s="17">
        <v>55</v>
      </c>
      <c r="AV64" s="17">
        <v>68</v>
      </c>
      <c r="AW64" s="17">
        <v>60</v>
      </c>
      <c r="AX64" s="17">
        <v>77.7</v>
      </c>
      <c r="AY64" s="17">
        <v>96.5</v>
      </c>
      <c r="AZ64" s="17">
        <v>85.166399999999996</v>
      </c>
      <c r="BA64" s="17">
        <v>54.793999999999997</v>
      </c>
      <c r="BB64" s="17">
        <v>67.556600000000003</v>
      </c>
      <c r="BC64" s="17">
        <v>59.884999999999998</v>
      </c>
      <c r="BD64" s="17">
        <v>44</v>
      </c>
      <c r="BE64" s="17" t="s">
        <v>1392</v>
      </c>
      <c r="BF64" s="17" t="s">
        <v>1393</v>
      </c>
      <c r="BG64" s="17" t="s">
        <v>178</v>
      </c>
      <c r="BH64" s="17" t="s">
        <v>179</v>
      </c>
      <c r="BI64" s="17">
        <v>1800</v>
      </c>
      <c r="BN64" s="86" t="s">
        <v>874</v>
      </c>
      <c r="BO64" s="17">
        <v>2</v>
      </c>
      <c r="BP64" s="17">
        <v>2</v>
      </c>
      <c r="BQ64" s="17">
        <v>5</v>
      </c>
      <c r="BR64" s="17" t="s">
        <v>460</v>
      </c>
      <c r="BS64" s="17" t="s">
        <v>182</v>
      </c>
      <c r="BT64" s="17" t="s">
        <v>1838</v>
      </c>
      <c r="BU64" s="87">
        <v>45884</v>
      </c>
      <c r="BV64" s="68">
        <v>37543</v>
      </c>
      <c r="BW64" s="88"/>
      <c r="BY64" s="17" t="s">
        <v>172</v>
      </c>
      <c r="BZ64" s="17" t="s">
        <v>875</v>
      </c>
      <c r="CA64" s="17" t="s">
        <v>876</v>
      </c>
      <c r="CB64" s="17" t="s">
        <v>173</v>
      </c>
      <c r="CC64" s="17" t="s">
        <v>173</v>
      </c>
      <c r="CD64" s="17" t="s">
        <v>1919</v>
      </c>
      <c r="CE64" s="17" t="s">
        <v>173</v>
      </c>
      <c r="CG64" s="17" t="s">
        <v>172</v>
      </c>
      <c r="CH64" s="17" t="s">
        <v>234</v>
      </c>
      <c r="CI64" s="17" t="s">
        <v>173</v>
      </c>
      <c r="CK64" s="17" t="s">
        <v>259</v>
      </c>
      <c r="CM64" s="17">
        <v>1</v>
      </c>
      <c r="CN64" s="17" t="s">
        <v>260</v>
      </c>
      <c r="CP64" s="17">
        <v>388</v>
      </c>
      <c r="CQ64" s="17">
        <v>74</v>
      </c>
      <c r="CR64" s="17">
        <v>119.1</v>
      </c>
      <c r="CS64" s="17" t="s">
        <v>1437</v>
      </c>
      <c r="CV64" s="17" t="s">
        <v>262</v>
      </c>
      <c r="CX64" s="17" t="s">
        <v>263</v>
      </c>
      <c r="CY64" s="17" t="s">
        <v>173</v>
      </c>
      <c r="DD64" s="17">
        <v>1</v>
      </c>
      <c r="DE64" s="17" t="s">
        <v>307</v>
      </c>
      <c r="DF64" s="17" t="s">
        <v>356</v>
      </c>
      <c r="DG64" s="17">
        <v>120</v>
      </c>
      <c r="DJ64" s="17" t="s">
        <v>201</v>
      </c>
      <c r="DK64" s="17" t="s">
        <v>202</v>
      </c>
      <c r="DL64" s="17" t="s">
        <v>173</v>
      </c>
      <c r="DM64" s="17" t="s">
        <v>172</v>
      </c>
      <c r="DN64" s="17" t="s">
        <v>173</v>
      </c>
      <c r="DO64" s="17" t="s">
        <v>203</v>
      </c>
      <c r="DP64" s="17" t="s">
        <v>173</v>
      </c>
      <c r="DQ64" s="17" t="s">
        <v>189</v>
      </c>
      <c r="DR64" s="17" t="s">
        <v>1918</v>
      </c>
      <c r="DS64" s="17" t="s">
        <v>1852</v>
      </c>
      <c r="DT64" s="17" t="s">
        <v>1853</v>
      </c>
      <c r="DU64" s="17" t="s">
        <v>1843</v>
      </c>
      <c r="DV64" s="17" t="s">
        <v>1844</v>
      </c>
      <c r="DY64" s="17">
        <v>31.4</v>
      </c>
      <c r="EA64" s="89"/>
      <c r="EB64" s="17">
        <v>7</v>
      </c>
      <c r="EC64" s="17">
        <v>9</v>
      </c>
      <c r="EE64" s="84" t="s">
        <v>1920</v>
      </c>
      <c r="EF64" s="17">
        <v>6</v>
      </c>
      <c r="EH64" s="68"/>
      <c r="EM64" s="84"/>
      <c r="EP64" s="68"/>
      <c r="EU64" s="84"/>
      <c r="EV64" s="68">
        <v>500</v>
      </c>
      <c r="EW64" s="17">
        <v>411</v>
      </c>
      <c r="EX64" s="17">
        <v>333</v>
      </c>
      <c r="EY64" s="17">
        <v>376</v>
      </c>
      <c r="EZ64" s="85">
        <v>115</v>
      </c>
      <c r="FA64" s="17">
        <v>2.75</v>
      </c>
      <c r="FC64" s="85">
        <v>420</v>
      </c>
      <c r="FD64" s="17">
        <v>36</v>
      </c>
      <c r="FE64" s="17">
        <v>47</v>
      </c>
      <c r="FF64" s="17">
        <v>40</v>
      </c>
      <c r="FG64" s="84">
        <v>135</v>
      </c>
      <c r="FH64" s="17">
        <v>91</v>
      </c>
      <c r="FI64" s="68">
        <v>115</v>
      </c>
      <c r="FJ64" s="84" t="s">
        <v>1921</v>
      </c>
      <c r="FL64" s="68"/>
      <c r="FM64" s="84">
        <v>0.68100000000000005</v>
      </c>
      <c r="FN64" s="17">
        <v>0.73199999999999998</v>
      </c>
      <c r="FO64" s="68">
        <v>0.70599999999999996</v>
      </c>
      <c r="FP64" s="92"/>
      <c r="FQ64" s="92"/>
      <c r="FR64" s="92"/>
      <c r="FS64" s="97">
        <v>15.9</v>
      </c>
    </row>
    <row r="65" spans="1:190" s="66" customFormat="1" x14ac:dyDescent="0.35">
      <c r="A65" s="17"/>
      <c r="E65" s="17"/>
      <c r="F65" s="17"/>
      <c r="G65" s="67"/>
      <c r="H65" s="17"/>
      <c r="I65" s="68"/>
      <c r="J65" s="19"/>
      <c r="K65" s="70"/>
      <c r="L65" s="70"/>
      <c r="M65" s="19" t="str">
        <f>_xlfn.CONCAT(A66," ",C66," ",D66)</f>
        <v>2026 Mercedes-Benz AMG E 53 HYBRID 4MATIC+ (station wagon)</v>
      </c>
      <c r="N65" s="70"/>
      <c r="O65" s="70"/>
      <c r="P65" s="70"/>
      <c r="Q65" s="70"/>
      <c r="R65" s="70"/>
      <c r="S65" s="70"/>
      <c r="T65" s="70"/>
      <c r="U65" s="70"/>
      <c r="V65" s="70"/>
      <c r="W65" s="70"/>
      <c r="X65" s="70"/>
      <c r="Y65" s="70"/>
      <c r="Z65" s="70"/>
      <c r="AA65" s="70"/>
      <c r="AB65" s="70"/>
      <c r="AC65" s="70"/>
      <c r="AD65" s="19" t="str">
        <f>$M65</f>
        <v>2026 Mercedes-Benz AMG E 53 HYBRID 4MATIC+ (station wagon)</v>
      </c>
      <c r="AE65" s="70"/>
      <c r="AF65" s="70"/>
      <c r="AG65" s="70"/>
      <c r="AH65" s="70"/>
      <c r="AI65" s="70"/>
      <c r="AJ65" s="70"/>
      <c r="AK65" s="71"/>
      <c r="AL65" s="1"/>
      <c r="AM65" s="1"/>
      <c r="AN65" s="1"/>
      <c r="AO65" s="1"/>
      <c r="AP65" s="1"/>
      <c r="AQ65" s="1"/>
      <c r="AR65" s="72"/>
      <c r="AS65" s="70"/>
      <c r="AT65" s="19" t="str">
        <f>$M65</f>
        <v>2026 Mercedes-Benz AMG E 53 HYBRID 4MATIC+ (station wagon)</v>
      </c>
      <c r="AU65" s="70"/>
      <c r="AV65" s="70"/>
      <c r="AW65" s="70"/>
      <c r="AX65" s="70"/>
      <c r="AY65" s="70"/>
      <c r="AZ65" s="70"/>
      <c r="BA65" s="70"/>
      <c r="BB65" s="70"/>
      <c r="BC65" s="70"/>
      <c r="BD65" s="70"/>
      <c r="BE65" s="70"/>
      <c r="BF65" s="70"/>
      <c r="BG65" s="70"/>
      <c r="BH65" s="70"/>
      <c r="BI65" s="19" t="str">
        <f>$M65</f>
        <v>2026 Mercedes-Benz AMG E 53 HYBRID 4MATIC+ (station wagon)</v>
      </c>
      <c r="BJ65" s="70"/>
      <c r="BK65" s="70"/>
      <c r="BL65" s="70"/>
      <c r="BM65" s="70"/>
      <c r="BN65" s="71"/>
      <c r="BO65" s="1"/>
      <c r="BP65" s="1"/>
      <c r="BQ65" s="1"/>
      <c r="BR65" s="1"/>
      <c r="BS65" s="1"/>
      <c r="BT65" s="73"/>
      <c r="BU65" s="1"/>
      <c r="BV65" s="72"/>
      <c r="BW65" s="74"/>
      <c r="BX65" s="70"/>
      <c r="BY65" s="19" t="str">
        <f>$M65</f>
        <v>2026 Mercedes-Benz AMG E 53 HYBRID 4MATIC+ (station wagon)</v>
      </c>
      <c r="BZ65" s="70"/>
      <c r="CA65" s="70"/>
      <c r="CB65" s="70"/>
      <c r="CC65" s="70"/>
      <c r="CD65" s="70"/>
      <c r="CE65" s="75"/>
      <c r="CF65" s="70"/>
      <c r="CG65" s="70"/>
      <c r="CH65" s="70"/>
      <c r="CI65" s="70"/>
      <c r="CJ65" s="70"/>
      <c r="CK65" s="70"/>
      <c r="CL65" s="70"/>
      <c r="CM65" s="70"/>
      <c r="CN65" s="70"/>
      <c r="CO65" s="19" t="str">
        <f>$M65</f>
        <v>2026 Mercedes-Benz AMG E 53 HYBRID 4MATIC+ (station wagon)</v>
      </c>
      <c r="CP65" s="70"/>
      <c r="CQ65" s="70"/>
      <c r="CR65" s="70"/>
      <c r="CS65" s="70"/>
      <c r="CT65" s="70"/>
      <c r="CU65" s="70"/>
      <c r="CV65" s="70"/>
      <c r="CW65" s="70"/>
      <c r="CX65" s="70"/>
      <c r="CY65" s="70"/>
      <c r="CZ65" s="70"/>
      <c r="DA65" s="70"/>
      <c r="DB65" s="70"/>
      <c r="DC65" s="70"/>
      <c r="DD65" s="70"/>
      <c r="DE65" s="70"/>
      <c r="DF65" s="19" t="str">
        <f>$M65</f>
        <v>2026 Mercedes-Benz AMG E 53 HYBRID 4MATIC+ (station wagon)</v>
      </c>
      <c r="DG65" s="70"/>
      <c r="DH65" s="70"/>
      <c r="DI65" s="70"/>
      <c r="DJ65" s="70"/>
      <c r="DK65" s="70"/>
      <c r="DL65" s="70"/>
      <c r="DM65" s="70"/>
      <c r="DN65" s="70"/>
      <c r="DO65" s="70"/>
      <c r="DP65" s="70"/>
      <c r="DQ65" s="70"/>
      <c r="DR65" s="19"/>
      <c r="DS65" s="19"/>
      <c r="DT65" s="19"/>
      <c r="DU65" s="19"/>
      <c r="DV65" s="19"/>
      <c r="DW65" s="19" t="str">
        <f>$M65</f>
        <v>2026 Mercedes-Benz AMG E 53 HYBRID 4MATIC+ (station wagon)</v>
      </c>
      <c r="DX65" s="19"/>
      <c r="DY65" s="19"/>
      <c r="DZ65" s="19"/>
      <c r="EA65" s="76"/>
      <c r="EB65" s="19"/>
      <c r="EC65" s="19"/>
      <c r="ED65" s="19"/>
      <c r="EE65" s="69"/>
      <c r="EF65" s="19"/>
      <c r="EG65" s="19"/>
      <c r="EH65" s="77"/>
      <c r="EI65" s="19"/>
      <c r="EK65" t="s">
        <v>1802</v>
      </c>
      <c r="EL65" s="19" t="str">
        <f>$M65</f>
        <v>2026 Mercedes-Benz AMG E 53 HYBRID 4MATIC+ (station wagon)</v>
      </c>
      <c r="EM65" s="69"/>
      <c r="EP65" s="65"/>
      <c r="EU65" s="78"/>
      <c r="EV65" s="65"/>
      <c r="EZ65" s="83"/>
      <c r="FA65" s="19" t="str">
        <f>$M65</f>
        <v>2026 Mercedes-Benz AMG E 53 HYBRID 4MATIC+ (station wagon)</v>
      </c>
      <c r="FC65" s="79"/>
      <c r="FD65" s="19"/>
      <c r="FE65" s="19"/>
      <c r="FF65" s="19"/>
      <c r="FG65" s="69"/>
      <c r="FH65" s="19"/>
      <c r="FI65" s="77"/>
      <c r="FJ65" s="69"/>
      <c r="FK65" s="19"/>
      <c r="FL65" s="77"/>
      <c r="FM65" s="69" t="str">
        <f>$M65</f>
        <v>2026 Mercedes-Benz AMG E 53 HYBRID 4MATIC+ (station wagon)</v>
      </c>
      <c r="FN65" s="19"/>
      <c r="FO65" s="77"/>
      <c r="FP65" s="81"/>
      <c r="FQ65" s="81"/>
      <c r="FR65" s="81"/>
      <c r="FS65" s="82"/>
      <c r="FT65" s="19"/>
      <c r="FU65" s="19"/>
      <c r="FV65" s="19"/>
      <c r="FW65" s="19"/>
      <c r="FX65" s="19"/>
      <c r="FY65" s="19"/>
      <c r="FZ65" s="19"/>
      <c r="GA65" s="19"/>
      <c r="GB65" s="19"/>
      <c r="GC65" s="19"/>
      <c r="GD65" s="19"/>
      <c r="GE65" s="19"/>
      <c r="GF65" s="19"/>
      <c r="GG65" s="19"/>
      <c r="GH65" s="19"/>
    </row>
    <row r="66" spans="1:190" s="17" customFormat="1" x14ac:dyDescent="0.35">
      <c r="A66" s="17">
        <v>2026</v>
      </c>
      <c r="B66" s="17" t="s">
        <v>228</v>
      </c>
      <c r="C66" s="17" t="s">
        <v>228</v>
      </c>
      <c r="D66" s="17" t="s">
        <v>1922</v>
      </c>
      <c r="E66" s="17" t="s">
        <v>230</v>
      </c>
      <c r="F66" s="17">
        <v>305</v>
      </c>
      <c r="G66" s="67">
        <v>3</v>
      </c>
      <c r="H66" s="17">
        <v>6</v>
      </c>
      <c r="I66" s="68" t="s">
        <v>231</v>
      </c>
      <c r="J66" s="17">
        <v>21</v>
      </c>
      <c r="K66" s="17">
        <v>25</v>
      </c>
      <c r="L66" s="17">
        <v>22</v>
      </c>
      <c r="M66" s="17">
        <v>26.2</v>
      </c>
      <c r="N66" s="17">
        <v>35.299999999999997</v>
      </c>
      <c r="O66" s="17">
        <v>29.638200000000001</v>
      </c>
      <c r="P66" s="17">
        <v>20.674099999999999</v>
      </c>
      <c r="Q66" s="17">
        <v>25.086300000000001</v>
      </c>
      <c r="R66" s="17">
        <v>22.451000000000001</v>
      </c>
      <c r="T66" s="17" t="s">
        <v>168</v>
      </c>
      <c r="U66" s="17" t="s">
        <v>169</v>
      </c>
      <c r="V66" s="17" t="s">
        <v>170</v>
      </c>
      <c r="W66" s="17" t="s">
        <v>171</v>
      </c>
      <c r="Y66" s="17">
        <v>9</v>
      </c>
      <c r="Z66" s="17" t="s">
        <v>172</v>
      </c>
      <c r="AA66" s="17" t="s">
        <v>173</v>
      </c>
      <c r="AB66" s="17" t="s">
        <v>170</v>
      </c>
      <c r="AC66" s="17" t="s">
        <v>232</v>
      </c>
      <c r="AD66" s="17">
        <v>10</v>
      </c>
      <c r="AF66" s="17">
        <v>360</v>
      </c>
      <c r="AG66" s="17" t="s">
        <v>216</v>
      </c>
      <c r="AH66" s="17" t="s">
        <v>217</v>
      </c>
      <c r="AI66" s="17" t="s">
        <v>178</v>
      </c>
      <c r="AJ66" s="17" t="s">
        <v>179</v>
      </c>
      <c r="AK66" s="84" t="s">
        <v>173</v>
      </c>
      <c r="AL66" s="17" t="s">
        <v>180</v>
      </c>
      <c r="AO66" s="17">
        <v>102</v>
      </c>
      <c r="AP66" s="17">
        <v>33</v>
      </c>
      <c r="AR66" s="68"/>
      <c r="AS66" s="17">
        <v>1900</v>
      </c>
      <c r="AT66" s="17">
        <v>1900</v>
      </c>
      <c r="AU66" s="17">
        <v>65</v>
      </c>
      <c r="AV66" s="17">
        <v>53</v>
      </c>
      <c r="AW66" s="17">
        <v>59</v>
      </c>
      <c r="AX66" s="17">
        <v>45.9</v>
      </c>
      <c r="AY66" s="17">
        <v>37.1</v>
      </c>
      <c r="AZ66" s="17">
        <v>41.94</v>
      </c>
      <c r="BA66" s="17">
        <v>64.686000000000007</v>
      </c>
      <c r="BB66" s="17">
        <v>53.015000000000001</v>
      </c>
      <c r="BC66" s="17">
        <v>59.433999999999997</v>
      </c>
      <c r="BD66" s="17">
        <v>41</v>
      </c>
      <c r="BE66" s="17" t="s">
        <v>1392</v>
      </c>
      <c r="BF66" s="17" t="s">
        <v>1393</v>
      </c>
      <c r="BG66" s="17" t="s">
        <v>1399</v>
      </c>
      <c r="BH66" s="17" t="s">
        <v>1400</v>
      </c>
      <c r="BI66" s="17">
        <v>1900</v>
      </c>
      <c r="BN66" s="86" t="s">
        <v>1837</v>
      </c>
      <c r="BO66" s="17">
        <v>2</v>
      </c>
      <c r="BP66" s="17">
        <v>2</v>
      </c>
      <c r="BQ66" s="17">
        <v>8</v>
      </c>
      <c r="BR66" s="17" t="s">
        <v>651</v>
      </c>
      <c r="BS66" s="17" t="s">
        <v>182</v>
      </c>
      <c r="BT66" s="17" t="s">
        <v>1838</v>
      </c>
      <c r="BU66" s="87">
        <v>45909</v>
      </c>
      <c r="BV66" s="68">
        <v>37555</v>
      </c>
      <c r="BW66" s="88"/>
      <c r="CB66" s="17" t="s">
        <v>173</v>
      </c>
      <c r="CC66" s="17" t="s">
        <v>173</v>
      </c>
      <c r="CD66" s="17" t="s">
        <v>1919</v>
      </c>
      <c r="CE66" s="17" t="s">
        <v>173</v>
      </c>
      <c r="CG66" s="17" t="s">
        <v>172</v>
      </c>
      <c r="CH66" s="17" t="s">
        <v>234</v>
      </c>
      <c r="CI66" s="17" t="s">
        <v>173</v>
      </c>
      <c r="CK66" s="17" t="s">
        <v>259</v>
      </c>
      <c r="CM66" s="17">
        <v>1</v>
      </c>
      <c r="CN66" s="17" t="s">
        <v>260</v>
      </c>
      <c r="CP66" s="17">
        <v>388</v>
      </c>
      <c r="CQ66" s="17">
        <v>74</v>
      </c>
      <c r="CR66" s="17">
        <v>119.1</v>
      </c>
      <c r="CS66" s="17" t="s">
        <v>1437</v>
      </c>
      <c r="CV66" s="17" t="s">
        <v>262</v>
      </c>
      <c r="CX66" s="17" t="s">
        <v>263</v>
      </c>
      <c r="CY66" s="17" t="s">
        <v>173</v>
      </c>
      <c r="DD66" s="17">
        <v>1</v>
      </c>
      <c r="DE66" s="17" t="s">
        <v>307</v>
      </c>
      <c r="DF66" s="17" t="s">
        <v>356</v>
      </c>
      <c r="DG66" s="17">
        <v>120</v>
      </c>
      <c r="DJ66" s="17" t="s">
        <v>201</v>
      </c>
      <c r="DK66" s="17" t="s">
        <v>202</v>
      </c>
      <c r="DL66" s="17" t="s">
        <v>173</v>
      </c>
      <c r="DM66" s="17" t="s">
        <v>172</v>
      </c>
      <c r="DN66" s="17" t="s">
        <v>173</v>
      </c>
      <c r="DO66" s="17" t="s">
        <v>203</v>
      </c>
      <c r="DP66" s="17" t="s">
        <v>173</v>
      </c>
      <c r="DQ66" s="17" t="s">
        <v>189</v>
      </c>
      <c r="DR66" s="17" t="s">
        <v>1923</v>
      </c>
      <c r="DS66" s="17" t="s">
        <v>1852</v>
      </c>
      <c r="DT66" s="17" t="s">
        <v>1853</v>
      </c>
      <c r="DU66" s="17" t="s">
        <v>1843</v>
      </c>
      <c r="DV66" s="17" t="s">
        <v>1844</v>
      </c>
      <c r="DY66" s="17">
        <v>29.8</v>
      </c>
      <c r="EA66" s="89"/>
      <c r="EB66" s="17">
        <v>7</v>
      </c>
      <c r="EC66" s="17">
        <v>9</v>
      </c>
      <c r="EE66" s="84" t="s">
        <v>1920</v>
      </c>
      <c r="EF66" s="17">
        <v>6</v>
      </c>
      <c r="EH66" s="68"/>
      <c r="EM66" s="84"/>
      <c r="EP66" s="68"/>
      <c r="EU66" s="84"/>
      <c r="EV66" s="68">
        <v>1000</v>
      </c>
      <c r="EW66" s="17">
        <v>0</v>
      </c>
      <c r="EX66" s="17">
        <v>0</v>
      </c>
      <c r="EY66" s="17">
        <v>0</v>
      </c>
      <c r="EZ66" s="85">
        <v>127</v>
      </c>
      <c r="FA66" s="17">
        <v>2.75</v>
      </c>
      <c r="FC66" s="85">
        <v>400</v>
      </c>
      <c r="FD66" s="17">
        <v>34</v>
      </c>
      <c r="FE66" s="17">
        <v>44</v>
      </c>
      <c r="FF66" s="17">
        <v>38</v>
      </c>
      <c r="FG66" s="84">
        <v>146</v>
      </c>
      <c r="FH66" s="17">
        <v>102</v>
      </c>
      <c r="FI66" s="68">
        <v>127</v>
      </c>
      <c r="FJ66" s="84">
        <v>38.22</v>
      </c>
      <c r="FK66" s="17">
        <v>45.34</v>
      </c>
      <c r="FL66" s="68">
        <v>41</v>
      </c>
      <c r="FM66" s="84">
        <v>0.66300000000000003</v>
      </c>
      <c r="FN66" s="17">
        <v>0.71499999999999997</v>
      </c>
      <c r="FO66" s="68">
        <v>0.68799999999999994</v>
      </c>
      <c r="FP66" s="92">
        <v>0</v>
      </c>
      <c r="FQ66" s="92">
        <v>0</v>
      </c>
      <c r="FR66" s="92">
        <v>0</v>
      </c>
      <c r="FS66" s="97">
        <v>15.9</v>
      </c>
    </row>
    <row r="67" spans="1:190" s="17" customFormat="1" x14ac:dyDescent="0.35">
      <c r="A67" s="17">
        <v>2026</v>
      </c>
      <c r="B67" s="141" t="s">
        <v>228</v>
      </c>
      <c r="C67" s="141" t="s">
        <v>228</v>
      </c>
      <c r="D67" s="141" t="s">
        <v>1918</v>
      </c>
      <c r="E67" s="141" t="s">
        <v>230</v>
      </c>
      <c r="F67" s="141">
        <v>304</v>
      </c>
      <c r="G67" s="141">
        <v>3</v>
      </c>
      <c r="H67" s="141">
        <v>6</v>
      </c>
      <c r="I67" s="142" t="s">
        <v>231</v>
      </c>
      <c r="J67" s="17">
        <v>21</v>
      </c>
      <c r="K67" s="17">
        <v>25</v>
      </c>
      <c r="L67" s="17">
        <v>22</v>
      </c>
      <c r="M67" s="17">
        <v>26.2</v>
      </c>
      <c r="N67" s="17">
        <v>35.299999999999997</v>
      </c>
      <c r="O67" s="17">
        <v>29.638200000000001</v>
      </c>
      <c r="P67" s="17">
        <v>20.674099999999999</v>
      </c>
      <c r="Q67" s="17">
        <v>25.086300000000001</v>
      </c>
      <c r="R67" s="17">
        <v>22.451000000000001</v>
      </c>
      <c r="T67" s="17" t="s">
        <v>168</v>
      </c>
      <c r="U67" s="17" t="s">
        <v>169</v>
      </c>
      <c r="V67" s="17" t="s">
        <v>170</v>
      </c>
      <c r="W67" s="17" t="s">
        <v>171</v>
      </c>
      <c r="Y67" s="17">
        <v>9</v>
      </c>
      <c r="Z67" s="17" t="s">
        <v>172</v>
      </c>
      <c r="AA67" s="17" t="s">
        <v>173</v>
      </c>
      <c r="AB67" s="17" t="s">
        <v>170</v>
      </c>
      <c r="AC67" s="17" t="s">
        <v>232</v>
      </c>
      <c r="AD67" s="17">
        <v>10</v>
      </c>
      <c r="AF67" s="17">
        <v>360</v>
      </c>
      <c r="AG67" s="17" t="s">
        <v>216</v>
      </c>
      <c r="AH67" s="17" t="s">
        <v>217</v>
      </c>
      <c r="AI67" s="17" t="s">
        <v>178</v>
      </c>
      <c r="AJ67" s="17" t="s">
        <v>179</v>
      </c>
      <c r="AK67" s="84" t="s">
        <v>173</v>
      </c>
      <c r="AL67" s="17" t="s">
        <v>180</v>
      </c>
      <c r="AO67" s="17">
        <v>102</v>
      </c>
      <c r="AP67" s="17">
        <v>33</v>
      </c>
      <c r="AR67" s="68"/>
      <c r="AS67" s="17">
        <v>1900</v>
      </c>
      <c r="AT67" s="17">
        <v>1900</v>
      </c>
      <c r="AU67" s="17">
        <v>52</v>
      </c>
      <c r="AV67" s="17">
        <v>64</v>
      </c>
      <c r="AW67" s="17">
        <v>56</v>
      </c>
      <c r="AX67" s="17">
        <v>73.5</v>
      </c>
      <c r="AY67" s="17">
        <v>90.8</v>
      </c>
      <c r="AZ67" s="17">
        <v>80.392700000000005</v>
      </c>
      <c r="BA67" s="17">
        <v>51.675400000000003</v>
      </c>
      <c r="BB67" s="17">
        <v>63.561500000000002</v>
      </c>
      <c r="BC67" s="17">
        <v>56.423499999999997</v>
      </c>
      <c r="BD67" s="17">
        <v>41</v>
      </c>
      <c r="BE67" s="17" t="s">
        <v>1392</v>
      </c>
      <c r="BF67" s="17" t="s">
        <v>1393</v>
      </c>
      <c r="BG67" s="17" t="s">
        <v>178</v>
      </c>
      <c r="BH67" s="17" t="s">
        <v>179</v>
      </c>
      <c r="BI67" s="17">
        <v>1900</v>
      </c>
      <c r="BN67" s="86" t="s">
        <v>1837</v>
      </c>
      <c r="BO67" s="17">
        <v>2</v>
      </c>
      <c r="BP67" s="17">
        <v>2</v>
      </c>
      <c r="BQ67" s="17">
        <v>8</v>
      </c>
      <c r="BR67" s="17" t="s">
        <v>651</v>
      </c>
      <c r="BS67" s="17" t="s">
        <v>182</v>
      </c>
      <c r="BT67" s="17" t="s">
        <v>1838</v>
      </c>
      <c r="BU67" s="87">
        <v>45909</v>
      </c>
      <c r="BV67" s="68">
        <v>37555</v>
      </c>
      <c r="BW67" s="88"/>
      <c r="CB67" s="17" t="s">
        <v>173</v>
      </c>
      <c r="CC67" s="17" t="s">
        <v>173</v>
      </c>
      <c r="CD67" s="17" t="s">
        <v>1919</v>
      </c>
      <c r="CE67" s="17" t="s">
        <v>173</v>
      </c>
      <c r="CG67" s="17" t="s">
        <v>172</v>
      </c>
      <c r="CH67" s="17" t="s">
        <v>234</v>
      </c>
      <c r="CI67" s="17" t="s">
        <v>173</v>
      </c>
      <c r="CK67" s="17" t="s">
        <v>259</v>
      </c>
      <c r="CM67" s="17">
        <v>1</v>
      </c>
      <c r="CN67" s="17" t="s">
        <v>260</v>
      </c>
      <c r="CP67" s="17">
        <v>388</v>
      </c>
      <c r="CQ67" s="17">
        <v>74</v>
      </c>
      <c r="CR67" s="17">
        <v>119.1</v>
      </c>
      <c r="CS67" s="17" t="s">
        <v>1437</v>
      </c>
      <c r="CV67" s="17" t="s">
        <v>262</v>
      </c>
      <c r="CX67" s="17" t="s">
        <v>263</v>
      </c>
      <c r="CY67" s="17" t="s">
        <v>173</v>
      </c>
      <c r="DD67" s="17">
        <v>1</v>
      </c>
      <c r="DE67" s="17" t="s">
        <v>307</v>
      </c>
      <c r="DF67" s="17" t="s">
        <v>356</v>
      </c>
      <c r="DG67" s="17">
        <v>120</v>
      </c>
      <c r="DJ67" s="17" t="s">
        <v>201</v>
      </c>
      <c r="DK67" s="17" t="s">
        <v>202</v>
      </c>
      <c r="DL67" s="17" t="s">
        <v>173</v>
      </c>
      <c r="DM67" s="17" t="s">
        <v>172</v>
      </c>
      <c r="DN67" s="17" t="s">
        <v>173</v>
      </c>
      <c r="DO67" s="17" t="s">
        <v>203</v>
      </c>
      <c r="DP67" s="17" t="s">
        <v>173</v>
      </c>
      <c r="DQ67" s="17" t="s">
        <v>189</v>
      </c>
      <c r="DR67" s="17" t="s">
        <v>1923</v>
      </c>
      <c r="DS67" s="17" t="s">
        <v>1852</v>
      </c>
      <c r="DT67" s="17" t="s">
        <v>1853</v>
      </c>
      <c r="DU67" s="17" t="s">
        <v>1843</v>
      </c>
      <c r="DV67" s="17" t="s">
        <v>1844</v>
      </c>
      <c r="DY67" s="17">
        <v>29.8</v>
      </c>
      <c r="EA67" s="89"/>
      <c r="EB67" s="17">
        <v>7</v>
      </c>
      <c r="EC67" s="17">
        <v>9</v>
      </c>
      <c r="EE67" s="84" t="s">
        <v>1920</v>
      </c>
      <c r="EF67" s="17">
        <v>6</v>
      </c>
      <c r="EH67" s="68"/>
      <c r="EM67" s="84"/>
      <c r="EP67" s="68"/>
      <c r="EU67" s="84"/>
      <c r="EV67" s="68">
        <v>1000</v>
      </c>
      <c r="EW67" s="17">
        <v>428</v>
      </c>
      <c r="EX67" s="17">
        <v>353</v>
      </c>
      <c r="EY67" s="17">
        <v>395</v>
      </c>
      <c r="EZ67" s="85">
        <v>127</v>
      </c>
      <c r="FA67" s="17">
        <v>2.75</v>
      </c>
      <c r="FC67" s="85">
        <v>400</v>
      </c>
      <c r="FD67" s="17">
        <v>34</v>
      </c>
      <c r="FE67" s="17">
        <v>44</v>
      </c>
      <c r="FF67" s="17">
        <v>38</v>
      </c>
      <c r="FG67" s="84">
        <v>146</v>
      </c>
      <c r="FH67" s="17">
        <v>102</v>
      </c>
      <c r="FI67" s="68">
        <v>127</v>
      </c>
      <c r="FJ67" s="84" t="s">
        <v>1924</v>
      </c>
      <c r="FL67" s="68"/>
      <c r="FM67" s="84">
        <v>0.66300000000000003</v>
      </c>
      <c r="FN67" s="17">
        <v>0.71499999999999997</v>
      </c>
      <c r="FO67" s="68">
        <v>0.68799999999999994</v>
      </c>
      <c r="FP67" s="92"/>
      <c r="FQ67" s="92"/>
      <c r="FR67" s="92"/>
      <c r="FS67" s="97">
        <v>15.9</v>
      </c>
    </row>
    <row r="68" spans="1:190" s="66" customFormat="1" x14ac:dyDescent="0.35">
      <c r="A68" s="17"/>
      <c r="E68" s="17"/>
      <c r="F68" s="17"/>
      <c r="G68" s="67"/>
      <c r="H68" s="17"/>
      <c r="I68" s="68"/>
      <c r="J68" s="19"/>
      <c r="K68" s="70"/>
      <c r="L68" s="70"/>
      <c r="M68" s="19" t="str">
        <f>_xlfn.CONCAT(A69," ",C69," ",D69)</f>
        <v>2026 Volvo XC60 T8 AWD</v>
      </c>
      <c r="N68" s="70"/>
      <c r="O68" s="70"/>
      <c r="P68" s="70"/>
      <c r="Q68" s="70"/>
      <c r="R68" s="70"/>
      <c r="S68" s="70"/>
      <c r="T68" s="70"/>
      <c r="U68" s="70"/>
      <c r="V68" s="70"/>
      <c r="W68" s="70"/>
      <c r="X68" s="70"/>
      <c r="Y68" s="70"/>
      <c r="Z68" s="70"/>
      <c r="AA68" s="70"/>
      <c r="AB68" s="70"/>
      <c r="AC68" s="70"/>
      <c r="AD68" s="19" t="str">
        <f>$M68</f>
        <v>2026 Volvo XC60 T8 AWD</v>
      </c>
      <c r="AE68" s="70"/>
      <c r="AF68" s="70"/>
      <c r="AG68" s="70"/>
      <c r="AH68" s="70"/>
      <c r="AI68" s="70"/>
      <c r="AJ68" s="70"/>
      <c r="AK68" s="71"/>
      <c r="AL68" s="1"/>
      <c r="AM68" s="1"/>
      <c r="AN68" s="1"/>
      <c r="AO68" s="1"/>
      <c r="AP68" s="1"/>
      <c r="AQ68" s="1"/>
      <c r="AR68" s="72"/>
      <c r="AS68" s="70"/>
      <c r="AT68" s="19" t="str">
        <f>$M68</f>
        <v>2026 Volvo XC60 T8 AWD</v>
      </c>
      <c r="AU68" s="70"/>
      <c r="AV68" s="70"/>
      <c r="AW68" s="70"/>
      <c r="AX68" s="70"/>
      <c r="AY68" s="70"/>
      <c r="AZ68" s="70"/>
      <c r="BA68" s="70"/>
      <c r="BB68" s="70"/>
      <c r="BC68" s="70"/>
      <c r="BD68" s="70"/>
      <c r="BE68" s="70"/>
      <c r="BF68" s="70"/>
      <c r="BG68" s="70"/>
      <c r="BH68" s="70"/>
      <c r="BI68" s="19" t="str">
        <f>$M68</f>
        <v>2026 Volvo XC60 T8 AWD</v>
      </c>
      <c r="BJ68" s="70"/>
      <c r="BK68" s="70"/>
      <c r="BL68" s="70"/>
      <c r="BM68" s="70"/>
      <c r="BN68" s="71"/>
      <c r="BO68" s="1"/>
      <c r="BP68" s="1"/>
      <c r="BQ68" s="1"/>
      <c r="BR68" s="1"/>
      <c r="BS68" s="1"/>
      <c r="BT68" s="73"/>
      <c r="BU68" s="1"/>
      <c r="BV68" s="72"/>
      <c r="BW68" s="74"/>
      <c r="BX68" s="70"/>
      <c r="BY68" s="19" t="str">
        <f>$M68</f>
        <v>2026 Volvo XC60 T8 AWD</v>
      </c>
      <c r="BZ68" s="70"/>
      <c r="CA68" s="70"/>
      <c r="CB68" s="70"/>
      <c r="CC68" s="70"/>
      <c r="CD68" s="70"/>
      <c r="CE68" s="75"/>
      <c r="CF68" s="70"/>
      <c r="CG68" s="70"/>
      <c r="CH68" s="70"/>
      <c r="CI68" s="70"/>
      <c r="CJ68" s="70"/>
      <c r="CK68" s="70"/>
      <c r="CL68" s="70"/>
      <c r="CM68" s="70"/>
      <c r="CN68" s="70"/>
      <c r="CO68" s="19" t="str">
        <f>$M68</f>
        <v>2026 Volvo XC60 T8 AWD</v>
      </c>
      <c r="CP68" s="70"/>
      <c r="CQ68" s="70"/>
      <c r="CR68" s="70"/>
      <c r="CS68" s="70"/>
      <c r="CT68" s="70"/>
      <c r="CU68" s="70"/>
      <c r="CV68" s="70"/>
      <c r="CW68" s="70"/>
      <c r="CX68" s="70"/>
      <c r="CY68" s="70"/>
      <c r="CZ68" s="70"/>
      <c r="DA68" s="70"/>
      <c r="DB68" s="70"/>
      <c r="DC68" s="70"/>
      <c r="DD68" s="70"/>
      <c r="DE68" s="70"/>
      <c r="DF68" s="19" t="str">
        <f>$M68</f>
        <v>2026 Volvo XC60 T8 AWD</v>
      </c>
      <c r="DG68" s="70"/>
      <c r="DH68" s="70"/>
      <c r="DI68" s="70"/>
      <c r="DJ68" s="70"/>
      <c r="DK68" s="70"/>
      <c r="DL68" s="70"/>
      <c r="DM68" s="70"/>
      <c r="DN68" s="70"/>
      <c r="DO68" s="70"/>
      <c r="DP68" s="70"/>
      <c r="DQ68" s="70"/>
      <c r="DR68" s="19"/>
      <c r="DS68" s="19"/>
      <c r="DT68" s="19"/>
      <c r="DU68" s="19"/>
      <c r="DV68" s="19"/>
      <c r="DW68" s="19" t="str">
        <f>$M68</f>
        <v>2026 Volvo XC60 T8 AWD</v>
      </c>
      <c r="DX68" s="19"/>
      <c r="DY68" s="19"/>
      <c r="DZ68" s="19"/>
      <c r="EA68" s="76"/>
      <c r="EB68" s="19"/>
      <c r="EC68" s="19"/>
      <c r="ED68" s="19"/>
      <c r="EE68" s="69"/>
      <c r="EF68" s="19"/>
      <c r="EG68" s="19"/>
      <c r="EH68" s="77"/>
      <c r="EI68" s="19"/>
      <c r="EK68" t="s">
        <v>1802</v>
      </c>
      <c r="EL68" s="19" t="str">
        <f>$M68</f>
        <v>2026 Volvo XC60 T8 AWD</v>
      </c>
      <c r="EM68" s="69"/>
      <c r="EP68" s="65"/>
      <c r="EU68" s="78"/>
      <c r="EV68" s="65"/>
      <c r="EZ68" s="83"/>
      <c r="FA68" s="19" t="str">
        <f>$M68</f>
        <v>2026 Volvo XC60 T8 AWD</v>
      </c>
      <c r="FC68" s="79"/>
      <c r="FD68" s="19"/>
      <c r="FE68" s="19"/>
      <c r="FF68" s="19"/>
      <c r="FG68" s="69"/>
      <c r="FH68" s="19"/>
      <c r="FI68" s="77"/>
      <c r="FJ68" s="69"/>
      <c r="FK68" s="19"/>
      <c r="FL68" s="77"/>
      <c r="FM68" s="69" t="str">
        <f>$M68</f>
        <v>2026 Volvo XC60 T8 AWD</v>
      </c>
      <c r="FN68" s="19"/>
      <c r="FO68" s="77"/>
      <c r="FP68" s="81"/>
      <c r="FQ68" s="81"/>
      <c r="FR68" s="81"/>
      <c r="FS68" s="82"/>
      <c r="FT68" s="19"/>
      <c r="FU68" s="19"/>
      <c r="FV68" s="19"/>
      <c r="FW68" s="19"/>
      <c r="FX68" s="19"/>
      <c r="FY68" s="19"/>
      <c r="FZ68" s="19"/>
      <c r="GA68" s="19"/>
      <c r="GB68" s="19"/>
      <c r="GC68" s="19"/>
      <c r="GD68" s="19"/>
      <c r="GE68" s="19"/>
      <c r="GF68" s="19"/>
      <c r="GG68" s="19"/>
      <c r="GH68" s="19"/>
    </row>
    <row r="69" spans="1:190" s="17" customFormat="1" x14ac:dyDescent="0.35">
      <c r="A69" s="17">
        <v>2026</v>
      </c>
      <c r="B69" s="17" t="s">
        <v>524</v>
      </c>
      <c r="C69" s="17" t="s">
        <v>524</v>
      </c>
      <c r="D69" s="17" t="s">
        <v>1925</v>
      </c>
      <c r="E69" s="17" t="s">
        <v>527</v>
      </c>
      <c r="F69" s="17">
        <v>226</v>
      </c>
      <c r="G69" s="67">
        <v>2</v>
      </c>
      <c r="H69" s="17">
        <v>4</v>
      </c>
      <c r="I69" s="68" t="s">
        <v>195</v>
      </c>
      <c r="J69" s="84">
        <v>28</v>
      </c>
      <c r="K69" s="17">
        <v>28</v>
      </c>
      <c r="L69" s="17">
        <v>28</v>
      </c>
      <c r="M69" s="17">
        <v>36.1</v>
      </c>
      <c r="N69" s="17">
        <v>39.5</v>
      </c>
      <c r="O69" s="17">
        <v>37.554600000000001</v>
      </c>
      <c r="P69" s="17">
        <v>27.603899999999999</v>
      </c>
      <c r="Q69" s="17">
        <v>27.8062</v>
      </c>
      <c r="R69" s="17">
        <v>27.694600000000001</v>
      </c>
      <c r="T69" s="17" t="s">
        <v>168</v>
      </c>
      <c r="U69" s="17" t="s">
        <v>169</v>
      </c>
      <c r="V69" s="17" t="s">
        <v>196</v>
      </c>
      <c r="W69" s="17" t="s">
        <v>197</v>
      </c>
      <c r="Y69" s="17">
        <v>8</v>
      </c>
      <c r="Z69" s="17" t="s">
        <v>172</v>
      </c>
      <c r="AA69" s="17" t="s">
        <v>173</v>
      </c>
      <c r="AB69" s="17" t="s">
        <v>170</v>
      </c>
      <c r="AC69" s="17" t="s">
        <v>232</v>
      </c>
      <c r="AD69" s="17">
        <v>10</v>
      </c>
      <c r="AF69" s="17">
        <v>521</v>
      </c>
      <c r="AG69" s="17" t="s">
        <v>216</v>
      </c>
      <c r="AH69" s="17" t="s">
        <v>217</v>
      </c>
      <c r="AI69" s="17" t="s">
        <v>178</v>
      </c>
      <c r="AJ69" s="17" t="s">
        <v>179</v>
      </c>
      <c r="AK69" s="84" t="s">
        <v>664</v>
      </c>
      <c r="AL69" s="17" t="s">
        <v>665</v>
      </c>
      <c r="AR69" s="68"/>
      <c r="AS69" s="17">
        <v>1600</v>
      </c>
      <c r="AT69" s="17">
        <v>1600</v>
      </c>
      <c r="AU69" s="17">
        <v>49</v>
      </c>
      <c r="AV69" s="17">
        <v>52</v>
      </c>
      <c r="AW69" s="17">
        <v>50</v>
      </c>
      <c r="AX69" s="17">
        <v>34</v>
      </c>
      <c r="AY69" s="17">
        <v>37.299999999999997</v>
      </c>
      <c r="AZ69" s="17">
        <v>35.484999999999999</v>
      </c>
      <c r="BA69" s="17">
        <v>48.624000000000002</v>
      </c>
      <c r="BB69" s="17">
        <v>52.162999999999997</v>
      </c>
      <c r="BC69" s="17">
        <v>50.2166</v>
      </c>
      <c r="BD69" s="17">
        <v>36</v>
      </c>
      <c r="BE69" s="17" t="s">
        <v>1392</v>
      </c>
      <c r="BF69" s="17" t="s">
        <v>1393</v>
      </c>
      <c r="BG69" s="17" t="s">
        <v>1399</v>
      </c>
      <c r="BH69" s="17" t="s">
        <v>1400</v>
      </c>
      <c r="BI69" s="17">
        <v>1600</v>
      </c>
      <c r="BJ69" s="1"/>
      <c r="BK69" s="1"/>
      <c r="BL69" s="1"/>
      <c r="BN69" s="86" t="s">
        <v>1837</v>
      </c>
      <c r="BO69" s="17">
        <v>2</v>
      </c>
      <c r="BP69" s="17">
        <v>2</v>
      </c>
      <c r="BQ69" s="17">
        <v>31</v>
      </c>
      <c r="BR69" s="17" t="s">
        <v>887</v>
      </c>
      <c r="BT69" s="17" t="s">
        <v>1838</v>
      </c>
      <c r="BU69" s="87">
        <v>45800</v>
      </c>
      <c r="BV69" s="68">
        <v>36338</v>
      </c>
      <c r="BW69" s="88"/>
      <c r="BY69" s="17" t="s">
        <v>173</v>
      </c>
      <c r="CB69" s="17" t="s">
        <v>173</v>
      </c>
      <c r="CC69" s="17" t="s">
        <v>173</v>
      </c>
      <c r="CD69" s="17" t="s">
        <v>1926</v>
      </c>
      <c r="CE69" s="17" t="s">
        <v>173</v>
      </c>
      <c r="CG69" s="17" t="s">
        <v>172</v>
      </c>
      <c r="CH69" s="17" t="s">
        <v>1927</v>
      </c>
      <c r="CI69" s="17" t="s">
        <v>173</v>
      </c>
      <c r="CJ69" s="17" t="s">
        <v>1928</v>
      </c>
      <c r="CK69" s="17" t="s">
        <v>259</v>
      </c>
      <c r="CM69" s="17">
        <v>1</v>
      </c>
      <c r="CN69" s="17" t="s">
        <v>260</v>
      </c>
      <c r="CP69" s="17">
        <v>369</v>
      </c>
      <c r="CQ69" s="17">
        <v>51</v>
      </c>
      <c r="CR69" s="17">
        <v>141.4</v>
      </c>
      <c r="CS69" s="17" t="s">
        <v>261</v>
      </c>
      <c r="CV69" s="17" t="s">
        <v>262</v>
      </c>
      <c r="CX69" s="17" t="s">
        <v>702</v>
      </c>
      <c r="CY69" s="17" t="s">
        <v>173</v>
      </c>
      <c r="DD69" s="17">
        <v>2</v>
      </c>
      <c r="DE69" s="17" t="s">
        <v>307</v>
      </c>
      <c r="DF69" s="17" t="s">
        <v>1929</v>
      </c>
      <c r="DG69" s="17" t="s">
        <v>1930</v>
      </c>
      <c r="DJ69" s="17" t="s">
        <v>201</v>
      </c>
      <c r="DK69" s="17" t="s">
        <v>202</v>
      </c>
      <c r="DL69" s="17" t="s">
        <v>173</v>
      </c>
      <c r="DM69" s="17" t="s">
        <v>172</v>
      </c>
      <c r="DN69" s="17" t="s">
        <v>173</v>
      </c>
      <c r="DO69" s="17" t="s">
        <v>661</v>
      </c>
      <c r="DP69" s="17" t="s">
        <v>172</v>
      </c>
      <c r="DQ69" s="17" t="s">
        <v>204</v>
      </c>
      <c r="DR69" s="17" t="s">
        <v>532</v>
      </c>
      <c r="DS69" s="17" t="s">
        <v>1852</v>
      </c>
      <c r="DT69" s="17" t="s">
        <v>1853</v>
      </c>
      <c r="DU69" s="17" t="s">
        <v>1843</v>
      </c>
      <c r="DV69" s="17" t="s">
        <v>1844</v>
      </c>
      <c r="EA69" s="89"/>
      <c r="EB69" s="17">
        <v>7</v>
      </c>
      <c r="EC69" s="17">
        <v>9</v>
      </c>
      <c r="ED69" s="17">
        <v>10</v>
      </c>
      <c r="EE69" s="84" t="s">
        <v>1931</v>
      </c>
      <c r="EF69" s="17">
        <v>6</v>
      </c>
      <c r="EH69" s="68"/>
      <c r="EM69" s="84"/>
      <c r="EP69" s="68"/>
      <c r="EU69" s="84">
        <v>500</v>
      </c>
      <c r="EV69" s="68"/>
      <c r="EW69" s="17">
        <v>0</v>
      </c>
      <c r="EX69" s="17">
        <v>0</v>
      </c>
      <c r="EY69" s="17">
        <v>0</v>
      </c>
      <c r="EZ69" s="83">
        <v>122</v>
      </c>
      <c r="FA69" s="17">
        <v>5</v>
      </c>
      <c r="FC69" s="85">
        <v>560</v>
      </c>
      <c r="FD69" s="17">
        <v>45</v>
      </c>
      <c r="FE69" s="17">
        <v>42</v>
      </c>
      <c r="FF69" s="17">
        <v>44</v>
      </c>
      <c r="FG69" s="84">
        <v>112</v>
      </c>
      <c r="FH69" s="17">
        <v>121</v>
      </c>
      <c r="FI69" s="95">
        <v>116</v>
      </c>
      <c r="FJ69" s="90">
        <v>36.72</v>
      </c>
      <c r="FK69" s="91">
        <v>34.03</v>
      </c>
      <c r="FL69" s="68">
        <v>36</v>
      </c>
      <c r="FM69" s="84">
        <v>0.65100000000000002</v>
      </c>
      <c r="FN69" s="17">
        <v>0.627</v>
      </c>
      <c r="FO69" s="68">
        <v>0.64</v>
      </c>
      <c r="FP69" s="92">
        <v>0</v>
      </c>
      <c r="FQ69" s="92">
        <v>0</v>
      </c>
      <c r="FR69" s="92">
        <v>0</v>
      </c>
      <c r="FS69" s="93">
        <v>18.8</v>
      </c>
    </row>
    <row r="70" spans="1:190" s="17" customFormat="1" x14ac:dyDescent="0.35">
      <c r="A70" s="17">
        <v>2026</v>
      </c>
      <c r="B70" s="141" t="s">
        <v>524</v>
      </c>
      <c r="C70" s="141" t="s">
        <v>525</v>
      </c>
      <c r="D70" s="141" t="s">
        <v>1925</v>
      </c>
      <c r="E70" s="141" t="s">
        <v>527</v>
      </c>
      <c r="F70" s="141">
        <v>226</v>
      </c>
      <c r="G70" s="141">
        <v>2</v>
      </c>
      <c r="H70" s="141">
        <v>4</v>
      </c>
      <c r="I70" s="142" t="s">
        <v>195</v>
      </c>
      <c r="J70" s="84">
        <v>28</v>
      </c>
      <c r="K70" s="17">
        <v>28</v>
      </c>
      <c r="L70" s="17">
        <v>28</v>
      </c>
      <c r="M70" s="17">
        <v>36.1</v>
      </c>
      <c r="N70" s="17">
        <v>39.5</v>
      </c>
      <c r="O70" s="17">
        <v>37.554600000000001</v>
      </c>
      <c r="P70" s="17">
        <v>27.603899999999999</v>
      </c>
      <c r="Q70" s="17">
        <v>27.8062</v>
      </c>
      <c r="R70" s="17">
        <v>27.694600000000001</v>
      </c>
      <c r="T70" s="17" t="s">
        <v>168</v>
      </c>
      <c r="U70" s="17" t="s">
        <v>169</v>
      </c>
      <c r="V70" s="17" t="s">
        <v>196</v>
      </c>
      <c r="W70" s="17" t="s">
        <v>197</v>
      </c>
      <c r="Y70" s="17">
        <v>8</v>
      </c>
      <c r="Z70" s="17" t="s">
        <v>172</v>
      </c>
      <c r="AA70" s="17" t="s">
        <v>173</v>
      </c>
      <c r="AB70" s="17" t="s">
        <v>170</v>
      </c>
      <c r="AC70" s="17" t="s">
        <v>232</v>
      </c>
      <c r="AD70" s="17">
        <v>10</v>
      </c>
      <c r="AF70" s="17">
        <v>521</v>
      </c>
      <c r="AG70" s="17" t="s">
        <v>216</v>
      </c>
      <c r="AH70" s="17" t="s">
        <v>217</v>
      </c>
      <c r="AI70" s="17" t="s">
        <v>178</v>
      </c>
      <c r="AJ70" s="17" t="s">
        <v>179</v>
      </c>
      <c r="AK70" s="84" t="s">
        <v>664</v>
      </c>
      <c r="AL70" s="17" t="s">
        <v>665</v>
      </c>
      <c r="AR70" s="68"/>
      <c r="AS70" s="17">
        <v>1600</v>
      </c>
      <c r="AT70" s="17">
        <v>1600</v>
      </c>
      <c r="AU70" s="17">
        <v>66</v>
      </c>
      <c r="AV70" s="17">
        <v>60</v>
      </c>
      <c r="AW70" s="17">
        <v>63</v>
      </c>
      <c r="AX70" s="17">
        <v>99.1</v>
      </c>
      <c r="AY70" s="17">
        <v>90.4</v>
      </c>
      <c r="AZ70" s="17">
        <v>94.986400000000003</v>
      </c>
      <c r="BA70" s="17">
        <v>69.388199999999998</v>
      </c>
      <c r="BB70" s="17">
        <v>63.298900000000003</v>
      </c>
      <c r="BC70" s="17">
        <v>66.509</v>
      </c>
      <c r="BD70" s="17">
        <v>36</v>
      </c>
      <c r="BE70" s="17" t="s">
        <v>1392</v>
      </c>
      <c r="BF70" s="17" t="s">
        <v>1393</v>
      </c>
      <c r="BG70" s="17" t="s">
        <v>178</v>
      </c>
      <c r="BH70" s="17" t="s">
        <v>179</v>
      </c>
      <c r="BI70" s="17">
        <v>1600</v>
      </c>
      <c r="BN70" s="86" t="s">
        <v>1837</v>
      </c>
      <c r="BO70" s="17">
        <v>2</v>
      </c>
      <c r="BP70" s="17">
        <v>2</v>
      </c>
      <c r="BQ70" s="17">
        <v>31</v>
      </c>
      <c r="BR70" s="17" t="s">
        <v>887</v>
      </c>
      <c r="BT70" s="17" t="s">
        <v>1838</v>
      </c>
      <c r="BU70" s="87">
        <v>45800</v>
      </c>
      <c r="BV70" s="68">
        <v>36338</v>
      </c>
      <c r="BW70" s="88"/>
      <c r="BY70" s="17" t="s">
        <v>173</v>
      </c>
      <c r="CB70" s="17" t="s">
        <v>173</v>
      </c>
      <c r="CC70" s="17" t="s">
        <v>173</v>
      </c>
      <c r="CD70" s="17" t="s">
        <v>1926</v>
      </c>
      <c r="CE70" s="17" t="s">
        <v>173</v>
      </c>
      <c r="CG70" s="17" t="s">
        <v>172</v>
      </c>
      <c r="CH70" s="17" t="s">
        <v>1927</v>
      </c>
      <c r="CI70" s="17" t="s">
        <v>173</v>
      </c>
      <c r="CJ70" s="17" t="s">
        <v>1928</v>
      </c>
      <c r="CK70" s="17" t="s">
        <v>259</v>
      </c>
      <c r="CM70" s="17">
        <v>1</v>
      </c>
      <c r="CN70" s="17" t="s">
        <v>260</v>
      </c>
      <c r="CP70" s="17">
        <v>369</v>
      </c>
      <c r="CQ70" s="17">
        <v>51</v>
      </c>
      <c r="CR70" s="17">
        <v>141.4</v>
      </c>
      <c r="CS70" s="17" t="s">
        <v>261</v>
      </c>
      <c r="CV70" s="17" t="s">
        <v>262</v>
      </c>
      <c r="CX70" s="17" t="s">
        <v>702</v>
      </c>
      <c r="CY70" s="17" t="s">
        <v>173</v>
      </c>
      <c r="DD70" s="17">
        <v>2</v>
      </c>
      <c r="DE70" s="17" t="s">
        <v>307</v>
      </c>
      <c r="DF70" s="17" t="s">
        <v>1932</v>
      </c>
      <c r="DG70" s="17" t="s">
        <v>1930</v>
      </c>
      <c r="DJ70" s="17" t="s">
        <v>201</v>
      </c>
      <c r="DK70" s="17" t="s">
        <v>202</v>
      </c>
      <c r="DL70" s="17" t="s">
        <v>173</v>
      </c>
      <c r="DM70" s="17" t="s">
        <v>172</v>
      </c>
      <c r="DN70" s="17" t="s">
        <v>173</v>
      </c>
      <c r="DO70" s="17" t="s">
        <v>661</v>
      </c>
      <c r="DP70" s="17" t="s">
        <v>172</v>
      </c>
      <c r="DQ70" s="17" t="s">
        <v>204</v>
      </c>
      <c r="DR70" s="17" t="s">
        <v>532</v>
      </c>
      <c r="DS70" s="17" t="s">
        <v>1852</v>
      </c>
      <c r="DT70" s="17" t="s">
        <v>1853</v>
      </c>
      <c r="DU70" s="17" t="s">
        <v>1843</v>
      </c>
      <c r="DV70" s="17" t="s">
        <v>1844</v>
      </c>
      <c r="EA70" s="89"/>
      <c r="EB70" s="17">
        <v>7</v>
      </c>
      <c r="EC70" s="17">
        <v>9</v>
      </c>
      <c r="ED70" s="17">
        <v>10</v>
      </c>
      <c r="EE70" s="84" t="s">
        <v>1931</v>
      </c>
      <c r="EF70" s="17">
        <v>6</v>
      </c>
      <c r="EH70" s="68"/>
      <c r="EM70" s="84"/>
      <c r="EP70" s="68"/>
      <c r="EU70" s="84">
        <v>500</v>
      </c>
      <c r="EV70" s="68"/>
      <c r="EW70" s="17">
        <v>319</v>
      </c>
      <c r="EX70" s="17">
        <v>317</v>
      </c>
      <c r="EY70" s="98">
        <v>318</v>
      </c>
      <c r="EZ70" s="83">
        <v>122</v>
      </c>
      <c r="FA70" s="17">
        <v>5</v>
      </c>
      <c r="FC70" s="85">
        <v>560</v>
      </c>
      <c r="FD70" s="17">
        <v>45</v>
      </c>
      <c r="FE70" s="17">
        <v>42</v>
      </c>
      <c r="FF70" s="17">
        <v>44</v>
      </c>
      <c r="FG70" s="84">
        <v>112</v>
      </c>
      <c r="FH70" s="17">
        <v>121</v>
      </c>
      <c r="FI70" s="95">
        <v>116</v>
      </c>
      <c r="FJ70" s="84" t="s">
        <v>1867</v>
      </c>
      <c r="FK70" s="94"/>
      <c r="FL70" s="95"/>
      <c r="FM70" s="84">
        <v>0.65100000000000002</v>
      </c>
      <c r="FN70" s="17">
        <v>0.627</v>
      </c>
      <c r="FO70" s="68">
        <v>0.64</v>
      </c>
      <c r="FP70" s="92"/>
      <c r="FQ70" s="92"/>
      <c r="FR70" s="92"/>
      <c r="FS70" s="93">
        <v>18.8</v>
      </c>
    </row>
    <row r="71" spans="1:190" s="66" customFormat="1" x14ac:dyDescent="0.35">
      <c r="A71" s="17"/>
      <c r="E71" s="17"/>
      <c r="F71" s="17"/>
      <c r="G71" s="67"/>
      <c r="H71" s="17"/>
      <c r="I71" s="68"/>
      <c r="J71" s="69"/>
      <c r="K71" s="70"/>
      <c r="L71" s="70"/>
      <c r="M71" s="19" t="str">
        <f>_xlfn.CONCAT(A72," ",C72," ",D72)</f>
        <v>2026 Volvo XC90 T8 AWD</v>
      </c>
      <c r="N71" s="70"/>
      <c r="O71" s="70"/>
      <c r="P71" s="70"/>
      <c r="Q71" s="70"/>
      <c r="R71" s="70"/>
      <c r="S71" s="70"/>
      <c r="T71" s="70"/>
      <c r="U71" s="70"/>
      <c r="V71" s="70"/>
      <c r="W71" s="70"/>
      <c r="X71" s="70"/>
      <c r="Y71" s="70"/>
      <c r="Z71" s="70"/>
      <c r="AA71" s="70"/>
      <c r="AB71" s="70"/>
      <c r="AC71" s="70"/>
      <c r="AD71" s="19" t="str">
        <f>$M71</f>
        <v>2026 Volvo XC90 T8 AWD</v>
      </c>
      <c r="AE71" s="70"/>
      <c r="AF71" s="70"/>
      <c r="AG71" s="70"/>
      <c r="AH71" s="70"/>
      <c r="AI71" s="70"/>
      <c r="AJ71" s="70"/>
      <c r="AK71" s="71"/>
      <c r="AL71" s="1"/>
      <c r="AM71" s="1"/>
      <c r="AN71" s="1"/>
      <c r="AO71" s="1"/>
      <c r="AP71" s="1"/>
      <c r="AQ71" s="1"/>
      <c r="AR71" s="72"/>
      <c r="AS71" s="70"/>
      <c r="AT71" s="19" t="str">
        <f>$M71</f>
        <v>2026 Volvo XC90 T8 AWD</v>
      </c>
      <c r="AU71" s="70"/>
      <c r="AV71" s="70"/>
      <c r="AW71" s="70"/>
      <c r="AX71" s="70"/>
      <c r="AY71" s="70"/>
      <c r="AZ71" s="70"/>
      <c r="BA71" s="70"/>
      <c r="BB71" s="70"/>
      <c r="BC71" s="70"/>
      <c r="BD71" s="70"/>
      <c r="BE71" s="70"/>
      <c r="BF71" s="70"/>
      <c r="BG71" s="70"/>
      <c r="BH71" s="70"/>
      <c r="BI71" s="19" t="str">
        <f>$M71</f>
        <v>2026 Volvo XC90 T8 AWD</v>
      </c>
      <c r="BJ71" s="70"/>
      <c r="BK71" s="70"/>
      <c r="BL71" s="70"/>
      <c r="BM71" s="70"/>
      <c r="BN71" s="71"/>
      <c r="BO71" s="1"/>
      <c r="BP71" s="1"/>
      <c r="BQ71" s="1"/>
      <c r="BR71" s="1"/>
      <c r="BS71" s="1"/>
      <c r="BT71" s="73"/>
      <c r="BU71" s="1"/>
      <c r="BV71" s="72"/>
      <c r="BW71" s="74"/>
      <c r="BX71" s="70"/>
      <c r="BY71" s="19" t="str">
        <f>$M71</f>
        <v>2026 Volvo XC90 T8 AWD</v>
      </c>
      <c r="BZ71" s="70"/>
      <c r="CA71" s="70"/>
      <c r="CB71" s="70"/>
      <c r="CC71" s="70"/>
      <c r="CD71" s="70"/>
      <c r="CE71" s="75"/>
      <c r="CF71" s="70"/>
      <c r="CG71" s="70"/>
      <c r="CH71" s="70"/>
      <c r="CI71" s="70"/>
      <c r="CJ71" s="70"/>
      <c r="CK71" s="70"/>
      <c r="CL71" s="70"/>
      <c r="CM71" s="70"/>
      <c r="CN71" s="70"/>
      <c r="CO71" s="19" t="str">
        <f>$M71</f>
        <v>2026 Volvo XC90 T8 AWD</v>
      </c>
      <c r="CP71" s="70"/>
      <c r="CQ71" s="70"/>
      <c r="CR71" s="70"/>
      <c r="CS71" s="70"/>
      <c r="CT71" s="70"/>
      <c r="CU71" s="70"/>
      <c r="CV71" s="70"/>
      <c r="CW71" s="70"/>
      <c r="CX71" s="70"/>
      <c r="CY71" s="70"/>
      <c r="CZ71" s="70"/>
      <c r="DA71" s="70"/>
      <c r="DB71" s="70"/>
      <c r="DC71" s="70"/>
      <c r="DD71" s="70"/>
      <c r="DE71" s="70"/>
      <c r="DF71" s="19" t="str">
        <f>$M71</f>
        <v>2026 Volvo XC90 T8 AWD</v>
      </c>
      <c r="DG71" s="70"/>
      <c r="DH71" s="70"/>
      <c r="DI71" s="70"/>
      <c r="DJ71" s="70"/>
      <c r="DK71" s="70"/>
      <c r="DL71" s="70"/>
      <c r="DM71" s="70"/>
      <c r="DN71" s="70"/>
      <c r="DO71" s="70"/>
      <c r="DP71" s="70"/>
      <c r="DQ71" s="70"/>
      <c r="DR71" s="19"/>
      <c r="DS71" s="19"/>
      <c r="DT71" s="19"/>
      <c r="DU71" s="19"/>
      <c r="DV71" s="19"/>
      <c r="DW71" s="19" t="str">
        <f>$M71</f>
        <v>2026 Volvo XC90 T8 AWD</v>
      </c>
      <c r="DX71" s="19"/>
      <c r="DY71" s="19"/>
      <c r="DZ71" s="19"/>
      <c r="EA71" s="76"/>
      <c r="EB71" s="19"/>
      <c r="EC71" s="19"/>
      <c r="ED71" s="19"/>
      <c r="EE71" s="69"/>
      <c r="EF71" s="19"/>
      <c r="EG71" s="19"/>
      <c r="EH71" s="77"/>
      <c r="EI71" s="19"/>
      <c r="EK71" t="s">
        <v>1802</v>
      </c>
      <c r="EL71" s="19" t="str">
        <f>$M71</f>
        <v>2026 Volvo XC90 T8 AWD</v>
      </c>
      <c r="EM71" s="69"/>
      <c r="EP71" s="65"/>
      <c r="EU71" s="78"/>
      <c r="EV71" s="65"/>
      <c r="EZ71" s="83"/>
      <c r="FA71" s="19" t="str">
        <f>$M71</f>
        <v>2026 Volvo XC90 T8 AWD</v>
      </c>
      <c r="FC71" s="79"/>
      <c r="FD71" s="19"/>
      <c r="FE71" s="19"/>
      <c r="FF71" s="19"/>
      <c r="FG71" s="69"/>
      <c r="FH71" s="19"/>
      <c r="FI71" s="77"/>
      <c r="FJ71" s="69"/>
      <c r="FK71" s="19"/>
      <c r="FL71" s="77"/>
      <c r="FM71" s="69" t="str">
        <f>$M71</f>
        <v>2026 Volvo XC90 T8 AWD</v>
      </c>
      <c r="FN71" s="19"/>
      <c r="FO71" s="77"/>
      <c r="FP71" s="81"/>
      <c r="FQ71" s="81"/>
      <c r="FR71" s="81"/>
      <c r="FS71" s="82"/>
      <c r="FT71" s="19"/>
      <c r="FU71" s="19"/>
      <c r="FV71" s="19"/>
      <c r="FW71" s="19"/>
      <c r="FX71" s="19"/>
      <c r="FY71" s="19"/>
      <c r="FZ71" s="19"/>
      <c r="GA71" s="19"/>
      <c r="GB71" s="19"/>
      <c r="GC71" s="19"/>
      <c r="GD71" s="19"/>
      <c r="GE71" s="19"/>
      <c r="GF71" s="19"/>
      <c r="GG71" s="19"/>
      <c r="GH71" s="19"/>
    </row>
    <row r="72" spans="1:190" s="17" customFormat="1" x14ac:dyDescent="0.35">
      <c r="A72" s="17">
        <v>2026</v>
      </c>
      <c r="B72" s="17" t="s">
        <v>524</v>
      </c>
      <c r="C72" s="17" t="s">
        <v>524</v>
      </c>
      <c r="D72" s="17" t="s">
        <v>1933</v>
      </c>
      <c r="E72" s="17" t="s">
        <v>527</v>
      </c>
      <c r="F72" s="17">
        <v>232</v>
      </c>
      <c r="G72" s="67">
        <v>2</v>
      </c>
      <c r="H72" s="17">
        <v>4</v>
      </c>
      <c r="I72" s="68" t="s">
        <v>195</v>
      </c>
      <c r="J72" s="84">
        <v>26</v>
      </c>
      <c r="K72" s="17">
        <v>27</v>
      </c>
      <c r="L72" s="17">
        <v>27</v>
      </c>
      <c r="M72" s="17">
        <v>33.700000000000003</v>
      </c>
      <c r="N72" s="17">
        <v>38.700000000000003</v>
      </c>
      <c r="O72" s="17">
        <v>35.780200000000001</v>
      </c>
      <c r="P72" s="17">
        <v>25.963699999999999</v>
      </c>
      <c r="Q72" s="17">
        <v>27.292100000000001</v>
      </c>
      <c r="R72" s="17">
        <v>26.545100000000001</v>
      </c>
      <c r="T72" s="17" t="s">
        <v>168</v>
      </c>
      <c r="U72" s="17" t="s">
        <v>169</v>
      </c>
      <c r="V72" s="17" t="s">
        <v>196</v>
      </c>
      <c r="W72" s="17" t="s">
        <v>197</v>
      </c>
      <c r="Y72" s="17">
        <v>8</v>
      </c>
      <c r="Z72" s="17" t="s">
        <v>172</v>
      </c>
      <c r="AA72" s="17" t="s">
        <v>173</v>
      </c>
      <c r="AB72" s="17" t="s">
        <v>170</v>
      </c>
      <c r="AC72" s="17" t="s">
        <v>232</v>
      </c>
      <c r="AD72" s="17">
        <v>10</v>
      </c>
      <c r="AF72" s="17">
        <v>499</v>
      </c>
      <c r="AG72" s="17" t="s">
        <v>216</v>
      </c>
      <c r="AH72" s="17" t="s">
        <v>217</v>
      </c>
      <c r="AI72" s="17" t="s">
        <v>178</v>
      </c>
      <c r="AJ72" s="17" t="s">
        <v>179</v>
      </c>
      <c r="AK72" s="84" t="s">
        <v>664</v>
      </c>
      <c r="AL72" s="17" t="s">
        <v>665</v>
      </c>
      <c r="AR72" s="68"/>
      <c r="AS72" s="17">
        <v>1750</v>
      </c>
      <c r="AT72" s="17">
        <v>1750</v>
      </c>
      <c r="AU72" s="17">
        <v>54</v>
      </c>
      <c r="AV72" s="17">
        <v>57</v>
      </c>
      <c r="AW72" s="17">
        <v>55</v>
      </c>
      <c r="AX72" s="17">
        <v>38</v>
      </c>
      <c r="AY72" s="17">
        <v>39.4</v>
      </c>
      <c r="AZ72" s="17">
        <v>38.630000000000003</v>
      </c>
      <c r="BA72" s="17">
        <v>54.131</v>
      </c>
      <c r="BB72" s="17">
        <v>56.905000000000001</v>
      </c>
      <c r="BC72" s="17">
        <v>55.379300000000001</v>
      </c>
      <c r="BD72" s="17">
        <v>33</v>
      </c>
      <c r="BE72" s="17" t="s">
        <v>1392</v>
      </c>
      <c r="BF72" s="17" t="s">
        <v>1393</v>
      </c>
      <c r="BG72" s="17" t="s">
        <v>1399</v>
      </c>
      <c r="BH72" s="17" t="s">
        <v>1400</v>
      </c>
      <c r="BI72" s="17">
        <v>1750</v>
      </c>
      <c r="BJ72" s="1"/>
      <c r="BK72" s="1"/>
      <c r="BL72" s="1"/>
      <c r="BN72" s="86" t="s">
        <v>1837</v>
      </c>
      <c r="BO72" s="17">
        <v>2</v>
      </c>
      <c r="BP72" s="17">
        <v>2</v>
      </c>
      <c r="BQ72" s="17">
        <v>33</v>
      </c>
      <c r="BR72" s="17" t="s">
        <v>1062</v>
      </c>
      <c r="BT72" s="17" t="s">
        <v>1838</v>
      </c>
      <c r="BU72" s="87">
        <v>45800</v>
      </c>
      <c r="BV72" s="68">
        <v>36360</v>
      </c>
      <c r="BW72" s="88"/>
      <c r="BY72" s="17" t="s">
        <v>173</v>
      </c>
      <c r="CB72" s="17" t="s">
        <v>173</v>
      </c>
      <c r="CC72" s="17" t="s">
        <v>173</v>
      </c>
      <c r="CD72" s="17" t="s">
        <v>1926</v>
      </c>
      <c r="CE72" s="17" t="s">
        <v>173</v>
      </c>
      <c r="CG72" s="17" t="s">
        <v>172</v>
      </c>
      <c r="CH72" s="17" t="s">
        <v>1927</v>
      </c>
      <c r="CI72" s="17" t="s">
        <v>173</v>
      </c>
      <c r="CJ72" s="17" t="s">
        <v>1928</v>
      </c>
      <c r="CK72" s="17" t="s">
        <v>259</v>
      </c>
      <c r="CM72" s="17">
        <v>1</v>
      </c>
      <c r="CN72" s="17" t="s">
        <v>260</v>
      </c>
      <c r="CP72" s="17">
        <v>369</v>
      </c>
      <c r="CQ72" s="17">
        <v>51</v>
      </c>
      <c r="CR72" s="17">
        <v>141.4</v>
      </c>
      <c r="CS72" s="17" t="s">
        <v>261</v>
      </c>
      <c r="CV72" s="17" t="s">
        <v>262</v>
      </c>
      <c r="CX72" s="17" t="s">
        <v>702</v>
      </c>
      <c r="CY72" s="17" t="s">
        <v>173</v>
      </c>
      <c r="DD72" s="17">
        <v>2</v>
      </c>
      <c r="DE72" s="17" t="s">
        <v>307</v>
      </c>
      <c r="DF72" s="17" t="s">
        <v>1932</v>
      </c>
      <c r="DG72" s="17" t="s">
        <v>1930</v>
      </c>
      <c r="DJ72" s="17" t="s">
        <v>201</v>
      </c>
      <c r="DK72" s="17" t="s">
        <v>202</v>
      </c>
      <c r="DL72" s="17" t="s">
        <v>173</v>
      </c>
      <c r="DM72" s="17" t="s">
        <v>172</v>
      </c>
      <c r="DN72" s="17" t="s">
        <v>173</v>
      </c>
      <c r="DO72" s="17" t="s">
        <v>661</v>
      </c>
      <c r="DP72" s="17" t="s">
        <v>172</v>
      </c>
      <c r="DQ72" s="17" t="s">
        <v>204</v>
      </c>
      <c r="DR72" s="17" t="s">
        <v>532</v>
      </c>
      <c r="DS72" s="17" t="s">
        <v>1852</v>
      </c>
      <c r="DT72" s="17" t="s">
        <v>1853</v>
      </c>
      <c r="DU72" s="17" t="s">
        <v>1843</v>
      </c>
      <c r="DV72" s="17" t="s">
        <v>1844</v>
      </c>
      <c r="EA72" s="89"/>
      <c r="EB72" s="17">
        <v>7</v>
      </c>
      <c r="EC72" s="17">
        <v>9</v>
      </c>
      <c r="ED72" s="17">
        <v>10</v>
      </c>
      <c r="EE72" s="84" t="s">
        <v>1931</v>
      </c>
      <c r="EF72" s="17">
        <v>6</v>
      </c>
      <c r="EH72" s="68"/>
      <c r="EM72" s="84"/>
      <c r="EP72" s="68"/>
      <c r="EU72" s="84"/>
      <c r="EV72" s="68">
        <v>250</v>
      </c>
      <c r="EW72" s="17">
        <v>0</v>
      </c>
      <c r="EX72" s="17">
        <v>0</v>
      </c>
      <c r="EY72" s="17">
        <v>0</v>
      </c>
      <c r="EZ72" s="83">
        <v>137</v>
      </c>
      <c r="FA72" s="17">
        <v>5</v>
      </c>
      <c r="FC72" s="85">
        <v>530</v>
      </c>
      <c r="FD72" s="17">
        <v>40</v>
      </c>
      <c r="FE72" s="17">
        <v>40</v>
      </c>
      <c r="FF72" s="17">
        <v>40</v>
      </c>
      <c r="FG72" s="84">
        <v>132</v>
      </c>
      <c r="FH72" s="17">
        <v>131</v>
      </c>
      <c r="FI72" s="95">
        <v>132</v>
      </c>
      <c r="FJ72" s="90">
        <v>33.270000000000003</v>
      </c>
      <c r="FK72" s="91">
        <v>31.77</v>
      </c>
      <c r="FL72" s="68">
        <v>33</v>
      </c>
      <c r="FM72" s="84">
        <v>0.61899999999999999</v>
      </c>
      <c r="FN72" s="17">
        <v>0.60399999999999998</v>
      </c>
      <c r="FO72" s="68">
        <v>0.61299999999999999</v>
      </c>
      <c r="FP72" s="92">
        <v>0</v>
      </c>
      <c r="FQ72" s="92">
        <v>0</v>
      </c>
      <c r="FR72" s="92">
        <v>0</v>
      </c>
      <c r="FS72" s="93">
        <v>18.8</v>
      </c>
    </row>
    <row r="73" spans="1:190" s="17" customFormat="1" x14ac:dyDescent="0.35">
      <c r="A73" s="17">
        <v>2026</v>
      </c>
      <c r="B73" s="141" t="s">
        <v>524</v>
      </c>
      <c r="C73" s="141" t="s">
        <v>525</v>
      </c>
      <c r="D73" s="141" t="s">
        <v>1933</v>
      </c>
      <c r="E73" s="141" t="s">
        <v>527</v>
      </c>
      <c r="F73" s="141">
        <v>232</v>
      </c>
      <c r="G73" s="141">
        <v>2</v>
      </c>
      <c r="H73" s="141">
        <v>4</v>
      </c>
      <c r="I73" s="142" t="s">
        <v>195</v>
      </c>
      <c r="J73" s="84">
        <v>26</v>
      </c>
      <c r="K73" s="17">
        <v>27</v>
      </c>
      <c r="L73" s="17">
        <v>27</v>
      </c>
      <c r="M73" s="17">
        <v>33.700000000000003</v>
      </c>
      <c r="N73" s="17">
        <v>38.700000000000003</v>
      </c>
      <c r="O73" s="17">
        <v>35.780200000000001</v>
      </c>
      <c r="P73" s="17">
        <v>25.963699999999999</v>
      </c>
      <c r="Q73" s="17">
        <v>27.292100000000001</v>
      </c>
      <c r="R73" s="17">
        <v>26.545100000000001</v>
      </c>
      <c r="T73" s="17" t="s">
        <v>168</v>
      </c>
      <c r="U73" s="17" t="s">
        <v>169</v>
      </c>
      <c r="V73" s="17" t="s">
        <v>196</v>
      </c>
      <c r="W73" s="17" t="s">
        <v>197</v>
      </c>
      <c r="Y73" s="17">
        <v>8</v>
      </c>
      <c r="Z73" s="17" t="s">
        <v>172</v>
      </c>
      <c r="AA73" s="17" t="s">
        <v>173</v>
      </c>
      <c r="AB73" s="17" t="s">
        <v>170</v>
      </c>
      <c r="AC73" s="17" t="s">
        <v>232</v>
      </c>
      <c r="AD73" s="17">
        <v>10</v>
      </c>
      <c r="AF73" s="17">
        <v>499</v>
      </c>
      <c r="AG73" s="17" t="s">
        <v>216</v>
      </c>
      <c r="AH73" s="17" t="s">
        <v>217</v>
      </c>
      <c r="AI73" s="17" t="s">
        <v>178</v>
      </c>
      <c r="AJ73" s="17" t="s">
        <v>179</v>
      </c>
      <c r="AK73" s="84" t="s">
        <v>664</v>
      </c>
      <c r="AL73" s="17" t="s">
        <v>665</v>
      </c>
      <c r="AR73" s="68"/>
      <c r="AS73" s="17">
        <v>1750</v>
      </c>
      <c r="AT73" s="17">
        <v>1750</v>
      </c>
      <c r="AU73" s="17">
        <v>59</v>
      </c>
      <c r="AV73" s="17">
        <v>57</v>
      </c>
      <c r="AW73" s="17">
        <v>58</v>
      </c>
      <c r="AX73" s="17">
        <v>88.7</v>
      </c>
      <c r="AY73" s="17">
        <v>85.4</v>
      </c>
      <c r="AZ73" s="17">
        <v>87.183999999999997</v>
      </c>
      <c r="BA73" s="17">
        <v>62.3598</v>
      </c>
      <c r="BB73" s="17">
        <v>59.8142</v>
      </c>
      <c r="BC73" s="17">
        <v>61.188000000000002</v>
      </c>
      <c r="BD73" s="17">
        <v>33</v>
      </c>
      <c r="BE73" s="17" t="s">
        <v>1392</v>
      </c>
      <c r="BF73" s="17" t="s">
        <v>1393</v>
      </c>
      <c r="BG73" s="17" t="s">
        <v>178</v>
      </c>
      <c r="BH73" s="17" t="s">
        <v>179</v>
      </c>
      <c r="BI73" s="17">
        <v>1750</v>
      </c>
      <c r="BN73" s="86" t="s">
        <v>1837</v>
      </c>
      <c r="BO73" s="17">
        <v>2</v>
      </c>
      <c r="BP73" s="17">
        <v>2</v>
      </c>
      <c r="BQ73" s="17">
        <v>33</v>
      </c>
      <c r="BR73" s="17" t="s">
        <v>1062</v>
      </c>
      <c r="BT73" s="17" t="s">
        <v>1838</v>
      </c>
      <c r="BU73" s="87">
        <v>45800</v>
      </c>
      <c r="BV73" s="68">
        <v>36360</v>
      </c>
      <c r="BW73" s="88"/>
      <c r="BY73" s="17" t="s">
        <v>173</v>
      </c>
      <c r="CB73" s="17" t="s">
        <v>173</v>
      </c>
      <c r="CC73" s="17" t="s">
        <v>173</v>
      </c>
      <c r="CD73" s="17" t="s">
        <v>1926</v>
      </c>
      <c r="CE73" s="17" t="s">
        <v>173</v>
      </c>
      <c r="CG73" s="17" t="s">
        <v>172</v>
      </c>
      <c r="CH73" s="17" t="s">
        <v>1927</v>
      </c>
      <c r="CI73" s="17" t="s">
        <v>173</v>
      </c>
      <c r="CJ73" s="17" t="s">
        <v>1928</v>
      </c>
      <c r="CK73" s="17" t="s">
        <v>259</v>
      </c>
      <c r="CM73" s="17">
        <v>1</v>
      </c>
      <c r="CN73" s="17" t="s">
        <v>260</v>
      </c>
      <c r="CP73" s="17">
        <v>369</v>
      </c>
      <c r="CQ73" s="17">
        <v>51</v>
      </c>
      <c r="CR73" s="17">
        <v>141.4</v>
      </c>
      <c r="CS73" s="17" t="s">
        <v>261</v>
      </c>
      <c r="CV73" s="17" t="s">
        <v>262</v>
      </c>
      <c r="CX73" s="17" t="s">
        <v>702</v>
      </c>
      <c r="CY73" s="17" t="s">
        <v>173</v>
      </c>
      <c r="DD73" s="17">
        <v>2</v>
      </c>
      <c r="DE73" s="17" t="s">
        <v>307</v>
      </c>
      <c r="DF73" s="17" t="s">
        <v>1929</v>
      </c>
      <c r="DG73" s="17" t="s">
        <v>1930</v>
      </c>
      <c r="DJ73" s="17" t="s">
        <v>201</v>
      </c>
      <c r="DK73" s="17" t="s">
        <v>202</v>
      </c>
      <c r="DL73" s="17" t="s">
        <v>173</v>
      </c>
      <c r="DM73" s="17" t="s">
        <v>172</v>
      </c>
      <c r="DN73" s="17" t="s">
        <v>173</v>
      </c>
      <c r="DO73" s="17" t="s">
        <v>661</v>
      </c>
      <c r="DP73" s="17" t="s">
        <v>172</v>
      </c>
      <c r="DQ73" s="17" t="s">
        <v>204</v>
      </c>
      <c r="DR73" s="17" t="s">
        <v>532</v>
      </c>
      <c r="DS73" s="17" t="s">
        <v>1852</v>
      </c>
      <c r="DT73" s="17" t="s">
        <v>1853</v>
      </c>
      <c r="DU73" s="17" t="s">
        <v>1843</v>
      </c>
      <c r="DV73" s="17" t="s">
        <v>1844</v>
      </c>
      <c r="EA73" s="89"/>
      <c r="EB73" s="17">
        <v>7</v>
      </c>
      <c r="EC73" s="17">
        <v>9</v>
      </c>
      <c r="ED73" s="17">
        <v>10</v>
      </c>
      <c r="EE73" s="84" t="s">
        <v>1931</v>
      </c>
      <c r="EF73" s="17">
        <v>6</v>
      </c>
      <c r="EH73" s="68"/>
      <c r="EM73" s="84"/>
      <c r="EP73" s="68"/>
      <c r="EU73" s="84"/>
      <c r="EV73" s="68">
        <v>250</v>
      </c>
      <c r="EW73" s="17">
        <v>340</v>
      </c>
      <c r="EX73" s="17">
        <v>324</v>
      </c>
      <c r="EY73" s="98">
        <v>333</v>
      </c>
      <c r="EZ73" s="83">
        <v>137</v>
      </c>
      <c r="FA73" s="17">
        <v>5</v>
      </c>
      <c r="FC73" s="85">
        <v>530</v>
      </c>
      <c r="FD73" s="17">
        <v>40</v>
      </c>
      <c r="FE73" s="17">
        <v>40</v>
      </c>
      <c r="FF73" s="17">
        <v>40</v>
      </c>
      <c r="FG73" s="84">
        <v>132</v>
      </c>
      <c r="FH73" s="17">
        <v>131</v>
      </c>
      <c r="FI73" s="95">
        <v>132</v>
      </c>
      <c r="FJ73" s="84" t="s">
        <v>1894</v>
      </c>
      <c r="FK73" s="94"/>
      <c r="FL73" s="95"/>
      <c r="FM73" s="84">
        <v>0.61899999999999999</v>
      </c>
      <c r="FN73" s="17">
        <v>0.60399999999999998</v>
      </c>
      <c r="FO73" s="68">
        <v>0.61299999999999999</v>
      </c>
      <c r="FP73" s="92"/>
      <c r="FQ73" s="92"/>
      <c r="FR73" s="92"/>
      <c r="FS73" s="93">
        <v>18.8</v>
      </c>
    </row>
    <row r="74" spans="1:190" s="66" customFormat="1" x14ac:dyDescent="0.35">
      <c r="A74" s="17"/>
      <c r="E74" s="17"/>
      <c r="F74" s="17"/>
      <c r="G74" s="67"/>
      <c r="H74" s="17"/>
      <c r="I74" s="68"/>
      <c r="J74" s="69"/>
      <c r="K74" s="70"/>
      <c r="L74" s="70"/>
      <c r="M74" s="19"/>
      <c r="N74" s="70"/>
      <c r="O74" s="70"/>
      <c r="P74" s="70"/>
      <c r="Q74" s="70"/>
      <c r="R74" s="70"/>
      <c r="S74" s="70"/>
      <c r="T74" s="70"/>
      <c r="U74" s="70"/>
      <c r="V74" s="70"/>
      <c r="W74" s="70"/>
      <c r="X74" s="70"/>
      <c r="Y74" s="70"/>
      <c r="Z74" s="70"/>
      <c r="AA74" s="70"/>
      <c r="AB74" s="70"/>
      <c r="AC74" s="70"/>
      <c r="AD74" s="19"/>
      <c r="AE74" s="70"/>
      <c r="AF74" s="70"/>
      <c r="AG74" s="70"/>
      <c r="AH74" s="70"/>
      <c r="AI74" s="70"/>
      <c r="AJ74" s="70"/>
      <c r="AK74" s="71"/>
      <c r="AL74" s="1"/>
      <c r="AM74" s="1"/>
      <c r="AN74" s="1"/>
      <c r="AO74" s="1"/>
      <c r="AP74" s="1"/>
      <c r="AQ74" s="1"/>
      <c r="AR74" s="72"/>
      <c r="AS74" s="70"/>
      <c r="AT74" s="19"/>
      <c r="AU74" s="70"/>
      <c r="AV74" s="70"/>
      <c r="AW74" s="70"/>
      <c r="AX74" s="70"/>
      <c r="AY74" s="70"/>
      <c r="AZ74" s="70"/>
      <c r="BA74" s="70"/>
      <c r="BB74" s="70"/>
      <c r="BC74" s="70"/>
      <c r="BD74" s="70"/>
      <c r="BE74" s="70"/>
      <c r="BF74" s="70"/>
      <c r="BG74" s="70"/>
      <c r="BH74" s="70"/>
      <c r="BI74" s="19"/>
      <c r="BJ74" s="70"/>
      <c r="BK74" s="70"/>
      <c r="BL74" s="70"/>
      <c r="BM74" s="70"/>
      <c r="BN74" s="71"/>
      <c r="BO74" s="1"/>
      <c r="BP74" s="1"/>
      <c r="BQ74" s="1"/>
      <c r="BR74" s="1"/>
      <c r="BS74" s="1"/>
      <c r="BT74" s="73"/>
      <c r="BU74" s="1"/>
      <c r="BV74" s="72"/>
      <c r="BW74" s="74"/>
      <c r="BX74" s="70"/>
      <c r="BY74" s="19"/>
      <c r="BZ74" s="70"/>
      <c r="CA74" s="70"/>
      <c r="CB74" s="70"/>
      <c r="CC74" s="70"/>
      <c r="CD74" s="70"/>
      <c r="CE74" s="75"/>
      <c r="CF74" s="70"/>
      <c r="CG74" s="70"/>
      <c r="CH74" s="70"/>
      <c r="CI74" s="70"/>
      <c r="CJ74" s="70"/>
      <c r="CK74" s="70"/>
      <c r="CL74" s="70"/>
      <c r="CM74" s="70"/>
      <c r="CN74" s="70"/>
      <c r="CO74" s="19"/>
      <c r="CP74" s="70"/>
      <c r="CQ74" s="70"/>
      <c r="CR74" s="70"/>
      <c r="CS74" s="70"/>
      <c r="CT74" s="70"/>
      <c r="CU74" s="70"/>
      <c r="CV74" s="70"/>
      <c r="CW74" s="70"/>
      <c r="CX74" s="70"/>
      <c r="CY74" s="70"/>
      <c r="CZ74" s="70"/>
      <c r="DA74" s="70"/>
      <c r="DB74" s="70"/>
      <c r="DC74" s="70"/>
      <c r="DD74" s="70"/>
      <c r="DE74" s="70"/>
      <c r="DF74" s="19"/>
      <c r="DG74" s="70"/>
      <c r="DH74" s="70"/>
      <c r="DI74" s="70"/>
      <c r="DJ74" s="70"/>
      <c r="DK74" s="70"/>
      <c r="DL74" s="70"/>
      <c r="DM74" s="70"/>
      <c r="DN74" s="70"/>
      <c r="DO74" s="70"/>
      <c r="DP74" s="70"/>
      <c r="DQ74" s="70"/>
      <c r="DR74" s="19"/>
      <c r="DS74" s="19"/>
      <c r="DT74" s="19"/>
      <c r="DU74" s="19"/>
      <c r="DV74" s="19"/>
      <c r="DW74" s="19"/>
      <c r="DX74" s="19"/>
      <c r="DY74" s="19"/>
      <c r="DZ74" s="19"/>
      <c r="EA74" s="76"/>
      <c r="EB74" s="19"/>
      <c r="EC74" s="19"/>
      <c r="ED74" s="19"/>
      <c r="EE74" s="69"/>
      <c r="EF74" s="19"/>
      <c r="EG74" s="19"/>
      <c r="EH74" s="77"/>
      <c r="EI74" s="19"/>
      <c r="EK74"/>
      <c r="EL74" s="19"/>
      <c r="EM74" s="69"/>
      <c r="EP74" s="65"/>
      <c r="EU74" s="78"/>
      <c r="EV74" s="65"/>
      <c r="EZ74" s="83"/>
      <c r="FA74" s="19"/>
      <c r="FC74" s="79"/>
      <c r="FD74" s="19"/>
      <c r="FE74" s="19"/>
      <c r="FF74" s="19"/>
      <c r="FG74" s="69"/>
      <c r="FH74" s="19"/>
      <c r="FI74" s="77"/>
      <c r="FJ74" s="69"/>
      <c r="FK74" s="19"/>
      <c r="FL74" s="77"/>
      <c r="FM74" s="69"/>
      <c r="FN74" s="19"/>
      <c r="FO74" s="77"/>
      <c r="FP74" s="81"/>
      <c r="FQ74" s="81"/>
      <c r="FR74" s="81"/>
      <c r="FS74" s="82"/>
      <c r="FT74" s="19"/>
      <c r="FU74" s="19"/>
      <c r="FV74" s="19"/>
      <c r="FW74" s="19"/>
      <c r="FX74" s="19"/>
      <c r="FY74" s="19"/>
      <c r="FZ74" s="19"/>
      <c r="GA74" s="19"/>
      <c r="GB74" s="19"/>
      <c r="GC74" s="19"/>
      <c r="GD74" s="19"/>
      <c r="GE74" s="19"/>
      <c r="GF74" s="19"/>
      <c r="GG74" s="19"/>
      <c r="GH74" s="19"/>
    </row>
    <row r="75" spans="1:190" s="17" customFormat="1" x14ac:dyDescent="0.35">
      <c r="G75" s="67"/>
      <c r="I75" s="68"/>
      <c r="J75" s="84"/>
      <c r="AK75" s="84"/>
      <c r="AR75" s="68"/>
      <c r="BJ75" s="1"/>
      <c r="BK75" s="1"/>
      <c r="BL75" s="1"/>
      <c r="BN75" s="86"/>
      <c r="BU75" s="87"/>
      <c r="BV75" s="68"/>
      <c r="BW75" s="88"/>
      <c r="EA75" s="89"/>
      <c r="EE75" s="84"/>
      <c r="EH75" s="68"/>
      <c r="EM75" s="84"/>
      <c r="EP75" s="68"/>
      <c r="EU75" s="84"/>
      <c r="EV75" s="68"/>
      <c r="EZ75" s="83"/>
      <c r="FC75" s="85"/>
      <c r="FG75" s="84"/>
      <c r="FI75" s="95"/>
      <c r="FJ75" s="90"/>
      <c r="FK75" s="91"/>
      <c r="FL75" s="68"/>
      <c r="FM75" s="84"/>
      <c r="FO75" s="68"/>
      <c r="FP75" s="92"/>
      <c r="FQ75" s="92"/>
      <c r="FR75" s="92"/>
      <c r="FS75" s="93"/>
    </row>
    <row r="76" spans="1:190" s="17" customFormat="1" ht="15" thickBot="1" x14ac:dyDescent="0.4">
      <c r="A76" s="101"/>
      <c r="B76" s="143"/>
      <c r="C76" s="143"/>
      <c r="D76" s="143"/>
      <c r="E76" s="143"/>
      <c r="F76" s="143"/>
      <c r="G76" s="143"/>
      <c r="H76" s="143"/>
      <c r="I76" s="144"/>
      <c r="J76" s="99"/>
      <c r="K76" s="101"/>
      <c r="L76" s="101"/>
      <c r="M76" s="101"/>
      <c r="N76" s="101"/>
      <c r="O76" s="101"/>
      <c r="P76" s="101"/>
      <c r="Q76" s="101"/>
      <c r="R76" s="101"/>
      <c r="S76" s="101"/>
      <c r="T76" s="101"/>
      <c r="U76" s="101"/>
      <c r="V76" s="101"/>
      <c r="W76" s="101"/>
      <c r="X76" s="101"/>
      <c r="Y76" s="101"/>
      <c r="Z76" s="101"/>
      <c r="AA76" s="101"/>
      <c r="AB76" s="101"/>
      <c r="AC76" s="101"/>
      <c r="AD76" s="101"/>
      <c r="AE76" s="101"/>
      <c r="AF76" s="101"/>
      <c r="AG76" s="101"/>
      <c r="AH76" s="101"/>
      <c r="AI76" s="101"/>
      <c r="AJ76" s="101"/>
      <c r="AK76" s="99"/>
      <c r="AL76" s="101"/>
      <c r="AM76" s="101"/>
      <c r="AN76" s="101"/>
      <c r="AO76" s="101"/>
      <c r="AP76" s="101"/>
      <c r="AQ76" s="101"/>
      <c r="AR76" s="100"/>
      <c r="AS76" s="101"/>
      <c r="AT76" s="101"/>
      <c r="AU76" s="101"/>
      <c r="AV76" s="101"/>
      <c r="AW76" s="101"/>
      <c r="AX76" s="101"/>
      <c r="AY76" s="101"/>
      <c r="AZ76" s="101"/>
      <c r="BA76" s="101"/>
      <c r="BB76" s="101"/>
      <c r="BC76" s="101"/>
      <c r="BD76" s="101"/>
      <c r="BE76" s="101"/>
      <c r="BF76" s="101"/>
      <c r="BG76" s="101"/>
      <c r="BH76" s="101"/>
      <c r="BI76" s="101"/>
      <c r="BJ76" s="101"/>
      <c r="BK76" s="101"/>
      <c r="BL76" s="101"/>
      <c r="BM76" s="101"/>
      <c r="BN76" s="103"/>
      <c r="BO76" s="101"/>
      <c r="BP76" s="101"/>
      <c r="BQ76" s="101"/>
      <c r="BR76" s="101"/>
      <c r="BS76" s="101"/>
      <c r="BT76" s="101"/>
      <c r="BU76" s="104"/>
      <c r="BV76" s="100"/>
      <c r="BW76" s="105"/>
      <c r="BX76" s="101"/>
      <c r="BY76" s="101"/>
      <c r="BZ76" s="101"/>
      <c r="CA76" s="101"/>
      <c r="CB76" s="101"/>
      <c r="CC76" s="101"/>
      <c r="CD76" s="101"/>
      <c r="CE76" s="101"/>
      <c r="CF76" s="101"/>
      <c r="CG76" s="101"/>
      <c r="CH76" s="101"/>
      <c r="CI76" s="101"/>
      <c r="CJ76" s="101"/>
      <c r="CK76" s="101"/>
      <c r="CL76" s="101"/>
      <c r="CM76" s="101"/>
      <c r="CN76" s="101"/>
      <c r="CO76" s="101"/>
      <c r="CP76" s="101"/>
      <c r="CQ76" s="101"/>
      <c r="CR76" s="101"/>
      <c r="CS76" s="101"/>
      <c r="CT76" s="101"/>
      <c r="CU76" s="101"/>
      <c r="CV76" s="101"/>
      <c r="CW76" s="101"/>
      <c r="CX76" s="101"/>
      <c r="CY76" s="101"/>
      <c r="CZ76" s="101"/>
      <c r="DA76" s="101"/>
      <c r="DB76" s="101"/>
      <c r="DC76" s="101"/>
      <c r="DD76" s="101"/>
      <c r="DE76" s="101"/>
      <c r="DF76" s="101"/>
      <c r="DG76" s="101"/>
      <c r="DH76" s="101"/>
      <c r="DI76" s="101"/>
      <c r="DJ76" s="101"/>
      <c r="DK76" s="101"/>
      <c r="DL76" s="101"/>
      <c r="DM76" s="101"/>
      <c r="DN76" s="101"/>
      <c r="DO76" s="101"/>
      <c r="DP76" s="101"/>
      <c r="DQ76" s="101"/>
      <c r="DR76" s="101"/>
      <c r="DS76" s="101"/>
      <c r="DT76" s="101"/>
      <c r="DU76" s="101"/>
      <c r="DV76" s="101"/>
      <c r="DW76" s="101"/>
      <c r="DX76" s="101"/>
      <c r="DY76" s="101"/>
      <c r="DZ76" s="101"/>
      <c r="EA76" s="106"/>
      <c r="EB76" s="101"/>
      <c r="EC76" s="101"/>
      <c r="ED76" s="101"/>
      <c r="EE76" s="99"/>
      <c r="EF76" s="101"/>
      <c r="EG76" s="101"/>
      <c r="EH76" s="100"/>
      <c r="EI76" s="101"/>
      <c r="EJ76" s="101"/>
      <c r="EK76" s="101"/>
      <c r="EL76" s="101"/>
      <c r="EM76" s="99"/>
      <c r="EN76" s="101"/>
      <c r="EO76" s="101"/>
      <c r="EP76" s="100"/>
      <c r="EQ76" s="101"/>
      <c r="ER76" s="101"/>
      <c r="ES76" s="101"/>
      <c r="ET76" s="101"/>
      <c r="EU76" s="99"/>
      <c r="EV76" s="100"/>
      <c r="EW76" s="101"/>
      <c r="EX76" s="101"/>
      <c r="EY76" s="101"/>
      <c r="EZ76" s="107"/>
      <c r="FA76" s="101"/>
      <c r="FB76" s="101"/>
      <c r="FC76" s="102"/>
      <c r="FD76" s="101"/>
      <c r="FE76" s="101"/>
      <c r="FF76" s="101"/>
      <c r="FG76" s="99"/>
      <c r="FH76" s="101"/>
      <c r="FI76" s="108"/>
      <c r="FJ76" s="103"/>
      <c r="FK76" s="109"/>
      <c r="FL76" s="108"/>
      <c r="FM76" s="99"/>
      <c r="FN76" s="101"/>
      <c r="FO76" s="100"/>
      <c r="FP76" s="110"/>
      <c r="FQ76" s="110"/>
      <c r="FR76" s="110"/>
      <c r="FS76" s="111"/>
    </row>
  </sheetData>
  <mergeCells count="43">
    <mergeCell ref="A5:I5"/>
    <mergeCell ref="J5:AJ5"/>
    <mergeCell ref="AK5:AR5"/>
    <mergeCell ref="AS5:AT5"/>
    <mergeCell ref="B43:I43"/>
    <mergeCell ref="FG4:FS4"/>
    <mergeCell ref="FG5:FI5"/>
    <mergeCell ref="FJ5:FL5"/>
    <mergeCell ref="FM5:FO5"/>
    <mergeCell ref="FP5:FR5"/>
    <mergeCell ref="AU5:BM5"/>
    <mergeCell ref="BN5:BV5"/>
    <mergeCell ref="BX5:DZ5"/>
    <mergeCell ref="EB5:ED5"/>
    <mergeCell ref="FD5:FF5"/>
    <mergeCell ref="EM5:EP5"/>
    <mergeCell ref="EQ5:ET5"/>
    <mergeCell ref="EU5:EV5"/>
    <mergeCell ref="EW5:EY5"/>
    <mergeCell ref="B10:I10"/>
    <mergeCell ref="EE5:EH5"/>
    <mergeCell ref="EI5:EL5"/>
    <mergeCell ref="B67:I67"/>
    <mergeCell ref="B70:I70"/>
    <mergeCell ref="B46:I46"/>
    <mergeCell ref="B13:I13"/>
    <mergeCell ref="B16:I16"/>
    <mergeCell ref="B19:I19"/>
    <mergeCell ref="B22:I22"/>
    <mergeCell ref="B25:I25"/>
    <mergeCell ref="B28:I28"/>
    <mergeCell ref="B31:I31"/>
    <mergeCell ref="B34:I34"/>
    <mergeCell ref="B37:I37"/>
    <mergeCell ref="B40:I40"/>
    <mergeCell ref="B73:I73"/>
    <mergeCell ref="B76:I76"/>
    <mergeCell ref="B49:I49"/>
    <mergeCell ref="B52:I52"/>
    <mergeCell ref="B55:I55"/>
    <mergeCell ref="B58:I58"/>
    <mergeCell ref="B61:I61"/>
    <mergeCell ref="B64:I6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FEguide</vt:lpstr>
      <vt:lpstr>EV</vt:lpstr>
      <vt:lpstr>PHEV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Li, Jia</cp:lastModifiedBy>
  <dcterms:created xsi:type="dcterms:W3CDTF">2025-09-23T22:22:29Z</dcterms:created>
  <dcterms:modified xsi:type="dcterms:W3CDTF">2025-10-06T15:18:48Z</dcterms:modified>
</cp:coreProperties>
</file>